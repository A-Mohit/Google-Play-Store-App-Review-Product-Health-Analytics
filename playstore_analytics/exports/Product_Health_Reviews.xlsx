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Reviews" sheetId="1" state="visible" r:id="rId3"/>
    <sheet name="Version_Summary" sheetId="2" state="visible" r:id="rId4"/>
    <sheet name="Release_Impact" sheetId="3" state="visible" r:id="rId5"/>
    <sheet name="KPI_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<sst xmlns="http://schemas.openxmlformats.org/spreadsheetml/2006/main" count="41446" uniqueCount="12027">
  <si>
    <t xml:space="preserve">Review ID</t>
  </si>
  <si>
    <t xml:space="preserve">User Name</t>
  </si>
  <si>
    <t xml:space="preserve">Rating</t>
  </si>
  <si>
    <t xml:space="preserve">Review Text</t>
  </si>
  <si>
    <t xml:space="preserve">App Version</t>
  </si>
  <si>
    <t xml:space="preserve">Review Date</t>
  </si>
  <si>
    <t xml:space="preserve">Review Month</t>
  </si>
  <si>
    <t xml:space="preserve">Sentiment Score</t>
  </si>
  <si>
    <t xml:space="preserve">Sentiment Label</t>
  </si>
  <si>
    <t xml:space="preserve">Issue Category</t>
  </si>
  <si>
    <t xml:space="preserve">Thumbs Up</t>
  </si>
  <si>
    <t xml:space="preserve">Has Dev Reply</t>
  </si>
  <si>
    <t xml:space="preserve">Post-Release Window</t>
  </si>
  <si>
    <t xml:space="preserve">rv_004414</t>
  </si>
  <si>
    <t xml:space="preserve">kingjoseph</t>
  </si>
  <si>
    <t xml:space="preserve">Really convenient for paying bills every month.</t>
  </si>
  <si>
    <t xml:space="preserve">4.1.0</t>
  </si>
  <si>
    <t xml:space="preserve">2025-01</t>
  </si>
  <si>
    <t xml:space="preserve">neutral</t>
  </si>
  <si>
    <t xml:space="preserve">none</t>
  </si>
  <si>
    <t xml:space="preserve">rv_000413</t>
  </si>
  <si>
    <t xml:space="preserve">vortiz</t>
  </si>
  <si>
    <t xml:space="preserve">Works fine most of the time.</t>
  </si>
  <si>
    <t xml:space="preserve">positive</t>
  </si>
  <si>
    <t xml:space="preserve">rv_004141</t>
  </si>
  <si>
    <t xml:space="preserve">hrangel</t>
  </si>
  <si>
    <t xml:space="preserve">Best banking app I've used, very reliable. Customer support fixed my issue quickly, thanks!</t>
  </si>
  <si>
    <t xml:space="preserve">rv_001319</t>
  </si>
  <si>
    <t xml:space="preserve">qpearson</t>
  </si>
  <si>
    <t xml:space="preserve">Best banking app I've used, very reliable. Really convenient for paying bills every month.</t>
  </si>
  <si>
    <t xml:space="preserve">rv_002457</t>
  </si>
  <si>
    <t xml:space="preserve">kevinoneal</t>
  </si>
  <si>
    <t xml:space="preserve">Why did they change the whole layout, it was fine before.</t>
  </si>
  <si>
    <t xml:space="preserve">ui</t>
  </si>
  <si>
    <t xml:space="preserve">rv_001083</t>
  </si>
  <si>
    <t xml:space="preserve">lawrencebrown</t>
  </si>
  <si>
    <t xml:space="preserve">Good enough for basic transactions.</t>
  </si>
  <si>
    <t xml:space="preserve">payment</t>
  </si>
  <si>
    <t xml:space="preserve">rv_003318</t>
  </si>
  <si>
    <t xml:space="preserve">owallace</t>
  </si>
  <si>
    <t xml:space="preserve">Clean design and works exactly as expected.</t>
  </si>
  <si>
    <t xml:space="preserve">rv_002797</t>
  </si>
  <si>
    <t xml:space="preserve">vshaw</t>
  </si>
  <si>
    <t xml:space="preserve">rv_000013</t>
  </si>
  <si>
    <t xml:space="preserve">janetwilliams</t>
  </si>
  <si>
    <t xml:space="preserve">rv_000531</t>
  </si>
  <si>
    <t xml:space="preserve">matthewthomas</t>
  </si>
  <si>
    <t xml:space="preserve">Smooth experience, no complaints at all.</t>
  </si>
  <si>
    <t xml:space="preserve">rv_004347</t>
  </si>
  <si>
    <t xml:space="preserve">matthew53</t>
  </si>
  <si>
    <t xml:space="preserve">rv_001735</t>
  </si>
  <si>
    <t xml:space="preserve">chloe58</t>
  </si>
  <si>
    <t xml:space="preserve">Best banking app I've used, very reliable.</t>
  </si>
  <si>
    <t xml:space="preserve">rv_005993</t>
  </si>
  <si>
    <t xml:space="preserve">usanchez</t>
  </si>
  <si>
    <t xml:space="preserve">Good enough for basic transactions. Great app, super easy to send money to friends!</t>
  </si>
  <si>
    <t xml:space="preserve">rv_004442</t>
  </si>
  <si>
    <t xml:space="preserve">justin33</t>
  </si>
  <si>
    <t xml:space="preserve">Crashes constantly, unusable since the update.</t>
  </si>
  <si>
    <t xml:space="preserve">crash</t>
  </si>
  <si>
    <t xml:space="preserve">rv_000036</t>
  </si>
  <si>
    <t xml:space="preserve">teresa28</t>
  </si>
  <si>
    <t xml:space="preserve">Customer support fixed my issue quickly, thanks!</t>
  </si>
  <si>
    <t xml:space="preserve">rv_005847</t>
  </si>
  <si>
    <t xml:space="preserve">teresa44</t>
  </si>
  <si>
    <t xml:space="preserve">rv_001111</t>
  </si>
  <si>
    <t xml:space="preserve">chelseastrickland</t>
  </si>
  <si>
    <t xml:space="preserve">Customer support fixed my issue quickly, thanks! Customer support fixed my issue quickly, thanks!</t>
  </si>
  <si>
    <t xml:space="preserve">rv_004665</t>
  </si>
  <si>
    <t xml:space="preserve">sjohnson</t>
  </si>
  <si>
    <t xml:space="preserve">rv_004230</t>
  </si>
  <si>
    <t xml:space="preserve">christopher77</t>
  </si>
  <si>
    <t xml:space="preserve">rv_005528</t>
  </si>
  <si>
    <t xml:space="preserve">mcdonaldkenneth</t>
  </si>
  <si>
    <t xml:space="preserve">rv_002729</t>
  </si>
  <si>
    <t xml:space="preserve">lopezkevin</t>
  </si>
  <si>
    <t xml:space="preserve">Clean design and works exactly as expected. Smooth experience, no complaints at all.</t>
  </si>
  <si>
    <t xml:space="preserve">rv_003517</t>
  </si>
  <si>
    <t xml:space="preserve">morrispaula</t>
  </si>
  <si>
    <t xml:space="preserve">rv_002118</t>
  </si>
  <si>
    <t xml:space="preserve">andrewjohnson</t>
  </si>
  <si>
    <t xml:space="preserve">rv_002777</t>
  </si>
  <si>
    <t xml:space="preserve">sandrahickman</t>
  </si>
  <si>
    <t xml:space="preserve">App crashes every time I try to open it, so frustrating!</t>
  </si>
  <si>
    <t xml:space="preserve">negative</t>
  </si>
  <si>
    <t xml:space="preserve">rv_004198</t>
  </si>
  <si>
    <t xml:space="preserve">bradgomez</t>
  </si>
  <si>
    <t xml:space="preserve">Decent app but could use more features.</t>
  </si>
  <si>
    <t xml:space="preserve">rv_003823</t>
  </si>
  <si>
    <t xml:space="preserve">patricia92</t>
  </si>
  <si>
    <t xml:space="preserve">Fast transfers and great customer service.</t>
  </si>
  <si>
    <t xml:space="preserve">rv_002960</t>
  </si>
  <si>
    <t xml:space="preserve">portershawn</t>
  </si>
  <si>
    <t xml:space="preserve">Best banking app I've used, very reliable. Clean design and works exactly as expected.</t>
  </si>
  <si>
    <t xml:space="preserve">rv_001282</t>
  </si>
  <si>
    <t xml:space="preserve">tommy79</t>
  </si>
  <si>
    <t xml:space="preserve">Love the new update, much faster than before.</t>
  </si>
  <si>
    <t xml:space="preserve">rv_001975</t>
  </si>
  <si>
    <t xml:space="preserve">joneskim</t>
  </si>
  <si>
    <t xml:space="preserve">Average experience, nothing special.</t>
  </si>
  <si>
    <t xml:space="preserve">rv_002201</t>
  </si>
  <si>
    <t xml:space="preserve">vmelton</t>
  </si>
  <si>
    <t xml:space="preserve">rv_004710</t>
  </si>
  <si>
    <t xml:space="preserve">kennedykathryn</t>
  </si>
  <si>
    <t xml:space="preserve">Fast transfers and great customer service. Fast transfers and great customer service.</t>
  </si>
  <si>
    <t xml:space="preserve">rv_003172</t>
  </si>
  <si>
    <t xml:space="preserve">kjohnson</t>
  </si>
  <si>
    <t xml:space="preserve">rv_001923</t>
  </si>
  <si>
    <t xml:space="preserve">parkerrichard</t>
  </si>
  <si>
    <t xml:space="preserve">Battery drains so fast whenever this app is open.</t>
  </si>
  <si>
    <t xml:space="preserve">performance</t>
  </si>
  <si>
    <t xml:space="preserve">rv_004819</t>
  </si>
  <si>
    <t xml:space="preserve">zacharygray</t>
  </si>
  <si>
    <t xml:space="preserve">Average experience, nothing special. Works fine most of the time.</t>
  </si>
  <si>
    <t xml:space="preserve">rv_001496</t>
  </si>
  <si>
    <t xml:space="preserve">diane89</t>
  </si>
  <si>
    <t xml:space="preserve">Really convenient for paying bills every month. Great app, super easy to send money to friends!</t>
  </si>
  <si>
    <t xml:space="preserve">rv_002864</t>
  </si>
  <si>
    <t xml:space="preserve">erichardson</t>
  </si>
  <si>
    <t xml:space="preserve">rv_002718</t>
  </si>
  <si>
    <t xml:space="preserve">adamwest</t>
  </si>
  <si>
    <t xml:space="preserve">Smooth experience, no complaints at all. Clean design and works exactly as expected.</t>
  </si>
  <si>
    <t xml:space="preserve">rv_002420</t>
  </si>
  <si>
    <t xml:space="preserve">petersonelizabeth</t>
  </si>
  <si>
    <t xml:space="preserve">It freezes and then crashes, had to reinstall twice. Decent app but could use more features.</t>
  </si>
  <si>
    <t xml:space="preserve">rv_003351</t>
  </si>
  <si>
    <t xml:space="preserve">maria61</t>
  </si>
  <si>
    <t xml:space="preserve">Great app, super easy to send money to friends!</t>
  </si>
  <si>
    <t xml:space="preserve">rv_000332</t>
  </si>
  <si>
    <t xml:space="preserve">guerreroanthony</t>
  </si>
  <si>
    <t xml:space="preserve">BEST BANKING APP I'VE USED, VERY RELIABLE.</t>
  </si>
  <si>
    <t xml:space="preserve">rv_000953</t>
  </si>
  <si>
    <t xml:space="preserve">annalopez</t>
  </si>
  <si>
    <t xml:space="preserve">Hate the new redesign, can't find anything anymore.</t>
  </si>
  <si>
    <t xml:space="preserve">rv_002850</t>
  </si>
  <si>
    <t xml:space="preserve">sheriramirez</t>
  </si>
  <si>
    <t xml:space="preserve">rv_003811</t>
  </si>
  <si>
    <t xml:space="preserve">mccannkimberly</t>
  </si>
  <si>
    <t xml:space="preserve">rv_005149</t>
  </si>
  <si>
    <t xml:space="preserve">danafoster</t>
  </si>
  <si>
    <t xml:space="preserve">rv_003958</t>
  </si>
  <si>
    <t xml:space="preserve">matthew75</t>
  </si>
  <si>
    <t xml:space="preserve">rv_003761</t>
  </si>
  <si>
    <t xml:space="preserve">matthewbyrd</t>
  </si>
  <si>
    <t xml:space="preserve">rv_002180</t>
  </si>
  <si>
    <t xml:space="preserve">bdavis</t>
  </si>
  <si>
    <t xml:space="preserve">rv_005784</t>
  </si>
  <si>
    <t xml:space="preserve">nelsongabriela</t>
  </si>
  <si>
    <t xml:space="preserve">rv_005072</t>
  </si>
  <si>
    <t xml:space="preserve">xsmith</t>
  </si>
  <si>
    <t xml:space="preserve">rv_005192</t>
  </si>
  <si>
    <t xml:space="preserve">hendersonmichael</t>
  </si>
  <si>
    <t xml:space="preserve">Good enough for basic transactions. Customer support fixed my issue quickly, thanks!</t>
  </si>
  <si>
    <t xml:space="preserve">rv_005700</t>
  </si>
  <si>
    <t xml:space="preserve">erivers</t>
  </si>
  <si>
    <t xml:space="preserve">rv_000671</t>
  </si>
  <si>
    <t xml:space="preserve">kevin03</t>
  </si>
  <si>
    <t xml:space="preserve">rv_000370</t>
  </si>
  <si>
    <t xml:space="preserve">wareeric</t>
  </si>
  <si>
    <t xml:space="preserve">rv_000857</t>
  </si>
  <si>
    <t xml:space="preserve">troyrodriguez</t>
  </si>
  <si>
    <t xml:space="preserve">GREAT APP, SUPER EASY TO SEND MONEY TO FRIENDS! FAST TRANSFERS AND GREAT CUSTOMER SERVICE.</t>
  </si>
  <si>
    <t xml:space="preserve">rv_000579</t>
  </si>
  <si>
    <t xml:space="preserve">angela34</t>
  </si>
  <si>
    <t xml:space="preserve">Face ID login stopped working after the update. Good enough for basic transactions.</t>
  </si>
  <si>
    <t xml:space="preserve">login</t>
  </si>
  <si>
    <t xml:space="preserve">rv_002342</t>
  </si>
  <si>
    <t xml:space="preserve">amandahenderson</t>
  </si>
  <si>
    <t xml:space="preserve">Buttons are too small and hard to tap on the new layout.</t>
  </si>
  <si>
    <t xml:space="preserve">rv_003583</t>
  </si>
  <si>
    <t xml:space="preserve">esimon</t>
  </si>
  <si>
    <t xml:space="preserve">rv_003917</t>
  </si>
  <si>
    <t xml:space="preserve">kathleen01</t>
  </si>
  <si>
    <t xml:space="preserve">rv_004882</t>
  </si>
  <si>
    <t xml:space="preserve">meyerjames</t>
  </si>
  <si>
    <t xml:space="preserve">rv_001108</t>
  </si>
  <si>
    <t xml:space="preserve">cindy26</t>
  </si>
  <si>
    <t xml:space="preserve">rv_005693</t>
  </si>
  <si>
    <t xml:space="preserve">ujohnson</t>
  </si>
  <si>
    <t xml:space="preserve">It freezes and then crashes, had to reinstall twice.</t>
  </si>
  <si>
    <t xml:space="preserve">rv_000508</t>
  </si>
  <si>
    <t xml:space="preserve">angela57</t>
  </si>
  <si>
    <t xml:space="preserve">rv_000805</t>
  </si>
  <si>
    <t xml:space="preserve">fbaker</t>
  </si>
  <si>
    <t xml:space="preserve">rv_000500</t>
  </si>
  <si>
    <t xml:space="preserve">heather73</t>
  </si>
  <si>
    <t xml:space="preserve">Customer support fixed my issue quickly, thanks! Best banking app I've used, very reliable.</t>
  </si>
  <si>
    <t xml:space="preserve">rv_002345</t>
  </si>
  <si>
    <t xml:space="preserve">mahoneytimothy</t>
  </si>
  <si>
    <t xml:space="preserve">rv_000751</t>
  </si>
  <si>
    <t xml:space="preserve">fuenteslaura</t>
  </si>
  <si>
    <t xml:space="preserve">PAYMENT FAILED BUT THE MONEY WAS STILL DEDUCTED FROM MY ACCOUNT. AVERAGE EXPERIENCE, NOTHING SPECIAL.</t>
  </si>
  <si>
    <t xml:space="preserve">rv_003755</t>
  </si>
  <si>
    <t xml:space="preserve">cortezscott</t>
  </si>
  <si>
    <t xml:space="preserve">IT'S OKAY, DOES WHAT IT NEEDS TO DO.</t>
  </si>
  <si>
    <t xml:space="preserve">rv_004238</t>
  </si>
  <si>
    <t xml:space="preserve">phillipsbruce</t>
  </si>
  <si>
    <t xml:space="preserve">rv_002657</t>
  </si>
  <si>
    <t xml:space="preserve">martinsarah</t>
  </si>
  <si>
    <t xml:space="preserve">App crashes every time I try to open it, so frustrating! Average experience, nothing special.</t>
  </si>
  <si>
    <t xml:space="preserve">rv_001781</t>
  </si>
  <si>
    <t xml:space="preserve">kimberlyramirez</t>
  </si>
  <si>
    <t xml:space="preserve">rv_001458</t>
  </si>
  <si>
    <t xml:space="preserve">kelli32</t>
  </si>
  <si>
    <t xml:space="preserve">Works fine most of the time. Customer support fixed my issue quickly, thanks!</t>
  </si>
  <si>
    <t xml:space="preserve">rv_000396</t>
  </si>
  <si>
    <t xml:space="preserve">stephanieburton</t>
  </si>
  <si>
    <t xml:space="preserve">HATE THE NEW REDESIGN, CAN'T FIND ANYTHING ANYMORE.</t>
  </si>
  <si>
    <t xml:space="preserve">rv_002087</t>
  </si>
  <si>
    <t xml:space="preserve">lortiz</t>
  </si>
  <si>
    <t xml:space="preserve">Smooth experience, no complaints at all. Smooth experience, no complaints at all.</t>
  </si>
  <si>
    <t xml:space="preserve">rv_002931</t>
  </si>
  <si>
    <t xml:space="preserve">robinsonisaiah</t>
  </si>
  <si>
    <t xml:space="preserve">Best banking app I've used, very reliable. Best banking app I've used, very reliable.</t>
  </si>
  <si>
    <t xml:space="preserve">rv_003408</t>
  </si>
  <si>
    <t xml:space="preserve">moransamantha</t>
  </si>
  <si>
    <t xml:space="preserve">rv_002186</t>
  </si>
  <si>
    <t xml:space="preserve">ievans</t>
  </si>
  <si>
    <t xml:space="preserve">rv_004120</t>
  </si>
  <si>
    <t xml:space="preserve">lowekristin</t>
  </si>
  <si>
    <t xml:space="preserve">rv_001602</t>
  </si>
  <si>
    <t xml:space="preserve">christopher68</t>
  </si>
  <si>
    <t xml:space="preserve">Customer support fixed my issue quickly, thanks! Great app, super easy to send money to friends!</t>
  </si>
  <si>
    <t xml:space="preserve">rv_000809</t>
  </si>
  <si>
    <t xml:space="preserve">christinaglover</t>
  </si>
  <si>
    <t xml:space="preserve">rv_002303</t>
  </si>
  <si>
    <t xml:space="preserve">kelleycarlos</t>
  </si>
  <si>
    <t xml:space="preserve">rv_002139</t>
  </si>
  <si>
    <t xml:space="preserve">kingchristine</t>
  </si>
  <si>
    <t xml:space="preserve">rv_000406</t>
  </si>
  <si>
    <t xml:space="preserve">colelisa</t>
  </si>
  <si>
    <t xml:space="preserve">The new interface is so confusing compared to before.</t>
  </si>
  <si>
    <t xml:space="preserve">rv_004629</t>
  </si>
  <si>
    <t xml:space="preserve">sarahsimon</t>
  </si>
  <si>
    <t xml:space="preserve">Getting logged out randomly several times a day.</t>
  </si>
  <si>
    <t xml:space="preserve">rv_003362</t>
  </si>
  <si>
    <t xml:space="preserve">arianacuevas</t>
  </si>
  <si>
    <t xml:space="preserve">rv_001571</t>
  </si>
  <si>
    <t xml:space="preserve">oreese</t>
  </si>
  <si>
    <t xml:space="preserve">rv_001914</t>
  </si>
  <si>
    <t xml:space="preserve">tiffany25</t>
  </si>
  <si>
    <t xml:space="preserve">rv_001313</t>
  </si>
  <si>
    <t xml:space="preserve">eanderson</t>
  </si>
  <si>
    <t xml:space="preserve">rv_005363</t>
  </si>
  <si>
    <t xml:space="preserve">lmartin</t>
  </si>
  <si>
    <t xml:space="preserve">rv_000852</t>
  </si>
  <si>
    <t xml:space="preserve">kylie34</t>
  </si>
  <si>
    <t xml:space="preserve">rv_002417</t>
  </si>
  <si>
    <t xml:space="preserve">brianhunter</t>
  </si>
  <si>
    <t xml:space="preserve">rv_005097</t>
  </si>
  <si>
    <t xml:space="preserve">sball</t>
  </si>
  <si>
    <t xml:space="preserve">Best banking app I've used, very reliable. Love the new update, much faster than before.</t>
  </si>
  <si>
    <t xml:space="preserve">rv_005383</t>
  </si>
  <si>
    <t xml:space="preserve">murraymichael</t>
  </si>
  <si>
    <t xml:space="preserve">rv_002535</t>
  </si>
  <si>
    <t xml:space="preserve">byrderic</t>
  </si>
  <si>
    <t xml:space="preserve">rv_003907</t>
  </si>
  <si>
    <t xml:space="preserve">imcdonald</t>
  </si>
  <si>
    <t xml:space="preserve">rv_004174</t>
  </si>
  <si>
    <t xml:space="preserve">hflores</t>
  </si>
  <si>
    <t xml:space="preserve">rv_002393</t>
  </si>
  <si>
    <t xml:space="preserve">sherryparsons</t>
  </si>
  <si>
    <t xml:space="preserve">rv_002487</t>
  </si>
  <si>
    <t xml:space="preserve">ashley99</t>
  </si>
  <si>
    <t xml:space="preserve">rv_003028</t>
  </si>
  <si>
    <t xml:space="preserve">pgutierrez</t>
  </si>
  <si>
    <t xml:space="preserve">Works fine most of the time. Love the new update, much faster than before.</t>
  </si>
  <si>
    <t xml:space="preserve">rv_003494</t>
  </si>
  <si>
    <t xml:space="preserve">donaldmills</t>
  </si>
  <si>
    <t xml:space="preserve">Fast transfers and great customer service. Customer support fixed my issue quickly, thanks!</t>
  </si>
  <si>
    <t xml:space="preserve">rv_004382</t>
  </si>
  <si>
    <t xml:space="preserve">davidmartin</t>
  </si>
  <si>
    <t xml:space="preserve">rv_004497</t>
  </si>
  <si>
    <t xml:space="preserve">jonesnicholas</t>
  </si>
  <si>
    <t xml:space="preserve">rv_002101</t>
  </si>
  <si>
    <t xml:space="preserve">rmccormick</t>
  </si>
  <si>
    <t xml:space="preserve">rv_003257</t>
  </si>
  <si>
    <t xml:space="preserve">daniel76</t>
  </si>
  <si>
    <t xml:space="preserve">rv_001347</t>
  </si>
  <si>
    <t xml:space="preserve">hansenwesley</t>
  </si>
  <si>
    <t xml:space="preserve">rv_000276</t>
  </si>
  <si>
    <t xml:space="preserve">wendy16</t>
  </si>
  <si>
    <t xml:space="preserve">Smooth experience, no complaints at all. Customer support fixed my issue quickly, thanks!</t>
  </si>
  <si>
    <t xml:space="preserve">rv_005403</t>
  </si>
  <si>
    <t xml:space="preserve">ylynch</t>
  </si>
  <si>
    <t xml:space="preserve">rv_003805</t>
  </si>
  <si>
    <t xml:space="preserve">mayronald</t>
  </si>
  <si>
    <t xml:space="preserve">rv_000244</t>
  </si>
  <si>
    <t xml:space="preserve">hbrown</t>
  </si>
  <si>
    <t xml:space="preserve">rv_000972</t>
  </si>
  <si>
    <t xml:space="preserve">vtaylor</t>
  </si>
  <si>
    <t xml:space="preserve">rv_003491</t>
  </si>
  <si>
    <t xml:space="preserve">sross</t>
  </si>
  <si>
    <t xml:space="preserve">rv_000615</t>
  </si>
  <si>
    <t xml:space="preserve">erik84</t>
  </si>
  <si>
    <t xml:space="preserve">New UI looks nice but navigation got way worse.</t>
  </si>
  <si>
    <t xml:space="preserve">rv_002627</t>
  </si>
  <si>
    <t xml:space="preserve">petersonbrenda</t>
  </si>
  <si>
    <t xml:space="preserve">DECENT APP BUT COULD USE MORE FEATURES.</t>
  </si>
  <si>
    <t xml:space="preserve">rv_003500</t>
  </si>
  <si>
    <t xml:space="preserve">edwardjones</t>
  </si>
  <si>
    <t xml:space="preserve">It's okay, does what it needs to do.</t>
  </si>
  <si>
    <t xml:space="preserve">rv_003094</t>
  </si>
  <si>
    <t xml:space="preserve">langvictor</t>
  </si>
  <si>
    <t xml:space="preserve">Fast transfers and great customer service. Really convenient for paying bills every month.</t>
  </si>
  <si>
    <t xml:space="preserve">rv_005655</t>
  </si>
  <si>
    <t xml:space="preserve">pearsonvicki</t>
  </si>
  <si>
    <t xml:space="preserve">rv_005385</t>
  </si>
  <si>
    <t xml:space="preserve">kylemartinez</t>
  </si>
  <si>
    <t xml:space="preserve">rv_000661</t>
  </si>
  <si>
    <t xml:space="preserve">iwhite</t>
  </si>
  <si>
    <t xml:space="preserve">rv_004365</t>
  </si>
  <si>
    <t xml:space="preserve">kingdavid</t>
  </si>
  <si>
    <t xml:space="preserve">rv_005889</t>
  </si>
  <si>
    <t xml:space="preserve">jennifer29</t>
  </si>
  <si>
    <t xml:space="preserve">rv_001722</t>
  </si>
  <si>
    <t xml:space="preserve">dhanson</t>
  </si>
  <si>
    <t xml:space="preserve">rv_003241</t>
  </si>
  <si>
    <t xml:space="preserve">lpalmer</t>
  </si>
  <si>
    <t xml:space="preserve">rv_000299</t>
  </si>
  <si>
    <t xml:space="preserve">jessica14</t>
  </si>
  <si>
    <t xml:space="preserve">rv_000186</t>
  </si>
  <si>
    <t xml:space="preserve">marcus31</t>
  </si>
  <si>
    <t xml:space="preserve">rv_000906</t>
  </si>
  <si>
    <t xml:space="preserve">phyllismeyer</t>
  </si>
  <si>
    <t xml:space="preserve">Great app, super easy to send money to friends! Love the new update, much faster than before.</t>
  </si>
  <si>
    <t xml:space="preserve">rv_005493</t>
  </si>
  <si>
    <t xml:space="preserve">kirkdonald</t>
  </si>
  <si>
    <t xml:space="preserve">rv_000902</t>
  </si>
  <si>
    <t xml:space="preserve">usweeney</t>
  </si>
  <si>
    <t xml:space="preserve">rv_004953</t>
  </si>
  <si>
    <t xml:space="preserve">peter07</t>
  </si>
  <si>
    <t xml:space="preserve">rv_005247</t>
  </si>
  <si>
    <t xml:space="preserve">pfowler</t>
  </si>
  <si>
    <t xml:space="preserve">rv_002678</t>
  </si>
  <si>
    <t xml:space="preserve">ycarter</t>
  </si>
  <si>
    <t xml:space="preserve">Customer support fixed my issue quickly, thanks! Really convenient for paying bills every month.</t>
  </si>
  <si>
    <t xml:space="preserve">rv_000469</t>
  </si>
  <si>
    <t xml:space="preserve">bryanparsons</t>
  </si>
  <si>
    <t xml:space="preserve">rv_004156</t>
  </si>
  <si>
    <t xml:space="preserve">heidi55</t>
  </si>
  <si>
    <t xml:space="preserve">rv_001026</t>
  </si>
  <si>
    <t xml:space="preserve">vwilliams</t>
  </si>
  <si>
    <t xml:space="preserve">rv_002939</t>
  </si>
  <si>
    <t xml:space="preserve">jacob30</t>
  </si>
  <si>
    <t xml:space="preserve">rv_005811</t>
  </si>
  <si>
    <t xml:space="preserve">klewis</t>
  </si>
  <si>
    <t xml:space="preserve">rv_002631</t>
  </si>
  <si>
    <t xml:space="preserve">davisalexa</t>
  </si>
  <si>
    <t xml:space="preserve">rv_002152</t>
  </si>
  <si>
    <t xml:space="preserve">frank76</t>
  </si>
  <si>
    <t xml:space="preserve">rv_003696</t>
  </si>
  <si>
    <t xml:space="preserve">gregorygiles</t>
  </si>
  <si>
    <t xml:space="preserve">rv_003630</t>
  </si>
  <si>
    <t xml:space="preserve">james97</t>
  </si>
  <si>
    <t xml:space="preserve">rv_003523</t>
  </si>
  <si>
    <t xml:space="preserve">alyssa93</t>
  </si>
  <si>
    <t xml:space="preserve">Can't log in anymore, keeps saying invalid credentials even though they're correct.</t>
  </si>
  <si>
    <t xml:space="preserve">rv_001063</t>
  </si>
  <si>
    <t xml:space="preserve">rguerrero</t>
  </si>
  <si>
    <t xml:space="preserve">rv_002055</t>
  </si>
  <si>
    <t xml:space="preserve">wsimmons</t>
  </si>
  <si>
    <t xml:space="preserve">rv_005971</t>
  </si>
  <si>
    <t xml:space="preserve">bobbyvargas</t>
  </si>
  <si>
    <t xml:space="preserve">rv_001738</t>
  </si>
  <si>
    <t xml:space="preserve">zgomez</t>
  </si>
  <si>
    <t xml:space="preserve">rv_003937</t>
  </si>
  <si>
    <t xml:space="preserve">gwilliams</t>
  </si>
  <si>
    <t xml:space="preserve">rv_003756</t>
  </si>
  <si>
    <t xml:space="preserve">briannareid</t>
  </si>
  <si>
    <t xml:space="preserve">rv_002470</t>
  </si>
  <si>
    <t xml:space="preserve">kevin43</t>
  </si>
  <si>
    <t xml:space="preserve">rv_004234</t>
  </si>
  <si>
    <t xml:space="preserve">murphymallory</t>
  </si>
  <si>
    <t xml:space="preserve">Love the new update, much faster than before. Really convenient for paying bills every month.</t>
  </si>
  <si>
    <t xml:space="preserve">rv_001680</t>
  </si>
  <si>
    <t xml:space="preserve">tdavis</t>
  </si>
  <si>
    <t xml:space="preserve">rv_000863</t>
  </si>
  <si>
    <t xml:space="preserve">smithcarlos</t>
  </si>
  <si>
    <t xml:space="preserve">rv_003063</t>
  </si>
  <si>
    <t xml:space="preserve">wilsonmatthew</t>
  </si>
  <si>
    <t xml:space="preserve">rv_003641</t>
  </si>
  <si>
    <t xml:space="preserve">michael79</t>
  </si>
  <si>
    <t xml:space="preserve">rv_005058</t>
  </si>
  <si>
    <t xml:space="preserve">brandi40</t>
  </si>
  <si>
    <t xml:space="preserve">rv_003049</t>
  </si>
  <si>
    <t xml:space="preserve">jacob34</t>
  </si>
  <si>
    <t xml:space="preserve">rv_003842</t>
  </si>
  <si>
    <t xml:space="preserve">gross</t>
  </si>
  <si>
    <t xml:space="preserve">Fast transfers and great customer service. Love the new update, much faster than before.</t>
  </si>
  <si>
    <t xml:space="preserve">rv_004705</t>
  </si>
  <si>
    <t xml:space="preserve">awilliams</t>
  </si>
  <si>
    <t xml:space="preserve">Smooth experience, no complaints at all. Love the new update, much faster than before.</t>
  </si>
  <si>
    <t xml:space="preserve">rv_004135</t>
  </si>
  <si>
    <t xml:space="preserve">willisvanessa</t>
  </si>
  <si>
    <t xml:space="preserve">rv_003528</t>
  </si>
  <si>
    <t xml:space="preserve">gregory57</t>
  </si>
  <si>
    <t xml:space="preserve">App is so slow to load, takes forever on every screen.</t>
  </si>
  <si>
    <t xml:space="preserve">rv_004736</t>
  </si>
  <si>
    <t xml:space="preserve">ohiggins</t>
  </si>
  <si>
    <t xml:space="preserve">rv_003667</t>
  </si>
  <si>
    <t xml:space="preserve">welchanna</t>
  </si>
  <si>
    <t xml:space="preserve">The app force closes whenever I check my balance.</t>
  </si>
  <si>
    <t xml:space="preserve">rv_005638</t>
  </si>
  <si>
    <t xml:space="preserve">jessicamiddleton</t>
  </si>
  <si>
    <t xml:space="preserve">rv_003513</t>
  </si>
  <si>
    <t xml:space="preserve">tammy97</t>
  </si>
  <si>
    <t xml:space="preserve">Fast transfers and great customer service. Clean design and works exactly as expected.</t>
  </si>
  <si>
    <t xml:space="preserve">rv_000204</t>
  </si>
  <si>
    <t xml:space="preserve">michaelturner</t>
  </si>
  <si>
    <t xml:space="preserve">rv_004290</t>
  </si>
  <si>
    <t xml:space="preserve">laura31</t>
  </si>
  <si>
    <t xml:space="preserve">rv_002311</t>
  </si>
  <si>
    <t xml:space="preserve">zhughes</t>
  </si>
  <si>
    <t xml:space="preserve">rv_003042</t>
  </si>
  <si>
    <t xml:space="preserve">ocameron</t>
  </si>
  <si>
    <t xml:space="preserve">rv_002085</t>
  </si>
  <si>
    <t xml:space="preserve">selenarobinson</t>
  </si>
  <si>
    <t xml:space="preserve">rv_002250</t>
  </si>
  <si>
    <t xml:space="preserve">marywells</t>
  </si>
  <si>
    <t xml:space="preserve">Love the new update, much faster than before. Clean design and works exactly as expected.</t>
  </si>
  <si>
    <t xml:space="preserve">rv_005101</t>
  </si>
  <si>
    <t xml:space="preserve">foxlinda</t>
  </si>
  <si>
    <t xml:space="preserve">rv_005293</t>
  </si>
  <si>
    <t xml:space="preserve">jenniferwalls</t>
  </si>
  <si>
    <t xml:space="preserve">rv_001015</t>
  </si>
  <si>
    <t xml:space="preserve">maryscott</t>
  </si>
  <si>
    <t xml:space="preserve">rv_004999</t>
  </si>
  <si>
    <t xml:space="preserve">bennettdouglas</t>
  </si>
  <si>
    <t xml:space="preserve">rv_000255</t>
  </si>
  <si>
    <t xml:space="preserve">sandraromero</t>
  </si>
  <si>
    <t xml:space="preserve">rv_005294</t>
  </si>
  <si>
    <t xml:space="preserve">cjohnson</t>
  </si>
  <si>
    <t xml:space="preserve">rv_002287</t>
  </si>
  <si>
    <t xml:space="preserve">seanwood</t>
  </si>
  <si>
    <t xml:space="preserve">It's okay, does what it needs to do. Love the new update, much faster than before.</t>
  </si>
  <si>
    <t xml:space="preserve">rv_001183</t>
  </si>
  <si>
    <t xml:space="preserve">johnsondustin</t>
  </si>
  <si>
    <t xml:space="preserve">rv_005906</t>
  </si>
  <si>
    <t xml:space="preserve">adiaz</t>
  </si>
  <si>
    <t xml:space="preserve">Decent app but could use more features. It's okay, does what it needs to do.</t>
  </si>
  <si>
    <t xml:space="preserve">rv_000927</t>
  </si>
  <si>
    <t xml:space="preserve">davidcolon</t>
  </si>
  <si>
    <t xml:space="preserve">rv_000567</t>
  </si>
  <si>
    <t xml:space="preserve">rhernandez</t>
  </si>
  <si>
    <t xml:space="preserve">rv_000464</t>
  </si>
  <si>
    <t xml:space="preserve">kellycarlos</t>
  </si>
  <si>
    <t xml:space="preserve">rv_000683</t>
  </si>
  <si>
    <t xml:space="preserve">rpierce</t>
  </si>
  <si>
    <t xml:space="preserve">rv_003657</t>
  </si>
  <si>
    <t xml:space="preserve">joseph95</t>
  </si>
  <si>
    <t xml:space="preserve">rv_005981</t>
  </si>
  <si>
    <t xml:space="preserve">janetmoore</t>
  </si>
  <si>
    <t xml:space="preserve">rv_005352</t>
  </si>
  <si>
    <t xml:space="preserve">alexisgibbs</t>
  </si>
  <si>
    <t xml:space="preserve">Face ID login stopped working after the update.</t>
  </si>
  <si>
    <t xml:space="preserve">rv_004075</t>
  </si>
  <si>
    <t xml:space="preserve">michele42</t>
  </si>
  <si>
    <t xml:space="preserve">rv_005582</t>
  </si>
  <si>
    <t xml:space="preserve">jonespaul</t>
  </si>
  <si>
    <t xml:space="preserve">Tried to pay a bill three times, all failed, very risky app. It's okay, does what it needs to do.</t>
  </si>
  <si>
    <t xml:space="preserve">rv_005129</t>
  </si>
  <si>
    <t xml:space="preserve">lukecase</t>
  </si>
  <si>
    <t xml:space="preserve">rv_000897</t>
  </si>
  <si>
    <t xml:space="preserve">jodi37</t>
  </si>
  <si>
    <t xml:space="preserve">rv_004246</t>
  </si>
  <si>
    <t xml:space="preserve">stephen39</t>
  </si>
  <si>
    <t xml:space="preserve">rv_005414</t>
  </si>
  <si>
    <t xml:space="preserve">haley79</t>
  </si>
  <si>
    <t xml:space="preserve">rv_001678</t>
  </si>
  <si>
    <t xml:space="preserve">lisa81</t>
  </si>
  <si>
    <t xml:space="preserve">rv_005073</t>
  </si>
  <si>
    <t xml:space="preserve">jimmypalmer</t>
  </si>
  <si>
    <t xml:space="preserve">rv_003492</t>
  </si>
  <si>
    <t xml:space="preserve">grahamkelly</t>
  </si>
  <si>
    <t xml:space="preserve">Clean design and works exactly as expected. Best banking app I've used, very reliable.</t>
  </si>
  <si>
    <t xml:space="preserve">rv_000211</t>
  </si>
  <si>
    <t xml:space="preserve">kvasquez</t>
  </si>
  <si>
    <t xml:space="preserve">rv_001942</t>
  </si>
  <si>
    <t xml:space="preserve">robert87</t>
  </si>
  <si>
    <t xml:space="preserve">rv_002660</t>
  </si>
  <si>
    <t xml:space="preserve">sdavis</t>
  </si>
  <si>
    <t xml:space="preserve">App lags badly on older phones now.</t>
  </si>
  <si>
    <t xml:space="preserve">rv_000353</t>
  </si>
  <si>
    <t xml:space="preserve">garnernathan</t>
  </si>
  <si>
    <t xml:space="preserve">rv_004089</t>
  </si>
  <si>
    <t xml:space="preserve">ppineda</t>
  </si>
  <si>
    <t xml:space="preserve">rv_005265</t>
  </si>
  <si>
    <t xml:space="preserve">daughertysydney</t>
  </si>
  <si>
    <t xml:space="preserve">Decent app but could use more features. Best banking app I've used, very reliable.</t>
  </si>
  <si>
    <t xml:space="preserve">rv_004098</t>
  </si>
  <si>
    <t xml:space="preserve">jtrujillo</t>
  </si>
  <si>
    <t xml:space="preserve">rv_000334</t>
  </si>
  <si>
    <t xml:space="preserve">alfred40</t>
  </si>
  <si>
    <t xml:space="preserve">rv_004277</t>
  </si>
  <si>
    <t xml:space="preserve">matthew54</t>
  </si>
  <si>
    <t xml:space="preserve">rv_001692</t>
  </si>
  <si>
    <t xml:space="preserve">terrireyes</t>
  </si>
  <si>
    <t xml:space="preserve">OTP never arrives so I can't log in to my account.</t>
  </si>
  <si>
    <t xml:space="preserve">rv_005181</t>
  </si>
  <si>
    <t xml:space="preserve">jackierichardson</t>
  </si>
  <si>
    <t xml:space="preserve">rv_002255</t>
  </si>
  <si>
    <t xml:space="preserve">agutierrez</t>
  </si>
  <si>
    <t xml:space="preserve">rv_000137</t>
  </si>
  <si>
    <t xml:space="preserve">bryantlaurie</t>
  </si>
  <si>
    <t xml:space="preserve">rv_002197</t>
  </si>
  <si>
    <t xml:space="preserve">christianhendrix</t>
  </si>
  <si>
    <t xml:space="preserve">It's okay, does what it needs to do. Clean design and works exactly as expected.</t>
  </si>
  <si>
    <t xml:space="preserve">rv_002668</t>
  </si>
  <si>
    <t xml:space="preserve">david56</t>
  </si>
  <si>
    <t xml:space="preserve">rv_004931</t>
  </si>
  <si>
    <t xml:space="preserve">nmccoy</t>
  </si>
  <si>
    <t xml:space="preserve">rv_002680</t>
  </si>
  <si>
    <t xml:space="preserve">melaniemichael</t>
  </si>
  <si>
    <t xml:space="preserve">rv_001096</t>
  </si>
  <si>
    <t xml:space="preserve">ryan25</t>
  </si>
  <si>
    <t xml:space="preserve">Crashes constantly, unusable since the update. Decent app but could use more features.</t>
  </si>
  <si>
    <t xml:space="preserve">rv_001465</t>
  </si>
  <si>
    <t xml:space="preserve">johnwilliams</t>
  </si>
  <si>
    <t xml:space="preserve">rv_003607</t>
  </si>
  <si>
    <t xml:space="preserve">lsantiago</t>
  </si>
  <si>
    <t xml:space="preserve">rv_000733</t>
  </si>
  <si>
    <t xml:space="preserve">rjackson</t>
  </si>
  <si>
    <t xml:space="preserve">rv_000047</t>
  </si>
  <si>
    <t xml:space="preserve">jenniferross</t>
  </si>
  <si>
    <t xml:space="preserve">rv_001259</t>
  </si>
  <si>
    <t xml:space="preserve">wilkinsonmichele</t>
  </si>
  <si>
    <t xml:space="preserve">rv_002583</t>
  </si>
  <si>
    <t xml:space="preserve">tapiamichael</t>
  </si>
  <si>
    <t xml:space="preserve">rv_001012</t>
  </si>
  <si>
    <t xml:space="preserve">lindseymartinez</t>
  </si>
  <si>
    <t xml:space="preserve">rv_004282</t>
  </si>
  <si>
    <t xml:space="preserve">jameshudson</t>
  </si>
  <si>
    <t xml:space="preserve">rv_001420</t>
  </si>
  <si>
    <t xml:space="preserve">robert24</t>
  </si>
  <si>
    <t xml:space="preserve">rv_002658</t>
  </si>
  <si>
    <t xml:space="preserve">omiranda</t>
  </si>
  <si>
    <t xml:space="preserve">App is so slow to load, takes forever on every screen. Average experience, nothing special.</t>
  </si>
  <si>
    <t xml:space="preserve">rv_000689</t>
  </si>
  <si>
    <t xml:space="preserve">landryelizabeth</t>
  </si>
  <si>
    <t xml:space="preserve">rv_004226</t>
  </si>
  <si>
    <t xml:space="preserve">jeanlynch</t>
  </si>
  <si>
    <t xml:space="preserve">rv_004093</t>
  </si>
  <si>
    <t xml:space="preserve">tina77</t>
  </si>
  <si>
    <t xml:space="preserve">TRANSFERS KEEP FAILING WITH A GENERIC ERROR MESSAGE.</t>
  </si>
  <si>
    <t xml:space="preserve">rv_001500</t>
  </si>
  <si>
    <t xml:space="preserve">nicholaspierce</t>
  </si>
  <si>
    <t xml:space="preserve">rv_005184</t>
  </si>
  <si>
    <t xml:space="preserve">david97</t>
  </si>
  <si>
    <t xml:space="preserve">rv_002692</t>
  </si>
  <si>
    <t xml:space="preserve">jasonbrock</t>
  </si>
  <si>
    <t xml:space="preserve">rv_003117</t>
  </si>
  <si>
    <t xml:space="preserve">qwalsh</t>
  </si>
  <si>
    <t xml:space="preserve">rv_001174</t>
  </si>
  <si>
    <t xml:space="preserve">shawn22</t>
  </si>
  <si>
    <t xml:space="preserve">Clean design and works exactly as expected. Customer support fixed my issue quickly, thanks!</t>
  </si>
  <si>
    <t xml:space="preserve">rv_005551</t>
  </si>
  <si>
    <t xml:space="preserve">thomaslinda</t>
  </si>
  <si>
    <t xml:space="preserve">rv_001378</t>
  </si>
  <si>
    <t xml:space="preserve">ivan63</t>
  </si>
  <si>
    <t xml:space="preserve">Decent app but could use more features. Decent app but could use more features.</t>
  </si>
  <si>
    <t xml:space="preserve">rv_000071</t>
  </si>
  <si>
    <t xml:space="preserve">tanyariley</t>
  </si>
  <si>
    <t xml:space="preserve">rv_005009</t>
  </si>
  <si>
    <t xml:space="preserve">krista02</t>
  </si>
  <si>
    <t xml:space="preserve">Smooth experience, no complaints at all. Best banking app I've used, very reliable.</t>
  </si>
  <si>
    <t xml:space="preserve">rv_002928</t>
  </si>
  <si>
    <t xml:space="preserve">jenna62</t>
  </si>
  <si>
    <t xml:space="preserve">rv_002501</t>
  </si>
  <si>
    <t xml:space="preserve">pricerebecca</t>
  </si>
  <si>
    <t xml:space="preserve">rv_001103</t>
  </si>
  <si>
    <t xml:space="preserve">wheelerbrandon</t>
  </si>
  <si>
    <t xml:space="preserve">rv_004409</t>
  </si>
  <si>
    <t xml:space="preserve">mary95</t>
  </si>
  <si>
    <t xml:space="preserve">rv_005209</t>
  </si>
  <si>
    <t xml:space="preserve">hammondlaura</t>
  </si>
  <si>
    <t xml:space="preserve">rv_001757</t>
  </si>
  <si>
    <t xml:space="preserve">williamssteven</t>
  </si>
  <si>
    <t xml:space="preserve">rv_002687</t>
  </si>
  <si>
    <t xml:space="preserve">justin38</t>
  </si>
  <si>
    <t xml:space="preserve">rv_001622</t>
  </si>
  <si>
    <t xml:space="preserve">miguel61</t>
  </si>
  <si>
    <t xml:space="preserve">rv_004962</t>
  </si>
  <si>
    <t xml:space="preserve">carlos33</t>
  </si>
  <si>
    <t xml:space="preserve">rv_004022</t>
  </si>
  <si>
    <t xml:space="preserve">racheljimenez</t>
  </si>
  <si>
    <t xml:space="preserve">Tried to pay a bill three times, all failed, very risky app. Average experience, nothing special.</t>
  </si>
  <si>
    <t xml:space="preserve">rv_004766</t>
  </si>
  <si>
    <t xml:space="preserve">olivia29</t>
  </si>
  <si>
    <t xml:space="preserve">rv_001512</t>
  </si>
  <si>
    <t xml:space="preserve">larsonkevin</t>
  </si>
  <si>
    <t xml:space="preserve">Takes ages to load the transaction history.</t>
  </si>
  <si>
    <t xml:space="preserve">rv_004886</t>
  </si>
  <si>
    <t xml:space="preserve">floresjulie</t>
  </si>
  <si>
    <t xml:space="preserve">rv_004693</t>
  </si>
  <si>
    <t xml:space="preserve">coffeyjohn</t>
  </si>
  <si>
    <t xml:space="preserve">rv_004388</t>
  </si>
  <si>
    <t xml:space="preserve">brian01</t>
  </si>
  <si>
    <t xml:space="preserve">rv_000736</t>
  </si>
  <si>
    <t xml:space="preserve">xpatton</t>
  </si>
  <si>
    <t xml:space="preserve">rv_005672</t>
  </si>
  <si>
    <t xml:space="preserve">gailjacobs</t>
  </si>
  <si>
    <t xml:space="preserve">rv_001064</t>
  </si>
  <si>
    <t xml:space="preserve">jenniferrios</t>
  </si>
  <si>
    <t xml:space="preserve">rv_000791</t>
  </si>
  <si>
    <t xml:space="preserve">jacobwilkinson</t>
  </si>
  <si>
    <t xml:space="preserve">rv_000474</t>
  </si>
  <si>
    <t xml:space="preserve">justinatkins</t>
  </si>
  <si>
    <t xml:space="preserve">rv_003173</t>
  </si>
  <si>
    <t xml:space="preserve">vhoward</t>
  </si>
  <si>
    <t xml:space="preserve">rv_003567</t>
  </si>
  <si>
    <t xml:space="preserve">rgallegos</t>
  </si>
  <si>
    <t xml:space="preserve">rv_000721</t>
  </si>
  <si>
    <t xml:space="preserve">rreynolds</t>
  </si>
  <si>
    <t xml:space="preserve">rv_004540</t>
  </si>
  <si>
    <t xml:space="preserve">bakertimothy</t>
  </si>
  <si>
    <t xml:space="preserve">rv_004604</t>
  </si>
  <si>
    <t xml:space="preserve">aaron78</t>
  </si>
  <si>
    <t xml:space="preserve">rv_003407</t>
  </si>
  <si>
    <t xml:space="preserve">mariahphillips</t>
  </si>
  <si>
    <t xml:space="preserve">rv_001266</t>
  </si>
  <si>
    <t xml:space="preserve">stevendixon</t>
  </si>
  <si>
    <t xml:space="preserve">rv_001471</t>
  </si>
  <si>
    <t xml:space="preserve">osmith</t>
  </si>
  <si>
    <t xml:space="preserve">Double charged for the same transaction, no refund yet. Decent app but could use more features.</t>
  </si>
  <si>
    <t xml:space="preserve">rv_002964</t>
  </si>
  <si>
    <t xml:space="preserve">valerie47</t>
  </si>
  <si>
    <t xml:space="preserve">rv_003159</t>
  </si>
  <si>
    <t xml:space="preserve">tara90</t>
  </si>
  <si>
    <t xml:space="preserve">rv_000761</t>
  </si>
  <si>
    <t xml:space="preserve">grodriguez</t>
  </si>
  <si>
    <t xml:space="preserve">rv_004057</t>
  </si>
  <si>
    <t xml:space="preserve">megan37</t>
  </si>
  <si>
    <t xml:space="preserve">rv_001939</t>
  </si>
  <si>
    <t xml:space="preserve">jaredwells</t>
  </si>
  <si>
    <t xml:space="preserve">rv_003631</t>
  </si>
  <si>
    <t xml:space="preserve">swilliams</t>
  </si>
  <si>
    <t xml:space="preserve">rv_004122</t>
  </si>
  <si>
    <t xml:space="preserve">riverachristopher</t>
  </si>
  <si>
    <t xml:space="preserve">CUSTOMER SUPPORT FIXED MY ISSUE QUICKLY, THANKS!</t>
  </si>
  <si>
    <t xml:space="preserve">rv_001388</t>
  </si>
  <si>
    <t xml:space="preserve">rosshannah</t>
  </si>
  <si>
    <t xml:space="preserve">rv_005243</t>
  </si>
  <si>
    <t xml:space="preserve">stewartgeorge</t>
  </si>
  <si>
    <t xml:space="preserve">rv_002829</t>
  </si>
  <si>
    <t xml:space="preserve">willisrhonda</t>
  </si>
  <si>
    <t xml:space="preserve">2025-02</t>
  </si>
  <si>
    <t xml:space="preserve">rv_003102</t>
  </si>
  <si>
    <t xml:space="preserve">rcummings</t>
  </si>
  <si>
    <t xml:space="preserve">Works fine most of the time. Really convenient for paying bills every month.</t>
  </si>
  <si>
    <t xml:space="preserve">rv_004392</t>
  </si>
  <si>
    <t xml:space="preserve">nmendoza</t>
  </si>
  <si>
    <t xml:space="preserve">Love the new update, much faster than before. Best banking app I've used, very reliable.</t>
  </si>
  <si>
    <t xml:space="preserve">rv_001432</t>
  </si>
  <si>
    <t xml:space="preserve">elopez</t>
  </si>
  <si>
    <t xml:space="preserve">rv_005016</t>
  </si>
  <si>
    <t xml:space="preserve">ggarrett</t>
  </si>
  <si>
    <t xml:space="preserve">rv_000937</t>
  </si>
  <si>
    <t xml:space="preserve">austinharvey</t>
  </si>
  <si>
    <t xml:space="preserve">rv_003691</t>
  </si>
  <si>
    <t xml:space="preserve">nguyenjohn</t>
  </si>
  <si>
    <t xml:space="preserve">Keeps crashing on the home screen after the last update.</t>
  </si>
  <si>
    <t xml:space="preserve">rv_004503</t>
  </si>
  <si>
    <t xml:space="preserve">cmartinez</t>
  </si>
  <si>
    <t xml:space="preserve">rv_004224</t>
  </si>
  <si>
    <t xml:space="preserve">barbara53</t>
  </si>
  <si>
    <t xml:space="preserve">rv_005260</t>
  </si>
  <si>
    <t xml:space="preserve">danieljenkins</t>
  </si>
  <si>
    <t xml:space="preserve">rv_002161</t>
  </si>
  <si>
    <t xml:space="preserve">vrhodes</t>
  </si>
  <si>
    <t xml:space="preserve">rv_004892</t>
  </si>
  <si>
    <t xml:space="preserve">christineriggs</t>
  </si>
  <si>
    <t xml:space="preserve">rv_000110</t>
  </si>
  <si>
    <t xml:space="preserve">emurphy</t>
  </si>
  <si>
    <t xml:space="preserve">Great app, super easy to send money to friends! Smooth experience, no complaints at all.</t>
  </si>
  <si>
    <t xml:space="preserve">rv_004484</t>
  </si>
  <si>
    <t xml:space="preserve">pjacobson</t>
  </si>
  <si>
    <t xml:space="preserve">rv_002043</t>
  </si>
  <si>
    <t xml:space="preserve">sadams</t>
  </si>
  <si>
    <t xml:space="preserve">rv_004519</t>
  </si>
  <si>
    <t xml:space="preserve">lori87</t>
  </si>
  <si>
    <t xml:space="preserve">rv_002207</t>
  </si>
  <si>
    <t xml:space="preserve">debragraham</t>
  </si>
  <si>
    <t xml:space="preserve">App lags badly on older phones now. Average experience, nothing special.</t>
  </si>
  <si>
    <t xml:space="preserve">rv_005063</t>
  </si>
  <si>
    <t xml:space="preserve">lisaalvarez</t>
  </si>
  <si>
    <t xml:space="preserve">rv_001502</t>
  </si>
  <si>
    <t xml:space="preserve">csmith</t>
  </si>
  <si>
    <t xml:space="preserve">rv_003067</t>
  </si>
  <si>
    <t xml:space="preserve">holmeskathleen</t>
  </si>
  <si>
    <t xml:space="preserve">rv_003647</t>
  </si>
  <si>
    <t xml:space="preserve">roberto02</t>
  </si>
  <si>
    <t xml:space="preserve">Great app, super easy to send money to friends! Clean design and works exactly as expected.</t>
  </si>
  <si>
    <t xml:space="preserve">rv_000171</t>
  </si>
  <si>
    <t xml:space="preserve">gary91</t>
  </si>
  <si>
    <t xml:space="preserve">rv_005173</t>
  </si>
  <si>
    <t xml:space="preserve">njames</t>
  </si>
  <si>
    <t xml:space="preserve">rv_005878</t>
  </si>
  <si>
    <t xml:space="preserve">randy31</t>
  </si>
  <si>
    <t xml:space="preserve">rv_002715</t>
  </si>
  <si>
    <t xml:space="preserve">lbrown</t>
  </si>
  <si>
    <t xml:space="preserve">Transfers keep failing with a generic error message.</t>
  </si>
  <si>
    <t xml:space="preserve">rv_003479</t>
  </si>
  <si>
    <t xml:space="preserve">vcollins</t>
  </si>
  <si>
    <t xml:space="preserve">rv_002278</t>
  </si>
  <si>
    <t xml:space="preserve">vevans</t>
  </si>
  <si>
    <t xml:space="preserve">rv_001808</t>
  </si>
  <si>
    <t xml:space="preserve">morganmatthew</t>
  </si>
  <si>
    <t xml:space="preserve">rv_003724</t>
  </si>
  <si>
    <t xml:space="preserve">catherinevillarreal</t>
  </si>
  <si>
    <t xml:space="preserve">Works fine most of the time. Good enough for basic transactions.</t>
  </si>
  <si>
    <t xml:space="preserve">rv_003554</t>
  </si>
  <si>
    <t xml:space="preserve">knightsteven</t>
  </si>
  <si>
    <t xml:space="preserve">rv_001714</t>
  </si>
  <si>
    <t xml:space="preserve">thomaslopez</t>
  </si>
  <si>
    <t xml:space="preserve">rv_002019</t>
  </si>
  <si>
    <t xml:space="preserve">msparks</t>
  </si>
  <si>
    <t xml:space="preserve">rv_004592</t>
  </si>
  <si>
    <t xml:space="preserve">diazpeter</t>
  </si>
  <si>
    <t xml:space="preserve">rv_005873</t>
  </si>
  <si>
    <t xml:space="preserve">markrogers</t>
  </si>
  <si>
    <t xml:space="preserve">Double charged for the same transaction, no refund yet.</t>
  </si>
  <si>
    <t xml:space="preserve">rv_002648</t>
  </si>
  <si>
    <t xml:space="preserve">shatfield</t>
  </si>
  <si>
    <t xml:space="preserve">rv_003275</t>
  </si>
  <si>
    <t xml:space="preserve">reginald08</t>
  </si>
  <si>
    <t xml:space="preserve">Face ID login stopped working after the update. Average experience, nothing special.</t>
  </si>
  <si>
    <t xml:space="preserve">rv_000986</t>
  </si>
  <si>
    <t xml:space="preserve">bbush</t>
  </si>
  <si>
    <t xml:space="preserve">rv_004102</t>
  </si>
  <si>
    <t xml:space="preserve">cmurray</t>
  </si>
  <si>
    <t xml:space="preserve">rv_001708</t>
  </si>
  <si>
    <t xml:space="preserve">woodana</t>
  </si>
  <si>
    <t xml:space="preserve">Payment failed but the money was still deducted from my account.</t>
  </si>
  <si>
    <t xml:space="preserve">rv_000291</t>
  </si>
  <si>
    <t xml:space="preserve">patrickhoward</t>
  </si>
  <si>
    <t xml:space="preserve">rv_005786</t>
  </si>
  <si>
    <t xml:space="preserve">washingtonleslie</t>
  </si>
  <si>
    <t xml:space="preserve">Great app, super easy to send money to friends! Best banking app I've used, very reliable.</t>
  </si>
  <si>
    <t xml:space="preserve">rv_002419</t>
  </si>
  <si>
    <t xml:space="preserve">danielleharris</t>
  </si>
  <si>
    <t xml:space="preserve">BUTTONS ARE TOO SMALL AND HARD TO TAP ON THE NEW LAYOUT. IT'S OKAY, DOES WHAT IT NEEDS TO DO.</t>
  </si>
  <si>
    <t xml:space="preserve">rv_000956</t>
  </si>
  <si>
    <t xml:space="preserve">carolynsmith</t>
  </si>
  <si>
    <t xml:space="preserve">rv_002422</t>
  </si>
  <si>
    <t xml:space="preserve">christina65</t>
  </si>
  <si>
    <t xml:space="preserve">rv_001577</t>
  </si>
  <si>
    <t xml:space="preserve">xjoseph</t>
  </si>
  <si>
    <t xml:space="preserve">rv_004463</t>
  </si>
  <si>
    <t xml:space="preserve">jefferygomez</t>
  </si>
  <si>
    <t xml:space="preserve">rv_000724</t>
  </si>
  <si>
    <t xml:space="preserve">eric26</t>
  </si>
  <si>
    <t xml:space="preserve">rv_000519</t>
  </si>
  <si>
    <t xml:space="preserve">kingcynthia</t>
  </si>
  <si>
    <t xml:space="preserve">rv_002428</t>
  </si>
  <si>
    <t xml:space="preserve">alopez</t>
  </si>
  <si>
    <t xml:space="preserve">rv_005592</t>
  </si>
  <si>
    <t xml:space="preserve">jonathan62</t>
  </si>
  <si>
    <t xml:space="preserve">rv_001649</t>
  </si>
  <si>
    <t xml:space="preserve">morgannicholas</t>
  </si>
  <si>
    <t xml:space="preserve">rv_005043</t>
  </si>
  <si>
    <t xml:space="preserve">cohensabrina</t>
  </si>
  <si>
    <t xml:space="preserve">rv_005307</t>
  </si>
  <si>
    <t xml:space="preserve">williskatherine</t>
  </si>
  <si>
    <t xml:space="preserve">rv_002395</t>
  </si>
  <si>
    <t xml:space="preserve">friley</t>
  </si>
  <si>
    <t xml:space="preserve">rv_001213</t>
  </si>
  <si>
    <t xml:space="preserve">susanfleming</t>
  </si>
  <si>
    <t xml:space="preserve">rv_004762</t>
  </si>
  <si>
    <t xml:space="preserve">wrodriguez</t>
  </si>
  <si>
    <t xml:space="preserve">rv_000001</t>
  </si>
  <si>
    <t xml:space="preserve">donaldgarcia</t>
  </si>
  <si>
    <t xml:space="preserve">rv_004242</t>
  </si>
  <si>
    <t xml:space="preserve">anthony61</t>
  </si>
  <si>
    <t xml:space="preserve">rv_000626</t>
  </si>
  <si>
    <t xml:space="preserve">jenniferburns</t>
  </si>
  <si>
    <t xml:space="preserve">rv_002977</t>
  </si>
  <si>
    <t xml:space="preserve">lrodriguez</t>
  </si>
  <si>
    <t xml:space="preserve">rv_002302</t>
  </si>
  <si>
    <t xml:space="preserve">jason70</t>
  </si>
  <si>
    <t xml:space="preserve">rv_001961</t>
  </si>
  <si>
    <t xml:space="preserve">joseph51</t>
  </si>
  <si>
    <t xml:space="preserve">rv_002783</t>
  </si>
  <si>
    <t xml:space="preserve">fvasquez</t>
  </si>
  <si>
    <t xml:space="preserve">Decent app but could use more features. Clean design and works exactly as expected.</t>
  </si>
  <si>
    <t xml:space="preserve">rv_002414</t>
  </si>
  <si>
    <t xml:space="preserve">larry82</t>
  </si>
  <si>
    <t xml:space="preserve">Fast transfers and great customer service. Smooth experience, no complaints at all.</t>
  </si>
  <si>
    <t xml:space="preserve">rv_000149</t>
  </si>
  <si>
    <t xml:space="preserve">abrown</t>
  </si>
  <si>
    <t xml:space="preserve">Great app, super easy to send money to friends! Customer support fixed my issue quickly, thanks!</t>
  </si>
  <si>
    <t xml:space="preserve">rv_004016</t>
  </si>
  <si>
    <t xml:space="preserve">collin29</t>
  </si>
  <si>
    <t xml:space="preserve">rv_002915</t>
  </si>
  <si>
    <t xml:space="preserve">burgessdavid</t>
  </si>
  <si>
    <t xml:space="preserve">rv_003501</t>
  </si>
  <si>
    <t xml:space="preserve">collinsjacob</t>
  </si>
  <si>
    <t xml:space="preserve">rv_003253</t>
  </si>
  <si>
    <t xml:space="preserve">acampos</t>
  </si>
  <si>
    <t xml:space="preserve">Fast transfers and great customer service. Great app, super easy to send money to friends!</t>
  </si>
  <si>
    <t xml:space="preserve">rv_003250</t>
  </si>
  <si>
    <t xml:space="preserve">colinrodriguez</t>
  </si>
  <si>
    <t xml:space="preserve">rv_004067</t>
  </si>
  <si>
    <t xml:space="preserve">hgonzalez</t>
  </si>
  <si>
    <t xml:space="preserve">Payment got stuck processing for over an hour. Good enough for basic transactions.</t>
  </si>
  <si>
    <t xml:space="preserve">rv_001792</t>
  </si>
  <si>
    <t xml:space="preserve">ortegajoseph</t>
  </si>
  <si>
    <t xml:space="preserve">Really convenient for paying bills every month. Love the new update, much faster than before.</t>
  </si>
  <si>
    <t xml:space="preserve">rv_005030</t>
  </si>
  <si>
    <t xml:space="preserve">erin06</t>
  </si>
  <si>
    <t xml:space="preserve">rv_002601</t>
  </si>
  <si>
    <t xml:space="preserve">curtissara</t>
  </si>
  <si>
    <t xml:space="preserve">rv_002674</t>
  </si>
  <si>
    <t xml:space="preserve">vincentbryant</t>
  </si>
  <si>
    <t xml:space="preserve">rv_002301</t>
  </si>
  <si>
    <t xml:space="preserve">twilliams</t>
  </si>
  <si>
    <t xml:space="preserve">rv_000942</t>
  </si>
  <si>
    <t xml:space="preserve">mayokimberly</t>
  </si>
  <si>
    <t xml:space="preserve">rv_001277</t>
  </si>
  <si>
    <t xml:space="preserve">padillaadrienne</t>
  </si>
  <si>
    <t xml:space="preserve">Good enough for basic transactions. Clean design and works exactly as expected.</t>
  </si>
  <si>
    <t xml:space="preserve">rv_000512</t>
  </si>
  <si>
    <t xml:space="preserve">martinezlogan</t>
  </si>
  <si>
    <t xml:space="preserve">Tried to pay a bill three times, all failed, very risky app.</t>
  </si>
  <si>
    <t xml:space="preserve">rv_003596</t>
  </si>
  <si>
    <t xml:space="preserve">lopezmichaela</t>
  </si>
  <si>
    <t xml:space="preserve">rv_000017</t>
  </si>
  <si>
    <t xml:space="preserve">mitchellclark</t>
  </si>
  <si>
    <t xml:space="preserve">Fast transfers and great customer service. Best banking app I've used, very reliable.</t>
  </si>
  <si>
    <t xml:space="preserve">rv_005896</t>
  </si>
  <si>
    <t xml:space="preserve">stacey22</t>
  </si>
  <si>
    <t xml:space="preserve">WORKS FINE MOST OF THE TIME.</t>
  </si>
  <si>
    <t xml:space="preserve">rv_004801</t>
  </si>
  <si>
    <t xml:space="preserve">cmcdonald</t>
  </si>
  <si>
    <t xml:space="preserve">Smooth experience, no complaints at all. Great app, super easy to send money to friends!</t>
  </si>
  <si>
    <t xml:space="preserve">rv_002523</t>
  </si>
  <si>
    <t xml:space="preserve">williammurray</t>
  </si>
  <si>
    <t xml:space="preserve">rv_005815</t>
  </si>
  <si>
    <t xml:space="preserve">stevensmatthew</t>
  </si>
  <si>
    <t xml:space="preserve">rv_002379</t>
  </si>
  <si>
    <t xml:space="preserve">nashmarcus</t>
  </si>
  <si>
    <t xml:space="preserve">rv_000297</t>
  </si>
  <si>
    <t xml:space="preserve">erica21</t>
  </si>
  <si>
    <t xml:space="preserve">rv_003646</t>
  </si>
  <si>
    <t xml:space="preserve">morgandana</t>
  </si>
  <si>
    <t xml:space="preserve">rv_003397</t>
  </si>
  <si>
    <t xml:space="preserve">russellramirez</t>
  </si>
  <si>
    <t xml:space="preserve">FACE ID LOGIN STOPPED WORKING AFTER THE UPDATE. GOOD ENOUGH FOR BASIC TRANSACTIONS.</t>
  </si>
  <si>
    <t xml:space="preserve">rv_002022</t>
  </si>
  <si>
    <t xml:space="preserve">cisnerosanthony</t>
  </si>
  <si>
    <t xml:space="preserve">Good enough for basic transactions. Best banking app I've used, very reliable.</t>
  </si>
  <si>
    <t xml:space="preserve">rv_002632</t>
  </si>
  <si>
    <t xml:space="preserve">bennettabigail</t>
  </si>
  <si>
    <t xml:space="preserve">rv_002962</t>
  </si>
  <si>
    <t xml:space="preserve">barbara51</t>
  </si>
  <si>
    <t xml:space="preserve">rv_002072</t>
  </si>
  <si>
    <t xml:space="preserve">clucas</t>
  </si>
  <si>
    <t xml:space="preserve">rv_000150</t>
  </si>
  <si>
    <t xml:space="preserve">lstein</t>
  </si>
  <si>
    <t xml:space="preserve">rv_003009</t>
  </si>
  <si>
    <t xml:space="preserve">carolynrobinson</t>
  </si>
  <si>
    <t xml:space="preserve">rv_000501</t>
  </si>
  <si>
    <t xml:space="preserve">taylorcharles</t>
  </si>
  <si>
    <t xml:space="preserve">It's okay, does what it needs to do. Average experience, nothing special.</t>
  </si>
  <si>
    <t xml:space="preserve">rv_002283</t>
  </si>
  <si>
    <t xml:space="preserve">mackenzieward</t>
  </si>
  <si>
    <t xml:space="preserve">rv_000831</t>
  </si>
  <si>
    <t xml:space="preserve">bbryant</t>
  </si>
  <si>
    <t xml:space="preserve">rv_002035</t>
  </si>
  <si>
    <t xml:space="preserve">andersonmichael</t>
  </si>
  <si>
    <t xml:space="preserve">rv_002113</t>
  </si>
  <si>
    <t xml:space="preserve">melaniejennings</t>
  </si>
  <si>
    <t xml:space="preserve">Works fine most of the time. Decent app but could use more features.</t>
  </si>
  <si>
    <t xml:space="preserve">rv_003518</t>
  </si>
  <si>
    <t xml:space="preserve">taylorlindsay</t>
  </si>
  <si>
    <t xml:space="preserve">Customer support fixed my issue quickly, thanks! Smooth experience, no complaints at all.</t>
  </si>
  <si>
    <t xml:space="preserve">rv_003098</t>
  </si>
  <si>
    <t xml:space="preserve">buckjustin</t>
  </si>
  <si>
    <t xml:space="preserve">rv_002602</t>
  </si>
  <si>
    <t xml:space="preserve">johnjohnson</t>
  </si>
  <si>
    <t xml:space="preserve">rv_005246</t>
  </si>
  <si>
    <t xml:space="preserve">hlogan</t>
  </si>
  <si>
    <t xml:space="preserve">rv_003511</t>
  </si>
  <si>
    <t xml:space="preserve">martinezalexa</t>
  </si>
  <si>
    <t xml:space="preserve">rv_000837</t>
  </si>
  <si>
    <t xml:space="preserve">smiththomas</t>
  </si>
  <si>
    <t xml:space="preserve">rv_004805</t>
  </si>
  <si>
    <t xml:space="preserve">richardhart</t>
  </si>
  <si>
    <t xml:space="preserve">rv_005059</t>
  </si>
  <si>
    <t xml:space="preserve">robersonjason</t>
  </si>
  <si>
    <t xml:space="preserve">rv_004649</t>
  </si>
  <si>
    <t xml:space="preserve">cherryjulie</t>
  </si>
  <si>
    <t xml:space="preserve">GREAT APP, SUPER EASY TO SEND MONEY TO FRIENDS! BEST BANKING APP I'VE USED, VERY RELIABLE.</t>
  </si>
  <si>
    <t xml:space="preserve">rv_005411</t>
  </si>
  <si>
    <t xml:space="preserve">vanessa44</t>
  </si>
  <si>
    <t xml:space="preserve">rv_000781</t>
  </si>
  <si>
    <t xml:space="preserve">bakermichelle</t>
  </si>
  <si>
    <t xml:space="preserve">rv_003191</t>
  </si>
  <si>
    <t xml:space="preserve">stephaniereeves</t>
  </si>
  <si>
    <t xml:space="preserve">rv_001193</t>
  </si>
  <si>
    <t xml:space="preserve">tammy00</t>
  </si>
  <si>
    <t xml:space="preserve">rv_002822</t>
  </si>
  <si>
    <t xml:space="preserve">tcox</t>
  </si>
  <si>
    <t xml:space="preserve">rv_003739</t>
  </si>
  <si>
    <t xml:space="preserve">rosscorey</t>
  </si>
  <si>
    <t xml:space="preserve">rv_005206</t>
  </si>
  <si>
    <t xml:space="preserve">johnskinner</t>
  </si>
  <si>
    <t xml:space="preserve">rv_002355</t>
  </si>
  <si>
    <t xml:space="preserve">allen20</t>
  </si>
  <si>
    <t xml:space="preserve">rv_001010</t>
  </si>
  <si>
    <t xml:space="preserve">davidtodd</t>
  </si>
  <si>
    <t xml:space="preserve">rv_003255</t>
  </si>
  <si>
    <t xml:space="preserve">bradfordcharles</t>
  </si>
  <si>
    <t xml:space="preserve">GOOD ENOUGH FOR BASIC TRANSACTIONS.</t>
  </si>
  <si>
    <t xml:space="preserve">rv_003674</t>
  </si>
  <si>
    <t xml:space="preserve">imorse</t>
  </si>
  <si>
    <t xml:space="preserve">rv_004788</t>
  </si>
  <si>
    <t xml:space="preserve">royjennifer</t>
  </si>
  <si>
    <t xml:space="preserve">rv_001052</t>
  </si>
  <si>
    <t xml:space="preserve">charlene44</t>
  </si>
  <si>
    <t xml:space="preserve">rv_001543</t>
  </si>
  <si>
    <t xml:space="preserve">scottbrian</t>
  </si>
  <si>
    <t xml:space="preserve">rv_001665</t>
  </si>
  <si>
    <t xml:space="preserve">meyerdonna</t>
  </si>
  <si>
    <t xml:space="preserve">rv_002735</t>
  </si>
  <si>
    <t xml:space="preserve">jbentley</t>
  </si>
  <si>
    <t xml:space="preserve">rv_002215</t>
  </si>
  <si>
    <t xml:space="preserve">mccoyjennifer</t>
  </si>
  <si>
    <t xml:space="preserve">rv_001593</t>
  </si>
  <si>
    <t xml:space="preserve">robertoaustin</t>
  </si>
  <si>
    <t xml:space="preserve">rv_000181</t>
  </si>
  <si>
    <t xml:space="preserve">oyu</t>
  </si>
  <si>
    <t xml:space="preserve">rv_002588</t>
  </si>
  <si>
    <t xml:space="preserve">wdickerson</t>
  </si>
  <si>
    <t xml:space="preserve">rv_003347</t>
  </si>
  <si>
    <t xml:space="preserve">theresa05</t>
  </si>
  <si>
    <t xml:space="preserve">rv_003529</t>
  </si>
  <si>
    <t xml:space="preserve">jessica39</t>
  </si>
  <si>
    <t xml:space="preserve">rv_005563</t>
  </si>
  <si>
    <t xml:space="preserve">antonio40</t>
  </si>
  <si>
    <t xml:space="preserve">SMOOTH EXPERIENCE, NO COMPLAINTS AT ALL. FAST TRANSFERS AND GREAT CUSTOMER SERVICE.</t>
  </si>
  <si>
    <t xml:space="preserve">rv_002925</t>
  </si>
  <si>
    <t xml:space="preserve">munozglenn</t>
  </si>
  <si>
    <t xml:space="preserve">Love the new update, much faster than before. Smooth experience, no complaints at all.</t>
  </si>
  <si>
    <t xml:space="preserve">rv_003183</t>
  </si>
  <si>
    <t xml:space="preserve">stevenhernandez</t>
  </si>
  <si>
    <t xml:space="preserve">Payment got stuck processing for over an hour.</t>
  </si>
  <si>
    <t xml:space="preserve">rv_001807</t>
  </si>
  <si>
    <t xml:space="preserve">victor70</t>
  </si>
  <si>
    <t xml:space="preserve">rv_000095</t>
  </si>
  <si>
    <t xml:space="preserve">hhoffman</t>
  </si>
  <si>
    <t xml:space="preserve">New UI looks nice but navigation got way worse. Average experience, nothing special.</t>
  </si>
  <si>
    <t xml:space="preserve">rv_002736</t>
  </si>
  <si>
    <t xml:space="preserve">chadoconnor</t>
  </si>
  <si>
    <t xml:space="preserve">rv_002824</t>
  </si>
  <si>
    <t xml:space="preserve">markfigueroa</t>
  </si>
  <si>
    <t xml:space="preserve">rv_001615</t>
  </si>
  <si>
    <t xml:space="preserve">brandonhernandez</t>
  </si>
  <si>
    <t xml:space="preserve">FAST TRANSFERS AND GREAT CUSTOMER SERVICE.</t>
  </si>
  <si>
    <t xml:space="preserve">rv_005769</t>
  </si>
  <si>
    <t xml:space="preserve">owade</t>
  </si>
  <si>
    <t xml:space="preserve">rv_002947</t>
  </si>
  <si>
    <t xml:space="preserve">shawkimberly</t>
  </si>
  <si>
    <t xml:space="preserve">rv_005489</t>
  </si>
  <si>
    <t xml:space="preserve">jennifer54</t>
  </si>
  <si>
    <t xml:space="preserve">Extremely laggy after the recent update. Works fine most of the time.</t>
  </si>
  <si>
    <t xml:space="preserve">rv_001413</t>
  </si>
  <si>
    <t xml:space="preserve">johnsonmichael</t>
  </si>
  <si>
    <t xml:space="preserve">rv_003780</t>
  </si>
  <si>
    <t xml:space="preserve">gillrichard</t>
  </si>
  <si>
    <t xml:space="preserve">rv_003923</t>
  </si>
  <si>
    <t xml:space="preserve">rv_001417</t>
  </si>
  <si>
    <t xml:space="preserve">omills</t>
  </si>
  <si>
    <t xml:space="preserve">rv_002884</t>
  </si>
  <si>
    <t xml:space="preserve">othomas</t>
  </si>
  <si>
    <t xml:space="preserve">rv_004455</t>
  </si>
  <si>
    <t xml:space="preserve">ortizsean</t>
  </si>
  <si>
    <t xml:space="preserve">rv_002902</t>
  </si>
  <si>
    <t xml:space="preserve">scoleman</t>
  </si>
  <si>
    <t xml:space="preserve">rv_005322</t>
  </si>
  <si>
    <t xml:space="preserve">bartondavid</t>
  </si>
  <si>
    <t xml:space="preserve">rv_000491</t>
  </si>
  <si>
    <t xml:space="preserve">kimberlydiaz</t>
  </si>
  <si>
    <t xml:space="preserve">rv_005662</t>
  </si>
  <si>
    <t xml:space="preserve">ashleysolis</t>
  </si>
  <si>
    <t xml:space="preserve">rv_000403</t>
  </si>
  <si>
    <t xml:space="preserve">xjohnson</t>
  </si>
  <si>
    <t xml:space="preserve">rv_004175</t>
  </si>
  <si>
    <t xml:space="preserve">thomasgonzalez</t>
  </si>
  <si>
    <t xml:space="preserve">rv_002058</t>
  </si>
  <si>
    <t xml:space="preserve">robertking</t>
  </si>
  <si>
    <t xml:space="preserve">rv_000203</t>
  </si>
  <si>
    <t xml:space="preserve">tina34</t>
  </si>
  <si>
    <t xml:space="preserve">rv_003884</t>
  </si>
  <si>
    <t xml:space="preserve">rwilson</t>
  </si>
  <si>
    <t xml:space="preserve">rv_001346</t>
  </si>
  <si>
    <t xml:space="preserve">greenrichard</t>
  </si>
  <si>
    <t xml:space="preserve">Takes ages to load the transaction history. It's okay, does what it needs to do.</t>
  </si>
  <si>
    <t xml:space="preserve">rv_001929</t>
  </si>
  <si>
    <t xml:space="preserve">ulee</t>
  </si>
  <si>
    <t xml:space="preserve">rv_003224</t>
  </si>
  <si>
    <t xml:space="preserve">hmyers</t>
  </si>
  <si>
    <t xml:space="preserve">rv_003410</t>
  </si>
  <si>
    <t xml:space="preserve">christopher24</t>
  </si>
  <si>
    <t xml:space="preserve">Really convenient for paying bills every month. Fast transfers and great customer service.</t>
  </si>
  <si>
    <t xml:space="preserve">rv_001415</t>
  </si>
  <si>
    <t xml:space="preserve">amy28</t>
  </si>
  <si>
    <t xml:space="preserve">rv_001307</t>
  </si>
  <si>
    <t xml:space="preserve">davisdonna</t>
  </si>
  <si>
    <t xml:space="preserve">rv_003638</t>
  </si>
  <si>
    <t xml:space="preserve">schmidtrandy</t>
  </si>
  <si>
    <t xml:space="preserve">rv_000492</t>
  </si>
  <si>
    <t xml:space="preserve">cherring</t>
  </si>
  <si>
    <t xml:space="preserve">Great app, super easy to send money to friends! Fast transfers and great customer service.</t>
  </si>
  <si>
    <t xml:space="preserve">rv_000878</t>
  </si>
  <si>
    <t xml:space="preserve">enelson</t>
  </si>
  <si>
    <t xml:space="preserve">rv_003234</t>
  </si>
  <si>
    <t xml:space="preserve">campbelldavid</t>
  </si>
  <si>
    <t xml:space="preserve">Decent app but could use more features. Love the new update, much faster than before.</t>
  </si>
  <si>
    <t xml:space="preserve">rv_004795</t>
  </si>
  <si>
    <t xml:space="preserve">karen42</t>
  </si>
  <si>
    <t xml:space="preserve">rv_000620</t>
  </si>
  <si>
    <t xml:space="preserve">kathleenbecker</t>
  </si>
  <si>
    <t xml:space="preserve">rv_001587</t>
  </si>
  <si>
    <t xml:space="preserve">meyershannon</t>
  </si>
  <si>
    <t xml:space="preserve">rv_002199</t>
  </si>
  <si>
    <t xml:space="preserve">smithdarryl</t>
  </si>
  <si>
    <t xml:space="preserve">rv_005892</t>
  </si>
  <si>
    <t xml:space="preserve">skim</t>
  </si>
  <si>
    <t xml:space="preserve">It's okay, does what it needs to do. Decent app but could use more features.</t>
  </si>
  <si>
    <t xml:space="preserve">rv_001746</t>
  </si>
  <si>
    <t xml:space="preserve">alexis19</t>
  </si>
  <si>
    <t xml:space="preserve">rv_003950</t>
  </si>
  <si>
    <t xml:space="preserve">stephen42</t>
  </si>
  <si>
    <t xml:space="preserve">Extremely laggy after the recent update.</t>
  </si>
  <si>
    <t xml:space="preserve">rv_005483</t>
  </si>
  <si>
    <t xml:space="preserve">weaverlaura</t>
  </si>
  <si>
    <t xml:space="preserve">rv_001011</t>
  </si>
  <si>
    <t xml:space="preserve">stacyjackson</t>
  </si>
  <si>
    <t xml:space="preserve">4.2.0</t>
  </si>
  <si>
    <t xml:space="preserve">rv_002338</t>
  </si>
  <si>
    <t xml:space="preserve">sanchezangela</t>
  </si>
  <si>
    <t xml:space="preserve">rv_002067</t>
  </si>
  <si>
    <t xml:space="preserve">waltersmeghan</t>
  </si>
  <si>
    <t xml:space="preserve">rv_004711</t>
  </si>
  <si>
    <t xml:space="preserve">willismichael</t>
  </si>
  <si>
    <t xml:space="preserve">rv_000760</t>
  </si>
  <si>
    <t xml:space="preserve">vrasmussen</t>
  </si>
  <si>
    <t xml:space="preserve">rv_000123</t>
  </si>
  <si>
    <t xml:space="preserve">richard04</t>
  </si>
  <si>
    <t xml:space="preserve">rv_004406</t>
  </si>
  <si>
    <t xml:space="preserve">butleranna</t>
  </si>
  <si>
    <t xml:space="preserve">Really convenient for paying bills every month. Customer support fixed my issue quickly, thanks!</t>
  </si>
  <si>
    <t xml:space="preserve">rv_005369</t>
  </si>
  <si>
    <t xml:space="preserve">davisrenee</t>
  </si>
  <si>
    <t xml:space="preserve">rv_001254</t>
  </si>
  <si>
    <t xml:space="preserve">edwardskristen</t>
  </si>
  <si>
    <t xml:space="preserve">rv_005813</t>
  </si>
  <si>
    <t xml:space="preserve">christopherguzman</t>
  </si>
  <si>
    <t xml:space="preserve">rv_001380</t>
  </si>
  <si>
    <t xml:space="preserve">melissa47</t>
  </si>
  <si>
    <t xml:space="preserve">NEW UI LOOKS NICE BUT NAVIGATION GOT WAY WORSE.</t>
  </si>
  <si>
    <t xml:space="preserve">rv_000561</t>
  </si>
  <si>
    <t xml:space="preserve">xcabrera</t>
  </si>
  <si>
    <t xml:space="preserve">rv_003016</t>
  </si>
  <si>
    <t xml:space="preserve">daniel27</t>
  </si>
  <si>
    <t xml:space="preserve">rv_001911</t>
  </si>
  <si>
    <t xml:space="preserve">rv_003480</t>
  </si>
  <si>
    <t xml:space="preserve">benjaminbarker</t>
  </si>
  <si>
    <t xml:space="preserve">rv_000644</t>
  </si>
  <si>
    <t xml:space="preserve">opatel</t>
  </si>
  <si>
    <t xml:space="preserve">rv_000448</t>
  </si>
  <si>
    <t xml:space="preserve">anthonygalvan</t>
  </si>
  <si>
    <t xml:space="preserve">rv_000886</t>
  </si>
  <si>
    <t xml:space="preserve">haroldhorne</t>
  </si>
  <si>
    <t xml:space="preserve">rv_001984</t>
  </si>
  <si>
    <t xml:space="preserve">williamjones</t>
  </si>
  <si>
    <t xml:space="preserve">Battery drains so fast whenever this app is open. Works fine most of the time.</t>
  </si>
  <si>
    <t xml:space="preserve">rv_000277</t>
  </si>
  <si>
    <t xml:space="preserve">hodgesjane</t>
  </si>
  <si>
    <t xml:space="preserve">rv_002462</t>
  </si>
  <si>
    <t xml:space="preserve">bhayes</t>
  </si>
  <si>
    <t xml:space="preserve">rv_003913</t>
  </si>
  <si>
    <t xml:space="preserve">mmyers</t>
  </si>
  <si>
    <t xml:space="preserve">rv_005575</t>
  </si>
  <si>
    <t xml:space="preserve">nicole92</t>
  </si>
  <si>
    <t xml:space="preserve">rv_001713</t>
  </si>
  <si>
    <t xml:space="preserve">qgardner</t>
  </si>
  <si>
    <t xml:space="preserve">rv_005468</t>
  </si>
  <si>
    <t xml:space="preserve">kennedywanda</t>
  </si>
  <si>
    <t xml:space="preserve">rv_000271</t>
  </si>
  <si>
    <t xml:space="preserve">harrisontanya</t>
  </si>
  <si>
    <t xml:space="preserve">Login screen just spins forever, never lets me in. It's okay, does what it needs to do.</t>
  </si>
  <si>
    <t xml:space="preserve">rv_000029</t>
  </si>
  <si>
    <t xml:space="preserve">ddavis</t>
  </si>
  <si>
    <t xml:space="preserve">Smooth experience, no complaints at all. Fast transfers and great customer service.</t>
  </si>
  <si>
    <t xml:space="preserve">rv_003321</t>
  </si>
  <si>
    <t xml:space="preserve">sharon95</t>
  </si>
  <si>
    <t xml:space="preserve">rv_000746</t>
  </si>
  <si>
    <t xml:space="preserve">markramirez</t>
  </si>
  <si>
    <t xml:space="preserve">rv_004404</t>
  </si>
  <si>
    <t xml:space="preserve">johnboyd</t>
  </si>
  <si>
    <t xml:space="preserve">rv_003900</t>
  </si>
  <si>
    <t xml:space="preserve">nicholasgarcia</t>
  </si>
  <si>
    <t xml:space="preserve">rv_004372</t>
  </si>
  <si>
    <t xml:space="preserve">jeffreyglenn</t>
  </si>
  <si>
    <t xml:space="preserve">rv_002198</t>
  </si>
  <si>
    <t xml:space="preserve">monica16</t>
  </si>
  <si>
    <t xml:space="preserve">rv_003669</t>
  </si>
  <si>
    <t xml:space="preserve">kelly57</t>
  </si>
  <si>
    <t xml:space="preserve">rv_001469</t>
  </si>
  <si>
    <t xml:space="preserve">caseymoore</t>
  </si>
  <si>
    <t xml:space="preserve">rv_005614</t>
  </si>
  <si>
    <t xml:space="preserve">owenmeagan</t>
  </si>
  <si>
    <t xml:space="preserve">rv_005046</t>
  </si>
  <si>
    <t xml:space="preserve">kjackson</t>
  </si>
  <si>
    <t xml:space="preserve">Transfers keep failing with a generic error message. It's okay, does what it needs to do.</t>
  </si>
  <si>
    <t xml:space="preserve">rv_000232</t>
  </si>
  <si>
    <t xml:space="preserve">anthony39</t>
  </si>
  <si>
    <t xml:space="preserve">rv_003613</t>
  </si>
  <si>
    <t xml:space="preserve">morgandestiny</t>
  </si>
  <si>
    <t xml:space="preserve">rv_000663</t>
  </si>
  <si>
    <t xml:space="preserve">meredith27</t>
  </si>
  <si>
    <t xml:space="preserve">rv_003734</t>
  </si>
  <si>
    <t xml:space="preserve">edwardfranklin</t>
  </si>
  <si>
    <t xml:space="preserve">rv_004125</t>
  </si>
  <si>
    <t xml:space="preserve">brandy77</t>
  </si>
  <si>
    <t xml:space="preserve">rv_003392</t>
  </si>
  <si>
    <t xml:space="preserve">samuel89</t>
  </si>
  <si>
    <t xml:space="preserve">rv_000356</t>
  </si>
  <si>
    <t xml:space="preserve">uparrish</t>
  </si>
  <si>
    <t xml:space="preserve">Why did they change the whole layout, it was fine before. Good enough for basic transactions.</t>
  </si>
  <si>
    <t xml:space="preserve">rv_004413</t>
  </si>
  <si>
    <t xml:space="preserve">ihester</t>
  </si>
  <si>
    <t xml:space="preserve">rv_005897</t>
  </si>
  <si>
    <t xml:space="preserve">robert52</t>
  </si>
  <si>
    <t xml:space="preserve">rv_002472</t>
  </si>
  <si>
    <t xml:space="preserve">alan44</t>
  </si>
  <si>
    <t xml:space="preserve">rv_004978</t>
  </si>
  <si>
    <t xml:space="preserve">justin03</t>
  </si>
  <si>
    <t xml:space="preserve">rv_002708</t>
  </si>
  <si>
    <t xml:space="preserve">vhill</t>
  </si>
  <si>
    <t xml:space="preserve">rv_001124</t>
  </si>
  <si>
    <t xml:space="preserve">markkline</t>
  </si>
  <si>
    <t xml:space="preserve">rv_001988</t>
  </si>
  <si>
    <t xml:space="preserve">lrichardson</t>
  </si>
  <si>
    <t xml:space="preserve">rv_005544</t>
  </si>
  <si>
    <t xml:space="preserve">wheeleramber</t>
  </si>
  <si>
    <t xml:space="preserve">rv_003877</t>
  </si>
  <si>
    <t xml:space="preserve">bauertiffany</t>
  </si>
  <si>
    <t xml:space="preserve">rv_004220</t>
  </si>
  <si>
    <t xml:space="preserve">cbrown</t>
  </si>
  <si>
    <t xml:space="preserve">rv_002319</t>
  </si>
  <si>
    <t xml:space="preserve">hilljamie</t>
  </si>
  <si>
    <t xml:space="preserve">rv_004431</t>
  </si>
  <si>
    <t xml:space="preserve">joneslisa</t>
  </si>
  <si>
    <t xml:space="preserve">rv_005000</t>
  </si>
  <si>
    <t xml:space="preserve">henrysoto</t>
  </si>
  <si>
    <t xml:space="preserve">rv_005405</t>
  </si>
  <si>
    <t xml:space="preserve">josephenglish</t>
  </si>
  <si>
    <t xml:space="preserve">rv_001879</t>
  </si>
  <si>
    <t xml:space="preserve">courtney01</t>
  </si>
  <si>
    <t xml:space="preserve">rv_002673</t>
  </si>
  <si>
    <t xml:space="preserve">sstewart</t>
  </si>
  <si>
    <t xml:space="preserve">Works fine most of the time. Fast transfers and great customer service.</t>
  </si>
  <si>
    <t xml:space="preserve">rv_000138</t>
  </si>
  <si>
    <t xml:space="preserve">stephanie79</t>
  </si>
  <si>
    <t xml:space="preserve">Love the new update, much faster than before. Fast transfers and great customer service.</t>
  </si>
  <si>
    <t xml:space="preserve">rv_003145</t>
  </si>
  <si>
    <t xml:space="preserve">lucassusan</t>
  </si>
  <si>
    <t xml:space="preserve">rv_002871</t>
  </si>
  <si>
    <t xml:space="preserve">hgarcia</t>
  </si>
  <si>
    <t xml:space="preserve">rv_001740</t>
  </si>
  <si>
    <t xml:space="preserve">jessica94</t>
  </si>
  <si>
    <t xml:space="preserve">rv_004582</t>
  </si>
  <si>
    <t xml:space="preserve">wpatrick</t>
  </si>
  <si>
    <t xml:space="preserve">rv_001507</t>
  </si>
  <si>
    <t xml:space="preserve">devonrichardson</t>
  </si>
  <si>
    <t xml:space="preserve">rv_005114</t>
  </si>
  <si>
    <t xml:space="preserve">timothy62</t>
  </si>
  <si>
    <t xml:space="preserve">rv_003363</t>
  </si>
  <si>
    <t xml:space="preserve">hryan</t>
  </si>
  <si>
    <t xml:space="preserve">rv_004126</t>
  </si>
  <si>
    <t xml:space="preserve">jane44</t>
  </si>
  <si>
    <t xml:space="preserve">rv_003261</t>
  </si>
  <si>
    <t xml:space="preserve">christopherjohnson</t>
  </si>
  <si>
    <t xml:space="preserve">rv_002650</t>
  </si>
  <si>
    <t xml:space="preserve">jenniferkane</t>
  </si>
  <si>
    <t xml:space="preserve">rv_003672</t>
  </si>
  <si>
    <t xml:space="preserve">bforbes</t>
  </si>
  <si>
    <t xml:space="preserve">rv_000197</t>
  </si>
  <si>
    <t xml:space="preserve">wtran</t>
  </si>
  <si>
    <t xml:space="preserve">Face ID login stopped working after the update. It's okay, does what it needs to do.</t>
  </si>
  <si>
    <t xml:space="preserve">rv_000608</t>
  </si>
  <si>
    <t xml:space="preserve">gwilcox</t>
  </si>
  <si>
    <t xml:space="preserve">rv_004036</t>
  </si>
  <si>
    <t xml:space="preserve">gjohnson</t>
  </si>
  <si>
    <t xml:space="preserve">Smooth experience, no complaints at all. Really convenient for paying bills every month.</t>
  </si>
  <si>
    <t xml:space="preserve">rv_002193</t>
  </si>
  <si>
    <t xml:space="preserve">kristicameron</t>
  </si>
  <si>
    <t xml:space="preserve">rv_000338</t>
  </si>
  <si>
    <t xml:space="preserve">acostaregina</t>
  </si>
  <si>
    <t xml:space="preserve">rv_004326</t>
  </si>
  <si>
    <t xml:space="preserve">pamelacooper</t>
  </si>
  <si>
    <t xml:space="preserve">rv_001123</t>
  </si>
  <si>
    <t xml:space="preserve">smithdevon</t>
  </si>
  <si>
    <t xml:space="preserve">rv_003561</t>
  </si>
  <si>
    <t xml:space="preserve">brian42</t>
  </si>
  <si>
    <t xml:space="preserve">rv_000089</t>
  </si>
  <si>
    <t xml:space="preserve">josephjacobs</t>
  </si>
  <si>
    <t xml:space="preserve">rv_002405</t>
  </si>
  <si>
    <t xml:space="preserve">morgansharon</t>
  </si>
  <si>
    <t xml:space="preserve">Customer support fixed my issue quickly, thanks! Love the new update, much faster than before.</t>
  </si>
  <si>
    <t xml:space="preserve">rv_002350</t>
  </si>
  <si>
    <t xml:space="preserve">rivasjessica</t>
  </si>
  <si>
    <t xml:space="preserve">rv_005275</t>
  </si>
  <si>
    <t xml:space="preserve">poolehector</t>
  </si>
  <si>
    <t xml:space="preserve">Customer support fixed my issue quickly, thanks! Fast transfers and great customer service.</t>
  </si>
  <si>
    <t xml:space="preserve">rv_003676</t>
  </si>
  <si>
    <t xml:space="preserve">fosterjason</t>
  </si>
  <si>
    <t xml:space="preserve">rv_001733</t>
  </si>
  <si>
    <t xml:space="preserve">sanchezcrystal</t>
  </si>
  <si>
    <t xml:space="preserve">Customer support fixed my issue quickly, thanks! Clean design and works exactly as expected.</t>
  </si>
  <si>
    <t xml:space="preserve">rv_003201</t>
  </si>
  <si>
    <t xml:space="preserve">ygardner</t>
  </si>
  <si>
    <t xml:space="preserve">rv_003356</t>
  </si>
  <si>
    <t xml:space="preserve">carteredward</t>
  </si>
  <si>
    <t xml:space="preserve">rv_000695</t>
  </si>
  <si>
    <t xml:space="preserve">morenojoshua</t>
  </si>
  <si>
    <t xml:space="preserve">rv_002449</t>
  </si>
  <si>
    <t xml:space="preserve">ngibbs</t>
  </si>
  <si>
    <t xml:space="preserve">rv_002907</t>
  </si>
  <si>
    <t xml:space="preserve">tmiller</t>
  </si>
  <si>
    <t xml:space="preserve">rv_004162</t>
  </si>
  <si>
    <t xml:space="preserve">lindarodriguez</t>
  </si>
  <si>
    <t xml:space="preserve">rv_001829</t>
  </si>
  <si>
    <t xml:space="preserve">amiller</t>
  </si>
  <si>
    <t xml:space="preserve">AVERAGE EXPERIENCE, NOTHING SPECIAL.</t>
  </si>
  <si>
    <t xml:space="preserve">rv_002699</t>
  </si>
  <si>
    <t xml:space="preserve">obooker</t>
  </si>
  <si>
    <t xml:space="preserve">LOVE THE NEW UPDATE, MUCH FASTER THAN BEFORE.</t>
  </si>
  <si>
    <t xml:space="preserve">rv_001523</t>
  </si>
  <si>
    <t xml:space="preserve">alvarezjulie</t>
  </si>
  <si>
    <t xml:space="preserve">rv_001934</t>
  </si>
  <si>
    <t xml:space="preserve">lewispamela</t>
  </si>
  <si>
    <t xml:space="preserve">rv_003454</t>
  </si>
  <si>
    <t xml:space="preserve">fischeralisha</t>
  </si>
  <si>
    <t xml:space="preserve">rv_005533</t>
  </si>
  <si>
    <t xml:space="preserve">jlee</t>
  </si>
  <si>
    <t xml:space="preserve">Best banking app I've used, very reliable. Fast transfers and great customer service.</t>
  </si>
  <si>
    <t xml:space="preserve">rv_005780</t>
  </si>
  <si>
    <t xml:space="preserve">jason06</t>
  </si>
  <si>
    <t xml:space="preserve">rv_003138</t>
  </si>
  <si>
    <t xml:space="preserve">gomezjason</t>
  </si>
  <si>
    <t xml:space="preserve">REALLY CONVENIENT FOR PAYING BILLS EVERY MONTH.</t>
  </si>
  <si>
    <t xml:space="preserve">rv_000064</t>
  </si>
  <si>
    <t xml:space="preserve">novaksara</t>
  </si>
  <si>
    <t xml:space="preserve">rv_004990</t>
  </si>
  <si>
    <t xml:space="preserve">charlesgregory</t>
  </si>
  <si>
    <t xml:space="preserve">rv_000867</t>
  </si>
  <si>
    <t xml:space="preserve">joshuacollins</t>
  </si>
  <si>
    <t xml:space="preserve">rv_005879</t>
  </si>
  <si>
    <t xml:space="preserve">walkeramber</t>
  </si>
  <si>
    <t xml:space="preserve">rv_003933</t>
  </si>
  <si>
    <t xml:space="preserve">brittanywade</t>
  </si>
  <si>
    <t xml:space="preserve">Decent app but could use more features. Fast transfers and great customer service.</t>
  </si>
  <si>
    <t xml:space="preserve">rv_002756</t>
  </si>
  <si>
    <t xml:space="preserve">lmann</t>
  </si>
  <si>
    <t xml:space="preserve">rv_002804</t>
  </si>
  <si>
    <t xml:space="preserve">christinadaniel</t>
  </si>
  <si>
    <t xml:space="preserve">rv_001989</t>
  </si>
  <si>
    <t xml:space="preserve">scottrosario</t>
  </si>
  <si>
    <t xml:space="preserve">rv_001436</t>
  </si>
  <si>
    <t xml:space="preserve">brandonnichols</t>
  </si>
  <si>
    <t xml:space="preserve">Payment failed but the money was still deducted from my account. Average experience, nothing special.</t>
  </si>
  <si>
    <t xml:space="preserve">rv_000101</t>
  </si>
  <si>
    <t xml:space="preserve">kimberly69</t>
  </si>
  <si>
    <t xml:space="preserve">rv_000273</t>
  </si>
  <si>
    <t xml:space="preserve">melissa86</t>
  </si>
  <si>
    <t xml:space="preserve">Clean design and works exactly as expected. Fast transfers and great customer service.</t>
  </si>
  <si>
    <t xml:space="preserve">rv_000410</t>
  </si>
  <si>
    <t xml:space="preserve">benjaminzimmerman</t>
  </si>
  <si>
    <t xml:space="preserve">rv_005620</t>
  </si>
  <si>
    <t xml:space="preserve">parksariana</t>
  </si>
  <si>
    <t xml:space="preserve">rv_001823</t>
  </si>
  <si>
    <t xml:space="preserve">kathrynwatkins</t>
  </si>
  <si>
    <t xml:space="preserve">CLEAN DESIGN AND WORKS EXACTLY AS EXPECTED.</t>
  </si>
  <si>
    <t xml:space="preserve">rv_001503</t>
  </si>
  <si>
    <t xml:space="preserve">caitlin82</t>
  </si>
  <si>
    <t xml:space="preserve">rv_002015</t>
  </si>
  <si>
    <t xml:space="preserve">jimenezanthony</t>
  </si>
  <si>
    <t xml:space="preserve">rv_002346</t>
  </si>
  <si>
    <t xml:space="preserve">mary65</t>
  </si>
  <si>
    <t xml:space="preserve">rv_000793</t>
  </si>
  <si>
    <t xml:space="preserve">ytaylor</t>
  </si>
  <si>
    <t xml:space="preserve">rv_001276</t>
  </si>
  <si>
    <t xml:space="preserve">williamsdeborah</t>
  </si>
  <si>
    <t xml:space="preserve">rv_005766</t>
  </si>
  <si>
    <t xml:space="preserve">gomezmegan</t>
  </si>
  <si>
    <t xml:space="preserve">2025-03</t>
  </si>
  <si>
    <t xml:space="preserve">rv_003185</t>
  </si>
  <si>
    <t xml:space="preserve">zroberts</t>
  </si>
  <si>
    <t xml:space="preserve">rv_005241</t>
  </si>
  <si>
    <t xml:space="preserve">hooveranna</t>
  </si>
  <si>
    <t xml:space="preserve">rv_004789</t>
  </si>
  <si>
    <t xml:space="preserve">morriskatherine</t>
  </si>
  <si>
    <t xml:space="preserve">rv_002814</t>
  </si>
  <si>
    <t xml:space="preserve">isabel33</t>
  </si>
  <si>
    <t xml:space="preserve">rv_004849</t>
  </si>
  <si>
    <t xml:space="preserve">johndavis</t>
  </si>
  <si>
    <t xml:space="preserve">rv_004966</t>
  </si>
  <si>
    <t xml:space="preserve">irodriguez</t>
  </si>
  <si>
    <t xml:space="preserve">rv_002842</t>
  </si>
  <si>
    <t xml:space="preserve">yhart</t>
  </si>
  <si>
    <t xml:space="preserve">rv_003137</t>
  </si>
  <si>
    <t xml:space="preserve">hbell</t>
  </si>
  <si>
    <t xml:space="preserve">rv_002833</t>
  </si>
  <si>
    <t xml:space="preserve">bradleylee</t>
  </si>
  <si>
    <t xml:space="preserve">rv_003881</t>
  </si>
  <si>
    <t xml:space="preserve">courtneymontoya</t>
  </si>
  <si>
    <t xml:space="preserve">Login screen just spins forever, never lets me in. Works fine most of the time.</t>
  </si>
  <si>
    <t xml:space="preserve">rv_000330</t>
  </si>
  <si>
    <t xml:space="preserve">ramireztracey</t>
  </si>
  <si>
    <t xml:space="preserve">rv_001651</t>
  </si>
  <si>
    <t xml:space="preserve">hancockkaren</t>
  </si>
  <si>
    <t xml:space="preserve">rv_003659</t>
  </si>
  <si>
    <t xml:space="preserve">jeffrey94</t>
  </si>
  <si>
    <t xml:space="preserve">rv_005471</t>
  </si>
  <si>
    <t xml:space="preserve">michaelanthony</t>
  </si>
  <si>
    <t xml:space="preserve">rv_001466</t>
  </si>
  <si>
    <t xml:space="preserve">ihansen</t>
  </si>
  <si>
    <t xml:space="preserve">rv_001059</t>
  </si>
  <si>
    <t xml:space="preserve">rogersjoshua</t>
  </si>
  <si>
    <t xml:space="preserve">rv_004631</t>
  </si>
  <si>
    <t xml:space="preserve">bmartin</t>
  </si>
  <si>
    <t xml:space="preserve">rv_002808</t>
  </si>
  <si>
    <t xml:space="preserve">hayneswayne</t>
  </si>
  <si>
    <t xml:space="preserve">rv_002590</t>
  </si>
  <si>
    <t xml:space="preserve">jonathanford</t>
  </si>
  <si>
    <t xml:space="preserve">rv_003773</t>
  </si>
  <si>
    <t xml:space="preserve">markblack</t>
  </si>
  <si>
    <t xml:space="preserve">rv_001584</t>
  </si>
  <si>
    <t xml:space="preserve">michelle36</t>
  </si>
  <si>
    <t xml:space="preserve">rv_004288</t>
  </si>
  <si>
    <t xml:space="preserve">mjoyce</t>
  </si>
  <si>
    <t xml:space="preserve">rv_000828</t>
  </si>
  <si>
    <t xml:space="preserve">rkramer</t>
  </si>
  <si>
    <t xml:space="preserve">rv_000157</t>
  </si>
  <si>
    <t xml:space="preserve">tinaferguson</t>
  </si>
  <si>
    <t xml:space="preserve">rv_001968</t>
  </si>
  <si>
    <t xml:space="preserve">fuentessandra</t>
  </si>
  <si>
    <t xml:space="preserve">rv_003683</t>
  </si>
  <si>
    <t xml:space="preserve">ssherman</t>
  </si>
  <si>
    <t xml:space="preserve">rv_003002</t>
  </si>
  <si>
    <t xml:space="preserve">alexis72</t>
  </si>
  <si>
    <t xml:space="preserve">rv_002681</t>
  </si>
  <si>
    <t xml:space="preserve">isabellawilliams</t>
  </si>
  <si>
    <t xml:space="preserve">rv_003712</t>
  </si>
  <si>
    <t xml:space="preserve">bowenmichael</t>
  </si>
  <si>
    <t xml:space="preserve">rv_002061</t>
  </si>
  <si>
    <t xml:space="preserve">barbaralewis</t>
  </si>
  <si>
    <t xml:space="preserve">rv_004377</t>
  </si>
  <si>
    <t xml:space="preserve">cynthia16</t>
  </si>
  <si>
    <t xml:space="preserve">Clean design and works exactly as expected. Clean design and works exactly as expected.</t>
  </si>
  <si>
    <t xml:space="preserve">rv_005540</t>
  </si>
  <si>
    <t xml:space="preserve">tmcintosh</t>
  </si>
  <si>
    <t xml:space="preserve">rv_004831</t>
  </si>
  <si>
    <t xml:space="preserve">lopezkristina</t>
  </si>
  <si>
    <t xml:space="preserve">rv_004955</t>
  </si>
  <si>
    <t xml:space="preserve">mpowers</t>
  </si>
  <si>
    <t xml:space="preserve">rv_004577</t>
  </si>
  <si>
    <t xml:space="preserve">christina81</t>
  </si>
  <si>
    <t xml:space="preserve">rv_000007</t>
  </si>
  <si>
    <t xml:space="preserve">jpeterson</t>
  </si>
  <si>
    <t xml:space="preserve">The app force closes whenever I check my balance. Good enough for basic transactions.</t>
  </si>
  <si>
    <t xml:space="preserve">rv_005164</t>
  </si>
  <si>
    <t xml:space="preserve">darrellmoore</t>
  </si>
  <si>
    <t xml:space="preserve">Can't log in anymore, keeps saying invalid credentials even though they're correct. Good enough for basic transactions.</t>
  </si>
  <si>
    <t xml:space="preserve">rv_001255</t>
  </si>
  <si>
    <t xml:space="preserve">xhill</t>
  </si>
  <si>
    <t xml:space="preserve">App is so slow to load, takes forever on every screen. Decent app but could use more features.</t>
  </si>
  <si>
    <t xml:space="preserve">rv_005462</t>
  </si>
  <si>
    <t xml:space="preserve">richardsonanna</t>
  </si>
  <si>
    <t xml:space="preserve">rv_001761</t>
  </si>
  <si>
    <t xml:space="preserve">zsmith</t>
  </si>
  <si>
    <t xml:space="preserve">rv_000510</t>
  </si>
  <si>
    <t xml:space="preserve">raymond78</t>
  </si>
  <si>
    <t xml:space="preserve">Great app, super easy to send money to friends! Really convenient for paying bills every month.</t>
  </si>
  <si>
    <t xml:space="preserve">rv_002489</t>
  </si>
  <si>
    <t xml:space="preserve">ybrown</t>
  </si>
  <si>
    <t xml:space="preserve">rv_000888</t>
  </si>
  <si>
    <t xml:space="preserve">pwalker</t>
  </si>
  <si>
    <t xml:space="preserve">rv_002767</t>
  </si>
  <si>
    <t xml:space="preserve">sullivanchristina</t>
  </si>
  <si>
    <t xml:space="preserve">rv_000023</t>
  </si>
  <si>
    <t xml:space="preserve">richard13</t>
  </si>
  <si>
    <t xml:space="preserve">rv_001023</t>
  </si>
  <si>
    <t xml:space="preserve">natalie46</t>
  </si>
  <si>
    <t xml:space="preserve">rv_002712</t>
  </si>
  <si>
    <t xml:space="preserve">nguyenjennifer</t>
  </si>
  <si>
    <t xml:space="preserve">Works fine most of the time. It's okay, does what it needs to do.</t>
  </si>
  <si>
    <t xml:space="preserve">rv_000412</t>
  </si>
  <si>
    <t xml:space="preserve">michaelhardin</t>
  </si>
  <si>
    <t xml:space="preserve">rv_004065</t>
  </si>
  <si>
    <t xml:space="preserve">juarezralph</t>
  </si>
  <si>
    <t xml:space="preserve">rv_002021</t>
  </si>
  <si>
    <t xml:space="preserve">amy88</t>
  </si>
  <si>
    <t xml:space="preserve">rv_001753</t>
  </si>
  <si>
    <t xml:space="preserve">ptownsend</t>
  </si>
  <si>
    <t xml:space="preserve">rv_005762</t>
  </si>
  <si>
    <t xml:space="preserve">ylawson</t>
  </si>
  <si>
    <t xml:space="preserve">rv_004576</t>
  </si>
  <si>
    <t xml:space="preserve">rv_005389</t>
  </si>
  <si>
    <t xml:space="preserve">denise47</t>
  </si>
  <si>
    <t xml:space="preserve">rv_002387</t>
  </si>
  <si>
    <t xml:space="preserve">starkjames</t>
  </si>
  <si>
    <t xml:space="preserve">rv_000916</t>
  </si>
  <si>
    <t xml:space="preserve">hedwards</t>
  </si>
  <si>
    <t xml:space="preserve">rv_000504</t>
  </si>
  <si>
    <t xml:space="preserve">elizabeth18</t>
  </si>
  <si>
    <t xml:space="preserve">rv_003765</t>
  </si>
  <si>
    <t xml:space="preserve">hodgesemily</t>
  </si>
  <si>
    <t xml:space="preserve">rv_000607</t>
  </si>
  <si>
    <t xml:space="preserve">ashley32</t>
  </si>
  <si>
    <t xml:space="preserve">Really convenient for paying bills every month. Smooth experience, no complaints at all.</t>
  </si>
  <si>
    <t xml:space="preserve">rv_001014</t>
  </si>
  <si>
    <t xml:space="preserve">oharris</t>
  </si>
  <si>
    <t xml:space="preserve">rv_005354</t>
  </si>
  <si>
    <t xml:space="preserve">bmorgan</t>
  </si>
  <si>
    <t xml:space="preserve">rv_001845</t>
  </si>
  <si>
    <t xml:space="preserve">rv_005514</t>
  </si>
  <si>
    <t xml:space="preserve">smithtimothy</t>
  </si>
  <si>
    <t xml:space="preserve">rv_003344</t>
  </si>
  <si>
    <t xml:space="preserve">halldiamond</t>
  </si>
  <si>
    <t xml:space="preserve">rv_001524</t>
  </si>
  <si>
    <t xml:space="preserve">zbaker</t>
  </si>
  <si>
    <t xml:space="preserve">rv_002233</t>
  </si>
  <si>
    <t xml:space="preserve">howardjose</t>
  </si>
  <si>
    <t xml:space="preserve">rv_002018</t>
  </si>
  <si>
    <t xml:space="preserve">guerreroapril</t>
  </si>
  <si>
    <t xml:space="preserve">rv_001695</t>
  </si>
  <si>
    <t xml:space="preserve">gilbertcaldwell</t>
  </si>
  <si>
    <t xml:space="preserve">rv_005480</t>
  </si>
  <si>
    <t xml:space="preserve">stucker</t>
  </si>
  <si>
    <t xml:space="preserve">rv_002997</t>
  </si>
  <si>
    <t xml:space="preserve">ynichols</t>
  </si>
  <si>
    <t xml:space="preserve">rv_003886</t>
  </si>
  <si>
    <t xml:space="preserve">lindsay78</t>
  </si>
  <si>
    <t xml:space="preserve">rv_005552</t>
  </si>
  <si>
    <t xml:space="preserve">dfleming</t>
  </si>
  <si>
    <t xml:space="preserve">rv_001300</t>
  </si>
  <si>
    <t xml:space="preserve">jennifercooper</t>
  </si>
  <si>
    <t xml:space="preserve">rv_000209</t>
  </si>
  <si>
    <t xml:space="preserve">tammyking</t>
  </si>
  <si>
    <t xml:space="preserve">rv_004920</t>
  </si>
  <si>
    <t xml:space="preserve">maygordon</t>
  </si>
  <si>
    <t xml:space="preserve">rv_005664</t>
  </si>
  <si>
    <t xml:space="preserve">masonmichael</t>
  </si>
  <si>
    <t xml:space="preserve">rv_001654</t>
  </si>
  <si>
    <t xml:space="preserve">tgallegos</t>
  </si>
  <si>
    <t xml:space="preserve">rv_002445</t>
  </si>
  <si>
    <t xml:space="preserve">kristine53</t>
  </si>
  <si>
    <t xml:space="preserve">rv_004490</t>
  </si>
  <si>
    <t xml:space="preserve">katiepalmer</t>
  </si>
  <si>
    <t xml:space="preserve">rv_003544</t>
  </si>
  <si>
    <t xml:space="preserve">tonya39</t>
  </si>
  <si>
    <t xml:space="preserve">rv_000552</t>
  </si>
  <si>
    <t xml:space="preserve">laura58</t>
  </si>
  <si>
    <t xml:space="preserve">rv_000477</t>
  </si>
  <si>
    <t xml:space="preserve">ypaul</t>
  </si>
  <si>
    <t xml:space="preserve">rv_001141</t>
  </si>
  <si>
    <t xml:space="preserve">jhernandez</t>
  </si>
  <si>
    <t xml:space="preserve">rv_001293</t>
  </si>
  <si>
    <t xml:space="preserve">jonathanwhite</t>
  </si>
  <si>
    <t xml:space="preserve">rv_004839</t>
  </si>
  <si>
    <t xml:space="preserve">stevendecker</t>
  </si>
  <si>
    <t xml:space="preserve">rv_003855</t>
  </si>
  <si>
    <t xml:space="preserve">anthonyharris</t>
  </si>
  <si>
    <t xml:space="preserve">New UI looks nice but navigation got way worse. Decent app but could use more features.</t>
  </si>
  <si>
    <t xml:space="preserve">rv_002949</t>
  </si>
  <si>
    <t xml:space="preserve">robertsedward</t>
  </si>
  <si>
    <t xml:space="preserve">rv_000066</t>
  </si>
  <si>
    <t xml:space="preserve">michellebarrera</t>
  </si>
  <si>
    <t xml:space="preserve">rv_001287</t>
  </si>
  <si>
    <t xml:space="preserve">ushepherd</t>
  </si>
  <si>
    <t xml:space="preserve">rv_004871</t>
  </si>
  <si>
    <t xml:space="preserve">shellyobrien</t>
  </si>
  <si>
    <t xml:space="preserve">rv_002371</t>
  </si>
  <si>
    <t xml:space="preserve">rrodriguez</t>
  </si>
  <si>
    <t xml:space="preserve">rv_001093</t>
  </si>
  <si>
    <t xml:space="preserve">david68</t>
  </si>
  <si>
    <t xml:space="preserve">Works fine most of the time. Average experience, nothing special.</t>
  </si>
  <si>
    <t xml:space="preserve">rv_002574</t>
  </si>
  <si>
    <t xml:space="preserve">isaiah01</t>
  </si>
  <si>
    <t xml:space="preserve">rv_002367</t>
  </si>
  <si>
    <t xml:space="preserve">james94</t>
  </si>
  <si>
    <t xml:space="preserve">rv_001670</t>
  </si>
  <si>
    <t xml:space="preserve">clarkmichael</t>
  </si>
  <si>
    <t xml:space="preserve">rv_004738</t>
  </si>
  <si>
    <t xml:space="preserve">alexander96</t>
  </si>
  <si>
    <t xml:space="preserve">rv_003450</t>
  </si>
  <si>
    <t xml:space="preserve">oheath</t>
  </si>
  <si>
    <t xml:space="preserve">rv_003927</t>
  </si>
  <si>
    <t xml:space="preserve">john76</t>
  </si>
  <si>
    <t xml:space="preserve">rv_002683</t>
  </si>
  <si>
    <t xml:space="preserve">tracey20</t>
  </si>
  <si>
    <t xml:space="preserve">rv_004420</t>
  </si>
  <si>
    <t xml:space="preserve">msantiago</t>
  </si>
  <si>
    <t xml:space="preserve">rv_005829</t>
  </si>
  <si>
    <t xml:space="preserve">tcrawford</t>
  </si>
  <si>
    <t xml:space="preserve">rv_001854</t>
  </si>
  <si>
    <t xml:space="preserve">xthompson</t>
  </si>
  <si>
    <t xml:space="preserve">rv_005779</t>
  </si>
  <si>
    <t xml:space="preserve">rv_004195</t>
  </si>
  <si>
    <t xml:space="preserve">judy75</t>
  </si>
  <si>
    <t xml:space="preserve">rv_001645</t>
  </si>
  <si>
    <t xml:space="preserve">steven60</t>
  </si>
  <si>
    <t xml:space="preserve">CLEAN DESIGN AND WORKS EXACTLY AS EXPECTED. REALLY CONVENIENT FOR PAYING BILLS EVERY MONTH.</t>
  </si>
  <si>
    <t xml:space="preserve">rv_004472</t>
  </si>
  <si>
    <t xml:space="preserve">michael47</t>
  </si>
  <si>
    <t xml:space="preserve">rv_005882</t>
  </si>
  <si>
    <t xml:space="preserve">arthurwright</t>
  </si>
  <si>
    <t xml:space="preserve">rv_001296</t>
  </si>
  <si>
    <t xml:space="preserve">stacey37</t>
  </si>
  <si>
    <t xml:space="preserve">rv_004777</t>
  </si>
  <si>
    <t xml:space="preserve">romerocatherine</t>
  </si>
  <si>
    <t xml:space="preserve">rv_003118</t>
  </si>
  <si>
    <t xml:space="preserve">boydjohn</t>
  </si>
  <si>
    <t xml:space="preserve">rv_001894</t>
  </si>
  <si>
    <t xml:space="preserve">shannon51</t>
  </si>
  <si>
    <t xml:space="preserve">rv_004270</t>
  </si>
  <si>
    <t xml:space="preserve">williamsbrittany</t>
  </si>
  <si>
    <t xml:space="preserve">rv_003240</t>
  </si>
  <si>
    <t xml:space="preserve">michaelmccarthy</t>
  </si>
  <si>
    <t xml:space="preserve">rv_000239</t>
  </si>
  <si>
    <t xml:space="preserve">ssteele</t>
  </si>
  <si>
    <t xml:space="preserve">rv_002784</t>
  </si>
  <si>
    <t xml:space="preserve">robertgentry</t>
  </si>
  <si>
    <t xml:space="preserve">rv_005326</t>
  </si>
  <si>
    <t xml:space="preserve">collinmiller</t>
  </si>
  <si>
    <t xml:space="preserve">rv_002481</t>
  </si>
  <si>
    <t xml:space="preserve">brooksbarbara</t>
  </si>
  <si>
    <t xml:space="preserve">rv_005292</t>
  </si>
  <si>
    <t xml:space="preserve">mary66</t>
  </si>
  <si>
    <t xml:space="preserve">rv_003247</t>
  </si>
  <si>
    <t xml:space="preserve">david59</t>
  </si>
  <si>
    <t xml:space="preserve">rv_003326</t>
  </si>
  <si>
    <t xml:space="preserve">michele87</t>
  </si>
  <si>
    <t xml:space="preserve">rv_005183</t>
  </si>
  <si>
    <t xml:space="preserve">jennifercarroll</t>
  </si>
  <si>
    <t xml:space="preserve">rv_000688</t>
  </si>
  <si>
    <t xml:space="preserve">warrenmary</t>
  </si>
  <si>
    <t xml:space="preserve">rv_005699</t>
  </si>
  <si>
    <t xml:space="preserve">uhughes</t>
  </si>
  <si>
    <t xml:space="preserve">rv_000948</t>
  </si>
  <si>
    <t xml:space="preserve">wrightjohn</t>
  </si>
  <si>
    <t xml:space="preserve">rv_001230</t>
  </si>
  <si>
    <t xml:space="preserve">avilabrenda</t>
  </si>
  <si>
    <t xml:space="preserve">rv_005887</t>
  </si>
  <si>
    <t xml:space="preserve">iharrington</t>
  </si>
  <si>
    <t xml:space="preserve">rv_004417</t>
  </si>
  <si>
    <t xml:space="preserve">ashleebailey</t>
  </si>
  <si>
    <t xml:space="preserve">rv_002406</t>
  </si>
  <si>
    <t xml:space="preserve">gibsonmark</t>
  </si>
  <si>
    <t xml:space="preserve">rv_002348</t>
  </si>
  <si>
    <t xml:space="preserve">martinamanda</t>
  </si>
  <si>
    <t xml:space="preserve">rv_000335</t>
  </si>
  <si>
    <t xml:space="preserve">judyfox</t>
  </si>
  <si>
    <t xml:space="preserve">rv_001344</t>
  </si>
  <si>
    <t xml:space="preserve">michael43</t>
  </si>
  <si>
    <t xml:space="preserve">rv_000742</t>
  </si>
  <si>
    <t xml:space="preserve">kevinmorrison</t>
  </si>
  <si>
    <t xml:space="preserve">rv_001897</t>
  </si>
  <si>
    <t xml:space="preserve">rodriguezjoshua</t>
  </si>
  <si>
    <t xml:space="preserve">rv_000503</t>
  </si>
  <si>
    <t xml:space="preserve">cochrantammy</t>
  </si>
  <si>
    <t xml:space="preserve">rv_002165</t>
  </si>
  <si>
    <t xml:space="preserve">stevensjasmine</t>
  </si>
  <si>
    <t xml:space="preserve">rv_001371</t>
  </si>
  <si>
    <t xml:space="preserve">shawphillip</t>
  </si>
  <si>
    <t xml:space="preserve">rv_005520</t>
  </si>
  <si>
    <t xml:space="preserve">brookeramirez</t>
  </si>
  <si>
    <t xml:space="preserve">rv_001227</t>
  </si>
  <si>
    <t xml:space="preserve">rickey76</t>
  </si>
  <si>
    <t xml:space="preserve">rv_003243</t>
  </si>
  <si>
    <t xml:space="preserve">stephen24</t>
  </si>
  <si>
    <t xml:space="preserve">rv_003980</t>
  </si>
  <si>
    <t xml:space="preserve">michelle38</t>
  </si>
  <si>
    <t xml:space="preserve">rv_001482</t>
  </si>
  <si>
    <t xml:space="preserve">brandon39</t>
  </si>
  <si>
    <t xml:space="preserve">rv_003571</t>
  </si>
  <si>
    <t xml:space="preserve">jared88</t>
  </si>
  <si>
    <t xml:space="preserve">rv_000588</t>
  </si>
  <si>
    <t xml:space="preserve">derrick99</t>
  </si>
  <si>
    <t xml:space="preserve">rv_005674</t>
  </si>
  <si>
    <t xml:space="preserve">alan96</t>
  </si>
  <si>
    <t xml:space="preserve">rv_004032</t>
  </si>
  <si>
    <t xml:space="preserve">psherman</t>
  </si>
  <si>
    <t xml:space="preserve">rv_001767</t>
  </si>
  <si>
    <t xml:space="preserve">jessicachapman</t>
  </si>
  <si>
    <t xml:space="preserve">CUSTOMER SUPPORT FIXED MY ISSUE QUICKLY, THANKS! GREAT APP, SUPER EASY TO SEND MONEY TO FRIENDS!</t>
  </si>
  <si>
    <t xml:space="preserve">rv_005773</t>
  </si>
  <si>
    <t xml:space="preserve">david33</t>
  </si>
  <si>
    <t xml:space="preserve">rv_001399</t>
  </si>
  <si>
    <t xml:space="preserve">esweeney</t>
  </si>
  <si>
    <t xml:space="preserve">Average experience, nothing special. Average experience, nothing special.</t>
  </si>
  <si>
    <t xml:space="preserve">rv_004155</t>
  </si>
  <si>
    <t xml:space="preserve">sprice</t>
  </si>
  <si>
    <t xml:space="preserve">rv_002095</t>
  </si>
  <si>
    <t xml:space="preserve">rebecca18</t>
  </si>
  <si>
    <t xml:space="preserve">rv_003296</t>
  </si>
  <si>
    <t xml:space="preserve">perezjulie</t>
  </si>
  <si>
    <t xml:space="preserve">rv_001288</t>
  </si>
  <si>
    <t xml:space="preserve">olsontimothy</t>
  </si>
  <si>
    <t xml:space="preserve">rv_000602</t>
  </si>
  <si>
    <t xml:space="preserve">ihays</t>
  </si>
  <si>
    <t xml:space="preserve">rv_003822</t>
  </si>
  <si>
    <t xml:space="preserve">amanda39</t>
  </si>
  <si>
    <t xml:space="preserve">rv_003898</t>
  </si>
  <si>
    <t xml:space="preserve">mcbridemichael</t>
  </si>
  <si>
    <t xml:space="preserve">rv_000991</t>
  </si>
  <si>
    <t xml:space="preserve">williamsashley</t>
  </si>
  <si>
    <t xml:space="preserve">Love the new update, much faster than before. Love the new update, much faster than before.</t>
  </si>
  <si>
    <t xml:space="preserve">rv_003464</t>
  </si>
  <si>
    <t xml:space="preserve">turnerstephen</t>
  </si>
  <si>
    <t xml:space="preserve">rv_001202</t>
  </si>
  <si>
    <t xml:space="preserve">billmcfarland</t>
  </si>
  <si>
    <t xml:space="preserve">rv_003515</t>
  </si>
  <si>
    <t xml:space="preserve">christopherpratt</t>
  </si>
  <si>
    <t xml:space="preserve">rv_005715</t>
  </si>
  <si>
    <t xml:space="preserve">olivia30</t>
  </si>
  <si>
    <t xml:space="preserve">rv_004937</t>
  </si>
  <si>
    <t xml:space="preserve">johnhogan</t>
  </si>
  <si>
    <t xml:space="preserve">rv_000236</t>
  </si>
  <si>
    <t xml:space="preserve">fwalters</t>
  </si>
  <si>
    <t xml:space="preserve">rv_004352</t>
  </si>
  <si>
    <t xml:space="preserve">hendersonbrenda</t>
  </si>
  <si>
    <t xml:space="preserve">rv_003205</t>
  </si>
  <si>
    <t xml:space="preserve">dali</t>
  </si>
  <si>
    <t xml:space="preserve">rv_001079</t>
  </si>
  <si>
    <t xml:space="preserve">robert22</t>
  </si>
  <si>
    <t xml:space="preserve">rv_002659</t>
  </si>
  <si>
    <t xml:space="preserve">elizabeth12</t>
  </si>
  <si>
    <t xml:space="preserve">rv_001666</t>
  </si>
  <si>
    <t xml:space="preserve">andrew43</t>
  </si>
  <si>
    <t xml:space="preserve">rv_005003</t>
  </si>
  <si>
    <t xml:space="preserve">rgiles</t>
  </si>
  <si>
    <t xml:space="preserve">rv_001744</t>
  </si>
  <si>
    <t xml:space="preserve">yorkjoshua</t>
  </si>
  <si>
    <t xml:space="preserve">rv_000776</t>
  </si>
  <si>
    <t xml:space="preserve">vfoster</t>
  </si>
  <si>
    <t xml:space="preserve">rv_004083</t>
  </si>
  <si>
    <t xml:space="preserve">montgomerygeoffrey</t>
  </si>
  <si>
    <t xml:space="preserve">rv_000779</t>
  </si>
  <si>
    <t xml:space="preserve">raylauren</t>
  </si>
  <si>
    <t xml:space="preserve">rv_005448</t>
  </si>
  <si>
    <t xml:space="preserve">gonzalezkendra</t>
  </si>
  <si>
    <t xml:space="preserve">rv_003618</t>
  </si>
  <si>
    <t xml:space="preserve">marshallchristopher</t>
  </si>
  <si>
    <t xml:space="preserve">Keeps crashing on the home screen after the last update. Decent app but could use more features.</t>
  </si>
  <si>
    <t xml:space="preserve">rv_000913</t>
  </si>
  <si>
    <t xml:space="preserve">louis43</t>
  </si>
  <si>
    <t xml:space="preserve">rv_005378</t>
  </si>
  <si>
    <t xml:space="preserve">ujones</t>
  </si>
  <si>
    <t xml:space="preserve">rv_005918</t>
  </si>
  <si>
    <t xml:space="preserve">dorothyanderson</t>
  </si>
  <si>
    <t xml:space="preserve">rv_005911</t>
  </si>
  <si>
    <t xml:space="preserve">davidgilbert</t>
  </si>
  <si>
    <t xml:space="preserve">rv_005644</t>
  </si>
  <si>
    <t xml:space="preserve">jefferyanderson</t>
  </si>
  <si>
    <t xml:space="preserve">rv_005376</t>
  </si>
  <si>
    <t xml:space="preserve">ttaylor</t>
  </si>
  <si>
    <t xml:space="preserve">rv_001349</t>
  </si>
  <si>
    <t xml:space="preserve">heather69</t>
  </si>
  <si>
    <t xml:space="preserve">Decent app but could use more features. Average experience, nothing special.</t>
  </si>
  <si>
    <t xml:space="preserve">rv_002869</t>
  </si>
  <si>
    <t xml:space="preserve">chadjones</t>
  </si>
  <si>
    <t xml:space="preserve">rv_005001</t>
  </si>
  <si>
    <t xml:space="preserve">emily16</t>
  </si>
  <si>
    <t xml:space="preserve">rv_005894</t>
  </si>
  <si>
    <t xml:space="preserve">turnermckenzie</t>
  </si>
  <si>
    <t xml:space="preserve">rv_002762</t>
  </si>
  <si>
    <t xml:space="preserve">jonesjohn</t>
  </si>
  <si>
    <t xml:space="preserve">Really convenient for paying bills every month. Best banking app I've used, very reliable.</t>
  </si>
  <si>
    <t xml:space="preserve">rv_002863</t>
  </si>
  <si>
    <t xml:space="preserve">uhall</t>
  </si>
  <si>
    <t xml:space="preserve">rv_000083</t>
  </si>
  <si>
    <t xml:space="preserve">jonesjason</t>
  </si>
  <si>
    <t xml:space="preserve">rv_002910</t>
  </si>
  <si>
    <t xml:space="preserve">harrismelissa</t>
  </si>
  <si>
    <t xml:space="preserve">rv_001940</t>
  </si>
  <si>
    <t xml:space="preserve">carl96</t>
  </si>
  <si>
    <t xml:space="preserve">rv_000099</t>
  </si>
  <si>
    <t xml:space="preserve">rachel05</t>
  </si>
  <si>
    <t xml:space="preserve">rv_001892</t>
  </si>
  <si>
    <t xml:space="preserve">michael78</t>
  </si>
  <si>
    <t xml:space="preserve">rv_005111</t>
  </si>
  <si>
    <t xml:space="preserve">ortegagregory</t>
  </si>
  <si>
    <t xml:space="preserve">Clean design and works exactly as expected. Love the new update, much faster than before.</t>
  </si>
  <si>
    <t xml:space="preserve">rv_004356</t>
  </si>
  <si>
    <t xml:space="preserve">sanchezmaria</t>
  </si>
  <si>
    <t xml:space="preserve">rv_005746</t>
  </si>
  <si>
    <t xml:space="preserve">michael28</t>
  </si>
  <si>
    <t xml:space="preserve">rv_004358</t>
  </si>
  <si>
    <t xml:space="preserve">cassandraharrison</t>
  </si>
  <si>
    <t xml:space="preserve">Average experience, nothing special. Customer support fixed my issue quickly, thanks!</t>
  </si>
  <si>
    <t xml:space="preserve">rv_003357</t>
  </si>
  <si>
    <t xml:space="preserve">rodriguezjason</t>
  </si>
  <si>
    <t xml:space="preserve">rv_002935</t>
  </si>
  <si>
    <t xml:space="preserve">glee</t>
  </si>
  <si>
    <t xml:space="preserve">rv_002168</t>
  </si>
  <si>
    <t xml:space="preserve">unguyen</t>
  </si>
  <si>
    <t xml:space="preserve">rv_003468</t>
  </si>
  <si>
    <t xml:space="preserve">timothy88</t>
  </si>
  <si>
    <t xml:space="preserve">GREAT APP, SUPER EASY TO SEND MONEY TO FRIENDS!</t>
  </si>
  <si>
    <t xml:space="preserve">rv_005342</t>
  </si>
  <si>
    <t xml:space="preserve">uclark</t>
  </si>
  <si>
    <t xml:space="preserve">rv_002778</t>
  </si>
  <si>
    <t xml:space="preserve">wallspatricia</t>
  </si>
  <si>
    <t xml:space="preserve">rv_000954</t>
  </si>
  <si>
    <t xml:space="preserve">lweaver</t>
  </si>
  <si>
    <t xml:space="preserve">rv_005311</t>
  </si>
  <si>
    <t xml:space="preserve">acortez</t>
  </si>
  <si>
    <t xml:space="preserve">rv_000556</t>
  </si>
  <si>
    <t xml:space="preserve">jstone</t>
  </si>
  <si>
    <t xml:space="preserve">Crashes constantly, unusable since the update. Good enough for basic transactions.</t>
  </si>
  <si>
    <t xml:space="preserve">rv_001718</t>
  </si>
  <si>
    <t xml:space="preserve">thomasnicole</t>
  </si>
  <si>
    <t xml:space="preserve">rv_002175</t>
  </si>
  <si>
    <t xml:space="preserve">davidhenry</t>
  </si>
  <si>
    <t xml:space="preserve">rv_002154</t>
  </si>
  <si>
    <t xml:space="preserve">alexandervanessa</t>
  </si>
  <si>
    <t xml:space="preserve">rv_000799</t>
  </si>
  <si>
    <t xml:space="preserve">kimberlycunningham</t>
  </si>
  <si>
    <t xml:space="preserve">rv_002854</t>
  </si>
  <si>
    <t xml:space="preserve">mark84</t>
  </si>
  <si>
    <t xml:space="preserve">rv_002122</t>
  </si>
  <si>
    <t xml:space="preserve">edward52</t>
  </si>
  <si>
    <t xml:space="preserve">rv_000378</t>
  </si>
  <si>
    <t xml:space="preserve">katrinaduran</t>
  </si>
  <si>
    <t xml:space="preserve">rv_002166</t>
  </si>
  <si>
    <t xml:space="preserve">rgibson</t>
  </si>
  <si>
    <t xml:space="preserve">rv_002209</t>
  </si>
  <si>
    <t xml:space="preserve">thomasjohnson</t>
  </si>
  <si>
    <t xml:space="preserve">rv_002887</t>
  </si>
  <si>
    <t xml:space="preserve">vasquezvicki</t>
  </si>
  <si>
    <t xml:space="preserve">rv_000432</t>
  </si>
  <si>
    <t xml:space="preserve">karen73</t>
  </si>
  <si>
    <t xml:space="preserve">rv_001333</t>
  </si>
  <si>
    <t xml:space="preserve">zarias</t>
  </si>
  <si>
    <t xml:space="preserve">rv_005666</t>
  </si>
  <si>
    <t xml:space="preserve">cfinley</t>
  </si>
  <si>
    <t xml:space="preserve">rv_002239</t>
  </si>
  <si>
    <t xml:space="preserve">melissarusso</t>
  </si>
  <si>
    <t xml:space="preserve">rv_002252</t>
  </si>
  <si>
    <t xml:space="preserve">jennifer65</t>
  </si>
  <si>
    <t xml:space="preserve">rv_003581</t>
  </si>
  <si>
    <t xml:space="preserve">stevenlopez</t>
  </si>
  <si>
    <t xml:space="preserve">rv_000006</t>
  </si>
  <si>
    <t xml:space="preserve">lisa02</t>
  </si>
  <si>
    <t xml:space="preserve">rv_005507</t>
  </si>
  <si>
    <t xml:space="preserve">andrewstheresa</t>
  </si>
  <si>
    <t xml:space="preserve">rv_000192</t>
  </si>
  <si>
    <t xml:space="preserve">jenniferfreeman</t>
  </si>
  <si>
    <t xml:space="preserve">rv_001455</t>
  </si>
  <si>
    <t xml:space="preserve">brenda63</t>
  </si>
  <si>
    <t xml:space="preserve">rv_001517</t>
  </si>
  <si>
    <t xml:space="preserve">torresblake</t>
  </si>
  <si>
    <t xml:space="preserve">rv_001566</t>
  </si>
  <si>
    <t xml:space="preserve">dianacunningham</t>
  </si>
  <si>
    <t xml:space="preserve">rv_000917</t>
  </si>
  <si>
    <t xml:space="preserve">tami37</t>
  </si>
  <si>
    <t xml:space="preserve">rv_005356</t>
  </si>
  <si>
    <t xml:space="preserve">tami38</t>
  </si>
  <si>
    <t xml:space="preserve">rv_000294</t>
  </si>
  <si>
    <t xml:space="preserve">lozanojulie</t>
  </si>
  <si>
    <t xml:space="preserve">rv_000041</t>
  </si>
  <si>
    <t xml:space="preserve">john39</t>
  </si>
  <si>
    <t xml:space="preserve">rv_000741</t>
  </si>
  <si>
    <t xml:space="preserve">pcook</t>
  </si>
  <si>
    <t xml:space="preserve">rv_002757</t>
  </si>
  <si>
    <t xml:space="preserve">zandersen</t>
  </si>
  <si>
    <t xml:space="preserve">rv_001903</t>
  </si>
  <si>
    <t xml:space="preserve">robert55</t>
  </si>
  <si>
    <t xml:space="preserve">rv_000156</t>
  </si>
  <si>
    <t xml:space="preserve">dramsey</t>
  </si>
  <si>
    <t xml:space="preserve">rv_004946</t>
  </si>
  <si>
    <t xml:space="preserve">brooksbrian</t>
  </si>
  <si>
    <t xml:space="preserve">rv_005803</t>
  </si>
  <si>
    <t xml:space="preserve">andrewjackson</t>
  </si>
  <si>
    <t xml:space="preserve">rv_002740</t>
  </si>
  <si>
    <t xml:space="preserve">chrismartinez</t>
  </si>
  <si>
    <t xml:space="preserve">rv_000087</t>
  </si>
  <si>
    <t xml:space="preserve">sarah12</t>
  </si>
  <si>
    <t xml:space="preserve">rv_005747</t>
  </si>
  <si>
    <t xml:space="preserve">uthompson</t>
  </si>
  <si>
    <t xml:space="preserve">rv_001051</t>
  </si>
  <si>
    <t xml:space="preserve">Clean design and works exactly as expected. Really convenient for paying bills every month.</t>
  </si>
  <si>
    <t xml:space="preserve">rv_002331</t>
  </si>
  <si>
    <t xml:space="preserve">hdavid</t>
  </si>
  <si>
    <t xml:space="preserve">rv_003989</t>
  </si>
  <si>
    <t xml:space="preserve">brycegomez</t>
  </si>
  <si>
    <t xml:space="preserve">rv_005456</t>
  </si>
  <si>
    <t xml:space="preserve">smithdeborah</t>
  </si>
  <si>
    <t xml:space="preserve">rv_003405</t>
  </si>
  <si>
    <t xml:space="preserve">woodjuan</t>
  </si>
  <si>
    <t xml:space="preserve">rv_005884</t>
  </si>
  <si>
    <t xml:space="preserve">gclark</t>
  </si>
  <si>
    <t xml:space="preserve">rv_000067</t>
  </si>
  <si>
    <t xml:space="preserve">nicholasgalloway</t>
  </si>
  <si>
    <t xml:space="preserve">rv_003065</t>
  </si>
  <si>
    <t xml:space="preserve">moorejudy</t>
  </si>
  <si>
    <t xml:space="preserve">rv_003031</t>
  </si>
  <si>
    <t xml:space="preserve">kyle63</t>
  </si>
  <si>
    <t xml:space="preserve">rv_001679</t>
  </si>
  <si>
    <t xml:space="preserve">fbradley</t>
  </si>
  <si>
    <t xml:space="preserve">rv_005870</t>
  </si>
  <si>
    <t xml:space="preserve">taylordanny</t>
  </si>
  <si>
    <t xml:space="preserve">rv_003416</t>
  </si>
  <si>
    <t xml:space="preserve">james80</t>
  </si>
  <si>
    <t xml:space="preserve">It's okay, does what it needs to do. Best banking app I've used, very reliable.</t>
  </si>
  <si>
    <t xml:space="preserve">rv_000951</t>
  </si>
  <si>
    <t xml:space="preserve">joelstewart</t>
  </si>
  <si>
    <t xml:space="preserve">rv_002695</t>
  </si>
  <si>
    <t xml:space="preserve">nicholasmcgrath</t>
  </si>
  <si>
    <t xml:space="preserve">Average experience, nothing special. Best banking app I've used, very reliable.</t>
  </si>
  <si>
    <t xml:space="preserve">rv_004084</t>
  </si>
  <si>
    <t xml:space="preserve">mitchell21</t>
  </si>
  <si>
    <t xml:space="preserve">Transfers keep failing with a generic error message. Average experience, nothing special.</t>
  </si>
  <si>
    <t xml:space="preserve">rv_005826</t>
  </si>
  <si>
    <t xml:space="preserve">dsmith</t>
  </si>
  <si>
    <t xml:space="preserve">rv_000389</t>
  </si>
  <si>
    <t xml:space="preserve">hchapman</t>
  </si>
  <si>
    <t xml:space="preserve">rv_002170</t>
  </si>
  <si>
    <t xml:space="preserve">marcus01</t>
  </si>
  <si>
    <t xml:space="preserve">rv_005623</t>
  </si>
  <si>
    <t xml:space="preserve">andrea19</t>
  </si>
  <si>
    <t xml:space="preserve">rv_004829</t>
  </si>
  <si>
    <t xml:space="preserve">sonia62</t>
  </si>
  <si>
    <t xml:space="preserve">rv_000636</t>
  </si>
  <si>
    <t xml:space="preserve">ybrooks</t>
  </si>
  <si>
    <t xml:space="preserve">rv_000419</t>
  </si>
  <si>
    <t xml:space="preserve">tanderson</t>
  </si>
  <si>
    <t xml:space="preserve">rv_003345</t>
  </si>
  <si>
    <t xml:space="preserve">gabriellevalencia</t>
  </si>
  <si>
    <t xml:space="preserve">rv_004555</t>
  </si>
  <si>
    <t xml:space="preserve">kerry32</t>
  </si>
  <si>
    <t xml:space="preserve">rv_004196</t>
  </si>
  <si>
    <t xml:space="preserve">fevans</t>
  </si>
  <si>
    <t xml:space="preserve">rv_000551</t>
  </si>
  <si>
    <t xml:space="preserve">andersoncolin</t>
  </si>
  <si>
    <t xml:space="preserve">rv_004965</t>
  </si>
  <si>
    <t xml:space="preserve">jamesmoon</t>
  </si>
  <si>
    <t xml:space="preserve">rv_004905</t>
  </si>
  <si>
    <t xml:space="preserve">kwang</t>
  </si>
  <si>
    <t xml:space="preserve">rv_004451</t>
  </si>
  <si>
    <t xml:space="preserve">llynch</t>
  </si>
  <si>
    <t xml:space="preserve">rv_003190</t>
  </si>
  <si>
    <t xml:space="preserve">devin48</t>
  </si>
  <si>
    <t xml:space="preserve">rv_004317</t>
  </si>
  <si>
    <t xml:space="preserve">nathanielwinters</t>
  </si>
  <si>
    <t xml:space="preserve">rv_000541</t>
  </si>
  <si>
    <t xml:space="preserve">davisphillip</t>
  </si>
  <si>
    <t xml:space="preserve">Buttons are too small and hard to tap on the new layout. It's okay, does what it needs to do.</t>
  </si>
  <si>
    <t xml:space="preserve">rv_005329</t>
  </si>
  <si>
    <t xml:space="preserve">amy98</t>
  </si>
  <si>
    <t xml:space="preserve">rv_003626</t>
  </si>
  <si>
    <t xml:space="preserve">ijoseph</t>
  </si>
  <si>
    <t xml:space="preserve">rv_004243</t>
  </si>
  <si>
    <t xml:space="preserve">steven27</t>
  </si>
  <si>
    <t xml:space="preserve">rv_003925</t>
  </si>
  <si>
    <t xml:space="preserve">oblake</t>
  </si>
  <si>
    <t xml:space="preserve">rv_002005</t>
  </si>
  <si>
    <t xml:space="preserve">calvinhester</t>
  </si>
  <si>
    <t xml:space="preserve">rv_005116</t>
  </si>
  <si>
    <t xml:space="preserve">qreyes</t>
  </si>
  <si>
    <t xml:space="preserve">rv_002446</t>
  </si>
  <si>
    <t xml:space="preserve">sotojoshua</t>
  </si>
  <si>
    <t xml:space="preserve">Clean design and works exactly as expected. Great app, super easy to send money to friends!</t>
  </si>
  <si>
    <t xml:space="preserve">rv_002183</t>
  </si>
  <si>
    <t xml:space="preserve">prhodes</t>
  </si>
  <si>
    <t xml:space="preserve">rv_004011</t>
  </si>
  <si>
    <t xml:space="preserve">flemingcody</t>
  </si>
  <si>
    <t xml:space="preserve">rv_000298</t>
  </si>
  <si>
    <t xml:space="preserve">parkerscott</t>
  </si>
  <si>
    <t xml:space="preserve">rv_000843</t>
  </si>
  <si>
    <t xml:space="preserve">michael42</t>
  </si>
  <si>
    <t xml:space="preserve">rv_001728</t>
  </si>
  <si>
    <t xml:space="preserve">arthur09</t>
  </si>
  <si>
    <t xml:space="preserve">Good enough for basic transactions. Fast transfers and great customer service.</t>
  </si>
  <si>
    <t xml:space="preserve">rv_002032</t>
  </si>
  <si>
    <t xml:space="preserve">myerstroy</t>
  </si>
  <si>
    <t xml:space="preserve">rv_000395</t>
  </si>
  <si>
    <t xml:space="preserve">kathleenrios</t>
  </si>
  <si>
    <t xml:space="preserve">rv_004683</t>
  </si>
  <si>
    <t xml:space="preserve">veronicasmith</t>
  </si>
  <si>
    <t xml:space="preserve">rv_000538</t>
  </si>
  <si>
    <t xml:space="preserve">sarah53</t>
  </si>
  <si>
    <t xml:space="preserve">rv_000904</t>
  </si>
  <si>
    <t xml:space="preserve">dvasquez</t>
  </si>
  <si>
    <t xml:space="preserve">rv_003146</t>
  </si>
  <si>
    <t xml:space="preserve">dariusjacobson</t>
  </si>
  <si>
    <t xml:space="preserve">rv_002524</t>
  </si>
  <si>
    <t xml:space="preserve">fowleremma</t>
  </si>
  <si>
    <t xml:space="preserve">rv_000900</t>
  </si>
  <si>
    <t xml:space="preserve">hallmichael</t>
  </si>
  <si>
    <t xml:space="preserve">rv_000762</t>
  </si>
  <si>
    <t xml:space="preserve">jeffrey88</t>
  </si>
  <si>
    <t xml:space="preserve">rv_000431</t>
  </si>
  <si>
    <t xml:space="preserve">erica37</t>
  </si>
  <si>
    <t xml:space="preserve">rv_003490</t>
  </si>
  <si>
    <t xml:space="preserve">jtaylor</t>
  </si>
  <si>
    <t xml:space="preserve">Hate the new redesign, can't find anything anymore. Works fine most of the time.</t>
  </si>
  <si>
    <t xml:space="preserve">rv_003189</t>
  </si>
  <si>
    <t xml:space="preserve">donna00</t>
  </si>
  <si>
    <t xml:space="preserve">rv_003498</t>
  </si>
  <si>
    <t xml:space="preserve">frankespinoza</t>
  </si>
  <si>
    <t xml:space="preserve">rv_002425</t>
  </si>
  <si>
    <t xml:space="preserve">heatherowens</t>
  </si>
  <si>
    <t xml:space="preserve">rv_001933</t>
  </si>
  <si>
    <t xml:space="preserve">rv_005656</t>
  </si>
  <si>
    <t xml:space="preserve">perrynicole</t>
  </si>
  <si>
    <t xml:space="preserve">rv_004117</t>
  </si>
  <si>
    <t xml:space="preserve">edwardstewart</t>
  </si>
  <si>
    <t xml:space="preserve">rv_000789</t>
  </si>
  <si>
    <t xml:space="preserve">fhenderson</t>
  </si>
  <si>
    <t xml:space="preserve">rv_000434</t>
  </si>
  <si>
    <t xml:space="preserve">mmckee</t>
  </si>
  <si>
    <t xml:space="preserve">rv_003440</t>
  </si>
  <si>
    <t xml:space="preserve">dgreen</t>
  </si>
  <si>
    <t xml:space="preserve">rv_000147</t>
  </si>
  <si>
    <t xml:space="preserve">jasminebrown</t>
  </si>
  <si>
    <t xml:space="preserve">rv_001122</t>
  </si>
  <si>
    <t xml:space="preserve">ronald11</t>
  </si>
  <si>
    <t xml:space="preserve">rv_001641</t>
  </si>
  <si>
    <t xml:space="preserve">collierjames</t>
  </si>
  <si>
    <t xml:space="preserve">rv_003394</t>
  </si>
  <si>
    <t xml:space="preserve">trevor09</t>
  </si>
  <si>
    <t xml:space="preserve">rv_004158</t>
  </si>
  <si>
    <t xml:space="preserve">sherriball</t>
  </si>
  <si>
    <t xml:space="preserve">rv_003651</t>
  </si>
  <si>
    <t xml:space="preserve">brooksthomas</t>
  </si>
  <si>
    <t xml:space="preserve">Login screen just spins forever, never lets me in.</t>
  </si>
  <si>
    <t xml:space="preserve">rv_004926</t>
  </si>
  <si>
    <t xml:space="preserve">jarvisrachel</t>
  </si>
  <si>
    <t xml:space="preserve">rv_005876</t>
  </si>
  <si>
    <t xml:space="preserve">sherylgreen</t>
  </si>
  <si>
    <t xml:space="preserve">rv_003938</t>
  </si>
  <si>
    <t xml:space="preserve">johnstondavid</t>
  </si>
  <si>
    <t xml:space="preserve">Really convenient for paying bills every month. Really convenient for paying bills every month.</t>
  </si>
  <si>
    <t xml:space="preserve">rv_003413</t>
  </si>
  <si>
    <t xml:space="preserve">joshua81</t>
  </si>
  <si>
    <t xml:space="preserve">Good enough for basic transactions. It's okay, does what it needs to do.</t>
  </si>
  <si>
    <t xml:space="preserve">rv_000082</t>
  </si>
  <si>
    <t xml:space="preserve">khowell</t>
  </si>
  <si>
    <t xml:space="preserve">rv_004841</t>
  </si>
  <si>
    <t xml:space="preserve">gloria04</t>
  </si>
  <si>
    <t xml:space="preserve">rv_005492</t>
  </si>
  <si>
    <t xml:space="preserve">ichan</t>
  </si>
  <si>
    <t xml:space="preserve">rv_002440</t>
  </si>
  <si>
    <t xml:space="preserve">ejohns</t>
  </si>
  <si>
    <t xml:space="preserve">rv_002024</t>
  </si>
  <si>
    <t xml:space="preserve">ycole</t>
  </si>
  <si>
    <t xml:space="preserve">rv_001135</t>
  </si>
  <si>
    <t xml:space="preserve">qwilliams</t>
  </si>
  <si>
    <t xml:space="preserve">rv_002403</t>
  </si>
  <si>
    <t xml:space="preserve">chavezsteven</t>
  </si>
  <si>
    <t xml:space="preserve">rv_000213</t>
  </si>
  <si>
    <t xml:space="preserve">christopher31</t>
  </si>
  <si>
    <t xml:space="preserve">rv_005420</t>
  </si>
  <si>
    <t xml:space="preserve">hmcneil</t>
  </si>
  <si>
    <t xml:space="preserve">rv_001884</t>
  </si>
  <si>
    <t xml:space="preserve">pamela16</t>
  </si>
  <si>
    <t xml:space="preserve">Love the new update, much faster than before. Great app, super easy to send money to friends!</t>
  </si>
  <si>
    <t xml:space="preserve">rv_005270</t>
  </si>
  <si>
    <t xml:space="preserve">alejandra39</t>
  </si>
  <si>
    <t xml:space="preserve">rv_001233</t>
  </si>
  <si>
    <t xml:space="preserve">campbellsara</t>
  </si>
  <si>
    <t xml:space="preserve">rv_000814</t>
  </si>
  <si>
    <t xml:space="preserve">rsellers</t>
  </si>
  <si>
    <t xml:space="preserve">rv_003438</t>
  </si>
  <si>
    <t xml:space="preserve">hartmarcus</t>
  </si>
  <si>
    <t xml:space="preserve">rv_002998</t>
  </si>
  <si>
    <t xml:space="preserve">tammykim</t>
  </si>
  <si>
    <t xml:space="preserve">rv_004713</t>
  </si>
  <si>
    <t xml:space="preserve">mary64</t>
  </si>
  <si>
    <t xml:space="preserve">rv_001308</t>
  </si>
  <si>
    <t xml:space="preserve">princekimberly</t>
  </si>
  <si>
    <t xml:space="preserve">rv_003157</t>
  </si>
  <si>
    <t xml:space="preserve">lcook</t>
  </si>
  <si>
    <t xml:space="preserve">rv_000024</t>
  </si>
  <si>
    <t xml:space="preserve">jason76</t>
  </si>
  <si>
    <t xml:space="preserve">rv_005477</t>
  </si>
  <si>
    <t xml:space="preserve">tranadam</t>
  </si>
  <si>
    <t xml:space="preserve">rv_004461</t>
  </si>
  <si>
    <t xml:space="preserve">nathanwarner</t>
  </si>
  <si>
    <t xml:space="preserve">Average experience, nothing special. Clean design and works exactly as expected.</t>
  </si>
  <si>
    <t xml:space="preserve">rv_000960</t>
  </si>
  <si>
    <t xml:space="preserve">brian29</t>
  </si>
  <si>
    <t xml:space="preserve">rv_000256</t>
  </si>
  <si>
    <t xml:space="preserve">michellehill</t>
  </si>
  <si>
    <t xml:space="preserve">rv_001918</t>
  </si>
  <si>
    <t xml:space="preserve">eric88</t>
  </si>
  <si>
    <t xml:space="preserve">rv_004056</t>
  </si>
  <si>
    <t xml:space="preserve">perryrobert</t>
  </si>
  <si>
    <t xml:space="preserve">rv_005643</t>
  </si>
  <si>
    <t xml:space="preserve">hilljennifer</t>
  </si>
  <si>
    <t xml:space="preserve">rv_003323</t>
  </si>
  <si>
    <t xml:space="preserve">petersonmaria</t>
  </si>
  <si>
    <t xml:space="preserve">rv_002270</t>
  </si>
  <si>
    <t xml:space="preserve">abigailfernandez</t>
  </si>
  <si>
    <t xml:space="preserve">4.3.0</t>
  </si>
  <si>
    <t xml:space="preserve">2025-04</t>
  </si>
  <si>
    <t xml:space="preserve">rv_000921</t>
  </si>
  <si>
    <t xml:space="preserve">christopherwright</t>
  </si>
  <si>
    <t xml:space="preserve">rv_001843</t>
  </si>
  <si>
    <t xml:space="preserve">brownmichael</t>
  </si>
  <si>
    <t xml:space="preserve">rv_004843</t>
  </si>
  <si>
    <t xml:space="preserve">james84</t>
  </si>
  <si>
    <t xml:space="preserve">rv_003166</t>
  </si>
  <si>
    <t xml:space="preserve">elizabeth45</t>
  </si>
  <si>
    <t xml:space="preserve">rv_005598</t>
  </si>
  <si>
    <t xml:space="preserve">ccombs</t>
  </si>
  <si>
    <t xml:space="preserve">TRIED TO PAY A BILL THREE TIMES, ALL FAILED, VERY RISKY APP.</t>
  </si>
  <si>
    <t xml:space="preserve">rv_003155</t>
  </si>
  <si>
    <t xml:space="preserve">jacobyoder</t>
  </si>
  <si>
    <t xml:space="preserve">rv_002438</t>
  </si>
  <si>
    <t xml:space="preserve">mikewatson</t>
  </si>
  <si>
    <t xml:space="preserve">rv_003023</t>
  </si>
  <si>
    <t xml:space="preserve">schultzwesley</t>
  </si>
  <si>
    <t xml:space="preserve">rv_001626</t>
  </si>
  <si>
    <t xml:space="preserve">cherylrodriguez</t>
  </si>
  <si>
    <t xml:space="preserve">rv_003208</t>
  </si>
  <si>
    <t xml:space="preserve">kristin98</t>
  </si>
  <si>
    <t xml:space="preserve">rv_000127</t>
  </si>
  <si>
    <t xml:space="preserve">donnacampbell</t>
  </si>
  <si>
    <t xml:space="preserve">rv_002249</t>
  </si>
  <si>
    <t xml:space="preserve">ahammond</t>
  </si>
  <si>
    <t xml:space="preserve">rv_005988</t>
  </si>
  <si>
    <t xml:space="preserve">jose80</t>
  </si>
  <si>
    <t xml:space="preserve">rv_001888</t>
  </si>
  <si>
    <t xml:space="preserve">banksjo</t>
  </si>
  <si>
    <t xml:space="preserve">rv_000124</t>
  </si>
  <si>
    <t xml:space="preserve">jason99</t>
  </si>
  <si>
    <t xml:space="preserve">rv_003473</t>
  </si>
  <si>
    <t xml:space="preserve">thomas14</t>
  </si>
  <si>
    <t xml:space="preserve">rv_005086</t>
  </si>
  <si>
    <t xml:space="preserve">williamslaurie</t>
  </si>
  <si>
    <t xml:space="preserve">rv_002772</t>
  </si>
  <si>
    <t xml:space="preserve">williefarley</t>
  </si>
  <si>
    <t xml:space="preserve">rv_000887</t>
  </si>
  <si>
    <t xml:space="preserve">tranrobin</t>
  </si>
  <si>
    <t xml:space="preserve">rv_000065</t>
  </si>
  <si>
    <t xml:space="preserve">gabrieltucker</t>
  </si>
  <si>
    <t xml:space="preserve">rv_003825</t>
  </si>
  <si>
    <t xml:space="preserve">craigferguson</t>
  </si>
  <si>
    <t xml:space="preserve">Payment failed but the money was still deducted from my account. Decent app but could use more features.</t>
  </si>
  <si>
    <t xml:space="preserve">rv_005659</t>
  </si>
  <si>
    <t xml:space="preserve">davidglover</t>
  </si>
  <si>
    <t xml:space="preserve">rv_003272</t>
  </si>
  <si>
    <t xml:space="preserve">ewarner</t>
  </si>
  <si>
    <t xml:space="preserve">rv_000220</t>
  </si>
  <si>
    <t xml:space="preserve">mooreglenn</t>
  </si>
  <si>
    <t xml:space="preserve">rv_004563</t>
  </si>
  <si>
    <t xml:space="preserve">satkinson</t>
  </si>
  <si>
    <t xml:space="preserve">rv_000014</t>
  </si>
  <si>
    <t xml:space="preserve">kendragalloway</t>
  </si>
  <si>
    <t xml:space="preserve">rv_003972</t>
  </si>
  <si>
    <t xml:space="preserve">dustinphillips</t>
  </si>
  <si>
    <t xml:space="preserve">rv_003311</t>
  </si>
  <si>
    <t xml:space="preserve">jenny20</t>
  </si>
  <si>
    <t xml:space="preserve">rv_001425</t>
  </si>
  <si>
    <t xml:space="preserve">myates</t>
  </si>
  <si>
    <t xml:space="preserve">Double charged for the same transaction, no refund yet. Works fine most of the time.</t>
  </si>
  <si>
    <t xml:space="preserve">rv_005751</t>
  </si>
  <si>
    <t xml:space="preserve">margaret33</t>
  </si>
  <si>
    <t xml:space="preserve">rv_005669</t>
  </si>
  <si>
    <t xml:space="preserve">dcox</t>
  </si>
  <si>
    <t xml:space="preserve">rv_001696</t>
  </si>
  <si>
    <t xml:space="preserve">mwilson</t>
  </si>
  <si>
    <t xml:space="preserve">rv_001003</t>
  </si>
  <si>
    <t xml:space="preserve">millermaurice</t>
  </si>
  <si>
    <t xml:space="preserve">CUSTOMER SUPPORT FIXED MY ISSUE QUICKLY, THANKS! BEST BANKING APP I'VE USED, VERY RELIABLE.</t>
  </si>
  <si>
    <t xml:space="preserve">rv_001095</t>
  </si>
  <si>
    <t xml:space="preserve">stephen89</t>
  </si>
  <si>
    <t xml:space="preserve">App is so slow to load, takes forever on every screen. It's okay, does what it needs to do.</t>
  </si>
  <si>
    <t xml:space="preserve">rv_005372</t>
  </si>
  <si>
    <t xml:space="preserve">rodriguezbrianna</t>
  </si>
  <si>
    <t xml:space="preserve">rv_002447</t>
  </si>
  <si>
    <t xml:space="preserve">melissaschmitt</t>
  </si>
  <si>
    <t xml:space="preserve">rv_003026</t>
  </si>
  <si>
    <t xml:space="preserve">ewilson</t>
  </si>
  <si>
    <t xml:space="preserve">rv_002550</t>
  </si>
  <si>
    <t xml:space="preserve">alexisvaldez</t>
  </si>
  <si>
    <t xml:space="preserve">rv_001280</t>
  </si>
  <si>
    <t xml:space="preserve">blacknicholas</t>
  </si>
  <si>
    <t xml:space="preserve">rv_004644</t>
  </si>
  <si>
    <t xml:space="preserve">timothymiddleton</t>
  </si>
  <si>
    <t xml:space="preserve">DOUBLE CHARGED FOR THE SAME TRANSACTION, NO REFUND YET.</t>
  </si>
  <si>
    <t xml:space="preserve">rv_005198</t>
  </si>
  <si>
    <t xml:space="preserve">amanda15</t>
  </si>
  <si>
    <t xml:space="preserve">rv_002028</t>
  </si>
  <si>
    <t xml:space="preserve">rv_002755</t>
  </si>
  <si>
    <t xml:space="preserve">brian53</t>
  </si>
  <si>
    <t xml:space="preserve">FACE ID LOGIN STOPPED WORKING AFTER THE UPDATE. DECENT APP BUT COULD USE MORE FEATURES.</t>
  </si>
  <si>
    <t xml:space="preserve">rv_003481</t>
  </si>
  <si>
    <t xml:space="preserve">rsavage</t>
  </si>
  <si>
    <t xml:space="preserve">rv_000248</t>
  </si>
  <si>
    <t xml:space="preserve">dudleychelsea</t>
  </si>
  <si>
    <t xml:space="preserve">Decent app but could use more features. Really convenient for paying bills every month.</t>
  </si>
  <si>
    <t xml:space="preserve">rv_002075</t>
  </si>
  <si>
    <t xml:space="preserve">dawnwilliams</t>
  </si>
  <si>
    <t xml:space="preserve">rv_001172</t>
  </si>
  <si>
    <t xml:space="preserve">william66</t>
  </si>
  <si>
    <t xml:space="preserve">rv_001981</t>
  </si>
  <si>
    <t xml:space="preserve">brianagonzalez</t>
  </si>
  <si>
    <t xml:space="preserve">rv_002924</t>
  </si>
  <si>
    <t xml:space="preserve">mitchelleric</t>
  </si>
  <si>
    <t xml:space="preserve">rv_002630</t>
  </si>
  <si>
    <t xml:space="preserve">ortegakristina</t>
  </si>
  <si>
    <t xml:space="preserve">rv_003679</t>
  </si>
  <si>
    <t xml:space="preserve">wpierce</t>
  </si>
  <si>
    <t xml:space="preserve">rv_001557</t>
  </si>
  <si>
    <t xml:space="preserve">raymondstacy</t>
  </si>
  <si>
    <t xml:space="preserve">Buttons are too small and hard to tap on the new layout. Decent app but could use more features.</t>
  </si>
  <si>
    <t xml:space="preserve">rv_003992</t>
  </si>
  <si>
    <t xml:space="preserve">valerielewis</t>
  </si>
  <si>
    <t xml:space="preserve">Works fine most of the time. Works fine most of the time.</t>
  </si>
  <si>
    <t xml:space="preserve">rv_001725</t>
  </si>
  <si>
    <t xml:space="preserve">kjacobs</t>
  </si>
  <si>
    <t xml:space="preserve">rv_002514</t>
  </si>
  <si>
    <t xml:space="preserve">qellis</t>
  </si>
  <si>
    <t xml:space="preserve">rv_002701</t>
  </si>
  <si>
    <t xml:space="preserve">randyturner</t>
  </si>
  <si>
    <t xml:space="preserve">rv_005005</t>
  </si>
  <si>
    <t xml:space="preserve">charlesduncan</t>
  </si>
  <si>
    <t xml:space="preserve">rv_004590</t>
  </si>
  <si>
    <t xml:space="preserve">hgraham</t>
  </si>
  <si>
    <t xml:space="preserve">rv_004479</t>
  </si>
  <si>
    <t xml:space="preserve">lramirez</t>
  </si>
  <si>
    <t xml:space="preserve">Love the new update, much faster than before. Customer support fixed my issue quickly, thanks!</t>
  </si>
  <si>
    <t xml:space="preserve">rv_004605</t>
  </si>
  <si>
    <t xml:space="preserve">jasoncook</t>
  </si>
  <si>
    <t xml:space="preserve">Decent app but could use more features. Good enough for basic transactions.</t>
  </si>
  <si>
    <t xml:space="preserve">rv_005774</t>
  </si>
  <si>
    <t xml:space="preserve">donaldmartin</t>
  </si>
  <si>
    <t xml:space="preserve">rv_000804</t>
  </si>
  <si>
    <t xml:space="preserve">kennethkidd</t>
  </si>
  <si>
    <t xml:space="preserve">rv_001309</t>
  </si>
  <si>
    <t xml:space="preserve">xboyd</t>
  </si>
  <si>
    <t xml:space="preserve">rv_000450</t>
  </si>
  <si>
    <t xml:space="preserve">samantha72</t>
  </si>
  <si>
    <t xml:space="preserve">rv_001372</t>
  </si>
  <si>
    <t xml:space="preserve">stephenmartinez</t>
  </si>
  <si>
    <t xml:space="preserve">rv_001742</t>
  </si>
  <si>
    <t xml:space="preserve">douglaskelly</t>
  </si>
  <si>
    <t xml:space="preserve">rv_000832</t>
  </si>
  <si>
    <t xml:space="preserve">wendyblankenship</t>
  </si>
  <si>
    <t xml:space="preserve">rv_000530</t>
  </si>
  <si>
    <t xml:space="preserve">dperry</t>
  </si>
  <si>
    <t xml:space="preserve">rv_005707</t>
  </si>
  <si>
    <t xml:space="preserve">barbara64</t>
  </si>
  <si>
    <t xml:space="preserve">App crashes every time I try to open it, so frustrating! Works fine most of the time.</t>
  </si>
  <si>
    <t xml:space="preserve">rv_001815</t>
  </si>
  <si>
    <t xml:space="preserve">jacksonbrendan</t>
  </si>
  <si>
    <t xml:space="preserve">rv_003339</t>
  </si>
  <si>
    <t xml:space="preserve">hillcheryl</t>
  </si>
  <si>
    <t xml:space="preserve">rv_001671</t>
  </si>
  <si>
    <t xml:space="preserve">joseph49</t>
  </si>
  <si>
    <t xml:space="preserve">rv_000581</t>
  </si>
  <si>
    <t xml:space="preserve">ybailey</t>
  </si>
  <si>
    <t xml:space="preserve">rv_001954</t>
  </si>
  <si>
    <t xml:space="preserve">francisco02</t>
  </si>
  <si>
    <t xml:space="preserve">rv_003839</t>
  </si>
  <si>
    <t xml:space="preserve">robert31</t>
  </si>
  <si>
    <t xml:space="preserve">rv_005915</t>
  </si>
  <si>
    <t xml:space="preserve">brandonfernandez</t>
  </si>
  <si>
    <t xml:space="preserve">rv_005579</t>
  </si>
  <si>
    <t xml:space="preserve">khudson</t>
  </si>
  <si>
    <t xml:space="preserve">Keeps crashing on the home screen after the last update. Average experience, nothing special.</t>
  </si>
  <si>
    <t xml:space="preserve">rv_003675</t>
  </si>
  <si>
    <t xml:space="preserve">hlawson</t>
  </si>
  <si>
    <t xml:space="preserve">rv_001606</t>
  </si>
  <si>
    <t xml:space="preserve">barneskyle</t>
  </si>
  <si>
    <t xml:space="preserve">rv_005957</t>
  </si>
  <si>
    <t xml:space="preserve">alexbrooks</t>
  </si>
  <si>
    <t xml:space="preserve">Payment got stuck processing for over an hour. Decent app but could use more features.</t>
  </si>
  <si>
    <t xml:space="preserve">rv_001216</t>
  </si>
  <si>
    <t xml:space="preserve">willie87</t>
  </si>
  <si>
    <t xml:space="preserve">rv_003883</t>
  </si>
  <si>
    <t xml:space="preserve">ihowell</t>
  </si>
  <si>
    <t xml:space="preserve">rv_000221</t>
  </si>
  <si>
    <t xml:space="preserve">moorericky</t>
  </si>
  <si>
    <t xml:space="preserve">Hate the new redesign, can't find anything anymore. Decent app but could use more features.</t>
  </si>
  <si>
    <t xml:space="preserve">rv_002983</t>
  </si>
  <si>
    <t xml:space="preserve">gardnerstacy</t>
  </si>
  <si>
    <t xml:space="preserve">rv_001885</t>
  </si>
  <si>
    <t xml:space="preserve">steven05</t>
  </si>
  <si>
    <t xml:space="preserve">rv_003056</t>
  </si>
  <si>
    <t xml:space="preserve">christophersnyder</t>
  </si>
  <si>
    <t xml:space="preserve">rv_000774</t>
  </si>
  <si>
    <t xml:space="preserve">omullen</t>
  </si>
  <si>
    <t xml:space="preserve">rv_002890</t>
  </si>
  <si>
    <t xml:space="preserve">sandra10</t>
  </si>
  <si>
    <t xml:space="preserve">rv_004652</t>
  </si>
  <si>
    <t xml:space="preserve">racheljohnson</t>
  </si>
  <si>
    <t xml:space="preserve">Double charged for the same transaction, no refund yet. Average experience, nothing special.</t>
  </si>
  <si>
    <t xml:space="preserve">rv_004159</t>
  </si>
  <si>
    <t xml:space="preserve">tracyadams</t>
  </si>
  <si>
    <t xml:space="preserve">rv_001785</t>
  </si>
  <si>
    <t xml:space="preserve">chelseywhite</t>
  </si>
  <si>
    <t xml:space="preserve">rv_000257</t>
  </si>
  <si>
    <t xml:space="preserve">ymorgan</t>
  </si>
  <si>
    <t xml:space="preserve">rv_004682</t>
  </si>
  <si>
    <t xml:space="preserve">jessicamartinez</t>
  </si>
  <si>
    <t xml:space="preserve">rv_005989</t>
  </si>
  <si>
    <t xml:space="preserve">tparker</t>
  </si>
  <si>
    <t xml:space="preserve">rv_003556</t>
  </si>
  <si>
    <t xml:space="preserve">lopezbrittany</t>
  </si>
  <si>
    <t xml:space="preserve">rv_002262</t>
  </si>
  <si>
    <t xml:space="preserve">levinetina</t>
  </si>
  <si>
    <t xml:space="preserve">rv_004598</t>
  </si>
  <si>
    <t xml:space="preserve">boothfrank</t>
  </si>
  <si>
    <t xml:space="preserve">rv_002726</t>
  </si>
  <si>
    <t xml:space="preserve">hneal</t>
  </si>
  <si>
    <t xml:space="preserve">rv_001374</t>
  </si>
  <si>
    <t xml:space="preserve">craignicolas</t>
  </si>
  <si>
    <t xml:space="preserve">rv_004088</t>
  </si>
  <si>
    <t xml:space="preserve">elliottcharles</t>
  </si>
  <si>
    <t xml:space="preserve">rv_004018</t>
  </si>
  <si>
    <t xml:space="preserve">lisawallace</t>
  </si>
  <si>
    <t xml:space="preserve">rv_001525</t>
  </si>
  <si>
    <t xml:space="preserve">iayala</t>
  </si>
  <si>
    <t xml:space="preserve">rv_005460</t>
  </si>
  <si>
    <t xml:space="preserve">lmendez</t>
  </si>
  <si>
    <t xml:space="preserve">rv_001588</t>
  </si>
  <si>
    <t xml:space="preserve">richjohn</t>
  </si>
  <si>
    <t xml:space="preserve">rv_003125</t>
  </si>
  <si>
    <t xml:space="preserve">rv_003010</t>
  </si>
  <si>
    <t xml:space="preserve">stephaniebonilla</t>
  </si>
  <si>
    <t xml:space="preserve">rv_002312</t>
  </si>
  <si>
    <t xml:space="preserve">amber74</t>
  </si>
  <si>
    <t xml:space="preserve">GREAT APP, SUPER EASY TO SEND MONEY TO FRIENDS! CUSTOMER SUPPORT FIXED MY ISSUE QUICKLY, THANKS!</t>
  </si>
  <si>
    <t xml:space="preserve">rv_005214</t>
  </si>
  <si>
    <t xml:space="preserve">stephenszachary</t>
  </si>
  <si>
    <t xml:space="preserve">Payment failed but the money was still deducted from my account. Good enough for basic transactions.</t>
  </si>
  <si>
    <t xml:space="preserve">rv_002817</t>
  </si>
  <si>
    <t xml:space="preserve">adamsjuan</t>
  </si>
  <si>
    <t xml:space="preserve">rv_005107</t>
  </si>
  <si>
    <t xml:space="preserve">stonerobert</t>
  </si>
  <si>
    <t xml:space="preserve">rv_002562</t>
  </si>
  <si>
    <t xml:space="preserve">parkerjoann</t>
  </si>
  <si>
    <t xml:space="preserve">rv_000253</t>
  </si>
  <si>
    <t xml:space="preserve">robert77</t>
  </si>
  <si>
    <t xml:space="preserve">rv_004979</t>
  </si>
  <si>
    <t xml:space="preserve">qharris</t>
  </si>
  <si>
    <t xml:space="preserve">rv_002155</t>
  </si>
  <si>
    <t xml:space="preserve">hellis</t>
  </si>
  <si>
    <t xml:space="preserve">Face ID login stopped working after the update. Decent app but could use more features.</t>
  </si>
  <si>
    <t xml:space="preserve">rv_001088</t>
  </si>
  <si>
    <t xml:space="preserve">ismith</t>
  </si>
  <si>
    <t xml:space="preserve">rv_001731</t>
  </si>
  <si>
    <t xml:space="preserve">jessicafox</t>
  </si>
  <si>
    <t xml:space="preserve">rv_000282</t>
  </si>
  <si>
    <t xml:space="preserve">georgemiller</t>
  </si>
  <si>
    <t xml:space="preserve">rv_001337</t>
  </si>
  <si>
    <t xml:space="preserve">james98</t>
  </si>
  <si>
    <t xml:space="preserve">rv_000678</t>
  </si>
  <si>
    <t xml:space="preserve">ugill</t>
  </si>
  <si>
    <t xml:space="preserve">rv_003165</t>
  </si>
  <si>
    <t xml:space="preserve">whenry</t>
  </si>
  <si>
    <t xml:space="preserve">Double charged for the same transaction, no refund yet. It's okay, does what it needs to do.</t>
  </si>
  <si>
    <t xml:space="preserve">rv_005272</t>
  </si>
  <si>
    <t xml:space="preserve">irandolph</t>
  </si>
  <si>
    <t xml:space="preserve">rv_005088</t>
  </si>
  <si>
    <t xml:space="preserve">mullendavid</t>
  </si>
  <si>
    <t xml:space="preserve">rv_001966</t>
  </si>
  <si>
    <t xml:space="preserve">laurahansen</t>
  </si>
  <si>
    <t xml:space="preserve">rv_002976</t>
  </si>
  <si>
    <t xml:space="preserve">baileytaylor</t>
  </si>
  <si>
    <t xml:space="preserve">rv_001234</t>
  </si>
  <si>
    <t xml:space="preserve">qfoster</t>
  </si>
  <si>
    <t xml:space="preserve">rv_003090</t>
  </si>
  <si>
    <t xml:space="preserve">alisongarcia</t>
  </si>
  <si>
    <t xml:space="preserve">rv_002128</t>
  </si>
  <si>
    <t xml:space="preserve">wandacampbell</t>
  </si>
  <si>
    <t xml:space="preserve">rv_000787</t>
  </si>
  <si>
    <t xml:space="preserve">whiteheather</t>
  </si>
  <si>
    <t xml:space="preserve">rv_001709</t>
  </si>
  <si>
    <t xml:space="preserve">smithann</t>
  </si>
  <si>
    <t xml:space="preserve">rv_005742</t>
  </si>
  <si>
    <t xml:space="preserve">jeremy91</t>
  </si>
  <si>
    <t xml:space="preserve">rv_001191</t>
  </si>
  <si>
    <t xml:space="preserve">heather06</t>
  </si>
  <si>
    <t xml:space="preserve">Transfers keep failing with a generic error message. Decent app but could use more features.</t>
  </si>
  <si>
    <t xml:space="preserve">rv_002444</t>
  </si>
  <si>
    <t xml:space="preserve">hinesbrenda</t>
  </si>
  <si>
    <t xml:space="preserve">rv_004279</t>
  </si>
  <si>
    <t xml:space="preserve">mjohnson</t>
  </si>
  <si>
    <t xml:space="preserve">rv_003743</t>
  </si>
  <si>
    <t xml:space="preserve">hannahcurtis</t>
  </si>
  <si>
    <t xml:space="preserve">rv_005647</t>
  </si>
  <si>
    <t xml:space="preserve">roachkatherine</t>
  </si>
  <si>
    <t xml:space="preserve">rv_003071</t>
  </si>
  <si>
    <t xml:space="preserve">joshua31</t>
  </si>
  <si>
    <t xml:space="preserve">rv_001190</t>
  </si>
  <si>
    <t xml:space="preserve">williamrobles</t>
  </si>
  <si>
    <t xml:space="preserve">rv_002285</t>
  </si>
  <si>
    <t xml:space="preserve">dmiller</t>
  </si>
  <si>
    <t xml:space="preserve">rv_003764</t>
  </si>
  <si>
    <t xml:space="preserve">lsimpson</t>
  </si>
  <si>
    <t xml:space="preserve">rv_004856</t>
  </si>
  <si>
    <t xml:space="preserve">smithjack</t>
  </si>
  <si>
    <t xml:space="preserve">rv_001363</t>
  </si>
  <si>
    <t xml:space="preserve">eric11</t>
  </si>
  <si>
    <t xml:space="preserve">rv_003909</t>
  </si>
  <si>
    <t xml:space="preserve">rv_001638</t>
  </si>
  <si>
    <t xml:space="preserve">parkerwilliam</t>
  </si>
  <si>
    <t xml:space="preserve">rv_003633</t>
  </si>
  <si>
    <t xml:space="preserve">brendan95</t>
  </si>
  <si>
    <t xml:space="preserve">rv_004650</t>
  </si>
  <si>
    <t xml:space="preserve">dgrant</t>
  </si>
  <si>
    <t xml:space="preserve">rv_004772</t>
  </si>
  <si>
    <t xml:space="preserve">hogandavid</t>
  </si>
  <si>
    <t xml:space="preserve">rv_005908</t>
  </si>
  <si>
    <t xml:space="preserve">wlynch</t>
  </si>
  <si>
    <t xml:space="preserve">rv_001958</t>
  </si>
  <si>
    <t xml:space="preserve">palmerkatie</t>
  </si>
  <si>
    <t xml:space="preserve">rv_000019</t>
  </si>
  <si>
    <t xml:space="preserve">amandasanchez</t>
  </si>
  <si>
    <t xml:space="preserve">rv_000966</t>
  </si>
  <si>
    <t xml:space="preserve">jeffrey92</t>
  </si>
  <si>
    <t xml:space="preserve">rv_003213</t>
  </si>
  <si>
    <t xml:space="preserve">nelsonvalerie</t>
  </si>
  <si>
    <t xml:space="preserve">rv_001134</t>
  </si>
  <si>
    <t xml:space="preserve">arodriguez</t>
  </si>
  <si>
    <t xml:space="preserve">rv_000405</t>
  </si>
  <si>
    <t xml:space="preserve">jford</t>
  </si>
  <si>
    <t xml:space="preserve">rv_000580</t>
  </si>
  <si>
    <t xml:space="preserve">janet75</t>
  </si>
  <si>
    <t xml:space="preserve">rv_004588</t>
  </si>
  <si>
    <t xml:space="preserve">rv_002810</t>
  </si>
  <si>
    <t xml:space="preserve">jeromeanderson</t>
  </si>
  <si>
    <t xml:space="preserve">rv_002768</t>
  </si>
  <si>
    <t xml:space="preserve">kleinjacqueline</t>
  </si>
  <si>
    <t xml:space="preserve">rv_001398</t>
  </si>
  <si>
    <t xml:space="preserve">robert99</t>
  </si>
  <si>
    <t xml:space="preserve">rv_005316</t>
  </si>
  <si>
    <t xml:space="preserve">karen72</t>
  </si>
  <si>
    <t xml:space="preserve">rv_003640</t>
  </si>
  <si>
    <t xml:space="preserve">cynthiajordan</t>
  </si>
  <si>
    <t xml:space="preserve">rv_001449</t>
  </si>
  <si>
    <t xml:space="preserve">thomasmaldonado</t>
  </si>
  <si>
    <t xml:space="preserve">rv_002325</t>
  </si>
  <si>
    <t xml:space="preserve">justinwhite</t>
  </si>
  <si>
    <t xml:space="preserve">rv_003880</t>
  </si>
  <si>
    <t xml:space="preserve">wwebb</t>
  </si>
  <si>
    <t xml:space="preserve">rv_005529</t>
  </si>
  <si>
    <t xml:space="preserve">samuel83</t>
  </si>
  <si>
    <t xml:space="preserve">rv_003400</t>
  </si>
  <si>
    <t xml:space="preserve">nicoleroberts</t>
  </si>
  <si>
    <t xml:space="preserve">rv_003608</t>
  </si>
  <si>
    <t xml:space="preserve">walkercharlotte</t>
  </si>
  <si>
    <t xml:space="preserve">rv_000839</t>
  </si>
  <si>
    <t xml:space="preserve">ssmith</t>
  </si>
  <si>
    <t xml:space="preserve">rv_002286</t>
  </si>
  <si>
    <t xml:space="preserve">ebeasley</t>
  </si>
  <si>
    <t xml:space="preserve">rv_000313</t>
  </si>
  <si>
    <t xml:space="preserve">cwilson</t>
  </si>
  <si>
    <t xml:space="preserve">rv_004910</t>
  </si>
  <si>
    <t xml:space="preserve">kwalsh</t>
  </si>
  <si>
    <t xml:space="preserve">rv_002624</t>
  </si>
  <si>
    <t xml:space="preserve">nalexander</t>
  </si>
  <si>
    <t xml:space="preserve">rv_002280</t>
  </si>
  <si>
    <t xml:space="preserve">michaelmitchell</t>
  </si>
  <si>
    <t xml:space="preserve">rv_003142</t>
  </si>
  <si>
    <t xml:space="preserve">mlee</t>
  </si>
  <si>
    <t xml:space="preserve">rv_001775</t>
  </si>
  <si>
    <t xml:space="preserve">stephanielittle</t>
  </si>
  <si>
    <t xml:space="preserve">rv_000084</t>
  </si>
  <si>
    <t xml:space="preserve">david51</t>
  </si>
  <si>
    <t xml:space="preserve">rv_002299</t>
  </si>
  <si>
    <t xml:space="preserve">kevin54</t>
  </si>
  <si>
    <t xml:space="preserve">CLEAN DESIGN AND WORKS EXACTLY AS EXPECTED. LOVE THE NEW UPDATE, MUCH FASTER THAN BEFORE.</t>
  </si>
  <si>
    <t xml:space="preserve">rv_002066</t>
  </si>
  <si>
    <t xml:space="preserve">megan65</t>
  </si>
  <si>
    <t xml:space="preserve">rv_004566</t>
  </si>
  <si>
    <t xml:space="preserve">garciachristopher</t>
  </si>
  <si>
    <t xml:space="preserve">rv_002585</t>
  </si>
  <si>
    <t xml:space="preserve">vwagner</t>
  </si>
  <si>
    <t xml:space="preserve">OTP NEVER ARRIVES SO I CAN'T LOG IN TO MY ACCOUNT. GOOD ENOUGH FOR BASIC TRANSACTIONS.</t>
  </si>
  <si>
    <t xml:space="preserve">rv_000179</t>
  </si>
  <si>
    <t xml:space="preserve">casey50</t>
  </si>
  <si>
    <t xml:space="preserve">rv_000635</t>
  </si>
  <si>
    <t xml:space="preserve">kaylacannon</t>
  </si>
  <si>
    <t xml:space="preserve">Tried to pay a bill three times, all failed, very risky app. Works fine most of the time.</t>
  </si>
  <si>
    <t xml:space="preserve">rv_003280</t>
  </si>
  <si>
    <t xml:space="preserve">sandra03</t>
  </si>
  <si>
    <t xml:space="preserve">rv_005008</t>
  </si>
  <si>
    <t xml:space="preserve">joe99</t>
  </si>
  <si>
    <t xml:space="preserve">rv_000744</t>
  </si>
  <si>
    <t xml:space="preserve">snovak</t>
  </si>
  <si>
    <t xml:space="preserve">rv_001121</t>
  </si>
  <si>
    <t xml:space="preserve">phelpsmichael</t>
  </si>
  <si>
    <t xml:space="preserve">rv_003957</t>
  </si>
  <si>
    <t xml:space="preserve">josephzimmerman</t>
  </si>
  <si>
    <t xml:space="preserve">rv_000460</t>
  </si>
  <si>
    <t xml:space="preserve">john62</t>
  </si>
  <si>
    <t xml:space="preserve">rv_001578</t>
  </si>
  <si>
    <t xml:space="preserve">melissahenry</t>
  </si>
  <si>
    <t xml:space="preserve">rv_004325</t>
  </si>
  <si>
    <t xml:space="preserve">ihayes</t>
  </si>
  <si>
    <t xml:space="preserve">rv_001081</t>
  </si>
  <si>
    <t xml:space="preserve">tthomas</t>
  </si>
  <si>
    <t xml:space="preserve">rv_003436</t>
  </si>
  <si>
    <t xml:space="preserve">anthonyadams</t>
  </si>
  <si>
    <t xml:space="preserve">rv_002719</t>
  </si>
  <si>
    <t xml:space="preserve">david29</t>
  </si>
  <si>
    <t xml:space="preserve">rv_003921</t>
  </si>
  <si>
    <t xml:space="preserve">chadwerner</t>
  </si>
  <si>
    <t xml:space="preserve">rv_002458</t>
  </si>
  <si>
    <t xml:space="preserve">selenabrooks</t>
  </si>
  <si>
    <t xml:space="preserve">rv_003212</t>
  </si>
  <si>
    <t xml:space="preserve">fcombs</t>
  </si>
  <si>
    <t xml:space="preserve">Good enough for basic transactions. Really convenient for paying bills every month.</t>
  </si>
  <si>
    <t xml:space="preserve">rv_000696</t>
  </si>
  <si>
    <t xml:space="preserve">andre62</t>
  </si>
  <si>
    <t xml:space="preserve">rv_005309</t>
  </si>
  <si>
    <t xml:space="preserve">yolandamarks</t>
  </si>
  <si>
    <t xml:space="preserve">rv_004508</t>
  </si>
  <si>
    <t xml:space="preserve">whampton</t>
  </si>
  <si>
    <t xml:space="preserve">rv_000829</t>
  </si>
  <si>
    <t xml:space="preserve">williamsconnie</t>
  </si>
  <si>
    <t xml:space="preserve">rv_004457</t>
  </si>
  <si>
    <t xml:space="preserve">wjohnson</t>
  </si>
  <si>
    <t xml:space="preserve">rv_002298</t>
  </si>
  <si>
    <t xml:space="preserve">billy21</t>
  </si>
  <si>
    <t xml:space="preserve">rv_005761</t>
  </si>
  <si>
    <t xml:space="preserve">lwilliams</t>
  </si>
  <si>
    <t xml:space="preserve">rv_005992</t>
  </si>
  <si>
    <t xml:space="preserve">hramos</t>
  </si>
  <si>
    <t xml:space="preserve">rv_004348</t>
  </si>
  <si>
    <t xml:space="preserve">roy97</t>
  </si>
  <si>
    <t xml:space="preserve">rv_002818</t>
  </si>
  <si>
    <t xml:space="preserve">jennifer35</t>
  </si>
  <si>
    <t xml:space="preserve">rv_004049</t>
  </si>
  <si>
    <t xml:space="preserve">glassadam</t>
  </si>
  <si>
    <t xml:space="preserve">rv_005959</t>
  </si>
  <si>
    <t xml:space="preserve">charles53</t>
  </si>
  <si>
    <t xml:space="preserve">rv_001510</t>
  </si>
  <si>
    <t xml:space="preserve">jessicacummings</t>
  </si>
  <si>
    <t xml:space="preserve">rv_002359</t>
  </si>
  <si>
    <t xml:space="preserve">cobbdebra</t>
  </si>
  <si>
    <t xml:space="preserve">rv_003207</t>
  </si>
  <si>
    <t xml:space="preserve">idavis</t>
  </si>
  <si>
    <t xml:space="preserve">rv_000686</t>
  </si>
  <si>
    <t xml:space="preserve">gary87</t>
  </si>
  <si>
    <t xml:space="preserve">rv_005964</t>
  </si>
  <si>
    <t xml:space="preserve">emorse</t>
  </si>
  <si>
    <t xml:space="preserve">rv_002329</t>
  </si>
  <si>
    <t xml:space="preserve">jgarcia</t>
  </si>
  <si>
    <t xml:space="preserve">rv_003827</t>
  </si>
  <si>
    <t xml:space="preserve">murphyleslie</t>
  </si>
  <si>
    <t xml:space="preserve">The new interface is so confusing compared to before. Decent app but could use more features.</t>
  </si>
  <si>
    <t xml:space="preserve">rv_005581</t>
  </si>
  <si>
    <t xml:space="preserve">jhahn</t>
  </si>
  <si>
    <t xml:space="preserve">rv_005244</t>
  </si>
  <si>
    <t xml:space="preserve">cheryl80</t>
  </si>
  <si>
    <t xml:space="preserve">rv_000435</t>
  </si>
  <si>
    <t xml:space="preserve">erika97</t>
  </si>
  <si>
    <t xml:space="preserve">TAKES AGES TO LOAD THE TRANSACTION HISTORY.</t>
  </si>
  <si>
    <t xml:space="preserve">rv_002281</t>
  </si>
  <si>
    <t xml:space="preserve">jenniferstone</t>
  </si>
  <si>
    <t xml:space="preserve">rv_003566</t>
  </si>
  <si>
    <t xml:space="preserve">beth58</t>
  </si>
  <si>
    <t xml:space="preserve">rv_000930</t>
  </si>
  <si>
    <t xml:space="preserve">gonzalezdebbie</t>
  </si>
  <si>
    <t xml:space="preserve">rv_003283</t>
  </si>
  <si>
    <t xml:space="preserve">ngeorge</t>
  </si>
  <si>
    <t xml:space="preserve">rv_002870</t>
  </si>
  <si>
    <t xml:space="preserve">spencerbrewer</t>
  </si>
  <si>
    <t xml:space="preserve">rv_003687</t>
  </si>
  <si>
    <t xml:space="preserve">acarpenter</t>
  </si>
  <si>
    <t xml:space="preserve">rv_003829</t>
  </si>
  <si>
    <t xml:space="preserve">rogernelson</t>
  </si>
  <si>
    <t xml:space="preserve">rv_000777</t>
  </si>
  <si>
    <t xml:space="preserve">shannonjordan</t>
  </si>
  <si>
    <t xml:space="preserve">rv_001986</t>
  </si>
  <si>
    <t xml:space="preserve">george80</t>
  </si>
  <si>
    <t xml:space="preserve">rv_001538</t>
  </si>
  <si>
    <t xml:space="preserve">cooperlinda</t>
  </si>
  <si>
    <t xml:space="preserve">rv_004609</t>
  </si>
  <si>
    <t xml:space="preserve">amber70</t>
  </si>
  <si>
    <t xml:space="preserve">rv_001994</t>
  </si>
  <si>
    <t xml:space="preserve">tfarmer</t>
  </si>
  <si>
    <t xml:space="preserve">rv_004296</t>
  </si>
  <si>
    <t xml:space="preserve">charles60</t>
  </si>
  <si>
    <t xml:space="preserve">rv_002020</t>
  </si>
  <si>
    <t xml:space="preserve">ebony78</t>
  </si>
  <si>
    <t xml:space="preserve">rv_000564</t>
  </si>
  <si>
    <t xml:space="preserve">pbaker</t>
  </si>
  <si>
    <t xml:space="preserve">rv_001331</t>
  </si>
  <si>
    <t xml:space="preserve">qdavis</t>
  </si>
  <si>
    <t xml:space="preserve">rv_000056</t>
  </si>
  <si>
    <t xml:space="preserve">rv_000681</t>
  </si>
  <si>
    <t xml:space="preserve">mphillips</t>
  </si>
  <si>
    <t xml:space="preserve">rv_001113</t>
  </si>
  <si>
    <t xml:space="preserve">benjamincrawford</t>
  </si>
  <si>
    <t xml:space="preserve">rv_001945</t>
  </si>
  <si>
    <t xml:space="preserve">troy73</t>
  </si>
  <si>
    <t xml:space="preserve">rv_000012</t>
  </si>
  <si>
    <t xml:space="preserve">maria95</t>
  </si>
  <si>
    <t xml:space="preserve">rv_004572</t>
  </si>
  <si>
    <t xml:space="preserve">williamspatricia</t>
  </si>
  <si>
    <t xml:space="preserve">rv_000461</t>
  </si>
  <si>
    <t xml:space="preserve">millsmichael</t>
  </si>
  <si>
    <t xml:space="preserve">rv_001668</t>
  </si>
  <si>
    <t xml:space="preserve">kendra14</t>
  </si>
  <si>
    <t xml:space="preserve">rv_004567</t>
  </si>
  <si>
    <t xml:space="preserve">hernandezroy</t>
  </si>
  <si>
    <t xml:space="preserve">rv_003354</t>
  </si>
  <si>
    <t xml:space="preserve">theresa57</t>
  </si>
  <si>
    <t xml:space="preserve">rv_004699</t>
  </si>
  <si>
    <t xml:space="preserve">petersonsergio</t>
  </si>
  <si>
    <t xml:space="preserve">rv_000042</t>
  </si>
  <si>
    <t xml:space="preserve">millertodd</t>
  </si>
  <si>
    <t xml:space="preserve">rv_003470</t>
  </si>
  <si>
    <t xml:space="preserve">wbean</t>
  </si>
  <si>
    <t xml:space="preserve">rv_002581</t>
  </si>
  <si>
    <t xml:space="preserve">kevinray</t>
  </si>
  <si>
    <t xml:space="preserve">rv_000964</t>
  </si>
  <si>
    <t xml:space="preserve">jessicakim</t>
  </si>
  <si>
    <t xml:space="preserve">rv_001315</t>
  </si>
  <si>
    <t xml:space="preserve">ascott</t>
  </si>
  <si>
    <t xml:space="preserve">rv_005696</t>
  </si>
  <si>
    <t xml:space="preserve">jennifer53</t>
  </si>
  <si>
    <t xml:space="preserve">rv_000977</t>
  </si>
  <si>
    <t xml:space="preserve">lebrandon</t>
  </si>
  <si>
    <t xml:space="preserve">rv_004163</t>
  </si>
  <si>
    <t xml:space="preserve">thompsoncalvin</t>
  </si>
  <si>
    <t xml:space="preserve">rv_002480</t>
  </si>
  <si>
    <t xml:space="preserve">cclark</t>
  </si>
  <si>
    <t xml:space="preserve">rv_000324</t>
  </si>
  <si>
    <t xml:space="preserve">rushmadison</t>
  </si>
  <si>
    <t xml:space="preserve">rv_000103</t>
  </si>
  <si>
    <t xml:space="preserve">theresacochran</t>
  </si>
  <si>
    <t xml:space="preserve">rv_004870</t>
  </si>
  <si>
    <t xml:space="preserve">rv_003947</t>
  </si>
  <si>
    <t xml:space="preserve">qatkinson</t>
  </si>
  <si>
    <t xml:space="preserve">rv_004916</t>
  </si>
  <si>
    <t xml:space="preserve">jpowell</t>
  </si>
  <si>
    <t xml:space="preserve">rv_002711</t>
  </si>
  <si>
    <t xml:space="preserve">rv_005258</t>
  </si>
  <si>
    <t xml:space="preserve">lewisbrent</t>
  </si>
  <si>
    <t xml:space="preserve">rv_002908</t>
  </si>
  <si>
    <t xml:space="preserve">xrose</t>
  </si>
  <si>
    <t xml:space="preserve">rv_002917</t>
  </si>
  <si>
    <t xml:space="preserve">swatson</t>
  </si>
  <si>
    <t xml:space="preserve">rv_001857</t>
  </si>
  <si>
    <t xml:space="preserve">antoniocarroll</t>
  </si>
  <si>
    <t xml:space="preserve">rv_000553</t>
  </si>
  <si>
    <t xml:space="preserve">kari39</t>
  </si>
  <si>
    <t xml:space="preserve">rv_005546</t>
  </si>
  <si>
    <t xml:space="preserve">snyderholly</t>
  </si>
  <si>
    <t xml:space="preserve">rv_004105</t>
  </si>
  <si>
    <t xml:space="preserve">johnmarquez</t>
  </si>
  <si>
    <t xml:space="preserve">rv_002743</t>
  </si>
  <si>
    <t xml:space="preserve">dustin34</t>
  </si>
  <si>
    <t xml:space="preserve">rv_000178</t>
  </si>
  <si>
    <t xml:space="preserve">reedross</t>
  </si>
  <si>
    <t xml:space="preserve">rv_000807</t>
  </si>
  <si>
    <t xml:space="preserve">jasonrojas</t>
  </si>
  <si>
    <t xml:space="preserve">rv_004474</t>
  </si>
  <si>
    <t xml:space="preserve">meghanwerner</t>
  </si>
  <si>
    <t xml:space="preserve">rv_002076</t>
  </si>
  <si>
    <t xml:space="preserve">dcasey</t>
  </si>
  <si>
    <t xml:space="preserve">rv_004500</t>
  </si>
  <si>
    <t xml:space="preserve">doneal</t>
  </si>
  <si>
    <t xml:space="preserve">Best banking app I've used, very reliable. Great app, super easy to send money to friends!</t>
  </si>
  <si>
    <t xml:space="preserve">rv_001186</t>
  </si>
  <si>
    <t xml:space="preserve">maryvaughn</t>
  </si>
  <si>
    <t xml:space="preserve">rv_001831</t>
  </si>
  <si>
    <t xml:space="preserve">robert72</t>
  </si>
  <si>
    <t xml:space="preserve">rv_004873</t>
  </si>
  <si>
    <t xml:space="preserve">matthew11</t>
  </si>
  <si>
    <t xml:space="preserve">rv_002358</t>
  </si>
  <si>
    <t xml:space="preserve">ifarmer</t>
  </si>
  <si>
    <t xml:space="preserve">Great app, super easy to send money to friends! Great app, super easy to send money to friends!</t>
  </si>
  <si>
    <t xml:space="preserve">rv_003741</t>
  </si>
  <si>
    <t xml:space="preserve">wallerbrian</t>
  </si>
  <si>
    <t xml:space="preserve">Getting logged out randomly several times a day. Average experience, nothing special.</t>
  </si>
  <si>
    <t xml:space="preserve">rv_003231</t>
  </si>
  <si>
    <t xml:space="preserve">haleytrevor</t>
  </si>
  <si>
    <t xml:space="preserve">rv_003908</t>
  </si>
  <si>
    <t xml:space="preserve">aaron48</t>
  </si>
  <si>
    <t xml:space="preserve">rv_003870</t>
  </si>
  <si>
    <t xml:space="preserve">jeremiahmiller</t>
  </si>
  <si>
    <t xml:space="preserve">rv_005962</t>
  </si>
  <si>
    <t xml:space="preserve">ernestrich</t>
  </si>
  <si>
    <t xml:space="preserve">rv_002728</t>
  </si>
  <si>
    <t xml:space="preserve">batesbradley</t>
  </si>
  <si>
    <t xml:space="preserve">rv_001992</t>
  </si>
  <si>
    <t xml:space="preserve">urodriguez</t>
  </si>
  <si>
    <t xml:space="preserve">rv_004832</t>
  </si>
  <si>
    <t xml:space="preserve">matthew24</t>
  </si>
  <si>
    <t xml:space="preserve">It's okay, does what it needs to do. Smooth experience, no complaints at all.</t>
  </si>
  <si>
    <t xml:space="preserve">rv_005131</t>
  </si>
  <si>
    <t xml:space="preserve">zrobinson</t>
  </si>
  <si>
    <t xml:space="preserve">rv_000000</t>
  </si>
  <si>
    <t xml:space="preserve">johnsonjoshua</t>
  </si>
  <si>
    <t xml:space="preserve">rv_004712</t>
  </si>
  <si>
    <t xml:space="preserve">shannonbarker</t>
  </si>
  <si>
    <t xml:space="preserve">rv_005681</t>
  </si>
  <si>
    <t xml:space="preserve">fergusontrevor</t>
  </si>
  <si>
    <t xml:space="preserve">Average experience, nothing special. Fast transfers and great customer service.</t>
  </si>
  <si>
    <t xml:space="preserve">rv_001849</t>
  </si>
  <si>
    <t xml:space="preserve">robert53</t>
  </si>
  <si>
    <t xml:space="preserve">rv_000870</t>
  </si>
  <si>
    <t xml:space="preserve">pblair</t>
  </si>
  <si>
    <t xml:space="preserve">rv_001116</t>
  </si>
  <si>
    <t xml:space="preserve">conleyelizabeth</t>
  </si>
  <si>
    <t xml:space="preserve">rv_004740</t>
  </si>
  <si>
    <t xml:space="preserve">forozco</t>
  </si>
  <si>
    <t xml:space="preserve">rv_001119</t>
  </si>
  <si>
    <t xml:space="preserve">dawn74</t>
  </si>
  <si>
    <t xml:space="preserve">Login screen just spins forever, never lets me in. Good enough for basic transactions.</t>
  </si>
  <si>
    <t xml:space="preserve">rv_000513</t>
  </si>
  <si>
    <t xml:space="preserve">coleerin</t>
  </si>
  <si>
    <t xml:space="preserve">rv_003830</t>
  </si>
  <si>
    <t xml:space="preserve">kelseyjohnson</t>
  </si>
  <si>
    <t xml:space="preserve">rv_003176</t>
  </si>
  <si>
    <t xml:space="preserve">harcher</t>
  </si>
  <si>
    <t xml:space="preserve">rv_004846</t>
  </si>
  <si>
    <t xml:space="preserve">daviscarol</t>
  </si>
  <si>
    <t xml:space="preserve">2025-05</t>
  </si>
  <si>
    <t xml:space="preserve">rv_003148</t>
  </si>
  <si>
    <t xml:space="preserve">jeremy96</t>
  </si>
  <si>
    <t xml:space="preserve">rv_000183</t>
  </si>
  <si>
    <t xml:space="preserve">jessicasheppard</t>
  </si>
  <si>
    <t xml:space="preserve">rv_000648</t>
  </si>
  <si>
    <t xml:space="preserve">allencarlos</t>
  </si>
  <si>
    <t xml:space="preserve">rv_001928</t>
  </si>
  <si>
    <t xml:space="preserve">frhodes</t>
  </si>
  <si>
    <t xml:space="preserve">rv_003541</t>
  </si>
  <si>
    <t xml:space="preserve">christopherflowers</t>
  </si>
  <si>
    <t xml:space="preserve">rv_001844</t>
  </si>
  <si>
    <t xml:space="preserve">ryancook</t>
  </si>
  <si>
    <t xml:space="preserve">rv_000668</t>
  </si>
  <si>
    <t xml:space="preserve">adamsemily</t>
  </si>
  <si>
    <t xml:space="preserve">rv_001020</t>
  </si>
  <si>
    <t xml:space="preserve">ashleyaguilar</t>
  </si>
  <si>
    <t xml:space="preserve">rv_003398</t>
  </si>
  <si>
    <t xml:space="preserve">cory42</t>
  </si>
  <si>
    <t xml:space="preserve">rv_002257</t>
  </si>
  <si>
    <t xml:space="preserve">sherry72</t>
  </si>
  <si>
    <t xml:space="preserve">rv_004394</t>
  </si>
  <si>
    <t xml:space="preserve">thomasdavid</t>
  </si>
  <si>
    <t xml:space="preserve">rv_003710</t>
  </si>
  <si>
    <t xml:space="preserve">hpatterson</t>
  </si>
  <si>
    <t xml:space="preserve">rv_003268</t>
  </si>
  <si>
    <t xml:space="preserve">ksawyer</t>
  </si>
  <si>
    <t xml:space="preserve">rv_001619</t>
  </si>
  <si>
    <t xml:space="preserve">cheryl99</t>
  </si>
  <si>
    <t xml:space="preserve">rv_005844</t>
  </si>
  <si>
    <t xml:space="preserve">christina89</t>
  </si>
  <si>
    <t xml:space="preserve">rv_001856</t>
  </si>
  <si>
    <t xml:space="preserve">theresa35</t>
  </si>
  <si>
    <t xml:space="preserve">AVERAGE EXPERIENCE, NOTHING SPECIAL. FAST TRANSFERS AND GREAT CUSTOMER SERVICE.</t>
  </si>
  <si>
    <t xml:space="preserve">rv_002200</t>
  </si>
  <si>
    <t xml:space="preserve">dianastevens</t>
  </si>
  <si>
    <t xml:space="preserve">rv_001001</t>
  </si>
  <si>
    <t xml:space="preserve">rbaker</t>
  </si>
  <si>
    <t xml:space="preserve">rv_003733</t>
  </si>
  <si>
    <t xml:space="preserve">petersonkyle</t>
  </si>
  <si>
    <t xml:space="preserve">rv_003750</t>
  </si>
  <si>
    <t xml:space="preserve">florescynthia</t>
  </si>
  <si>
    <t xml:space="preserve">rv_003317</t>
  </si>
  <si>
    <t xml:space="preserve">ysmith</t>
  </si>
  <si>
    <t xml:space="preserve">rv_004255</t>
  </si>
  <si>
    <t xml:space="preserve">tylermcintosh</t>
  </si>
  <si>
    <t xml:space="preserve">rv_005684</t>
  </si>
  <si>
    <t xml:space="preserve">barrettashley</t>
  </si>
  <si>
    <t xml:space="preserve">rv_005652</t>
  </si>
  <si>
    <t xml:space="preserve">wbryant</t>
  </si>
  <si>
    <t xml:space="preserve">rv_005661</t>
  </si>
  <si>
    <t xml:space="preserve">harveyphilip</t>
  </si>
  <si>
    <t xml:space="preserve">rv_005543</t>
  </si>
  <si>
    <t xml:space="preserve">jamiewhite</t>
  </si>
  <si>
    <t xml:space="preserve">rv_000544</t>
  </si>
  <si>
    <t xml:space="preserve">amitchell</t>
  </si>
  <si>
    <t xml:space="preserve">rv_001342</t>
  </si>
  <si>
    <t xml:space="preserve">aprilmclaughlin</t>
  </si>
  <si>
    <t xml:space="preserve">rv_003396</t>
  </si>
  <si>
    <t xml:space="preserve">katherine20</t>
  </si>
  <si>
    <t xml:space="preserve">rv_003794</t>
  </si>
  <si>
    <t xml:space="preserve">joshua57</t>
  </si>
  <si>
    <t xml:space="preserve">rv_004925</t>
  </si>
  <si>
    <t xml:space="preserve">merrittsusan</t>
  </si>
  <si>
    <t xml:space="preserve">rv_002948</t>
  </si>
  <si>
    <t xml:space="preserve">matthewspatrick</t>
  </si>
  <si>
    <t xml:space="preserve">rv_000267</t>
  </si>
  <si>
    <t xml:space="preserve">tylerjohnson</t>
  </si>
  <si>
    <t xml:space="preserve">rv_001115</t>
  </si>
  <si>
    <t xml:space="preserve">aaronpowers</t>
  </si>
  <si>
    <t xml:space="preserve">rv_005167</t>
  </si>
  <si>
    <t xml:space="preserve">wilsonpatrick</t>
  </si>
  <si>
    <t xml:space="preserve">DECENT APP BUT COULD USE MORE FEATURES. WORKS FINE MOST OF THE TIME.</t>
  </si>
  <si>
    <t xml:space="preserve">rv_002258</t>
  </si>
  <si>
    <t xml:space="preserve">robbinszachary</t>
  </si>
  <si>
    <t xml:space="preserve">rv_003343</t>
  </si>
  <si>
    <t xml:space="preserve">dylanwilliamson</t>
  </si>
  <si>
    <t xml:space="preserve">rv_005062</t>
  </si>
  <si>
    <t xml:space="preserve">robinsonglenn</t>
  </si>
  <si>
    <t xml:space="preserve">rv_005863</t>
  </si>
  <si>
    <t xml:space="preserve">james65</t>
  </si>
  <si>
    <t xml:space="preserve">rv_004680</t>
  </si>
  <si>
    <t xml:space="preserve">christopherjackson</t>
  </si>
  <si>
    <t xml:space="preserve">rv_005443</t>
  </si>
  <si>
    <t xml:space="preserve">bryan38</t>
  </si>
  <si>
    <t xml:space="preserve">rv_003682</t>
  </si>
  <si>
    <t xml:space="preserve">zperez</t>
  </si>
  <si>
    <t xml:space="preserve">rv_002640</t>
  </si>
  <si>
    <t xml:space="preserve">stephanie35</t>
  </si>
  <si>
    <t xml:space="preserve">rv_004048</t>
  </si>
  <si>
    <t xml:space="preserve">williamspatrick</t>
  </si>
  <si>
    <t xml:space="preserve">rv_004939</t>
  </si>
  <si>
    <t xml:space="preserve">wallfrank</t>
  </si>
  <si>
    <t xml:space="preserve">Really convenient for paying bills every month. Clean design and works exactly as expected.</t>
  </si>
  <si>
    <t xml:space="preserve">rv_001084</t>
  </si>
  <si>
    <t xml:space="preserve">whill</t>
  </si>
  <si>
    <t xml:space="preserve">rv_004725</t>
  </si>
  <si>
    <t xml:space="preserve">rv_004473</t>
  </si>
  <si>
    <t xml:space="preserve">garynash</t>
  </si>
  <si>
    <t xml:space="preserve">rv_001628</t>
  </si>
  <si>
    <t xml:space="preserve">ronald54</t>
  </si>
  <si>
    <t xml:space="preserve">rv_000855</t>
  </si>
  <si>
    <t xml:space="preserve">aprilhicks</t>
  </si>
  <si>
    <t xml:space="preserve">rv_000874</t>
  </si>
  <si>
    <t xml:space="preserve">zimmermanjacqueline</t>
  </si>
  <si>
    <t xml:space="preserve">rv_001688</t>
  </si>
  <si>
    <t xml:space="preserve">sullivanjennifer</t>
  </si>
  <si>
    <t xml:space="preserve">rv_005701</t>
  </si>
  <si>
    <t xml:space="preserve">rclark</t>
  </si>
  <si>
    <t xml:space="preserve">Decent app but could use more features. Works fine most of the time.</t>
  </si>
  <si>
    <t xml:space="preserve">rv_002793</t>
  </si>
  <si>
    <t xml:space="preserve">martinjames</t>
  </si>
  <si>
    <t xml:space="preserve">rv_002136</t>
  </si>
  <si>
    <t xml:space="preserve">charles80</t>
  </si>
  <si>
    <t xml:space="preserve">rv_004386</t>
  </si>
  <si>
    <t xml:space="preserve">halldylan</t>
  </si>
  <si>
    <t xml:space="preserve">rv_005318</t>
  </si>
  <si>
    <t xml:space="preserve">debra34</t>
  </si>
  <si>
    <t xml:space="preserve">rv_001652</t>
  </si>
  <si>
    <t xml:space="preserve">jennifer46</t>
  </si>
  <si>
    <t xml:space="preserve">rv_001997</t>
  </si>
  <si>
    <t xml:space="preserve">tburke</t>
  </si>
  <si>
    <t xml:space="preserve">rv_004584</t>
  </si>
  <si>
    <t xml:space="preserve">lauraboone</t>
  </si>
  <si>
    <t xml:space="preserve">rv_005723</t>
  </si>
  <si>
    <t xml:space="preserve">eric54</t>
  </si>
  <si>
    <t xml:space="preserve">rv_003431</t>
  </si>
  <si>
    <t xml:space="preserve">elainewilson</t>
  </si>
  <si>
    <t xml:space="preserve">rv_000379</t>
  </si>
  <si>
    <t xml:space="preserve">mark07</t>
  </si>
  <si>
    <t xml:space="preserve">rv_000965</t>
  </si>
  <si>
    <t xml:space="preserve">lbanks</t>
  </si>
  <si>
    <t xml:space="preserve">rv_004553</t>
  </si>
  <si>
    <t xml:space="preserve">saraterry</t>
  </si>
  <si>
    <t xml:space="preserve">rv_000712</t>
  </si>
  <si>
    <t xml:space="preserve">thickman</t>
  </si>
  <si>
    <t xml:space="preserve">rv_004033</t>
  </si>
  <si>
    <t xml:space="preserve">justintaylor</t>
  </si>
  <si>
    <t xml:space="preserve">rv_004295</t>
  </si>
  <si>
    <t xml:space="preserve">tashaharmon</t>
  </si>
  <si>
    <t xml:space="preserve">rv_000550</t>
  </si>
  <si>
    <t xml:space="preserve">marcia99</t>
  </si>
  <si>
    <t xml:space="preserve">rv_002138</t>
  </si>
  <si>
    <t xml:space="preserve">wendy90</t>
  </si>
  <si>
    <t xml:space="preserve">rv_003629</t>
  </si>
  <si>
    <t xml:space="preserve">adamvaughan</t>
  </si>
  <si>
    <t xml:space="preserve">rv_001231</t>
  </si>
  <si>
    <t xml:space="preserve">howardwesley</t>
  </si>
  <si>
    <t xml:space="preserve">rv_001828</t>
  </si>
  <si>
    <t xml:space="preserve">bstrickland</t>
  </si>
  <si>
    <t xml:space="preserve">rv_001150</t>
  </si>
  <si>
    <t xml:space="preserve">garciarobert</t>
  </si>
  <si>
    <t xml:space="preserve">rv_004974</t>
  </si>
  <si>
    <t xml:space="preserve">kurt90</t>
  </si>
  <si>
    <t xml:space="preserve">rv_005823</t>
  </si>
  <si>
    <t xml:space="preserve">megan57</t>
  </si>
  <si>
    <t xml:space="preserve">rv_005375</t>
  </si>
  <si>
    <t xml:space="preserve">scott04</t>
  </si>
  <si>
    <t xml:space="preserve">rv_003080</t>
  </si>
  <si>
    <t xml:space="preserve">nathaniel17</t>
  </si>
  <si>
    <t xml:space="preserve">rv_005837</t>
  </si>
  <si>
    <t xml:space="preserve">halexander</t>
  </si>
  <si>
    <t xml:space="preserve">rv_004435</t>
  </si>
  <si>
    <t xml:space="preserve">alvarezpaul</t>
  </si>
  <si>
    <t xml:space="preserve">rv_005645</t>
  </si>
  <si>
    <t xml:space="preserve">ijimenez</t>
  </si>
  <si>
    <t xml:space="preserve">rv_001180</t>
  </si>
  <si>
    <t xml:space="preserve">qaguilar</t>
  </si>
  <si>
    <t xml:space="preserve">rv_004268</t>
  </si>
  <si>
    <t xml:space="preserve">wsmith</t>
  </si>
  <si>
    <t xml:space="preserve">rv_002079</t>
  </si>
  <si>
    <t xml:space="preserve">rv_000995</t>
  </si>
  <si>
    <t xml:space="preserve">georgecarter</t>
  </si>
  <si>
    <t xml:space="preserve">rv_000055</t>
  </si>
  <si>
    <t xml:space="preserve">esanchez</t>
  </si>
  <si>
    <t xml:space="preserve">OTP never arrives so I can't log in to my account. Works fine most of the time.</t>
  </si>
  <si>
    <t xml:space="preserve">rv_003867</t>
  </si>
  <si>
    <t xml:space="preserve">david85</t>
  </si>
  <si>
    <t xml:space="preserve">rv_002951</t>
  </si>
  <si>
    <t xml:space="preserve">cisnerosjesse</t>
  </si>
  <si>
    <t xml:space="preserve">rv_001576</t>
  </si>
  <si>
    <t xml:space="preserve">wattsthomas</t>
  </si>
  <si>
    <t xml:space="preserve">Extremely laggy after the recent update. Decent app but could use more features.</t>
  </si>
  <si>
    <t xml:space="preserve">rv_002150</t>
  </si>
  <si>
    <t xml:space="preserve">jbrown</t>
  </si>
  <si>
    <t xml:space="preserve">rv_002571</t>
  </si>
  <si>
    <t xml:space="preserve">john80</t>
  </si>
  <si>
    <t xml:space="preserve">rv_004062</t>
  </si>
  <si>
    <t xml:space="preserve">amandajackson</t>
  </si>
  <si>
    <t xml:space="preserve">rv_005757</t>
  </si>
  <si>
    <t xml:space="preserve">kimberlyperez</t>
  </si>
  <si>
    <t xml:space="preserve">Tried to pay a bill three times, all failed, very risky app. Decent app but could use more features.</t>
  </si>
  <si>
    <t xml:space="preserve">rv_002561</t>
  </si>
  <si>
    <t xml:space="preserve">hallchristina</t>
  </si>
  <si>
    <t xml:space="preserve">rv_002725</t>
  </si>
  <si>
    <t xml:space="preserve">donna72</t>
  </si>
  <si>
    <t xml:space="preserve">rv_005822</t>
  </si>
  <si>
    <t xml:space="preserve">moorebrenda</t>
  </si>
  <si>
    <t xml:space="preserve">rv_001423</t>
  </si>
  <si>
    <t xml:space="preserve">wattstravis</t>
  </si>
  <si>
    <t xml:space="preserve">Good enough for basic transactions. Good enough for basic transactions.</t>
  </si>
  <si>
    <t xml:space="preserve">rv_001295</t>
  </si>
  <si>
    <t xml:space="preserve">johnsjessica</t>
  </si>
  <si>
    <t xml:space="preserve">rv_001560</t>
  </si>
  <si>
    <t xml:space="preserve">robertberry</t>
  </si>
  <si>
    <t xml:space="preserve">rv_000989</t>
  </si>
  <si>
    <t xml:space="preserve">robertspencer</t>
  </si>
  <si>
    <t xml:space="preserve">rv_002560</t>
  </si>
  <si>
    <t xml:space="preserve">wesleybush</t>
  </si>
  <si>
    <t xml:space="preserve">rv_004743</t>
  </si>
  <si>
    <t xml:space="preserve">bradleybarker</t>
  </si>
  <si>
    <t xml:space="preserve">rv_003601</t>
  </si>
  <si>
    <t xml:space="preserve">robertabarnett</t>
  </si>
  <si>
    <t xml:space="preserve">rv_004630</t>
  </si>
  <si>
    <t xml:space="preserve">dianepowers</t>
  </si>
  <si>
    <t xml:space="preserve">rv_000940</t>
  </si>
  <si>
    <t xml:space="preserve">mtaylor</t>
  </si>
  <si>
    <t xml:space="preserve">rv_002654</t>
  </si>
  <si>
    <t xml:space="preserve">pbates</t>
  </si>
  <si>
    <t xml:space="preserve">rv_004433</t>
  </si>
  <si>
    <t xml:space="preserve">william63</t>
  </si>
  <si>
    <t xml:space="preserve">rv_000979</t>
  </si>
  <si>
    <t xml:space="preserve">ysnyder</t>
  </si>
  <si>
    <t xml:space="preserve">rv_000587</t>
  </si>
  <si>
    <t xml:space="preserve">jamesryan</t>
  </si>
  <si>
    <t xml:space="preserve">rv_005076</t>
  </si>
  <si>
    <t xml:space="preserve">csparks</t>
  </si>
  <si>
    <t xml:space="preserve">rv_003645</t>
  </si>
  <si>
    <t xml:space="preserve">uhunt</t>
  </si>
  <si>
    <t xml:space="preserve">rv_003341</t>
  </si>
  <si>
    <t xml:space="preserve">katie44</t>
  </si>
  <si>
    <t xml:space="preserve">rv_003030</t>
  </si>
  <si>
    <t xml:space="preserve">williamadams</t>
  </si>
  <si>
    <t xml:space="preserve">4.4.0</t>
  </si>
  <si>
    <t xml:space="preserve">rv_000382</t>
  </si>
  <si>
    <t xml:space="preserve">charles06</t>
  </si>
  <si>
    <t xml:space="preserve">rv_000981</t>
  </si>
  <si>
    <t xml:space="preserve">franciscojones</t>
  </si>
  <si>
    <t xml:space="preserve">rv_003996</t>
  </si>
  <si>
    <t xml:space="preserve">michelle90</t>
  </si>
  <si>
    <t xml:space="preserve">App is so slow to load, takes forever on every screen. Works fine most of the time.</t>
  </si>
  <si>
    <t xml:space="preserve">rv_001768</t>
  </si>
  <si>
    <t xml:space="preserve">aprilbyrd</t>
  </si>
  <si>
    <t xml:space="preserve">rv_002548</t>
  </si>
  <si>
    <t xml:space="preserve">hmcmillan</t>
  </si>
  <si>
    <t xml:space="preserve">Extremely laggy after the recent update. It's okay, does what it needs to do.</t>
  </si>
  <si>
    <t xml:space="preserve">rv_003271</t>
  </si>
  <si>
    <t xml:space="preserve">andrew44</t>
  </si>
  <si>
    <t xml:space="preserve">rv_000718</t>
  </si>
  <si>
    <t xml:space="preserve">unovak</t>
  </si>
  <si>
    <t xml:space="preserve">rv_005852</t>
  </si>
  <si>
    <t xml:space="preserve">joshua74</t>
  </si>
  <si>
    <t xml:space="preserve">App lags badly on older phones now. Decent app but could use more features.</t>
  </si>
  <si>
    <t xml:space="preserve">rv_001920</t>
  </si>
  <si>
    <t xml:space="preserve">tara92</t>
  </si>
  <si>
    <t xml:space="preserve">rv_002591</t>
  </si>
  <si>
    <t xml:space="preserve">jcampbell</t>
  </si>
  <si>
    <t xml:space="preserve">rv_005571</t>
  </si>
  <si>
    <t xml:space="preserve">smithmichael</t>
  </si>
  <si>
    <t xml:space="preserve">rv_001613</t>
  </si>
  <si>
    <t xml:space="preserve">mramos</t>
  </si>
  <si>
    <t xml:space="preserve">It freezes and then crashes, had to reinstall twice. Good enough for basic transactions.</t>
  </si>
  <si>
    <t xml:space="preserve">rv_002937</t>
  </si>
  <si>
    <t xml:space="preserve">anthony42</t>
  </si>
  <si>
    <t xml:space="preserve">rv_004753</t>
  </si>
  <si>
    <t xml:space="preserve">jamesclark</t>
  </si>
  <si>
    <t xml:space="preserve">rv_000707</t>
  </si>
  <si>
    <t xml:space="preserve">hallrachel</t>
  </si>
  <si>
    <t xml:space="preserve">rv_004887</t>
  </si>
  <si>
    <t xml:space="preserve">cisneroskatrina</t>
  </si>
  <si>
    <t xml:space="preserve">rv_002394</t>
  </si>
  <si>
    <t xml:space="preserve">oduran</t>
  </si>
  <si>
    <t xml:space="preserve">rv_005406</t>
  </si>
  <si>
    <t xml:space="preserve">melanie40</t>
  </si>
  <si>
    <t xml:space="preserve">rv_004688</t>
  </si>
  <si>
    <t xml:space="preserve">sbartlett</t>
  </si>
  <si>
    <t xml:space="preserve">rv_000725</t>
  </si>
  <si>
    <t xml:space="preserve">michael10</t>
  </si>
  <si>
    <t xml:space="preserve">rv_001038</t>
  </si>
  <si>
    <t xml:space="preserve">thompsonnancy</t>
  </si>
  <si>
    <t xml:space="preserve">rv_004544</t>
  </si>
  <si>
    <t xml:space="preserve">christina57</t>
  </si>
  <si>
    <t xml:space="preserve">rv_004659</t>
  </si>
  <si>
    <t xml:space="preserve">larryshort</t>
  </si>
  <si>
    <t xml:space="preserve">rv_002396</t>
  </si>
  <si>
    <t xml:space="preserve">rangelnicholas</t>
  </si>
  <si>
    <t xml:space="preserve">rv_002942</t>
  </si>
  <si>
    <t xml:space="preserve">williamschristopher</t>
  </si>
  <si>
    <t xml:space="preserve">rv_002932</t>
  </si>
  <si>
    <t xml:space="preserve">velasqueztaylor</t>
  </si>
  <si>
    <t xml:space="preserve">rv_004213</t>
  </si>
  <si>
    <t xml:space="preserve">jfranklin</t>
  </si>
  <si>
    <t xml:space="preserve">rv_000436</t>
  </si>
  <si>
    <t xml:space="preserve">xhammond</t>
  </si>
  <si>
    <t xml:space="preserve">rv_000568</t>
  </si>
  <si>
    <t xml:space="preserve">anthonyvaughan</t>
  </si>
  <si>
    <t xml:space="preserve">rv_004878</t>
  </si>
  <si>
    <t xml:space="preserve">vburch</t>
  </si>
  <si>
    <t xml:space="preserve">rv_001601</t>
  </si>
  <si>
    <t xml:space="preserve">wilsonshannon</t>
  </si>
  <si>
    <t xml:space="preserve">rv_002046</t>
  </si>
  <si>
    <t xml:space="preserve">stokescraig</t>
  </si>
  <si>
    <t xml:space="preserve">rv_002437</t>
  </si>
  <si>
    <t xml:space="preserve">sharon47</t>
  </si>
  <si>
    <t xml:space="preserve">rv_002801</t>
  </si>
  <si>
    <t xml:space="preserve">russell90</t>
  </si>
  <si>
    <t xml:space="preserve">rv_005753</t>
  </si>
  <si>
    <t xml:space="preserve">nperez</t>
  </si>
  <si>
    <t xml:space="preserve">rv_002343</t>
  </si>
  <si>
    <t xml:space="preserve">dwilliams</t>
  </si>
  <si>
    <t xml:space="preserve">rv_005502</t>
  </si>
  <si>
    <t xml:space="preserve">eugenegreen</t>
  </si>
  <si>
    <t xml:space="preserve">rv_000936</t>
  </si>
  <si>
    <t xml:space="preserve">joshuagriffin</t>
  </si>
  <si>
    <t xml:space="preserve">rv_000822</t>
  </si>
  <si>
    <t xml:space="preserve">meltonmelanie</t>
  </si>
  <si>
    <t xml:space="preserve">rv_000063</t>
  </si>
  <si>
    <t xml:space="preserve">williamsyvette</t>
  </si>
  <si>
    <t xml:space="preserve">rv_004908</t>
  </si>
  <si>
    <t xml:space="preserve">hdavis</t>
  </si>
  <si>
    <t xml:space="preserve">FAST TRANSFERS AND GREAT CUSTOMER SERVICE. GREAT APP, SUPER EASY TO SEND MONEY TO FRIENDS!</t>
  </si>
  <si>
    <t xml:space="preserve">rv_000038</t>
  </si>
  <si>
    <t xml:space="preserve">ericfarmer</t>
  </si>
  <si>
    <t xml:space="preserve">rv_001655</t>
  </si>
  <si>
    <t xml:space="preserve">aliciathompson</t>
  </si>
  <si>
    <t xml:space="preserve">rv_005986</t>
  </si>
  <si>
    <t xml:space="preserve">tesparza</t>
  </si>
  <si>
    <t xml:space="preserve">rv_004512</t>
  </si>
  <si>
    <t xml:space="preserve">zking</t>
  </si>
  <si>
    <t xml:space="preserve">rv_004259</t>
  </si>
  <si>
    <t xml:space="preserve">vasquezamy</t>
  </si>
  <si>
    <t xml:space="preserve">rv_002970</t>
  </si>
  <si>
    <t xml:space="preserve">rv_002304</t>
  </si>
  <si>
    <t xml:space="preserve">butlerashley</t>
  </si>
  <si>
    <t xml:space="preserve">rv_003355</t>
  </si>
  <si>
    <t xml:space="preserve">christy25</t>
  </si>
  <si>
    <t xml:space="preserve">rv_000987</t>
  </si>
  <si>
    <t xml:space="preserve">catherinehamilton</t>
  </si>
  <si>
    <t xml:space="preserve">rv_004746</t>
  </si>
  <si>
    <t xml:space="preserve">lauraclay</t>
  </si>
  <si>
    <t xml:space="preserve">rv_003487</t>
  </si>
  <si>
    <t xml:space="preserve">aprilmartinez</t>
  </si>
  <si>
    <t xml:space="preserve">rv_001224</t>
  </si>
  <si>
    <t xml:space="preserve">andrewlove</t>
  </si>
  <si>
    <t xml:space="preserve">rv_002182</t>
  </si>
  <si>
    <t xml:space="preserve">williamsmatthew</t>
  </si>
  <si>
    <t xml:space="preserve">rv_005138</t>
  </si>
  <si>
    <t xml:space="preserve">john97</t>
  </si>
  <si>
    <t xml:space="preserve">rv_001305</t>
  </si>
  <si>
    <t xml:space="preserve">thompsonrachel</t>
  </si>
  <si>
    <t xml:space="preserve">rv_004283</t>
  </si>
  <si>
    <t xml:space="preserve">marissa39</t>
  </si>
  <si>
    <t xml:space="preserve">rv_001501</t>
  </si>
  <si>
    <t xml:space="preserve">michael77</t>
  </si>
  <si>
    <t xml:space="preserve">rv_001057</t>
  </si>
  <si>
    <t xml:space="preserve">anna99</t>
  </si>
  <si>
    <t xml:space="preserve">rv_004745</t>
  </si>
  <si>
    <t xml:space="preserve">howetracy</t>
  </si>
  <si>
    <t xml:space="preserve">rv_004756</t>
  </si>
  <si>
    <t xml:space="preserve">wilsonrhonda</t>
  </si>
  <si>
    <t xml:space="preserve">rv_000840</t>
  </si>
  <si>
    <t xml:space="preserve">lisa62</t>
  </si>
  <si>
    <t xml:space="preserve">rv_005255</t>
  </si>
  <si>
    <t xml:space="preserve">brandi19</t>
  </si>
  <si>
    <t xml:space="preserve">rv_003077</t>
  </si>
  <si>
    <t xml:space="preserve">bandrade</t>
  </si>
  <si>
    <t xml:space="preserve">rv_003449</t>
  </si>
  <si>
    <t xml:space="preserve">traciemassey</t>
  </si>
  <si>
    <t xml:space="preserve">rv_005215</t>
  </si>
  <si>
    <t xml:space="preserve">seth29</t>
  </si>
  <si>
    <t xml:space="preserve">rv_002880</t>
  </si>
  <si>
    <t xml:space="preserve">tochoa</t>
  </si>
  <si>
    <t xml:space="preserve">rv_003095</t>
  </si>
  <si>
    <t xml:space="preserve">robert17</t>
  </si>
  <si>
    <t xml:space="preserve">rv_003288</t>
  </si>
  <si>
    <t xml:space="preserve">velazquezanthony</t>
  </si>
  <si>
    <t xml:space="preserve">rv_000771</t>
  </si>
  <si>
    <t xml:space="preserve">sweeneydeborah</t>
  </si>
  <si>
    <t xml:space="preserve">rv_000563</t>
  </si>
  <si>
    <t xml:space="preserve">laura09</t>
  </si>
  <si>
    <t xml:space="preserve">rv_001949</t>
  </si>
  <si>
    <t xml:space="preserve">wilsonjoshua</t>
  </si>
  <si>
    <t xml:space="preserve">rv_000472</t>
  </si>
  <si>
    <t xml:space="preserve">sarah86</t>
  </si>
  <si>
    <t xml:space="preserve">rv_001976</t>
  </si>
  <si>
    <t xml:space="preserve">rv_000293</t>
  </si>
  <si>
    <t xml:space="preserve">khill</t>
  </si>
  <si>
    <t xml:space="preserve">rv_005949</t>
  </si>
  <si>
    <t xml:space="preserve">edward16</t>
  </si>
  <si>
    <t xml:space="preserve">rv_004458</t>
  </si>
  <si>
    <t xml:space="preserve">jamie76</t>
  </si>
  <si>
    <t xml:space="preserve">rv_005151</t>
  </si>
  <si>
    <t xml:space="preserve">harrisjoshua</t>
  </si>
  <si>
    <t xml:space="preserve">rv_000655</t>
  </si>
  <si>
    <t xml:space="preserve">nancy83</t>
  </si>
  <si>
    <t xml:space="preserve">rv_005828</t>
  </si>
  <si>
    <t xml:space="preserve">tfoster</t>
  </si>
  <si>
    <t xml:space="preserve">rv_001822</t>
  </si>
  <si>
    <t xml:space="preserve">marcoconnell</t>
  </si>
  <si>
    <t xml:space="preserve">rv_003301</t>
  </si>
  <si>
    <t xml:space="preserve">catherinemendoza</t>
  </si>
  <si>
    <t xml:space="preserve">rv_005898</t>
  </si>
  <si>
    <t xml:space="preserve">uwalton</t>
  </si>
  <si>
    <t xml:space="preserve">rv_005629</t>
  </si>
  <si>
    <t xml:space="preserve">williamperkins</t>
  </si>
  <si>
    <t xml:space="preserve">rv_004612</t>
  </si>
  <si>
    <t xml:space="preserve">msloan</t>
  </si>
  <si>
    <t xml:space="preserve">rv_005486</t>
  </si>
  <si>
    <t xml:space="preserve">gregory29</t>
  </si>
  <si>
    <t xml:space="preserve">rv_003290</t>
  </si>
  <si>
    <t xml:space="preserve">tranbrett</t>
  </si>
  <si>
    <t xml:space="preserve">rv_000426</t>
  </si>
  <si>
    <t xml:space="preserve">romeroamber</t>
  </si>
  <si>
    <t xml:space="preserve">rv_000130</t>
  </si>
  <si>
    <t xml:space="preserve">sanchezthomas</t>
  </si>
  <si>
    <t xml:space="preserve">rv_004327</t>
  </si>
  <si>
    <t xml:space="preserve">carolfernandez</t>
  </si>
  <si>
    <t xml:space="preserve">rv_002178</t>
  </si>
  <si>
    <t xml:space="preserve">william77</t>
  </si>
  <si>
    <t xml:space="preserve">Average experience, nothing special. It's okay, does what it needs to do.</t>
  </si>
  <si>
    <t xml:space="preserve">rv_004171</t>
  </si>
  <si>
    <t xml:space="preserve">lopezjennifer</t>
  </si>
  <si>
    <t xml:space="preserve">rv_000402</t>
  </si>
  <si>
    <t xml:space="preserve">william47</t>
  </si>
  <si>
    <t xml:space="preserve">rv_004869</t>
  </si>
  <si>
    <t xml:space="preserve">rv_004396</t>
  </si>
  <si>
    <t xml:space="preserve">knightjohn</t>
  </si>
  <si>
    <t xml:space="preserve">rv_002434</t>
  </si>
  <si>
    <t xml:space="preserve">gregorysmith</t>
  </si>
  <si>
    <t xml:space="preserve">rv_003184</t>
  </si>
  <si>
    <t xml:space="preserve">cindy24</t>
  </si>
  <si>
    <t xml:space="preserve">rv_005530</t>
  </si>
  <si>
    <t xml:space="preserve">monica26</t>
  </si>
  <si>
    <t xml:space="preserve">rv_003244</t>
  </si>
  <si>
    <t xml:space="preserve">sandra17</t>
  </si>
  <si>
    <t xml:space="preserve">rv_004129</t>
  </si>
  <si>
    <t xml:space="preserve">jmoore</t>
  </si>
  <si>
    <t xml:space="preserve">rv_005806</t>
  </si>
  <si>
    <t xml:space="preserve">hernandezcharles</t>
  </si>
  <si>
    <t xml:space="preserve">rv_004324</t>
  </si>
  <si>
    <t xml:space="preserve">nicole55</t>
  </si>
  <si>
    <t xml:space="preserve">Battery drains so fast whenever this app is open. It's okay, does what it needs to do.</t>
  </si>
  <si>
    <t xml:space="preserve">rv_004859</t>
  </si>
  <si>
    <t xml:space="preserve">marywarren</t>
  </si>
  <si>
    <t xml:space="preserve">rv_005035</t>
  </si>
  <si>
    <t xml:space="preserve">nunezgary</t>
  </si>
  <si>
    <t xml:space="preserve">rv_005877</t>
  </si>
  <si>
    <t xml:space="preserve">rv_005541</t>
  </si>
  <si>
    <t xml:space="preserve">longshane</t>
  </si>
  <si>
    <t xml:space="preserve">rv_004492</t>
  </si>
  <si>
    <t xml:space="preserve">dtaylor</t>
  </si>
  <si>
    <t xml:space="preserve">Crashes constantly, unusable since the update. Works fine most of the time.</t>
  </si>
  <si>
    <t xml:space="preserve">rv_002838</t>
  </si>
  <si>
    <t xml:space="preserve">keithsosa</t>
  </si>
  <si>
    <t xml:space="preserve">rv_005983</t>
  </si>
  <si>
    <t xml:space="preserve">kimberlywatson</t>
  </si>
  <si>
    <t xml:space="preserve">rv_001550</t>
  </si>
  <si>
    <t xml:space="preserve">lopezvincent</t>
  </si>
  <si>
    <t xml:space="preserve">rv_004989</t>
  </si>
  <si>
    <t xml:space="preserve">nancyryan</t>
  </si>
  <si>
    <t xml:space="preserve">rv_004046</t>
  </si>
  <si>
    <t xml:space="preserve">patriciajoseph</t>
  </si>
  <si>
    <t xml:space="preserve">rv_005895</t>
  </si>
  <si>
    <t xml:space="preserve">mooreamanda</t>
  </si>
  <si>
    <t xml:space="preserve">rv_001818</t>
  </si>
  <si>
    <t xml:space="preserve">wilsonbrooke</t>
  </si>
  <si>
    <t xml:space="preserve">rv_003986</t>
  </si>
  <si>
    <t xml:space="preserve">kbrown</t>
  </si>
  <si>
    <t xml:space="preserve">rv_003012</t>
  </si>
  <si>
    <t xml:space="preserve">peggy81</t>
  </si>
  <si>
    <t xml:space="preserve">SMOOTH EXPERIENCE, NO COMPLAINTS AT ALL.</t>
  </si>
  <si>
    <t xml:space="preserve">rv_001467</t>
  </si>
  <si>
    <t xml:space="preserve">llopez</t>
  </si>
  <si>
    <t xml:space="preserve">rv_001812</t>
  </si>
  <si>
    <t xml:space="preserve">johnsondonald</t>
  </si>
  <si>
    <t xml:space="preserve">rv_004514</t>
  </si>
  <si>
    <t xml:space="preserve">stevenperry</t>
  </si>
  <si>
    <t xml:space="preserve">rv_001077</t>
  </si>
  <si>
    <t xml:space="preserve">kennedyjames</t>
  </si>
  <si>
    <t xml:space="preserve">rv_001912</t>
  </si>
  <si>
    <t xml:space="preserve">autumn74</t>
  </si>
  <si>
    <t xml:space="preserve">rv_003960</t>
  </si>
  <si>
    <t xml:space="preserve">lopezlance</t>
  </si>
  <si>
    <t xml:space="preserve">rv_001574</t>
  </si>
  <si>
    <t xml:space="preserve">catherine93</t>
  </si>
  <si>
    <t xml:space="preserve">rv_002051</t>
  </si>
  <si>
    <t xml:space="preserve">rv_005785</t>
  </si>
  <si>
    <t xml:space="preserve">phill</t>
  </si>
  <si>
    <t xml:space="preserve">rv_004478</t>
  </si>
  <si>
    <t xml:space="preserve">shawn42</t>
  </si>
  <si>
    <t xml:space="preserve">rv_004934</t>
  </si>
  <si>
    <t xml:space="preserve">katieaguirre</t>
  </si>
  <si>
    <t xml:space="preserve">rv_003662</t>
  </si>
  <si>
    <t xml:space="preserve">cooperluis</t>
  </si>
  <si>
    <t xml:space="preserve">Why did they change the whole layout, it was fine before. Works fine most of the time.</t>
  </si>
  <si>
    <t xml:space="preserve">rv_001565</t>
  </si>
  <si>
    <t xml:space="preserve">russellstout</t>
  </si>
  <si>
    <t xml:space="preserve">rv_001697</t>
  </si>
  <si>
    <t xml:space="preserve">gnguyen</t>
  </si>
  <si>
    <t xml:space="preserve">rv_000990</t>
  </si>
  <si>
    <t xml:space="preserve">donna43</t>
  </si>
  <si>
    <t xml:space="preserve">rv_003136</t>
  </si>
  <si>
    <t xml:space="preserve">josephalvarez</t>
  </si>
  <si>
    <t xml:space="preserve">rv_003574</t>
  </si>
  <si>
    <t xml:space="preserve">holmescrystal</t>
  </si>
  <si>
    <t xml:space="preserve">rv_001693</t>
  </si>
  <si>
    <t xml:space="preserve">jared96</t>
  </si>
  <si>
    <t xml:space="preserve">rv_001937</t>
  </si>
  <si>
    <t xml:space="preserve">achandler</t>
  </si>
  <si>
    <t xml:space="preserve">rv_005152</t>
  </si>
  <si>
    <t xml:space="preserve">joel61</t>
  </si>
  <si>
    <t xml:space="preserve">rv_003041</t>
  </si>
  <si>
    <t xml:space="preserve">williamwelch</t>
  </si>
  <si>
    <t xml:space="preserve">rv_001429</t>
  </si>
  <si>
    <t xml:space="preserve">oclayton</t>
  </si>
  <si>
    <t xml:space="preserve">rv_001865</t>
  </si>
  <si>
    <t xml:space="preserve">blairjill</t>
  </si>
  <si>
    <t xml:space="preserve">rv_003889</t>
  </si>
  <si>
    <t xml:space="preserve">ronald08</t>
  </si>
  <si>
    <t xml:space="preserve">rv_002149</t>
  </si>
  <si>
    <t xml:space="preserve">jgallagher</t>
  </si>
  <si>
    <t xml:space="preserve">rv_004755</t>
  </si>
  <si>
    <t xml:space="preserve">iperez</t>
  </si>
  <si>
    <t xml:space="preserve">rv_004735</t>
  </si>
  <si>
    <t xml:space="preserve">garciaveronica</t>
  </si>
  <si>
    <t xml:space="preserve">rv_000603</t>
  </si>
  <si>
    <t xml:space="preserve">ismall</t>
  </si>
  <si>
    <t xml:space="preserve">rv_005611</t>
  </si>
  <si>
    <t xml:space="preserve">michael21</t>
  </si>
  <si>
    <t xml:space="preserve">rv_005439</t>
  </si>
  <si>
    <t xml:space="preserve">williamsanthony</t>
  </si>
  <si>
    <t xml:space="preserve">rv_000259</t>
  </si>
  <si>
    <t xml:space="preserve">cgrimes</t>
  </si>
  <si>
    <t xml:space="preserve">rv_000340</t>
  </si>
  <si>
    <t xml:space="preserve">bboone</t>
  </si>
  <si>
    <t xml:space="preserve">rv_004913</t>
  </si>
  <si>
    <t xml:space="preserve">stephaniezamora</t>
  </si>
  <si>
    <t xml:space="preserve">rv_001355</t>
  </si>
  <si>
    <t xml:space="preserve">zachary04</t>
  </si>
  <si>
    <t xml:space="preserve">rv_004408</t>
  </si>
  <si>
    <t xml:space="preserve">phillip75</t>
  </si>
  <si>
    <t xml:space="preserve">rv_000090</t>
  </si>
  <si>
    <t xml:space="preserve">james48</t>
  </si>
  <si>
    <t xml:space="preserve">rv_002140</t>
  </si>
  <si>
    <t xml:space="preserve">tiffany52</t>
  </si>
  <si>
    <t xml:space="preserve">rv_005136</t>
  </si>
  <si>
    <t xml:space="preserve">ksmith</t>
  </si>
  <si>
    <t xml:space="preserve">rv_005924</t>
  </si>
  <si>
    <t xml:space="preserve">yrodriguez</t>
  </si>
  <si>
    <t xml:space="preserve">rv_001005</t>
  </si>
  <si>
    <t xml:space="preserve">angelarandall</t>
  </si>
  <si>
    <t xml:space="preserve">rv_002938</t>
  </si>
  <si>
    <t xml:space="preserve">jonescarla</t>
  </si>
  <si>
    <t xml:space="preserve">rv_004498</t>
  </si>
  <si>
    <t xml:space="preserve">mitchellallison</t>
  </si>
  <si>
    <t xml:space="preserve">rv_005251</t>
  </si>
  <si>
    <t xml:space="preserve">javiermitchell</t>
  </si>
  <si>
    <t xml:space="preserve">rv_005743</t>
  </si>
  <si>
    <t xml:space="preserve">kathrynrice</t>
  </si>
  <si>
    <t xml:space="preserve">rv_000484</t>
  </si>
  <si>
    <t xml:space="preserve">hannahbell</t>
  </si>
  <si>
    <t xml:space="preserve">rv_000361</t>
  </si>
  <si>
    <t xml:space="preserve">farmeraudrey</t>
  </si>
  <si>
    <t xml:space="preserve">rv_003106</t>
  </si>
  <si>
    <t xml:space="preserve">cameronsharon</t>
  </si>
  <si>
    <t xml:space="preserve">rv_001583</t>
  </si>
  <si>
    <t xml:space="preserve">fcamacho</t>
  </si>
  <si>
    <t xml:space="preserve">DECENT APP BUT COULD USE MORE FEATURES. IT'S OKAY, DOES WHAT IT NEEDS TO DO.</t>
  </si>
  <si>
    <t xml:space="preserve">rv_000582</t>
  </si>
  <si>
    <t xml:space="preserve">keith98</t>
  </si>
  <si>
    <t xml:space="preserve">rv_004164</t>
  </si>
  <si>
    <t xml:space="preserve">kimberlyshields</t>
  </si>
  <si>
    <t xml:space="preserve">rv_002083</t>
  </si>
  <si>
    <t xml:space="preserve">mejialawrence</t>
  </si>
  <si>
    <t xml:space="preserve">rv_004537</t>
  </si>
  <si>
    <t xml:space="preserve">jlloyd</t>
  </si>
  <si>
    <t xml:space="preserve">Works fine most of the time. Smooth experience, no complaints at all.</t>
  </si>
  <si>
    <t xml:space="preserve">rv_001106</t>
  </si>
  <si>
    <t xml:space="preserve">thomas23</t>
  </si>
  <si>
    <t xml:space="preserve">rv_000249</t>
  </si>
  <si>
    <t xml:space="preserve">jennifercollins</t>
  </si>
  <si>
    <t xml:space="preserve">rv_004956</t>
  </si>
  <si>
    <t xml:space="preserve">melvinpeters</t>
  </si>
  <si>
    <t xml:space="preserve">rv_001539</t>
  </si>
  <si>
    <t xml:space="preserve">shannon05</t>
  </si>
  <si>
    <t xml:space="preserve">rv_004888</t>
  </si>
  <si>
    <t xml:space="preserve">priscilla50</t>
  </si>
  <si>
    <t xml:space="preserve">rv_003817</t>
  </si>
  <si>
    <t xml:space="preserve">debrajones</t>
  </si>
  <si>
    <t xml:space="preserve">rv_004957</t>
  </si>
  <si>
    <t xml:space="preserve">reesetravis</t>
  </si>
  <si>
    <t xml:space="preserve">Takes ages to load the transaction history. Decent app but could use more features.</t>
  </si>
  <si>
    <t xml:space="preserve">rv_000528</t>
  </si>
  <si>
    <t xml:space="preserve">lindacohen</t>
  </si>
  <si>
    <t xml:space="preserve">rv_003399</t>
  </si>
  <si>
    <t xml:space="preserve">robertstommy</t>
  </si>
  <si>
    <t xml:space="preserve">rv_001358</t>
  </si>
  <si>
    <t xml:space="preserve">michael94</t>
  </si>
  <si>
    <t xml:space="preserve">rv_002759</t>
  </si>
  <si>
    <t xml:space="preserve">tmeyer</t>
  </si>
  <si>
    <t xml:space="preserve">rv_003007</t>
  </si>
  <si>
    <t xml:space="preserve">johnsonjulie</t>
  </si>
  <si>
    <t xml:space="preserve">rv_000914</t>
  </si>
  <si>
    <t xml:space="preserve">hardingderek</t>
  </si>
  <si>
    <t xml:space="preserve">rv_002626</t>
  </si>
  <si>
    <t xml:space="preserve">christopher14</t>
  </si>
  <si>
    <t xml:space="preserve">rv_004194</t>
  </si>
  <si>
    <t xml:space="preserve">jessica57</t>
  </si>
  <si>
    <t xml:space="preserve">rv_003365</t>
  </si>
  <si>
    <t xml:space="preserve">mstewart</t>
  </si>
  <si>
    <t xml:space="preserve">rv_001913</t>
  </si>
  <si>
    <t xml:space="preserve">jack80</t>
  </si>
  <si>
    <t xml:space="preserve">rv_001163</t>
  </si>
  <si>
    <t xml:space="preserve">ylewis</t>
  </si>
  <si>
    <t xml:space="preserve">rv_000185</t>
  </si>
  <si>
    <t xml:space="preserve">ugraham</t>
  </si>
  <si>
    <t xml:space="preserve">rv_001184</t>
  </si>
  <si>
    <t xml:space="preserve">gonzalezkaren</t>
  </si>
  <si>
    <t xml:space="preserve">rv_000326</t>
  </si>
  <si>
    <t xml:space="preserve">rv_002384</t>
  </si>
  <si>
    <t xml:space="preserve">adam35</t>
  </si>
  <si>
    <t xml:space="preserve">rv_002858</t>
  </si>
  <si>
    <t xml:space="preserve">teresa89</t>
  </si>
  <si>
    <t xml:space="preserve">rv_004014</t>
  </si>
  <si>
    <t xml:space="preserve">michele23</t>
  </si>
  <si>
    <t xml:space="preserve">rv_005580</t>
  </si>
  <si>
    <t xml:space="preserve">schneiderraymond</t>
  </si>
  <si>
    <t xml:space="preserve">rv_004232</t>
  </si>
  <si>
    <t xml:space="preserve">jennifer50</t>
  </si>
  <si>
    <t xml:space="preserve">rv_003282</t>
  </si>
  <si>
    <t xml:space="preserve">reedchad</t>
  </si>
  <si>
    <t xml:space="preserve">rv_000518</t>
  </si>
  <si>
    <t xml:space="preserve">stacey84</t>
  </si>
  <si>
    <t xml:space="preserve">rv_000971</t>
  </si>
  <si>
    <t xml:space="preserve">daniellegarcia</t>
  </si>
  <si>
    <t xml:space="preserve">rv_000069</t>
  </si>
  <si>
    <t xml:space="preserve">uhorton</t>
  </si>
  <si>
    <t xml:space="preserve">rv_003233</t>
  </si>
  <si>
    <t xml:space="preserve">jli</t>
  </si>
  <si>
    <t xml:space="preserve">rv_001632</t>
  </si>
  <si>
    <t xml:space="preserve">jeanettekrause</t>
  </si>
  <si>
    <t xml:space="preserve">rv_003512</t>
  </si>
  <si>
    <t xml:space="preserve">xrivera</t>
  </si>
  <si>
    <t xml:space="preserve">rv_002224</t>
  </si>
  <si>
    <t xml:space="preserve">rv_001598</t>
  </si>
  <si>
    <t xml:space="preserve">whitebrittany</t>
  </si>
  <si>
    <t xml:space="preserve">rv_004716</t>
  </si>
  <si>
    <t xml:space="preserve">jcruz</t>
  </si>
  <si>
    <t xml:space="preserve">rv_000235</t>
  </si>
  <si>
    <t xml:space="preserve">lmoon</t>
  </si>
  <si>
    <t xml:space="preserve">rv_005526</t>
  </si>
  <si>
    <t xml:space="preserve">michaelhoffman</t>
  </si>
  <si>
    <t xml:space="preserve">rv_003722</t>
  </si>
  <si>
    <t xml:space="preserve">thomas74</t>
  </si>
  <si>
    <t xml:space="preserve">rv_002823</t>
  </si>
  <si>
    <t xml:space="preserve">davisalexander</t>
  </si>
  <si>
    <t xml:space="preserve">DECENT APP BUT COULD USE MORE FEATURES. GOOD ENOUGH FOR BASIC TRANSACTIONS.</t>
  </si>
  <si>
    <t xml:space="preserve">rv_005997</t>
  </si>
  <si>
    <t xml:space="preserve">kennethwhite</t>
  </si>
  <si>
    <t xml:space="preserve">rv_003019</t>
  </si>
  <si>
    <t xml:space="preserve">swalters</t>
  </si>
  <si>
    <t xml:space="preserve">rv_002968</t>
  </si>
  <si>
    <t xml:space="preserve">scotthunt</t>
  </si>
  <si>
    <t xml:space="preserve">rv_002093</t>
  </si>
  <si>
    <t xml:space="preserve">vazquezkristina</t>
  </si>
  <si>
    <t xml:space="preserve">rv_000613</t>
  </si>
  <si>
    <t xml:space="preserve">greenmichael</t>
  </si>
  <si>
    <t xml:space="preserve">rv_004967</t>
  </si>
  <si>
    <t xml:space="preserve">marshalljamie</t>
  </si>
  <si>
    <t xml:space="preserve">rv_000537</t>
  </si>
  <si>
    <t xml:space="preserve">kwright</t>
  </si>
  <si>
    <t xml:space="preserve">rv_000086</t>
  </si>
  <si>
    <t xml:space="preserve">2025-06</t>
  </si>
  <si>
    <t xml:space="preserve">rv_002100</t>
  </si>
  <si>
    <t xml:space="preserve">zwelch</t>
  </si>
  <si>
    <t xml:space="preserve">rv_005607</t>
  </si>
  <si>
    <t xml:space="preserve">zcollins</t>
  </si>
  <si>
    <t xml:space="preserve">rv_002146</t>
  </si>
  <si>
    <t xml:space="preserve">julie64</t>
  </si>
  <si>
    <t xml:space="preserve">KEEPS CRASHING ON THE HOME SCREEN AFTER THE LAST UPDATE.</t>
  </si>
  <si>
    <t xml:space="preserve">rv_000847</t>
  </si>
  <si>
    <t xml:space="preserve">scottbowen</t>
  </si>
  <si>
    <t xml:space="preserve">rv_004349</t>
  </si>
  <si>
    <t xml:space="preserve">sheltontiffany</t>
  </si>
  <si>
    <t xml:space="preserve">rv_005500</t>
  </si>
  <si>
    <t xml:space="preserve">samanthacarr</t>
  </si>
  <si>
    <t xml:space="preserve">rv_003874</t>
  </si>
  <si>
    <t xml:space="preserve">kathleen25</t>
  </si>
  <si>
    <t xml:space="preserve">rv_000815</t>
  </si>
  <si>
    <t xml:space="preserve">jacquelineanderson</t>
  </si>
  <si>
    <t xml:space="preserve">rv_004678</t>
  </si>
  <si>
    <t xml:space="preserve">zpacheco</t>
  </si>
  <si>
    <t xml:space="preserve">rv_000111</t>
  </si>
  <si>
    <t xml:space="preserve">michael86</t>
  </si>
  <si>
    <t xml:space="preserve">rv_001504</t>
  </si>
  <si>
    <t xml:space="preserve">adam33</t>
  </si>
  <si>
    <t xml:space="preserve">rv_003749</t>
  </si>
  <si>
    <t xml:space="preserve">imarshall</t>
  </si>
  <si>
    <t xml:space="preserve">rv_004603</t>
  </si>
  <si>
    <t xml:space="preserve">jennifer95</t>
  </si>
  <si>
    <t xml:space="preserve">Face ID login stopped working after the update. Works fine most of the time.</t>
  </si>
  <si>
    <t xml:space="preserve">rv_005398</t>
  </si>
  <si>
    <t xml:space="preserve">ecohen</t>
  </si>
  <si>
    <t xml:space="preserve">rv_003820</t>
  </si>
  <si>
    <t xml:space="preserve">rv_002347</t>
  </si>
  <si>
    <t xml:space="preserve">brendadixon</t>
  </si>
  <si>
    <t xml:space="preserve">rv_001303</t>
  </si>
  <si>
    <t xml:space="preserve">harrismichele</t>
  </si>
  <si>
    <t xml:space="preserve">Crashes constantly, unusable since the update. Average experience, nothing special.</t>
  </si>
  <si>
    <t xml:space="preserve">rv_003287</t>
  </si>
  <si>
    <t xml:space="preserve">ryan43</t>
  </si>
  <si>
    <t xml:space="preserve">rv_001229</t>
  </si>
  <si>
    <t xml:space="preserve">nicholsdarlene</t>
  </si>
  <si>
    <t xml:space="preserve">rv_000894</t>
  </si>
  <si>
    <t xml:space="preserve">xcline</t>
  </si>
  <si>
    <t xml:space="preserve">rv_003781</t>
  </si>
  <si>
    <t xml:space="preserve">rv_004051</t>
  </si>
  <si>
    <t xml:space="preserve">tracey63</t>
  </si>
  <si>
    <t xml:space="preserve">rv_005650</t>
  </si>
  <si>
    <t xml:space="preserve">flemingmallory</t>
  </si>
  <si>
    <t xml:space="preserve">rv_000924</t>
  </si>
  <si>
    <t xml:space="preserve">jbond</t>
  </si>
  <si>
    <t xml:space="preserve">rv_001998</t>
  </si>
  <si>
    <t xml:space="preserve">aperez</t>
  </si>
  <si>
    <t xml:space="preserve">Keeps crashing on the home screen after the last update. It's okay, does what it needs to do.</t>
  </si>
  <si>
    <t xml:space="preserve">rv_002137</t>
  </si>
  <si>
    <t xml:space="preserve">cookjimmy</t>
  </si>
  <si>
    <t xml:space="preserve">rv_005604</t>
  </si>
  <si>
    <t xml:space="preserve">susan75</t>
  </si>
  <si>
    <t xml:space="preserve">rv_004190</t>
  </si>
  <si>
    <t xml:space="preserve">craigrachel</t>
  </si>
  <si>
    <t xml:space="preserve">rv_001674</t>
  </si>
  <si>
    <t xml:space="preserve">ruizemma</t>
  </si>
  <si>
    <t xml:space="preserve">rv_000136</t>
  </si>
  <si>
    <t xml:space="preserve">pwilliams</t>
  </si>
  <si>
    <t xml:space="preserve">rv_002353</t>
  </si>
  <si>
    <t xml:space="preserve">qnelson</t>
  </si>
  <si>
    <t xml:space="preserve">rv_003890</t>
  </si>
  <si>
    <t xml:space="preserve">codyhester</t>
  </si>
  <si>
    <t xml:space="preserve">rv_004549</t>
  </si>
  <si>
    <t xml:space="preserve">victor60</t>
  </si>
  <si>
    <t xml:space="preserve">rv_005158</t>
  </si>
  <si>
    <t xml:space="preserve">timothyvaldez</t>
  </si>
  <si>
    <t xml:space="preserve">rv_003769</t>
  </si>
  <si>
    <t xml:space="preserve">katie71</t>
  </si>
  <si>
    <t xml:space="preserve">rv_002775</t>
  </si>
  <si>
    <t xml:space="preserve">robertstimothy</t>
  </si>
  <si>
    <t xml:space="preserve">rv_004477</t>
  </si>
  <si>
    <t xml:space="preserve">wrightalicia</t>
  </si>
  <si>
    <t xml:space="preserve">rv_001353</t>
  </si>
  <si>
    <t xml:space="preserve">oschultz</t>
  </si>
  <si>
    <t xml:space="preserve">rv_005994</t>
  </si>
  <si>
    <t xml:space="preserve">kimberly66</t>
  </si>
  <si>
    <t xml:space="preserve">rv_000392</t>
  </si>
  <si>
    <t xml:space="preserve">schmidtjames</t>
  </si>
  <si>
    <t xml:space="preserve">rv_000399</t>
  </si>
  <si>
    <t xml:space="preserve">michelle52</t>
  </si>
  <si>
    <t xml:space="preserve">rv_003084</t>
  </si>
  <si>
    <t xml:space="preserve">ruben25</t>
  </si>
  <si>
    <t xml:space="preserve">It's okay, does what it needs to do. It's okay, does what it needs to do.</t>
  </si>
  <si>
    <t xml:space="preserve">rv_000310</t>
  </si>
  <si>
    <t xml:space="preserve">thomasharvey</t>
  </si>
  <si>
    <t xml:space="preserve">rv_003162</t>
  </si>
  <si>
    <t xml:space="preserve">mary88</t>
  </si>
  <si>
    <t xml:space="preserve">rv_003952</t>
  </si>
  <si>
    <t xml:space="preserve">joy52</t>
  </si>
  <si>
    <t xml:space="preserve">Average experience, nothing special. Good enough for basic transactions.</t>
  </si>
  <si>
    <t xml:space="preserve">rv_003033</t>
  </si>
  <si>
    <t xml:space="preserve">johnsonkrystal</t>
  </si>
  <si>
    <t xml:space="preserve">rv_003993</t>
  </si>
  <si>
    <t xml:space="preserve">scollins</t>
  </si>
  <si>
    <t xml:space="preserve">rv_005098</t>
  </si>
  <si>
    <t xml:space="preserve">ahernandez</t>
  </si>
  <si>
    <t xml:space="preserve">rv_001516</t>
  </si>
  <si>
    <t xml:space="preserve">walterscrystal</t>
  </si>
  <si>
    <t xml:space="preserve">rv_000134</t>
  </si>
  <si>
    <t xml:space="preserve">staffordmichelle</t>
  </si>
  <si>
    <t xml:space="preserve">rv_003211</t>
  </si>
  <si>
    <t xml:space="preserve">dsantiago</t>
  </si>
  <si>
    <t xml:space="preserve">rv_005790</t>
  </si>
  <si>
    <t xml:space="preserve">hicksjustin</t>
  </si>
  <si>
    <t xml:space="preserve">rv_000596</t>
  </si>
  <si>
    <t xml:space="preserve">amandasharp</t>
  </si>
  <si>
    <t xml:space="preserve">rv_000823</t>
  </si>
  <si>
    <t xml:space="preserve">simonstephen</t>
  </si>
  <si>
    <t xml:space="preserve">rv_002963</t>
  </si>
  <si>
    <t xml:space="preserve">whitekelsey</t>
  </si>
  <si>
    <t xml:space="preserve">rv_001952</t>
  </si>
  <si>
    <t xml:space="preserve">hmccann</t>
  </si>
  <si>
    <t xml:space="preserve">rv_005355</t>
  </si>
  <si>
    <t xml:space="preserve">tpatton</t>
  </si>
  <si>
    <t xml:space="preserve">rv_001771</t>
  </si>
  <si>
    <t xml:space="preserve">foxgina</t>
  </si>
  <si>
    <t xml:space="preserve">rv_001176</t>
  </si>
  <si>
    <t xml:space="preserve">megan85</t>
  </si>
  <si>
    <t xml:space="preserve">rv_000119</t>
  </si>
  <si>
    <t xml:space="preserve">cindy14</t>
  </si>
  <si>
    <t xml:space="preserve">App lags badly on older phones now. It's okay, does what it needs to do.</t>
  </si>
  <si>
    <t xml:space="preserve">rv_002012</t>
  </si>
  <si>
    <t xml:space="preserve">qrodriguez</t>
  </si>
  <si>
    <t xml:space="preserve">rv_001145</t>
  </si>
  <si>
    <t xml:space="preserve">tara08</t>
  </si>
  <si>
    <t xml:space="preserve">rv_001607</t>
  </si>
  <si>
    <t xml:space="preserve">lroberts</t>
  </si>
  <si>
    <t xml:space="preserve">rv_002898</t>
  </si>
  <si>
    <t xml:space="preserve">hbriggs</t>
  </si>
  <si>
    <t xml:space="preserve">rv_004328</t>
  </si>
  <si>
    <t xml:space="preserve">melissaberry</t>
  </si>
  <si>
    <t xml:space="preserve">rv_002493</t>
  </si>
  <si>
    <t xml:space="preserve">antoniobarker</t>
  </si>
  <si>
    <t xml:space="preserve">rv_004803</t>
  </si>
  <si>
    <t xml:space="preserve">nicholasfields</t>
  </si>
  <si>
    <t xml:space="preserve">rv_004877</t>
  </si>
  <si>
    <t xml:space="preserve">bwalls</t>
  </si>
  <si>
    <t xml:space="preserve">rv_001964</t>
  </si>
  <si>
    <t xml:space="preserve">samantha21</t>
  </si>
  <si>
    <t xml:space="preserve">rv_003182</t>
  </si>
  <si>
    <t xml:space="preserve">keith07</t>
  </si>
  <si>
    <t xml:space="preserve">rv_000030</t>
  </si>
  <si>
    <t xml:space="preserve">hernandezernest</t>
  </si>
  <si>
    <t xml:space="preserve">rv_000893</t>
  </si>
  <si>
    <t xml:space="preserve">finleycasey</t>
  </si>
  <si>
    <t xml:space="preserve">rv_004731</t>
  </si>
  <si>
    <t xml:space="preserve">trevor68</t>
  </si>
  <si>
    <t xml:space="preserve">rv_005336</t>
  </si>
  <si>
    <t xml:space="preserve">brianmcdaniel</t>
  </si>
  <si>
    <t xml:space="preserve">rv_001274</t>
  </si>
  <si>
    <t xml:space="preserve">aprilmoody</t>
  </si>
  <si>
    <t xml:space="preserve">rv_000497</t>
  </si>
  <si>
    <t xml:space="preserve">victorhughes</t>
  </si>
  <si>
    <t xml:space="preserve">rv_004958</t>
  </si>
  <si>
    <t xml:space="preserve">dlivingston</t>
  </si>
  <si>
    <t xml:space="preserve">rv_004085</t>
  </si>
  <si>
    <t xml:space="preserve">adamsmith</t>
  </si>
  <si>
    <t xml:space="preserve">rv_000126</t>
  </si>
  <si>
    <t xml:space="preserve">yleon</t>
  </si>
  <si>
    <t xml:space="preserve">rv_001034</t>
  </si>
  <si>
    <t xml:space="preserve">wfigueroa</t>
  </si>
  <si>
    <t xml:space="preserve">rv_003153</t>
  </si>
  <si>
    <t xml:space="preserve">sstevenson</t>
  </si>
  <si>
    <t xml:space="preserve">rv_005039</t>
  </si>
  <si>
    <t xml:space="preserve">donaldserrano</t>
  </si>
  <si>
    <t xml:space="preserve">CUSTOMER SUPPORT FIXED MY ISSUE QUICKLY, THANKS! LOVE THE NEW UPDATE, MUCH FASTER THAN BEFORE.</t>
  </si>
  <si>
    <t xml:space="preserve">rv_005972</t>
  </si>
  <si>
    <t xml:space="preserve">katherine96</t>
  </si>
  <si>
    <t xml:space="preserve">rv_001559</t>
  </si>
  <si>
    <t xml:space="preserve">christopherreyes</t>
  </si>
  <si>
    <t xml:space="preserve">rv_005237</t>
  </si>
  <si>
    <t xml:space="preserve">popebrent</t>
  </si>
  <si>
    <t xml:space="preserve">rv_003496</t>
  </si>
  <si>
    <t xml:space="preserve">april47</t>
  </si>
  <si>
    <t xml:space="preserve">rv_001071</t>
  </si>
  <si>
    <t xml:space="preserve">jessica82</t>
  </si>
  <si>
    <t xml:space="preserve">rv_005195</t>
  </si>
  <si>
    <t xml:space="preserve">ramosjennifer</t>
  </si>
  <si>
    <t xml:space="preserve">rv_001750</t>
  </si>
  <si>
    <t xml:space="preserve">laurenatkins</t>
  </si>
  <si>
    <t xml:space="preserve">rv_003622</t>
  </si>
  <si>
    <t xml:space="preserve">qvaldez</t>
  </si>
  <si>
    <t xml:space="preserve">rv_003694</t>
  </si>
  <si>
    <t xml:space="preserve">marnold</t>
  </si>
  <si>
    <t xml:space="preserve">rv_000666</t>
  </si>
  <si>
    <t xml:space="preserve">deborah75</t>
  </si>
  <si>
    <t xml:space="preserve">rv_004378</t>
  </si>
  <si>
    <t xml:space="preserve">bjohnson</t>
  </si>
  <si>
    <t xml:space="preserve">rv_000542</t>
  </si>
  <si>
    <t xml:space="preserve">nlevy</t>
  </si>
  <si>
    <t xml:space="preserve">rv_001402</t>
  </si>
  <si>
    <t xml:space="preserve">cnelson</t>
  </si>
  <si>
    <t xml:space="preserve">rv_001204</t>
  </si>
  <si>
    <t xml:space="preserve">tracy98</t>
  </si>
  <si>
    <t xml:space="preserve">rv_002746</t>
  </si>
  <si>
    <t xml:space="preserve">thompsonjessica</t>
  </si>
  <si>
    <t xml:space="preserve">rv_001955</t>
  </si>
  <si>
    <t xml:space="preserve">steven25</t>
  </si>
  <si>
    <t xml:space="preserve">rv_004021</t>
  </si>
  <si>
    <t xml:space="preserve">daniel29</t>
  </si>
  <si>
    <t xml:space="preserve">rv_005706</t>
  </si>
  <si>
    <t xml:space="preserve">ucarlson</t>
  </si>
  <si>
    <t xml:space="preserve">rv_000997</t>
  </si>
  <si>
    <t xml:space="preserve">qruiz</t>
  </si>
  <si>
    <t xml:space="preserve">rv_005955</t>
  </si>
  <si>
    <t xml:space="preserve">lromero</t>
  </si>
  <si>
    <t xml:space="preserve">It's okay, does what it needs to do. Good enough for basic transactions.</t>
  </si>
  <si>
    <t xml:space="preserve">rv_000080</t>
  </si>
  <si>
    <t xml:space="preserve">josephanderson</t>
  </si>
  <si>
    <t xml:space="preserve">rv_001053</t>
  </si>
  <si>
    <t xml:space="preserve">wwoodard</t>
  </si>
  <si>
    <t xml:space="preserve">rv_000699</t>
  </si>
  <si>
    <t xml:space="preserve">joseph61</t>
  </si>
  <si>
    <t xml:space="preserve">rv_005677</t>
  </si>
  <si>
    <t xml:space="preserve">davistanya</t>
  </si>
  <si>
    <t xml:space="preserve">rv_004904</t>
  </si>
  <si>
    <t xml:space="preserve">richardharper</t>
  </si>
  <si>
    <t xml:space="preserve">rv_000470</t>
  </si>
  <si>
    <t xml:space="preserve">rv_005634</t>
  </si>
  <si>
    <t xml:space="preserve">christinaherrera</t>
  </si>
  <si>
    <t xml:space="preserve">rv_005626</t>
  </si>
  <si>
    <t xml:space="preserve">fletcherkaren</t>
  </si>
  <si>
    <t xml:space="preserve">rv_000339</t>
  </si>
  <si>
    <t xml:space="preserve">stephen00</t>
  </si>
  <si>
    <t xml:space="preserve">rv_001431</t>
  </si>
  <si>
    <t xml:space="preserve">justin84</t>
  </si>
  <si>
    <t xml:space="preserve">rv_004109</t>
  </si>
  <si>
    <t xml:space="preserve">theodoredaniels</t>
  </si>
  <si>
    <t xml:space="preserve">rv_005090</t>
  </si>
  <si>
    <t xml:space="preserve">clarkmario</t>
  </si>
  <si>
    <t xml:space="preserve">rv_000483</t>
  </si>
  <si>
    <t xml:space="preserve">bmorrison</t>
  </si>
  <si>
    <t xml:space="preserve">Good enough for basic transactions. Decent app but could use more features.</t>
  </si>
  <si>
    <t xml:space="preserve">rv_002731</t>
  </si>
  <si>
    <t xml:space="preserve">brittanyramirez</t>
  </si>
  <si>
    <t xml:space="preserve">rv_005481</t>
  </si>
  <si>
    <t xml:space="preserve">lambertdevin</t>
  </si>
  <si>
    <t xml:space="preserve">rv_001766</t>
  </si>
  <si>
    <t xml:space="preserve">destiny67</t>
  </si>
  <si>
    <t xml:space="preserve">rv_002474</t>
  </si>
  <si>
    <t xml:space="preserve">kennedywilliam</t>
  </si>
  <si>
    <t xml:space="preserve">rv_003813</t>
  </si>
  <si>
    <t xml:space="preserve">berrytaylor</t>
  </si>
  <si>
    <t xml:space="preserve">rv_005939</t>
  </si>
  <si>
    <t xml:space="preserve">caldwellpatricia</t>
  </si>
  <si>
    <t xml:space="preserve">rv_003134</t>
  </si>
  <si>
    <t xml:space="preserve">thomasnancy</t>
  </si>
  <si>
    <t xml:space="preserve">rv_000825</t>
  </si>
  <si>
    <t xml:space="preserve">tammysummers</t>
  </si>
  <si>
    <t xml:space="preserve">rv_001838</t>
  </si>
  <si>
    <t xml:space="preserve">montgomerymichelle</t>
  </si>
  <si>
    <t xml:space="preserve">Double charged for the same transaction, no refund yet. Good enough for basic transactions.</t>
  </si>
  <si>
    <t xml:space="preserve">rv_000873</t>
  </si>
  <si>
    <t xml:space="preserve">elizabeth21</t>
  </si>
  <si>
    <t xml:space="preserve">rv_004471</t>
  </si>
  <si>
    <t xml:space="preserve">oscott</t>
  </si>
  <si>
    <t xml:space="preserve">rv_000593</t>
  </si>
  <si>
    <t xml:space="preserve">richarddonovan</t>
  </si>
  <si>
    <t xml:space="preserve">New UI looks nice but navigation got way worse. Works fine most of the time.</t>
  </si>
  <si>
    <t xml:space="preserve">rv_004316</t>
  </si>
  <si>
    <t xml:space="preserve">stephen78</t>
  </si>
  <si>
    <t xml:space="preserve">rv_000159</t>
  </si>
  <si>
    <t xml:space="preserve">millerroy</t>
  </si>
  <si>
    <t xml:space="preserve">rv_000514</t>
  </si>
  <si>
    <t xml:space="preserve">david89</t>
  </si>
  <si>
    <t xml:space="preserve">rv_002663</t>
  </si>
  <si>
    <t xml:space="preserve">yvaldez</t>
  </si>
  <si>
    <t xml:space="preserve">rv_005562</t>
  </si>
  <si>
    <t xml:space="preserve">nschultz</t>
  </si>
  <si>
    <t xml:space="preserve">rv_000722</t>
  </si>
  <si>
    <t xml:space="preserve">nmiller</t>
  </si>
  <si>
    <t xml:space="preserve">rv_002903</t>
  </si>
  <si>
    <t xml:space="preserve">oguzman</t>
  </si>
  <si>
    <t xml:space="preserve">rv_002153</t>
  </si>
  <si>
    <t xml:space="preserve">carneysara</t>
  </si>
  <si>
    <t xml:space="preserve">rv_003949</t>
  </si>
  <si>
    <t xml:space="preserve">joshuabowers</t>
  </si>
  <si>
    <t xml:space="preserve">rv_002747</t>
  </si>
  <si>
    <t xml:space="preserve">brianna71</t>
  </si>
  <si>
    <t xml:space="preserve">rv_000962</t>
  </si>
  <si>
    <t xml:space="preserve">susan56</t>
  </si>
  <si>
    <t xml:space="preserve">rv_004003</t>
  </si>
  <si>
    <t xml:space="preserve">yballard</t>
  </si>
  <si>
    <t xml:space="preserve">rv_001769</t>
  </si>
  <si>
    <t xml:space="preserve">lawrencesmith</t>
  </si>
  <si>
    <t xml:space="preserve">rv_000230</t>
  </si>
  <si>
    <t xml:space="preserve">mkim</t>
  </si>
  <si>
    <t xml:space="preserve">rv_000451</t>
  </si>
  <si>
    <t xml:space="preserve">awest</t>
  </si>
  <si>
    <t xml:space="preserve">rv_000129</t>
  </si>
  <si>
    <t xml:space="preserve">lindsayhernandez</t>
  </si>
  <si>
    <t xml:space="preserve">rv_000982</t>
  </si>
  <si>
    <t xml:space="preserve">phillipslucas</t>
  </si>
  <si>
    <t xml:space="preserve">rv_002169</t>
  </si>
  <si>
    <t xml:space="preserve">jasonwilliams</t>
  </si>
  <si>
    <t xml:space="preserve">rv_004339</t>
  </si>
  <si>
    <t xml:space="preserve">simpsonruth</t>
  </si>
  <si>
    <t xml:space="preserve">rv_005839</t>
  </si>
  <si>
    <t xml:space="preserve">jamie59</t>
  </si>
  <si>
    <t xml:space="preserve">rv_002300</t>
  </si>
  <si>
    <t xml:space="preserve">todd22</t>
  </si>
  <si>
    <t xml:space="preserve">rv_003453</t>
  </si>
  <si>
    <t xml:space="preserve">shelbyjohnson</t>
  </si>
  <si>
    <t xml:space="preserve">rv_003971</t>
  </si>
  <si>
    <t xml:space="preserve">johnperez</t>
  </si>
  <si>
    <t xml:space="preserve">rv_004701</t>
  </si>
  <si>
    <t xml:space="preserve">mark66</t>
  </si>
  <si>
    <t xml:space="preserve">rv_002665</t>
  </si>
  <si>
    <t xml:space="preserve">darrell11</t>
  </si>
  <si>
    <t xml:space="preserve">rv_001236</t>
  </si>
  <si>
    <t xml:space="preserve">julierobles</t>
  </si>
  <si>
    <t xml:space="preserve">rv_003863</t>
  </si>
  <si>
    <t xml:space="preserve">novaksteven</t>
  </si>
  <si>
    <t xml:space="preserve">rv_003615</t>
  </si>
  <si>
    <t xml:space="preserve">eleonard</t>
  </si>
  <si>
    <t xml:space="preserve">rv_002957</t>
  </si>
  <si>
    <t xml:space="preserve">rubioashley</t>
  </si>
  <si>
    <t xml:space="preserve">rv_003008</t>
  </si>
  <si>
    <t xml:space="preserve">robertpayne</t>
  </si>
  <si>
    <t xml:space="preserve">rv_001599</t>
  </si>
  <si>
    <t xml:space="preserve">nicoledavis</t>
  </si>
  <si>
    <t xml:space="preserve">rv_001736</t>
  </si>
  <si>
    <t xml:space="preserve">harrisonwilliam</t>
  </si>
  <si>
    <t xml:space="preserve">rv_001422</t>
  </si>
  <si>
    <t xml:space="preserve">mauriceharrison</t>
  </si>
  <si>
    <t xml:space="preserve">rv_005459</t>
  </si>
  <si>
    <t xml:space="preserve">gweaver</t>
  </si>
  <si>
    <t xml:space="preserve">The new interface is so confusing compared to before. Good enough for basic transactions.</t>
  </si>
  <si>
    <t xml:space="preserve">rv_002094</t>
  </si>
  <si>
    <t xml:space="preserve">johnnycruz</t>
  </si>
  <si>
    <t xml:space="preserve">rv_000796</t>
  </si>
  <si>
    <t xml:space="preserve">rv_000266</t>
  </si>
  <si>
    <t xml:space="preserve">qhughes</t>
  </si>
  <si>
    <t xml:space="preserve">rv_004653</t>
  </si>
  <si>
    <t xml:space="preserve">adamkelly</t>
  </si>
  <si>
    <t xml:space="preserve">rv_001395</t>
  </si>
  <si>
    <t xml:space="preserve">emily77</t>
  </si>
  <si>
    <t xml:space="preserve">rv_004081</t>
  </si>
  <si>
    <t xml:space="preserve">angela28</t>
  </si>
  <si>
    <t xml:space="preserve">rv_003300</t>
  </si>
  <si>
    <t xml:space="preserve">michael34</t>
  </si>
  <si>
    <t xml:space="preserve">rv_002151</t>
  </si>
  <si>
    <t xml:space="preserve">hallbarry</t>
  </si>
  <si>
    <t xml:space="preserve">rv_004960</t>
  </si>
  <si>
    <t xml:space="preserve">hammondjoseph</t>
  </si>
  <si>
    <t xml:space="preserve">rv_000903</t>
  </si>
  <si>
    <t xml:space="preserve">dalton83</t>
  </si>
  <si>
    <t xml:space="preserve">rv_002463</t>
  </si>
  <si>
    <t xml:space="preserve">frichardson</t>
  </si>
  <si>
    <t xml:space="preserve">rv_001999</t>
  </si>
  <si>
    <t xml:space="preserve">traci63</t>
  </si>
  <si>
    <t xml:space="preserve">rv_004152</t>
  </si>
  <si>
    <t xml:space="preserve">andersontiffany</t>
  </si>
  <si>
    <t xml:space="preserve">rv_005344</t>
  </si>
  <si>
    <t xml:space="preserve">craigriley</t>
  </si>
  <si>
    <t xml:space="preserve">rv_000631</t>
  </si>
  <si>
    <t xml:space="preserve">reesebeth</t>
  </si>
  <si>
    <t xml:space="preserve">rv_003713</t>
  </si>
  <si>
    <t xml:space="preserve">donald37</t>
  </si>
  <si>
    <t xml:space="preserve">rv_001673</t>
  </si>
  <si>
    <t xml:space="preserve">amber02</t>
  </si>
  <si>
    <t xml:space="preserve">rv_001304</t>
  </si>
  <si>
    <t xml:space="preserve">mserrano</t>
  </si>
  <si>
    <t xml:space="preserve">rv_002436</t>
  </si>
  <si>
    <t xml:space="preserve">hpena</t>
  </si>
  <si>
    <t xml:space="preserve">rv_001839</t>
  </si>
  <si>
    <t xml:space="preserve">stevensims</t>
  </si>
  <si>
    <t xml:space="preserve">rv_001352</t>
  </si>
  <si>
    <t xml:space="preserve">olsonjonathan</t>
  </si>
  <si>
    <t xml:space="preserve">rv_001007</t>
  </si>
  <si>
    <t xml:space="preserve">parmstrong</t>
  </si>
  <si>
    <t xml:space="preserve">rv_000485</t>
  </si>
  <si>
    <t xml:space="preserve">acostarhonda</t>
  </si>
  <si>
    <t xml:space="preserve">rv_001185</t>
  </si>
  <si>
    <t xml:space="preserve">tonyavega</t>
  </si>
  <si>
    <t xml:space="preserve">rv_003788</t>
  </si>
  <si>
    <t xml:space="preserve">sanchezmark</t>
  </si>
  <si>
    <t xml:space="preserve">rv_002973</t>
  </si>
  <si>
    <t xml:space="preserve">melissaroberts</t>
  </si>
  <si>
    <t xml:space="preserve">rv_003573</t>
  </si>
  <si>
    <t xml:space="preserve">taylorjohnson</t>
  </si>
  <si>
    <t xml:space="preserve">rv_002133</t>
  </si>
  <si>
    <t xml:space="preserve">harrisonmonica</t>
  </si>
  <si>
    <t xml:space="preserve">rv_005673</t>
  </si>
  <si>
    <t xml:space="preserve">jenniferbradley</t>
  </si>
  <si>
    <t xml:space="preserve">rv_005103</t>
  </si>
  <si>
    <t xml:space="preserve">mclaughlinjames</t>
  </si>
  <si>
    <t xml:space="preserve">rv_002053</t>
  </si>
  <si>
    <t xml:space="preserve">robbinsbelinda</t>
  </si>
  <si>
    <t xml:space="preserve">rv_004970</t>
  </si>
  <si>
    <t xml:space="preserve">gyoung</t>
  </si>
  <si>
    <t xml:space="preserve">rv_003099</t>
  </si>
  <si>
    <t xml:space="preserve">ijohnson</t>
  </si>
  <si>
    <t xml:space="preserve">rv_003069</t>
  </si>
  <si>
    <t xml:space="preserve">anthonytaylor</t>
  </si>
  <si>
    <t xml:space="preserve">rv_000996</t>
  </si>
  <si>
    <t xml:space="preserve">wellsdarrell</t>
  </si>
  <si>
    <t xml:space="preserve">rv_001462</t>
  </si>
  <si>
    <t xml:space="preserve">tonystewart</t>
  </si>
  <si>
    <t xml:space="preserve">It freezes and then crashes, had to reinstall twice. Average experience, nothing special.</t>
  </si>
  <si>
    <t xml:space="preserve">rv_000525</t>
  </si>
  <si>
    <t xml:space="preserve">debra96</t>
  </si>
  <si>
    <t xml:space="preserve">rv_002565</t>
  </si>
  <si>
    <t xml:space="preserve">charris</t>
  </si>
  <si>
    <t xml:space="preserve">rv_001917</t>
  </si>
  <si>
    <t xml:space="preserve">dmack</t>
  </si>
  <si>
    <t xml:space="preserve">rv_001437</t>
  </si>
  <si>
    <t xml:space="preserve">teresacampbell</t>
  </si>
  <si>
    <t xml:space="preserve">rv_001743</t>
  </si>
  <si>
    <t xml:space="preserve">mitchellchristopher</t>
  </si>
  <si>
    <t xml:space="preserve">rv_000772</t>
  </si>
  <si>
    <t xml:space="preserve">sarahyang</t>
  </si>
  <si>
    <t xml:space="preserve">rv_005117</t>
  </si>
  <si>
    <t xml:space="preserve">jessicalong</t>
  </si>
  <si>
    <t xml:space="preserve">rv_000826</t>
  </si>
  <si>
    <t xml:space="preserve">rv_000289</t>
  </si>
  <si>
    <t xml:space="preserve">mbruce</t>
  </si>
  <si>
    <t xml:space="preserve">rv_005890</t>
  </si>
  <si>
    <t xml:space="preserve">patrick90</t>
  </si>
  <si>
    <t xml:space="preserve">rv_004265</t>
  </si>
  <si>
    <t xml:space="preserve">timothywilliams</t>
  </si>
  <si>
    <t xml:space="preserve">rv_003372</t>
  </si>
  <si>
    <t xml:space="preserve">sarasanchez</t>
  </si>
  <si>
    <t xml:space="preserve">rv_001707</t>
  </si>
  <si>
    <t xml:space="preserve">sabbott</t>
  </si>
  <si>
    <t xml:space="preserve">rv_004140</t>
  </si>
  <si>
    <t xml:space="preserve">thompsonclaire</t>
  </si>
  <si>
    <t xml:space="preserve">rv_000372</t>
  </si>
  <si>
    <t xml:space="preserve">ctucker</t>
  </si>
  <si>
    <t xml:space="preserve">rv_003934</t>
  </si>
  <si>
    <t xml:space="preserve">osbornmargaret</t>
  </si>
  <si>
    <t xml:space="preserve">rv_004638</t>
  </si>
  <si>
    <t xml:space="preserve">david87</t>
  </si>
  <si>
    <t xml:space="preserve">rv_001329</t>
  </si>
  <si>
    <t xml:space="preserve">paulfields</t>
  </si>
  <si>
    <t xml:space="preserve">rv_001401</t>
  </si>
  <si>
    <t xml:space="preserve">denise49</t>
  </si>
  <si>
    <t xml:space="preserve">rv_003298</t>
  </si>
  <si>
    <t xml:space="preserve">lisajones</t>
  </si>
  <si>
    <t xml:space="preserve">rv_003327</t>
  </si>
  <si>
    <t xml:space="preserve">karmstrong</t>
  </si>
  <si>
    <t xml:space="preserve">rv_002774</t>
  </si>
  <si>
    <t xml:space="preserve">tara53</t>
  </si>
  <si>
    <t xml:space="preserve">rv_000365</t>
  </si>
  <si>
    <t xml:space="preserve">michael22</t>
  </si>
  <si>
    <t xml:space="preserve">rv_000817</t>
  </si>
  <si>
    <t xml:space="preserve">kburns</t>
  </si>
  <si>
    <t xml:space="preserve">rv_004038</t>
  </si>
  <si>
    <t xml:space="preserve">tyler40</t>
  </si>
  <si>
    <t xml:space="preserve">rv_005328</t>
  </si>
  <si>
    <t xml:space="preserve">cindy66</t>
  </si>
  <si>
    <t xml:space="preserve">rv_001799</t>
  </si>
  <si>
    <t xml:space="preserve">diazmelissa</t>
  </si>
  <si>
    <t xml:space="preserve">rv_000923</t>
  </si>
  <si>
    <t xml:space="preserve">lori20</t>
  </si>
  <si>
    <t xml:space="preserve">rv_003548</t>
  </si>
  <si>
    <t xml:space="preserve">brownmandy</t>
  </si>
  <si>
    <t xml:space="preserve">rv_004812</t>
  </si>
  <si>
    <t xml:space="preserve">ymontgomery</t>
  </si>
  <si>
    <t xml:space="preserve">rv_005404</t>
  </si>
  <si>
    <t xml:space="preserve">markgardner</t>
  </si>
  <si>
    <t xml:space="preserve">rv_000802</t>
  </si>
  <si>
    <t xml:space="preserve">amber07</t>
  </si>
  <si>
    <t xml:space="preserve">rv_001648</t>
  </si>
  <si>
    <t xml:space="preserve">carl24</t>
  </si>
  <si>
    <t xml:space="preserve">rv_002282</t>
  </si>
  <si>
    <t xml:space="preserve">danielblack</t>
  </si>
  <si>
    <t xml:space="preserve">rv_001582</t>
  </si>
  <si>
    <t xml:space="preserve">carlho</t>
  </si>
  <si>
    <t xml:space="preserve">rv_005343</t>
  </si>
  <si>
    <t xml:space="preserve">robertfletcher</t>
  </si>
  <si>
    <t xml:space="preserve">rv_004444</t>
  </si>
  <si>
    <t xml:space="preserve">Works fine most of the time. Best banking app I've used, very reliable.</t>
  </si>
  <si>
    <t xml:space="preserve">rv_001194</t>
  </si>
  <si>
    <t xml:space="preserve">james73</t>
  </si>
  <si>
    <t xml:space="preserve">rv_001878</t>
  </si>
  <si>
    <t xml:space="preserve">morgansullivan</t>
  </si>
  <si>
    <t xml:space="preserve">rv_005204</t>
  </si>
  <si>
    <t xml:space="preserve">cindy57</t>
  </si>
  <si>
    <t xml:space="preserve">rv_004280</t>
  </si>
  <si>
    <t xml:space="preserve">hharris</t>
  </si>
  <si>
    <t xml:space="preserve">rv_004151</t>
  </si>
  <si>
    <t xml:space="preserve">vhopkins</t>
  </si>
  <si>
    <t xml:space="preserve">rv_000691</t>
  </si>
  <si>
    <t xml:space="preserve">carloshernandez</t>
  </si>
  <si>
    <t xml:space="preserve">rv_004742</t>
  </si>
  <si>
    <t xml:space="preserve">trujillokylie</t>
  </si>
  <si>
    <t xml:space="preserve">Best banking app I've used, very reliable. Smooth experience, no complaints at all.</t>
  </si>
  <si>
    <t xml:space="preserve">rv_004132</t>
  </si>
  <si>
    <t xml:space="preserve">reginadavis</t>
  </si>
  <si>
    <t xml:space="preserve">rv_005155</t>
  </si>
  <si>
    <t xml:space="preserve">johnsonedward</t>
  </si>
  <si>
    <t xml:space="preserve">rv_005223</t>
  </si>
  <si>
    <t xml:space="preserve">tthompson</t>
  </si>
  <si>
    <t xml:space="preserve">rv_004804</t>
  </si>
  <si>
    <t xml:space="preserve">wardzachary</t>
  </si>
  <si>
    <t xml:space="preserve">rv_002788</t>
  </si>
  <si>
    <t xml:space="preserve">daniel77</t>
  </si>
  <si>
    <t xml:space="preserve">rv_004860</t>
  </si>
  <si>
    <t xml:space="preserve">sancheznicholas</t>
  </si>
  <si>
    <t xml:space="preserve">rv_002090</t>
  </si>
  <si>
    <t xml:space="preserve">sylviasuarez</t>
  </si>
  <si>
    <t xml:space="preserve">rv_005015</t>
  </si>
  <si>
    <t xml:space="preserve">hollandjustin</t>
  </si>
  <si>
    <t xml:space="preserve">rv_002941</t>
  </si>
  <si>
    <t xml:space="preserve">elliottkristy</t>
  </si>
  <si>
    <t xml:space="preserve">rv_002639</t>
  </si>
  <si>
    <t xml:space="preserve">anthonymartinez</t>
  </si>
  <si>
    <t xml:space="preserve">rv_005691</t>
  </si>
  <si>
    <t xml:space="preserve">chrismccarthy</t>
  </si>
  <si>
    <t xml:space="preserve">rv_004975</t>
  </si>
  <si>
    <t xml:space="preserve">michellemorris</t>
  </si>
  <si>
    <t xml:space="preserve">rv_000929</t>
  </si>
  <si>
    <t xml:space="preserve">samantha10</t>
  </si>
  <si>
    <t xml:space="preserve">rv_004466</t>
  </si>
  <si>
    <t xml:space="preserve">parksanna</t>
  </si>
  <si>
    <t xml:space="preserve">rv_004001</t>
  </si>
  <si>
    <t xml:space="preserve">vchandler</t>
  </si>
  <si>
    <t xml:space="preserve">rv_001393</t>
  </si>
  <si>
    <t xml:space="preserve">barbarasantos</t>
  </si>
  <si>
    <t xml:space="preserve">rv_005115</t>
  </si>
  <si>
    <t xml:space="preserve">nguyenchristine</t>
  </si>
  <si>
    <t xml:space="preserve">rv_001764</t>
  </si>
  <si>
    <t xml:space="preserve">stephanie69</t>
  </si>
  <si>
    <t xml:space="preserve">rv_002844</t>
  </si>
  <si>
    <t xml:space="preserve">adamarmstrong</t>
  </si>
  <si>
    <t xml:space="preserve">rv_000667</t>
  </si>
  <si>
    <t xml:space="preserve">nicholsmaria</t>
  </si>
  <si>
    <t xml:space="preserve">rv_004354</t>
  </si>
  <si>
    <t xml:space="preserve">fjohnson</t>
  </si>
  <si>
    <t xml:space="preserve">rv_003985</t>
  </si>
  <si>
    <t xml:space="preserve">stevenssamuel</t>
  </si>
  <si>
    <t xml:space="preserve">4.5.0</t>
  </si>
  <si>
    <t xml:space="preserve">rv_000739</t>
  </si>
  <si>
    <t xml:space="preserve">rushmartin</t>
  </si>
  <si>
    <t xml:space="preserve">rv_000701</t>
  </si>
  <si>
    <t xml:space="preserve">veronicaperez</t>
  </si>
  <si>
    <t xml:space="preserve">rv_004427</t>
  </si>
  <si>
    <t xml:space="preserve">peterlove</t>
  </si>
  <si>
    <t xml:space="preserve">rv_005594</t>
  </si>
  <si>
    <t xml:space="preserve">brandiburton</t>
  </si>
  <si>
    <t xml:space="preserve">rv_005074</t>
  </si>
  <si>
    <t xml:space="preserve">richard25</t>
  </si>
  <si>
    <t xml:space="preserve">rv_005557</t>
  </si>
  <si>
    <t xml:space="preserve">kristen95</t>
  </si>
  <si>
    <t xml:space="preserve">rv_005695</t>
  </si>
  <si>
    <t xml:space="preserve">victor76</t>
  </si>
  <si>
    <t xml:space="preserve">rv_004797</t>
  </si>
  <si>
    <t xml:space="preserve">hmitchell</t>
  </si>
  <si>
    <t xml:space="preserve">OTP never arrives so I can't log in to my account. Average experience, nothing special.</t>
  </si>
  <si>
    <t xml:space="preserve">rv_004370</t>
  </si>
  <si>
    <t xml:space="preserve">zparsons</t>
  </si>
  <si>
    <t xml:space="preserve">rv_003294</t>
  </si>
  <si>
    <t xml:space="preserve">michael56</t>
  </si>
  <si>
    <t xml:space="preserve">rv_002232</t>
  </si>
  <si>
    <t xml:space="preserve">jimmy80</t>
  </si>
  <si>
    <t xml:space="preserve">rv_000351</t>
  </si>
  <si>
    <t xml:space="preserve">gloriawells</t>
  </si>
  <si>
    <t xml:space="preserve">rv_002764</t>
  </si>
  <si>
    <t xml:space="preserve">angela70</t>
  </si>
  <si>
    <t xml:space="preserve">rv_004318</t>
  </si>
  <si>
    <t xml:space="preserve">malikfowler</t>
  </si>
  <si>
    <t xml:space="preserve">rv_005048</t>
  </si>
  <si>
    <t xml:space="preserve">matthewfranklin</t>
  </si>
  <si>
    <t xml:space="preserve">rv_005998</t>
  </si>
  <si>
    <t xml:space="preserve">jennifergraham</t>
  </si>
  <si>
    <t xml:space="preserve">rv_003382</t>
  </si>
  <si>
    <t xml:space="preserve">veronicaanderson</t>
  </si>
  <si>
    <t xml:space="preserve">rv_004004</t>
  </si>
  <si>
    <t xml:space="preserve">rv_002720</t>
  </si>
  <si>
    <t xml:space="preserve">denisemiller</t>
  </si>
  <si>
    <t xml:space="preserve">rv_005640</t>
  </si>
  <si>
    <t xml:space="preserve">barbara30</t>
  </si>
  <si>
    <t xml:space="preserve">rv_003893</t>
  </si>
  <si>
    <t xml:space="preserve">ftran</t>
  </si>
  <si>
    <t xml:space="preserve">rv_002611</t>
  </si>
  <si>
    <t xml:space="preserve">uwillis</t>
  </si>
  <si>
    <t xml:space="preserve">rv_001907</t>
  </si>
  <si>
    <t xml:space="preserve">jeremy54</t>
  </si>
  <si>
    <t xml:space="preserve">rv_003547</t>
  </si>
  <si>
    <t xml:space="preserve">zachary66</t>
  </si>
  <si>
    <t xml:space="preserve">rv_001579</t>
  </si>
  <si>
    <t xml:space="preserve">frankperez</t>
  </si>
  <si>
    <t xml:space="preserve">rv_000270</t>
  </si>
  <si>
    <t xml:space="preserve">jpitts</t>
  </si>
  <si>
    <t xml:space="preserve">rv_001662</t>
  </si>
  <si>
    <t xml:space="preserve">hreeves</t>
  </si>
  <si>
    <t xml:space="preserve">rv_005426</t>
  </si>
  <si>
    <t xml:space="preserve">hensleyvalerie</t>
  </si>
  <si>
    <t xml:space="preserve">rv_001382</t>
  </si>
  <si>
    <t xml:space="preserve">lisale</t>
  </si>
  <si>
    <t xml:space="preserve">Transfers keep failing with a generic error message. Works fine most of the time.</t>
  </si>
  <si>
    <t xml:space="preserve">rv_001600</t>
  </si>
  <si>
    <t xml:space="preserve">heather21</t>
  </si>
  <si>
    <t xml:space="preserve">rv_002533</t>
  </si>
  <si>
    <t xml:space="preserve">kellynichols</t>
  </si>
  <si>
    <t xml:space="preserve">rv_000727</t>
  </si>
  <si>
    <t xml:space="preserve">christopherjordan</t>
  </si>
  <si>
    <t xml:space="preserve">rv_000245</t>
  </si>
  <si>
    <t xml:space="preserve">cindy77</t>
  </si>
  <si>
    <t xml:space="preserve">The app force closes whenever I check my balance. Decent app but could use more features.</t>
  </si>
  <si>
    <t xml:space="preserve">rv_004271</t>
  </si>
  <si>
    <t xml:space="preserve">jeromehenry</t>
  </si>
  <si>
    <t xml:space="preserve">rv_005648</t>
  </si>
  <si>
    <t xml:space="preserve">butlerolivia</t>
  </si>
  <si>
    <t xml:space="preserve">rv_000449</t>
  </si>
  <si>
    <t xml:space="preserve">lacey20</t>
  </si>
  <si>
    <t xml:space="preserve">rv_002292</t>
  </si>
  <si>
    <t xml:space="preserve">drewmartinez</t>
  </si>
  <si>
    <t xml:space="preserve">rv_002984</t>
  </si>
  <si>
    <t xml:space="preserve">danielleflores</t>
  </si>
  <si>
    <t xml:space="preserve">rv_004077</t>
  </si>
  <si>
    <t xml:space="preserve">shernandez</t>
  </si>
  <si>
    <t xml:space="preserve">rv_002576</t>
  </si>
  <si>
    <t xml:space="preserve">waltersdonald</t>
  </si>
  <si>
    <t xml:space="preserve">rv_000757</t>
  </si>
  <si>
    <t xml:space="preserve">jacqueline89</t>
  </si>
  <si>
    <t xml:space="preserve">rv_005109</t>
  </si>
  <si>
    <t xml:space="preserve">icooper</t>
  </si>
  <si>
    <t xml:space="preserve">rv_004495</t>
  </si>
  <si>
    <t xml:space="preserve">steven72</t>
  </si>
  <si>
    <t xml:space="preserve">rv_000623</t>
  </si>
  <si>
    <t xml:space="preserve">poolerebecca</t>
  </si>
  <si>
    <t xml:space="preserve">rv_000118</t>
  </si>
  <si>
    <t xml:space="preserve">michaeljones</t>
  </si>
  <si>
    <t xml:space="preserve">rv_003575</t>
  </si>
  <si>
    <t xml:space="preserve">ltaylor</t>
  </si>
  <si>
    <t xml:space="preserve">rv_001658</t>
  </si>
  <si>
    <t xml:space="preserve">jstein</t>
  </si>
  <si>
    <t xml:space="preserve">rv_005425</t>
  </si>
  <si>
    <t xml:space="preserve">jonhall</t>
  </si>
  <si>
    <t xml:space="preserve">rv_005172</t>
  </si>
  <si>
    <t xml:space="preserve">benjaminarmstrong</t>
  </si>
  <si>
    <t xml:space="preserve">rv_003209</t>
  </si>
  <si>
    <t xml:space="preserve">rv_005279</t>
  </si>
  <si>
    <t xml:space="preserve">lcraig</t>
  </si>
  <si>
    <t xml:space="preserve">rv_004774</t>
  </si>
  <si>
    <t xml:space="preserve">castroralph</t>
  </si>
  <si>
    <t xml:space="preserve">rv_003342</t>
  </si>
  <si>
    <t xml:space="preserve">omartinez</t>
  </si>
  <si>
    <t xml:space="preserve">rv_000566</t>
  </si>
  <si>
    <t xml:space="preserve">alexandriagriffith</t>
  </si>
  <si>
    <t xml:space="preserve">NEW UI LOOKS NICE BUT NAVIGATION GOT WAY WORSE. IT'S OKAY, DOES WHAT IT NEEDS TO DO.</t>
  </si>
  <si>
    <t xml:space="preserve">rv_001206</t>
  </si>
  <si>
    <t xml:space="preserve">susanmeyer</t>
  </si>
  <si>
    <t xml:space="preserve">rv_003199</t>
  </si>
  <si>
    <t xml:space="preserve">derek83</t>
  </si>
  <si>
    <t xml:space="preserve">rv_001188</t>
  </si>
  <si>
    <t xml:space="preserve">lisa19</t>
  </si>
  <si>
    <t xml:space="preserve">rv_001974</t>
  </si>
  <si>
    <t xml:space="preserve">davidmiller</t>
  </si>
  <si>
    <t xml:space="preserve">rv_003538</t>
  </si>
  <si>
    <t xml:space="preserve">ehenry</t>
  </si>
  <si>
    <t xml:space="preserve">rv_001275</t>
  </si>
  <si>
    <t xml:space="preserve">dharrison</t>
  </si>
  <si>
    <t xml:space="preserve">rv_003403</t>
  </si>
  <si>
    <t xml:space="preserve">anthonyorr</t>
  </si>
  <si>
    <t xml:space="preserve">Keeps crashing on the home screen after the last update. Good enough for basic transactions.</t>
  </si>
  <si>
    <t xml:space="preserve">rv_003163</t>
  </si>
  <si>
    <t xml:space="preserve">karirowe</t>
  </si>
  <si>
    <t xml:space="preserve">rv_005133</t>
  </si>
  <si>
    <t xml:space="preserve">jose49</t>
  </si>
  <si>
    <t xml:space="preserve">rv_004675</t>
  </si>
  <si>
    <t xml:space="preserve">joseph02</t>
  </si>
  <si>
    <t xml:space="preserve">FACE ID LOGIN STOPPED WORKING AFTER THE UPDATE.</t>
  </si>
  <si>
    <t xml:space="preserve">rv_004758</t>
  </si>
  <si>
    <t xml:space="preserve">mary62</t>
  </si>
  <si>
    <t xml:space="preserve">rv_004306</t>
  </si>
  <si>
    <t xml:space="preserve">jimenezmaria</t>
  </si>
  <si>
    <t xml:space="preserve">rv_002786</t>
  </si>
  <si>
    <t xml:space="preserve">thomasbrooks</t>
  </si>
  <si>
    <t xml:space="preserve">APP IS SO SLOW TO LOAD, TAKES FOREVER ON EVERY SCREEN.</t>
  </si>
  <si>
    <t xml:space="preserve">rv_001901</t>
  </si>
  <si>
    <t xml:space="preserve">carterbryan</t>
  </si>
  <si>
    <t xml:space="preserve">rv_000658</t>
  </si>
  <si>
    <t xml:space="preserve">wwilliams</t>
  </si>
  <si>
    <t xml:space="preserve">rv_000577</t>
  </si>
  <si>
    <t xml:space="preserve">erica49</t>
  </si>
  <si>
    <t xml:space="preserve">rv_001074</t>
  </si>
  <si>
    <t xml:space="preserve">nathan94</t>
  </si>
  <si>
    <t xml:space="preserve">rv_001226</t>
  </si>
  <si>
    <t xml:space="preserve">angela93</t>
  </si>
  <si>
    <t xml:space="preserve">rv_001730</t>
  </si>
  <si>
    <t xml:space="preserve">fnixon</t>
  </si>
  <si>
    <t xml:space="preserve">rv_001620</t>
  </si>
  <si>
    <t xml:space="preserve">tammycurry</t>
  </si>
  <si>
    <t xml:space="preserve">rv_001537</t>
  </si>
  <si>
    <t xml:space="preserve">mistywilkins</t>
  </si>
  <si>
    <t xml:space="preserve">rv_001161</t>
  </si>
  <si>
    <t xml:space="preserve">nrodriguez</t>
  </si>
  <si>
    <t xml:space="preserve">rv_005535</t>
  </si>
  <si>
    <t xml:space="preserve">sarah83</t>
  </si>
  <si>
    <t xml:space="preserve">rv_004329</t>
  </si>
  <si>
    <t xml:space="preserve">makaylasanders</t>
  </si>
  <si>
    <t xml:space="preserve">rv_003419</t>
  </si>
  <si>
    <t xml:space="preserve">toddlopez</t>
  </si>
  <si>
    <t xml:space="preserve">rv_002873</t>
  </si>
  <si>
    <t xml:space="preserve">grayandrew</t>
  </si>
  <si>
    <t xml:space="preserve">rv_001291</t>
  </si>
  <si>
    <t xml:space="preserve">ashleymartin</t>
  </si>
  <si>
    <t xml:space="preserve">2025-07</t>
  </si>
  <si>
    <t xml:space="preserve">rv_004439</t>
  </si>
  <si>
    <t xml:space="preserve">frostgloria</t>
  </si>
  <si>
    <t xml:space="preserve">rv_002575</t>
  </si>
  <si>
    <t xml:space="preserve">mjones</t>
  </si>
  <si>
    <t xml:space="preserve">rv_003814</t>
  </si>
  <si>
    <t xml:space="preserve">karenwang</t>
  </si>
  <si>
    <t xml:space="preserve">rv_000285</t>
  </si>
  <si>
    <t xml:space="preserve">stevenking</t>
  </si>
  <si>
    <t xml:space="preserve">rv_004488</t>
  </si>
  <si>
    <t xml:space="preserve">jennifer28</t>
  </si>
  <si>
    <t xml:space="preserve">rv_001215</t>
  </si>
  <si>
    <t xml:space="preserve">amber40</t>
  </si>
  <si>
    <t xml:space="preserve">rv_004251</t>
  </si>
  <si>
    <t xml:space="preserve">fullerdebbie</t>
  </si>
  <si>
    <t xml:space="preserve">rv_005266</t>
  </si>
  <si>
    <t xml:space="preserve">sarah80</t>
  </si>
  <si>
    <t xml:space="preserve">rv_002181</t>
  </si>
  <si>
    <t xml:space="preserve">christina66</t>
  </si>
  <si>
    <t xml:space="preserve">rv_004526</t>
  </si>
  <si>
    <t xml:space="preserve">ureed</t>
  </si>
  <si>
    <t xml:space="preserve">rv_004647</t>
  </si>
  <si>
    <t xml:space="preserve">mlewis</t>
  </si>
  <si>
    <t xml:space="preserve">rv_004359</t>
  </si>
  <si>
    <t xml:space="preserve">kyle73</t>
  </si>
  <si>
    <t xml:space="preserve">rv_005524</t>
  </si>
  <si>
    <t xml:space="preserve">lisa13</t>
  </si>
  <si>
    <t xml:space="preserve">rv_004917</t>
  </si>
  <si>
    <t xml:space="preserve">russellholly</t>
  </si>
  <si>
    <t xml:space="preserve">rv_005788</t>
  </si>
  <si>
    <t xml:space="preserve">alexanderkeller</t>
  </si>
  <si>
    <t xml:space="preserve">rv_004181</t>
  </si>
  <si>
    <t xml:space="preserve">hollywarner</t>
  </si>
  <si>
    <t xml:space="preserve">rv_003652</t>
  </si>
  <si>
    <t xml:space="preserve">shill</t>
  </si>
  <si>
    <t xml:space="preserve">rv_002753</t>
  </si>
  <si>
    <t xml:space="preserve">albert82</t>
  </si>
  <si>
    <t xml:space="preserve">rv_002694</t>
  </si>
  <si>
    <t xml:space="preserve">gregoryvanessa</t>
  </si>
  <si>
    <t xml:space="preserve">rv_000243</t>
  </si>
  <si>
    <t xml:space="preserve">sandovalamy</t>
  </si>
  <si>
    <t xml:space="preserve">rv_001094</t>
  </si>
  <si>
    <t xml:space="preserve">gary04</t>
  </si>
  <si>
    <t xml:space="preserve">rv_003962</t>
  </si>
  <si>
    <t xml:space="preserve">emontgomery</t>
  </si>
  <si>
    <t xml:space="preserve">LOGIN SCREEN JUST SPINS FOREVER, NEVER LETS ME IN.</t>
  </si>
  <si>
    <t xml:space="preserve">rv_000369</t>
  </si>
  <si>
    <t xml:space="preserve">mitchellgriffith</t>
  </si>
  <si>
    <t xml:space="preserve">THE APP FORCE CLOSES WHENEVER I CHECK MY BALANCE.</t>
  </si>
  <si>
    <t xml:space="preserve">rv_004139</t>
  </si>
  <si>
    <t xml:space="preserve">nicole15</t>
  </si>
  <si>
    <t xml:space="preserve">rv_000100</t>
  </si>
  <si>
    <t xml:space="preserve">evelynestrada</t>
  </si>
  <si>
    <t xml:space="preserve">rv_003768</t>
  </si>
  <si>
    <t xml:space="preserve">jasonshaw</t>
  </si>
  <si>
    <t xml:space="preserve">Good enough for basic transactions. Works fine most of the time.</t>
  </si>
  <si>
    <t xml:space="preserve">rv_003776</t>
  </si>
  <si>
    <t xml:space="preserve">sarahkennedy</t>
  </si>
  <si>
    <t xml:space="preserve">rv_004752</t>
  </si>
  <si>
    <t xml:space="preserve">jimwilliams</t>
  </si>
  <si>
    <t xml:space="preserve">rv_001618</t>
  </si>
  <si>
    <t xml:space="preserve">butlergregory</t>
  </si>
  <si>
    <t xml:space="preserve">rv_000154</t>
  </si>
  <si>
    <t xml:space="preserve">tracynelson</t>
  </si>
  <si>
    <t xml:space="preserve">rv_001717</t>
  </si>
  <si>
    <t xml:space="preserve">dennisjones</t>
  </si>
  <si>
    <t xml:space="preserve">rv_004364</t>
  </si>
  <si>
    <t xml:space="preserve">isolis</t>
  </si>
  <si>
    <t xml:space="preserve">rv_005433</t>
  </si>
  <si>
    <t xml:space="preserve">tonyaholmes</t>
  </si>
  <si>
    <t xml:space="preserve">rv_000735</t>
  </si>
  <si>
    <t xml:space="preserve">ryanfisher</t>
  </si>
  <si>
    <t xml:space="preserve">rv_000091</t>
  </si>
  <si>
    <t xml:space="preserve">dking</t>
  </si>
  <si>
    <t xml:space="preserve">rv_005538</t>
  </si>
  <si>
    <t xml:space="preserve">richard28</t>
  </si>
  <si>
    <t xml:space="preserve">rv_001969</t>
  </si>
  <si>
    <t xml:space="preserve">sbailey</t>
  </si>
  <si>
    <t xml:space="preserve">Crashes constantly, unusable since the update. It's okay, does what it needs to do.</t>
  </si>
  <si>
    <t xml:space="preserve">rv_000797</t>
  </si>
  <si>
    <t xml:space="preserve">flynnjeffrey</t>
  </si>
  <si>
    <t xml:space="preserve">rv_004764</t>
  </si>
  <si>
    <t xml:space="preserve">hamiltonholly</t>
  </si>
  <si>
    <t xml:space="preserve">rv_003527</t>
  </si>
  <si>
    <t xml:space="preserve">grantryan</t>
  </si>
  <si>
    <t xml:space="preserve">rv_005676</t>
  </si>
  <si>
    <t xml:space="preserve">paulhamilton</t>
  </si>
  <si>
    <t xml:space="preserve">rv_005750</t>
  </si>
  <si>
    <t xml:space="preserve">jenniferburch</t>
  </si>
  <si>
    <t xml:space="preserve">rv_001137</t>
  </si>
  <si>
    <t xml:space="preserve">tiffanysantiago</t>
  </si>
  <si>
    <t xml:space="preserve">rv_003455</t>
  </si>
  <si>
    <t xml:space="preserve">cmoody</t>
  </si>
  <si>
    <t xml:space="preserve">rv_000184</t>
  </si>
  <si>
    <t xml:space="preserve">christina87</t>
  </si>
  <si>
    <t xml:space="preserve">rv_004079</t>
  </si>
  <si>
    <t xml:space="preserve">diane70</t>
  </si>
  <si>
    <t xml:space="preserve">rv_001341</t>
  </si>
  <si>
    <t xml:space="preserve">elizabeth69</t>
  </si>
  <si>
    <t xml:space="preserve">rv_004124</t>
  </si>
  <si>
    <t xml:space="preserve">mary59</t>
  </si>
  <si>
    <t xml:space="preserve">App crashes every time I try to open it, so frustrating! Good enough for basic transactions.</t>
  </si>
  <si>
    <t xml:space="preserve">rv_003158</t>
  </si>
  <si>
    <t xml:space="preserve">nicole20</t>
  </si>
  <si>
    <t xml:space="preserve">rv_003521</t>
  </si>
  <si>
    <t xml:space="preserve">ybennett</t>
  </si>
  <si>
    <t xml:space="preserve">rv_001763</t>
  </si>
  <si>
    <t xml:space="preserve">davisamanda</t>
  </si>
  <si>
    <t xml:space="preserve">rv_005271</t>
  </si>
  <si>
    <t xml:space="preserve">xcompton</t>
  </si>
  <si>
    <t xml:space="preserve">Getting logged out randomly several times a day. Good enough for basic transactions.</t>
  </si>
  <si>
    <t xml:space="preserve">rv_004337</t>
  </si>
  <si>
    <t xml:space="preserve">marywoodard</t>
  </si>
  <si>
    <t xml:space="preserve">rv_005931</t>
  </si>
  <si>
    <t xml:space="preserve">paul84</t>
  </si>
  <si>
    <t xml:space="preserve">rv_001153</t>
  </si>
  <si>
    <t xml:space="preserve">xclements</t>
  </si>
  <si>
    <t xml:space="preserve">rv_002321</t>
  </si>
  <si>
    <t xml:space="preserve">richard07</t>
  </si>
  <si>
    <t xml:space="preserve">rv_002059</t>
  </si>
  <si>
    <t xml:space="preserve">jpowers</t>
  </si>
  <si>
    <t xml:space="preserve">rv_001573</t>
  </si>
  <si>
    <t xml:space="preserve">jackfarmer</t>
  </si>
  <si>
    <t xml:space="preserve">rv_004792</t>
  </si>
  <si>
    <t xml:space="preserve">brian90</t>
  </si>
  <si>
    <t xml:space="preserve">rv_002636</t>
  </si>
  <si>
    <t xml:space="preserve">dgray</t>
  </si>
  <si>
    <t xml:space="preserve">rv_001705</t>
  </si>
  <si>
    <t xml:space="preserve">kevin46</t>
  </si>
  <si>
    <t xml:space="preserve">rv_000227</t>
  </si>
  <si>
    <t xml:space="preserve">brownlaura</t>
  </si>
  <si>
    <t xml:space="preserve">rv_003774</t>
  </si>
  <si>
    <t xml:space="preserve">rv_000032</t>
  </si>
  <si>
    <t xml:space="preserve">dcarlson</t>
  </si>
  <si>
    <t xml:space="preserve">rv_004547</t>
  </si>
  <si>
    <t xml:space="preserve">linda33</t>
  </si>
  <si>
    <t xml:space="preserve">rv_000502</t>
  </si>
  <si>
    <t xml:space="preserve">rachelwallace</t>
  </si>
  <si>
    <t xml:space="preserve">rv_003432</t>
  </si>
  <si>
    <t xml:space="preserve">qhuber</t>
  </si>
  <si>
    <t xml:space="preserve">rv_000359</t>
  </si>
  <si>
    <t xml:space="preserve">dianewalker</t>
  </si>
  <si>
    <t xml:space="preserve">rv_001054</t>
  </si>
  <si>
    <t xml:space="preserve">4.5.1</t>
  </si>
  <si>
    <t xml:space="preserve">rv_000753</t>
  </si>
  <si>
    <t xml:space="preserve">john26</t>
  </si>
  <si>
    <t xml:space="preserve">rv_001097</t>
  </si>
  <si>
    <t xml:space="preserve">mhoward</t>
  </si>
  <si>
    <t xml:space="preserve">rv_004928</t>
  </si>
  <si>
    <t xml:space="preserve">richardhines</t>
  </si>
  <si>
    <t xml:space="preserve">rv_005146</t>
  </si>
  <si>
    <t xml:space="preserve">gstone</t>
  </si>
  <si>
    <t xml:space="preserve">rv_000363</t>
  </si>
  <si>
    <t xml:space="preserve">lynchdiane</t>
  </si>
  <si>
    <t xml:space="preserve">rv_003665</t>
  </si>
  <si>
    <t xml:space="preserve">emilyscott</t>
  </si>
  <si>
    <t xml:space="preserve">rv_002507</t>
  </si>
  <si>
    <t xml:space="preserve">summerscassidy</t>
  </si>
  <si>
    <t xml:space="preserve">rv_005744</t>
  </si>
  <si>
    <t xml:space="preserve">snyderfrank</t>
  </si>
  <si>
    <t xml:space="preserve">rv_005977</t>
  </si>
  <si>
    <t xml:space="preserve">cindy08</t>
  </si>
  <si>
    <t xml:space="preserve">rv_004522</t>
  </si>
  <si>
    <t xml:space="preserve">kylehunter</t>
  </si>
  <si>
    <t xml:space="preserve">Decent app but could use more features. Great app, super easy to send money to friends!</t>
  </si>
  <si>
    <t xml:space="preserve">rv_005325</t>
  </si>
  <si>
    <t xml:space="preserve">clinesteven</t>
  </si>
  <si>
    <t xml:space="preserve">rv_005466</t>
  </si>
  <si>
    <t xml:space="preserve">hglover</t>
  </si>
  <si>
    <t xml:space="preserve">rv_005024</t>
  </si>
  <si>
    <t xml:space="preserve">ballelizabeth</t>
  </si>
  <si>
    <t xml:space="preserve">rv_004424</t>
  </si>
  <si>
    <t xml:space="preserve">davidsharp</t>
  </si>
  <si>
    <t xml:space="preserve">rv_004258</t>
  </si>
  <si>
    <t xml:space="preserve">matthew65</t>
  </si>
  <si>
    <t xml:space="preserve">rv_003836</t>
  </si>
  <si>
    <t xml:space="preserve">costawilliam</t>
  </si>
  <si>
    <t xml:space="preserve">rv_003428</t>
  </si>
  <si>
    <t xml:space="preserve">amy41</t>
  </si>
  <si>
    <t xml:space="preserve">rv_003169</t>
  </si>
  <si>
    <t xml:space="preserve">rv_000836</t>
  </si>
  <si>
    <t xml:space="preserve">rubendavis</t>
  </si>
  <si>
    <t xml:space="preserve">rv_001841</t>
  </si>
  <si>
    <t xml:space="preserve">ginaschmitt</t>
  </si>
  <si>
    <t xml:space="preserve">rv_001644</t>
  </si>
  <si>
    <t xml:space="preserve">imcclain</t>
  </si>
  <si>
    <t xml:space="preserve">rv_002860</t>
  </si>
  <si>
    <t xml:space="preserve">molly98</t>
  </si>
  <si>
    <t xml:space="preserve">rv_003549</t>
  </si>
  <si>
    <t xml:space="preserve">jessicamiller</t>
  </si>
  <si>
    <t xml:space="preserve">rv_002314</t>
  </si>
  <si>
    <t xml:space="preserve">ann18</t>
  </si>
  <si>
    <t xml:space="preserve">rv_004536</t>
  </si>
  <si>
    <t xml:space="preserve">rv_001112</t>
  </si>
  <si>
    <t xml:space="preserve">michaelortiz</t>
  </si>
  <si>
    <t xml:space="preserve">rv_000535</t>
  </si>
  <si>
    <t xml:space="preserve">shannon21</t>
  </si>
  <si>
    <t xml:space="preserve">rv_000494</t>
  </si>
  <si>
    <t xml:space="preserve">scott19</t>
  </si>
  <si>
    <t xml:space="preserve">rv_000506</t>
  </si>
  <si>
    <t xml:space="preserve">william13</t>
  </si>
  <si>
    <t xml:space="preserve">rv_005900</t>
  </si>
  <si>
    <t xml:space="preserve">cindyhall</t>
  </si>
  <si>
    <t xml:space="preserve">rv_002389</t>
  </si>
  <si>
    <t xml:space="preserve">breynolds</t>
  </si>
  <si>
    <t xml:space="preserve">rv_005880</t>
  </si>
  <si>
    <t xml:space="preserve">brandon34</t>
  </si>
  <si>
    <t xml:space="preserve">rv_004380</t>
  </si>
  <si>
    <t xml:space="preserve">natalie57</t>
  </si>
  <si>
    <t xml:space="preserve">rv_005004</t>
  </si>
  <si>
    <t xml:space="preserve">richard21</t>
  </si>
  <si>
    <t xml:space="preserve">rv_004402</t>
  </si>
  <si>
    <t xml:space="preserve">timothyavery</t>
  </si>
  <si>
    <t xml:space="preserve">rv_001592</t>
  </si>
  <si>
    <t xml:space="preserve">kim47</t>
  </si>
  <si>
    <t xml:space="preserve">rv_003359</t>
  </si>
  <si>
    <t xml:space="preserve">shelby69</t>
  </si>
  <si>
    <t xml:space="preserve">rv_004437</t>
  </si>
  <si>
    <t xml:space="preserve">williamschad</t>
  </si>
  <si>
    <t xml:space="preserve">rv_000866</t>
  </si>
  <si>
    <t xml:space="preserve">fmiles</t>
  </si>
  <si>
    <t xml:space="preserve">rv_000328</t>
  </si>
  <si>
    <t xml:space="preserve">brendali</t>
  </si>
  <si>
    <t xml:space="preserve">rv_004078</t>
  </si>
  <si>
    <t xml:space="preserve">perezcourtney</t>
  </si>
  <si>
    <t xml:space="preserve">rv_003380</t>
  </si>
  <si>
    <t xml:space="preserve">inewton</t>
  </si>
  <si>
    <t xml:space="preserve">rv_004045</t>
  </si>
  <si>
    <t xml:space="preserve">lozanocorey</t>
  </si>
  <si>
    <t xml:space="preserve">rv_002011</t>
  </si>
  <si>
    <t xml:space="preserve">jdixon</t>
  </si>
  <si>
    <t xml:space="preserve">rv_002861</t>
  </si>
  <si>
    <t xml:space="preserve">lisawalker</t>
  </si>
  <si>
    <t xml:space="preserve">rv_003052</t>
  </si>
  <si>
    <t xml:space="preserve">hillsavannah</t>
  </si>
  <si>
    <t xml:space="preserve">rv_002461</t>
  </si>
  <si>
    <t xml:space="preserve">marshallchristine</t>
  </si>
  <si>
    <t xml:space="preserve">rv_004149</t>
  </si>
  <si>
    <t xml:space="preserve">shane65</t>
  </si>
  <si>
    <t xml:space="preserve">rv_005402</t>
  </si>
  <si>
    <t xml:space="preserve">mark30</t>
  </si>
  <si>
    <t xml:space="preserve">rv_003418</t>
  </si>
  <si>
    <t xml:space="preserve">emilybaker</t>
  </si>
  <si>
    <t xml:space="preserve">rv_000401</t>
  </si>
  <si>
    <t xml:space="preserve">laura90</t>
  </si>
  <si>
    <t xml:space="preserve">rv_002643</t>
  </si>
  <si>
    <t xml:space="preserve">aaronlittle</t>
  </si>
  <si>
    <t xml:space="preserve">Good enough for basic transactions. Average experience, nothing special.</t>
  </si>
  <si>
    <t xml:space="preserve">rv_002476</t>
  </si>
  <si>
    <t xml:space="preserve">thomasblack</t>
  </si>
  <si>
    <t xml:space="preserve">rv_003686</t>
  </si>
  <si>
    <t xml:space="preserve">kathryn21</t>
  </si>
  <si>
    <t xml:space="preserve">rv_003346</t>
  </si>
  <si>
    <t xml:space="preserve">bobby30</t>
  </si>
  <si>
    <t xml:space="preserve">rv_005688</t>
  </si>
  <si>
    <t xml:space="preserve">elizabeth58</t>
  </si>
  <si>
    <t xml:space="preserve">rv_001712</t>
  </si>
  <si>
    <t xml:space="preserve">jennifer66</t>
  </si>
  <si>
    <t xml:space="preserve">rv_005537</t>
  </si>
  <si>
    <t xml:space="preserve">zmorse</t>
  </si>
  <si>
    <t xml:space="preserve">rv_003088</t>
  </si>
  <si>
    <t xml:space="preserve">jason95</t>
  </si>
  <si>
    <t xml:space="preserve">rv_000848</t>
  </si>
  <si>
    <t xml:space="preserve">samanthajensen</t>
  </si>
  <si>
    <t xml:space="preserve">rv_000922</t>
  </si>
  <si>
    <t xml:space="preserve">randy04</t>
  </si>
  <si>
    <t xml:space="preserve">rv_005869</t>
  </si>
  <si>
    <t xml:space="preserve">phyllisbaxter</t>
  </si>
  <si>
    <t xml:space="preserve">rv_002677</t>
  </si>
  <si>
    <t xml:space="preserve">nwelch</t>
  </si>
  <si>
    <t xml:space="preserve">rv_002296</t>
  </si>
  <si>
    <t xml:space="preserve">sandra19</t>
  </si>
  <si>
    <t xml:space="preserve">rv_001723</t>
  </si>
  <si>
    <t xml:space="preserve">carnold</t>
  </si>
  <si>
    <t xml:space="preserve">rv_002545</t>
  </si>
  <si>
    <t xml:space="preserve">jenniferwilliams</t>
  </si>
  <si>
    <t xml:space="preserve">rv_002097</t>
  </si>
  <si>
    <t xml:space="preserve">qpennington</t>
  </si>
  <si>
    <t xml:space="preserve">rv_002645</t>
  </si>
  <si>
    <t xml:space="preserve">erica39</t>
  </si>
  <si>
    <t xml:space="preserve">rv_003316</t>
  </si>
  <si>
    <t xml:space="preserve">ramirezchelsea</t>
  </si>
  <si>
    <t xml:space="preserve">rv_004491</t>
  </si>
  <si>
    <t xml:space="preserve">masonpatricia</t>
  </si>
  <si>
    <t xml:space="preserve">rv_001494</t>
  </si>
  <si>
    <t xml:space="preserve">emily61</t>
  </si>
  <si>
    <t xml:space="preserve">rv_003222</t>
  </si>
  <si>
    <t xml:space="preserve">meyerjohn</t>
  </si>
  <si>
    <t xml:space="preserve">rv_005202</t>
  </si>
  <si>
    <t xml:space="preserve">rebecca67</t>
  </si>
  <si>
    <t xml:space="preserve">Why did they change the whole layout, it was fine before. Average experience, nothing special.</t>
  </si>
  <si>
    <t xml:space="preserve">rv_003552</t>
  </si>
  <si>
    <t xml:space="preserve">collinsann</t>
  </si>
  <si>
    <t xml:space="preserve">rv_003614</t>
  </si>
  <si>
    <t xml:space="preserve">thernandez</t>
  </si>
  <si>
    <t xml:space="preserve">rv_003550</t>
  </si>
  <si>
    <t xml:space="preserve">mwilliams</t>
  </si>
  <si>
    <t xml:space="preserve">rv_004371</t>
  </si>
  <si>
    <t xml:space="preserve">kelseywilliams</t>
  </si>
  <si>
    <t xml:space="preserve">rv_003144</t>
  </si>
  <si>
    <t xml:space="preserve">rv_003537</t>
  </si>
  <si>
    <t xml:space="preserve">roysara</t>
  </si>
  <si>
    <t xml:space="preserve">rv_005022</t>
  </si>
  <si>
    <t xml:space="preserve">anthonygilbert</t>
  </si>
  <si>
    <t xml:space="preserve">rv_005302</t>
  </si>
  <si>
    <t xml:space="preserve">tracifoster</t>
  </si>
  <si>
    <t xml:space="preserve">rv_004739</t>
  </si>
  <si>
    <t xml:space="preserve">esparzadawn</t>
  </si>
  <si>
    <t xml:space="preserve">rv_002452</t>
  </si>
  <si>
    <t xml:space="preserve">jennifer87</t>
  </si>
  <si>
    <t xml:space="preserve">rv_005093</t>
  </si>
  <si>
    <t xml:space="preserve">campbelljustin</t>
  </si>
  <si>
    <t xml:space="preserve">rv_005248</t>
  </si>
  <si>
    <t xml:space="preserve">gonzalezbrittany</t>
  </si>
  <si>
    <t xml:space="preserve">rv_005938</t>
  </si>
  <si>
    <t xml:space="preserve">vaguirre</t>
  </si>
  <si>
    <t xml:space="preserve">rv_005018</t>
  </si>
  <si>
    <t xml:space="preserve">dominguezscott</t>
  </si>
  <si>
    <t xml:space="preserve">New UI looks nice but navigation got way worse. Good enough for basic transactions.</t>
  </si>
  <si>
    <t xml:space="preserve">rv_001544</t>
  </si>
  <si>
    <t xml:space="preserve">kristinawilliamson</t>
  </si>
  <si>
    <t xml:space="preserve">rv_003120</t>
  </si>
  <si>
    <t xml:space="preserve">kendra73</t>
  </si>
  <si>
    <t xml:space="preserve">rv_005373</t>
  </si>
  <si>
    <t xml:space="preserve">folson</t>
  </si>
  <si>
    <t xml:space="preserve">rv_005350</t>
  </si>
  <si>
    <t xml:space="preserve">areynolds</t>
  </si>
  <si>
    <t xml:space="preserve">rv_004291</t>
  </si>
  <si>
    <t xml:space="preserve">wilkersonmelissa</t>
  </si>
  <si>
    <t xml:space="preserve">rv_002646</t>
  </si>
  <si>
    <t xml:space="preserve">nross</t>
  </si>
  <si>
    <t xml:space="preserve">rv_005094</t>
  </si>
  <si>
    <t xml:space="preserve">ncruz</t>
  </si>
  <si>
    <t xml:space="preserve">rv_003486</t>
  </si>
  <si>
    <t xml:space="preserve">bennettkatherine</t>
  </si>
  <si>
    <t xml:space="preserve">rv_001896</t>
  </si>
  <si>
    <t xml:space="preserve">myersharold</t>
  </si>
  <si>
    <t xml:space="preserve">rv_004872</t>
  </si>
  <si>
    <t xml:space="preserve">charleshayes</t>
  </si>
  <si>
    <t xml:space="preserve">rv_003826</t>
  </si>
  <si>
    <t xml:space="preserve">chanamber</t>
  </si>
  <si>
    <t xml:space="preserve">rv_005002</t>
  </si>
  <si>
    <t xml:space="preserve">alexis58</t>
  </si>
  <si>
    <t xml:space="preserve">rv_000926</t>
  </si>
  <si>
    <t xml:space="preserve">davidbrown</t>
  </si>
  <si>
    <t xml:space="preserve">rv_000316</t>
  </si>
  <si>
    <t xml:space="preserve">qchavez</t>
  </si>
  <si>
    <t xml:space="preserve">rv_003364</t>
  </si>
  <si>
    <t xml:space="preserve">lawsondonna</t>
  </si>
  <si>
    <t xml:space="preserve">rv_005860</t>
  </si>
  <si>
    <t xml:space="preserve">sanderson</t>
  </si>
  <si>
    <t xml:space="preserve">rv_004923</t>
  </si>
  <si>
    <t xml:space="preserve">debra82</t>
  </si>
  <si>
    <t xml:space="preserve">rv_005510</t>
  </si>
  <si>
    <t xml:space="preserve">jacob10</t>
  </si>
  <si>
    <t xml:space="preserve">rv_001960</t>
  </si>
  <si>
    <t xml:space="preserve">amybrennan</t>
  </si>
  <si>
    <t xml:space="preserve">rv_005482</t>
  </si>
  <si>
    <t xml:space="preserve">paul21</t>
  </si>
  <si>
    <t xml:space="preserve">rv_003230</t>
  </si>
  <si>
    <t xml:space="preserve">thomasroberts</t>
  </si>
  <si>
    <t xml:space="preserve">rv_005694</t>
  </si>
  <si>
    <t xml:space="preserve">mitchell76</t>
  </si>
  <si>
    <t xml:space="preserve">rv_000798</t>
  </si>
  <si>
    <t xml:space="preserve">hillamanda</t>
  </si>
  <si>
    <t xml:space="preserve">rv_002606</t>
  </si>
  <si>
    <t xml:space="preserve">alexanderwise</t>
  </si>
  <si>
    <t xml:space="preserve">rv_002543</t>
  </si>
  <si>
    <t xml:space="preserve">lori13</t>
  </si>
  <si>
    <t xml:space="preserve">rv_005345</t>
  </si>
  <si>
    <t xml:space="preserve">nathan06</t>
  </si>
  <si>
    <t xml:space="preserve">rv_005559</t>
  </si>
  <si>
    <t xml:space="preserve">millerdaniel</t>
  </si>
  <si>
    <t xml:space="preserve">rv_000327</t>
  </si>
  <si>
    <t xml:space="preserve">kristinharris</t>
  </si>
  <si>
    <t xml:space="preserve">rv_005042</t>
  </si>
  <si>
    <t xml:space="preserve">petersonfrank</t>
  </si>
  <si>
    <t xml:space="preserve">rv_002517</t>
  </si>
  <si>
    <t xml:space="preserve">nicole84</t>
  </si>
  <si>
    <t xml:space="preserve">rv_001250</t>
  </si>
  <si>
    <t xml:space="preserve">christine35</t>
  </si>
  <si>
    <t xml:space="preserve">rv_003656</t>
  </si>
  <si>
    <t xml:space="preserve">caseydiane</t>
  </si>
  <si>
    <t xml:space="preserve">rv_004399</t>
  </si>
  <si>
    <t xml:space="preserve">uwilliams</t>
  </si>
  <si>
    <t xml:space="preserve">rv_005875</t>
  </si>
  <si>
    <t xml:space="preserve">farellano</t>
  </si>
  <si>
    <t xml:space="preserve">rv_000875</t>
  </si>
  <si>
    <t xml:space="preserve">tylerreed</t>
  </si>
  <si>
    <t xml:space="preserve">rv_004344</t>
  </si>
  <si>
    <t xml:space="preserve">jonesshaun</t>
  </si>
  <si>
    <t xml:space="preserve">rv_002368</t>
  </si>
  <si>
    <t xml:space="preserve">jimsnyder</t>
  </si>
  <si>
    <t xml:space="preserve">rv_000684</t>
  </si>
  <si>
    <t xml:space="preserve">jonathan77</t>
  </si>
  <si>
    <t xml:space="preserve">CLEAN DESIGN AND WORKS EXACTLY AS EXPECTED. BEST BANKING APP I'VE USED, VERY RELIABLE.</t>
  </si>
  <si>
    <t xml:space="preserve">rv_000872</t>
  </si>
  <si>
    <t xml:space="preserve">chavezchelsea</t>
  </si>
  <si>
    <t xml:space="preserve">rv_000659</t>
  </si>
  <si>
    <t xml:space="preserve">ufloyd</t>
  </si>
  <si>
    <t xml:space="preserve">rv_003753</t>
  </si>
  <si>
    <t xml:space="preserve">carmenevans</t>
  </si>
  <si>
    <t xml:space="preserve">rv_002218</t>
  </si>
  <si>
    <t xml:space="preserve">dhall</t>
  </si>
  <si>
    <t xml:space="preserve">rv_005353</t>
  </si>
  <si>
    <t xml:space="preserve">leroy57</t>
  </si>
  <si>
    <t xml:space="preserve">rv_003621</t>
  </si>
  <si>
    <t xml:space="preserve">aparks</t>
  </si>
  <si>
    <t xml:space="preserve">rv_001087</t>
  </si>
  <si>
    <t xml:space="preserve">epowell</t>
  </si>
  <si>
    <t xml:space="preserve">rv_005836</t>
  </si>
  <si>
    <t xml:space="preserve">annette92</t>
  </si>
  <si>
    <t xml:space="preserve">rv_005394</t>
  </si>
  <si>
    <t xml:space="preserve">hayesrachel</t>
  </si>
  <si>
    <t xml:space="preserve">rv_003751</t>
  </si>
  <si>
    <t xml:space="preserve">timothyramos</t>
  </si>
  <si>
    <t xml:space="preserve">rv_003223</t>
  </si>
  <si>
    <t xml:space="preserve">wellsmarissa</t>
  </si>
  <si>
    <t xml:space="preserve">rv_001486</t>
  </si>
  <si>
    <t xml:space="preserve">angela65</t>
  </si>
  <si>
    <t xml:space="preserve">rv_004219</t>
  </si>
  <si>
    <t xml:space="preserve">lindsay25</t>
  </si>
  <si>
    <t xml:space="preserve">rv_004247</t>
  </si>
  <si>
    <t xml:space="preserve">lmitchell</t>
  </si>
  <si>
    <t xml:space="preserve">rv_002036</t>
  </si>
  <si>
    <t xml:space="preserve">hubbardcolleen</t>
  </si>
  <si>
    <t xml:space="preserve">rv_001460</t>
  </si>
  <si>
    <t xml:space="preserve">sarah00</t>
  </si>
  <si>
    <t xml:space="preserve">rv_002127</t>
  </si>
  <si>
    <t xml:space="preserve">ryanclark</t>
  </si>
  <si>
    <t xml:space="preserve">rv_002260</t>
  </si>
  <si>
    <t xml:space="preserve">ryanlong</t>
  </si>
  <si>
    <t xml:space="preserve">rv_002542</t>
  </si>
  <si>
    <t xml:space="preserve">fisherveronica</t>
  </si>
  <si>
    <t xml:space="preserve">Average experience, nothing special. Decent app but could use more features.</t>
  </si>
  <si>
    <t xml:space="preserve">rv_000061</t>
  </si>
  <si>
    <t xml:space="preserve">rv_000709</t>
  </si>
  <si>
    <t xml:space="preserve">rachel90</t>
  </si>
  <si>
    <t xml:space="preserve">Payment got stuck processing for over an hour. It's okay, does what it needs to do.</t>
  </si>
  <si>
    <t xml:space="preserve">rv_003790</t>
  </si>
  <si>
    <t xml:space="preserve">ccrane</t>
  </si>
  <si>
    <t xml:space="preserve">rv_003926</t>
  </si>
  <si>
    <t xml:space="preserve">davisjessica</t>
  </si>
  <si>
    <t xml:space="preserve">rv_004448</t>
  </si>
  <si>
    <t xml:space="preserve">bestchristopher</t>
  </si>
  <si>
    <t xml:space="preserve">rv_002488</t>
  </si>
  <si>
    <t xml:space="preserve">nbaird</t>
  </si>
  <si>
    <t xml:space="preserve">rv_003001</t>
  </si>
  <si>
    <t xml:space="preserve">mariodowns</t>
  </si>
  <si>
    <t xml:space="preserve">rv_000943</t>
  </si>
  <si>
    <t xml:space="preserve">timothy75</t>
  </si>
  <si>
    <t xml:space="preserve">rv_005973</t>
  </si>
  <si>
    <t xml:space="preserve">ryanford</t>
  </si>
  <si>
    <t xml:space="preserve">rv_005121</t>
  </si>
  <si>
    <t xml:space="preserve">sararios</t>
  </si>
  <si>
    <t xml:space="preserve">rv_005567</t>
  </si>
  <si>
    <t xml:space="preserve">dawn31</t>
  </si>
  <si>
    <t xml:space="preserve">rv_004988</t>
  </si>
  <si>
    <t xml:space="preserve">bhall</t>
  </si>
  <si>
    <t xml:space="preserve">rv_004719</t>
  </si>
  <si>
    <t xml:space="preserve">julie01</t>
  </si>
  <si>
    <t xml:space="preserve">rv_002965</t>
  </si>
  <si>
    <t xml:space="preserve">shelbybonilla</t>
  </si>
  <si>
    <t xml:space="preserve">rv_005332</t>
  </si>
  <si>
    <t xml:space="preserve">sbradley</t>
  </si>
  <si>
    <t xml:space="preserve">rv_003698</t>
  </si>
  <si>
    <t xml:space="preserve">clarksteven</t>
  </si>
  <si>
    <t xml:space="preserve">rv_002722</t>
  </si>
  <si>
    <t xml:space="preserve">huntermichael</t>
  </si>
  <si>
    <t xml:space="preserve">rv_004778</t>
  </si>
  <si>
    <t xml:space="preserve">allenandrea</t>
  </si>
  <si>
    <t xml:space="preserve">rv_001392</t>
  </si>
  <si>
    <t xml:space="preserve">andrew15</t>
  </si>
  <si>
    <t xml:space="preserve">rv_005019</t>
  </si>
  <si>
    <t xml:space="preserve">sandra38</t>
  </si>
  <si>
    <t xml:space="preserve">rv_002120</t>
  </si>
  <si>
    <t xml:space="preserve">josechristian</t>
  </si>
  <si>
    <t xml:space="preserve">rv_001852</t>
  </si>
  <si>
    <t xml:space="preserve">charlesrichards</t>
  </si>
  <si>
    <t xml:space="preserve">rv_000745</t>
  </si>
  <si>
    <t xml:space="preserve">yfaulkner</t>
  </si>
  <si>
    <t xml:space="preserve">rv_000575</t>
  </si>
  <si>
    <t xml:space="preserve">ledwards</t>
  </si>
  <si>
    <t xml:space="preserve">rv_002826</t>
  </si>
  <si>
    <t xml:space="preserve">john43</t>
  </si>
  <si>
    <t xml:space="preserve">rv_004815</t>
  </si>
  <si>
    <t xml:space="preserve">hebertmichelle</t>
  </si>
  <si>
    <t xml:space="preserve">rv_001596</t>
  </si>
  <si>
    <t xml:space="preserve">sharpdaniel</t>
  </si>
  <si>
    <t xml:space="preserve">rv_002513</t>
  </si>
  <si>
    <t xml:space="preserve">haydenwilliamson</t>
  </si>
  <si>
    <t xml:space="preserve">rv_003532</t>
  </si>
  <si>
    <t xml:space="preserve">adamcollins</t>
  </si>
  <si>
    <t xml:space="preserve">Transfers keep failing with a generic error message. Good enough for basic transactions.</t>
  </si>
  <si>
    <t xml:space="preserve">rv_001664</t>
  </si>
  <si>
    <t xml:space="preserve">cookpamela</t>
  </si>
  <si>
    <t xml:space="preserve">rv_003945</t>
  </si>
  <si>
    <t xml:space="preserve">ashleyjohnson</t>
  </si>
  <si>
    <t xml:space="preserve">rv_004517</t>
  </si>
  <si>
    <t xml:space="preserve">pblankenship</t>
  </si>
  <si>
    <t xml:space="preserve">rv_001498</t>
  </si>
  <si>
    <t xml:space="preserve">megan66</t>
  </si>
  <si>
    <t xml:space="preserve">rv_004031</t>
  </si>
  <si>
    <t xml:space="preserve">rhonda99</t>
  </si>
  <si>
    <t xml:space="preserve">rv_000905</t>
  </si>
  <si>
    <t xml:space="preserve">jenniferdavis</t>
  </si>
  <si>
    <t xml:space="preserve">rv_002471</t>
  </si>
  <si>
    <t xml:space="preserve">yeseniagoodwin</t>
  </si>
  <si>
    <t xml:space="preserve">rv_000548</t>
  </si>
  <si>
    <t xml:space="preserve">michaelroberts</t>
  </si>
  <si>
    <t xml:space="preserve">rv_001302</t>
  </si>
  <si>
    <t xml:space="preserve">nicholasanderson</t>
  </si>
  <si>
    <t xml:space="preserve">rv_001036</t>
  </si>
  <si>
    <t xml:space="preserve">collinswilliam</t>
  </si>
  <si>
    <t xml:space="preserve">rv_001156</t>
  </si>
  <si>
    <t xml:space="preserve">xmoran</t>
  </si>
  <si>
    <t xml:space="preserve">rv_004447</t>
  </si>
  <si>
    <t xml:space="preserve">nharris</t>
  </si>
  <si>
    <t xml:space="preserve">rv_002813</t>
  </si>
  <si>
    <t xml:space="preserve">linomar</t>
  </si>
  <si>
    <t xml:space="preserve">rv_001834</t>
  </si>
  <si>
    <t xml:space="preserve">carlsonjennifer</t>
  </si>
  <si>
    <t xml:space="preserve">rv_000225</t>
  </si>
  <si>
    <t xml:space="preserve">ronaldstephens</t>
  </si>
  <si>
    <t xml:space="preserve">rv_002376</t>
  </si>
  <si>
    <t xml:space="preserve">james08</t>
  </si>
  <si>
    <t xml:space="preserve">rv_005627</t>
  </si>
  <si>
    <t xml:space="preserve">sally78</t>
  </si>
  <si>
    <t xml:space="preserve">rv_001376</t>
  </si>
  <si>
    <t xml:space="preserve">jacob43</t>
  </si>
  <si>
    <t xml:space="preserve">rv_002771</t>
  </si>
  <si>
    <t xml:space="preserve">gregoryrichardson</t>
  </si>
  <si>
    <t xml:space="preserve">rv_004462</t>
  </si>
  <si>
    <t xml:space="preserve">zjackson</t>
  </si>
  <si>
    <t xml:space="preserve">rv_003036</t>
  </si>
  <si>
    <t xml:space="preserve">zpoole</t>
  </si>
  <si>
    <t xml:space="preserve">rv_000275</t>
  </si>
  <si>
    <t xml:space="preserve">williamsonjimmy</t>
  </si>
  <si>
    <t xml:space="preserve">rv_003433</t>
  </si>
  <si>
    <t xml:space="preserve">baileyraymond</t>
  </si>
  <si>
    <t xml:space="preserve">rv_000614</t>
  </si>
  <si>
    <t xml:space="preserve">bryanwilson</t>
  </si>
  <si>
    <t xml:space="preserve">rv_005068</t>
  </si>
  <si>
    <t xml:space="preserve">The app force closes whenever I check my balance. Works fine most of the time.</t>
  </si>
  <si>
    <t xml:space="preserve">rv_001936</t>
  </si>
  <si>
    <t xml:space="preserve">lindawaller</t>
  </si>
  <si>
    <t xml:space="preserve">rv_005450</t>
  </si>
  <si>
    <t xml:space="preserve">adamroth</t>
  </si>
  <si>
    <t xml:space="preserve">rv_002969</t>
  </si>
  <si>
    <t xml:space="preserve">nathaniel68</t>
  </si>
  <si>
    <t xml:space="preserve">rv_004557</t>
  </si>
  <si>
    <t xml:space="preserve">hamptonsara</t>
  </si>
  <si>
    <t xml:space="preserve">rv_001267</t>
  </si>
  <si>
    <t xml:space="preserve">acox</t>
  </si>
  <si>
    <t xml:space="preserve">rv_004737</t>
  </si>
  <si>
    <t xml:space="preserve">jefferydavis</t>
  </si>
  <si>
    <t xml:space="preserve">rv_004191</t>
  </si>
  <si>
    <t xml:space="preserve">vsmith</t>
  </si>
  <si>
    <t xml:space="preserve">rv_002386</t>
  </si>
  <si>
    <t xml:space="preserve">tiffanycoleman</t>
  </si>
  <si>
    <t xml:space="preserve">rv_002063</t>
  </si>
  <si>
    <t xml:space="preserve">umichael</t>
  </si>
  <si>
    <t xml:space="preserve">rv_000806</t>
  </si>
  <si>
    <t xml:space="preserve">hgrimes</t>
  </si>
  <si>
    <t xml:space="preserve">rv_002666</t>
  </si>
  <si>
    <t xml:space="preserve">petersonbrittany</t>
  </si>
  <si>
    <t xml:space="preserve">rv_002070</t>
  </si>
  <si>
    <t xml:space="preserve">anthonyrobles</t>
  </si>
  <si>
    <t xml:space="preserve">rv_003281</t>
  </si>
  <si>
    <t xml:space="preserve">kjones</t>
  </si>
  <si>
    <t xml:space="preserve">rv_001797</t>
  </si>
  <si>
    <t xml:space="preserve">mathew46</t>
  </si>
  <si>
    <t xml:space="preserve">rv_000860</t>
  </si>
  <si>
    <t xml:space="preserve">paulcombs</t>
  </si>
  <si>
    <t xml:space="preserve">rv_003979</t>
  </si>
  <si>
    <t xml:space="preserve">amber12</t>
  </si>
  <si>
    <t xml:space="preserve">rv_001526</t>
  </si>
  <si>
    <t xml:space="preserve">timothygonzalez</t>
  </si>
  <si>
    <t xml:space="preserve">rv_000447</t>
  </si>
  <si>
    <t xml:space="preserve">joe15</t>
  </si>
  <si>
    <t xml:space="preserve">rv_004532</t>
  </si>
  <si>
    <t xml:space="preserve">osimon</t>
  </si>
  <si>
    <t xml:space="preserve">rv_000430</t>
  </si>
  <si>
    <t xml:space="preserve">rv_004407</t>
  </si>
  <si>
    <t xml:space="preserve">kendrawilliams</t>
  </si>
  <si>
    <t xml:space="preserve">rv_005069</t>
  </si>
  <si>
    <t xml:space="preserve">hreyes</t>
  </si>
  <si>
    <t xml:space="preserve">rv_005952</t>
  </si>
  <si>
    <t xml:space="preserve">jodysmith</t>
  </si>
  <si>
    <t xml:space="preserve">rv_003783</t>
  </si>
  <si>
    <t xml:space="preserve">cardenasjames</t>
  </si>
  <si>
    <t xml:space="preserve">rv_000984</t>
  </si>
  <si>
    <t xml:space="preserve">emartin</t>
  </si>
  <si>
    <t xml:space="preserve">rv_002062</t>
  </si>
  <si>
    <t xml:space="preserve">oadams</t>
  </si>
  <si>
    <t xml:space="preserve">rv_000574</t>
  </si>
  <si>
    <t xml:space="preserve">whitney78</t>
  </si>
  <si>
    <t xml:space="preserve">rv_004482</t>
  </si>
  <si>
    <t xml:space="preserve">armstrongkrista</t>
  </si>
  <si>
    <t xml:space="preserve">rv_004470</t>
  </si>
  <si>
    <t xml:space="preserve">fblankenship</t>
  </si>
  <si>
    <t xml:space="preserve">rv_004456</t>
  </si>
  <si>
    <t xml:space="preserve">jocelyncruz</t>
  </si>
  <si>
    <t xml:space="preserve">rv_003073</t>
  </si>
  <si>
    <t xml:space="preserve">zgraham</t>
  </si>
  <si>
    <t xml:space="preserve">rv_004902</t>
  </si>
  <si>
    <t xml:space="preserve">justin20</t>
  </si>
  <si>
    <t xml:space="preserve">BUTTONS ARE TOO SMALL AND HARD TO TAP ON THE NEW LAYOUT. GOOD ENOUGH FOR BASIC TRANSACTIONS.</t>
  </si>
  <si>
    <t xml:space="preserve">rv_004671</t>
  </si>
  <si>
    <t xml:space="preserve">cainana</t>
  </si>
  <si>
    <t xml:space="preserve">rv_005777</t>
  </si>
  <si>
    <t xml:space="preserve">jenniferortega</t>
  </si>
  <si>
    <t xml:space="preserve">rv_002499</t>
  </si>
  <si>
    <t xml:space="preserve">rv_000748</t>
  </si>
  <si>
    <t xml:space="preserve">brittanygardner</t>
  </si>
  <si>
    <t xml:space="preserve">rv_005963</t>
  </si>
  <si>
    <t xml:space="preserve">robert42</t>
  </si>
  <si>
    <t xml:space="preserve">rv_003482</t>
  </si>
  <si>
    <t xml:space="preserve">karinorton</t>
  </si>
  <si>
    <t xml:space="preserve">rv_004308</t>
  </si>
  <si>
    <t xml:space="preserve">douglassusan</t>
  </si>
  <si>
    <t xml:space="preserve">rv_001414</t>
  </si>
  <si>
    <t xml:space="preserve">michelle78</t>
  </si>
  <si>
    <t xml:space="preserve">rv_005513</t>
  </si>
  <si>
    <t xml:space="preserve">pachecobrittney</t>
  </si>
  <si>
    <t xml:space="preserve">rv_000495</t>
  </si>
  <si>
    <t xml:space="preserve">alyssasanders</t>
  </si>
  <si>
    <t xml:space="preserve">rv_002361</t>
  </si>
  <si>
    <t xml:space="preserve">wchambers</t>
  </si>
  <si>
    <t xml:space="preserve">rv_004562</t>
  </si>
  <si>
    <t xml:space="preserve">zchapman</t>
  </si>
  <si>
    <t xml:space="preserve">rv_004541</t>
  </si>
  <si>
    <t xml:space="preserve">robinsonrose</t>
  </si>
  <si>
    <t xml:space="preserve">rv_002899</t>
  </si>
  <si>
    <t xml:space="preserve">rmoyer</t>
  </si>
  <si>
    <t xml:space="preserve">2025-08</t>
  </si>
  <si>
    <t xml:space="preserve">rv_000279</t>
  </si>
  <si>
    <t xml:space="preserve">williamslaura</t>
  </si>
  <si>
    <t xml:space="preserve">rv_005485</t>
  </si>
  <si>
    <t xml:space="preserve">bcase</t>
  </si>
  <si>
    <t xml:space="preserve">rv_000489</t>
  </si>
  <si>
    <t xml:space="preserve">melindagregory</t>
  </si>
  <si>
    <t xml:space="preserve">rv_003037</t>
  </si>
  <si>
    <t xml:space="preserve">oanderson</t>
  </si>
  <si>
    <t xml:space="preserve">rv_004321</t>
  </si>
  <si>
    <t xml:space="preserve">lisawalton</t>
  </si>
  <si>
    <t xml:space="preserve">rv_001891</t>
  </si>
  <si>
    <t xml:space="preserve">eramirez</t>
  </si>
  <si>
    <t xml:space="preserve">rv_003269</t>
  </si>
  <si>
    <t xml:space="preserve">martinezzachary</t>
  </si>
  <si>
    <t xml:space="preserve">Keeps crashing on the home screen after the last update. Works fine most of the time.</t>
  </si>
  <si>
    <t xml:space="preserve">rv_005191</t>
  </si>
  <si>
    <t xml:space="preserve">thomastimothy</t>
  </si>
  <si>
    <t xml:space="preserve">rv_002380</t>
  </si>
  <si>
    <t xml:space="preserve">rhill</t>
  </si>
  <si>
    <t xml:space="preserve">rv_005517</t>
  </si>
  <si>
    <t xml:space="preserve">lisathomas</t>
  </si>
  <si>
    <t xml:space="preserve">rv_000202</t>
  </si>
  <si>
    <t xml:space="preserve">javierwashington</t>
  </si>
  <si>
    <t xml:space="preserve">rv_003795</t>
  </si>
  <si>
    <t xml:space="preserve">daniel21</t>
  </si>
  <si>
    <t xml:space="preserve">rv_002906</t>
  </si>
  <si>
    <t xml:space="preserve">rv_002953</t>
  </si>
  <si>
    <t xml:space="preserve">victoriamason</t>
  </si>
  <si>
    <t xml:space="preserve">rv_004833</t>
  </si>
  <si>
    <t xml:space="preserve">susanpruitt</t>
  </si>
  <si>
    <t xml:space="preserve">rv_001572</t>
  </si>
  <si>
    <t xml:space="preserve">edwin31</t>
  </si>
  <si>
    <t xml:space="preserve">rv_001421</t>
  </si>
  <si>
    <t xml:space="preserve">smithlisa</t>
  </si>
  <si>
    <t xml:space="preserve">rv_004944</t>
  </si>
  <si>
    <t xml:space="preserve">barnettlisa</t>
  </si>
  <si>
    <t xml:space="preserve">It's okay, does what it needs to do. Customer support fixed my issue quickly, thanks!</t>
  </si>
  <si>
    <t xml:space="preserve">rv_004005</t>
  </si>
  <si>
    <t xml:space="preserve">codykelly</t>
  </si>
  <si>
    <t xml:space="preserve">rv_001321</t>
  </si>
  <si>
    <t xml:space="preserve">cheryl63</t>
  </si>
  <si>
    <t xml:space="preserve">rv_000585</t>
  </si>
  <si>
    <t xml:space="preserve">robertsjennifer</t>
  </si>
  <si>
    <t xml:space="preserve">rv_003242</t>
  </si>
  <si>
    <t xml:space="preserve">michaelball</t>
  </si>
  <si>
    <t xml:space="preserve">rv_004467</t>
  </si>
  <si>
    <t xml:space="preserve">chavezlauren</t>
  </si>
  <si>
    <t xml:space="preserve">rv_005525</t>
  </si>
  <si>
    <t xml:space="preserve">johnsonmartin</t>
  </si>
  <si>
    <t xml:space="preserve">rv_001636</t>
  </si>
  <si>
    <t xml:space="preserve">ann30</t>
  </si>
  <si>
    <t xml:space="preserve">rv_001842</t>
  </si>
  <si>
    <t xml:space="preserve">kjimenez</t>
  </si>
  <si>
    <t xml:space="preserve">rv_004757</t>
  </si>
  <si>
    <t xml:space="preserve">michaelsherman</t>
  </si>
  <si>
    <t xml:space="preserve">rv_005558</t>
  </si>
  <si>
    <t xml:space="preserve">smithmichelle</t>
  </si>
  <si>
    <t xml:space="preserve">rv_003237</t>
  </si>
  <si>
    <t xml:space="preserve">rv_004561</t>
  </si>
  <si>
    <t xml:space="preserve">tommycuevas</t>
  </si>
  <si>
    <t xml:space="preserve">rv_005871</t>
  </si>
  <si>
    <t xml:space="preserve">zcook</t>
  </si>
  <si>
    <t xml:space="preserve">rv_002443</t>
  </si>
  <si>
    <t xml:space="preserve">louis63</t>
  </si>
  <si>
    <t xml:space="preserve">rv_005587</t>
  </si>
  <si>
    <t xml:space="preserve">michelle00</t>
  </si>
  <si>
    <t xml:space="preserve">rv_001247</t>
  </si>
  <si>
    <t xml:space="preserve">emily41</t>
  </si>
  <si>
    <t xml:space="preserve">rv_004684</t>
  </si>
  <si>
    <t xml:space="preserve">barbara37</t>
  </si>
  <si>
    <t xml:space="preserve">rv_005859</t>
  </si>
  <si>
    <t xml:space="preserve">cuevaskathleen</t>
  </si>
  <si>
    <t xml:space="preserve">rv_002909</t>
  </si>
  <si>
    <t xml:space="preserve">jacquelineyoung</t>
  </si>
  <si>
    <t xml:space="preserve">rv_005041</t>
  </si>
  <si>
    <t xml:space="preserve">kristine33</t>
  </si>
  <si>
    <t xml:space="preserve">rv_000876</t>
  </si>
  <si>
    <t xml:space="preserve">gary24</t>
  </si>
  <si>
    <t xml:space="preserve">rv_005077</t>
  </si>
  <si>
    <t xml:space="preserve">kramirez</t>
  </si>
  <si>
    <t xml:space="preserve">rv_005566</t>
  </si>
  <si>
    <t xml:space="preserve">galvanjeanette</t>
  </si>
  <si>
    <t xml:space="preserve">GREAT APP, SUPER EASY TO SEND MONEY TO FRIENDS! CLEAN DESIGN AND WORKS EXACTLY AS EXPECTED.</t>
  </si>
  <si>
    <t xml:space="preserve">rv_004747</t>
  </si>
  <si>
    <t xml:space="preserve">davisbrandi</t>
  </si>
  <si>
    <t xml:space="preserve">rv_004816</t>
  </si>
  <si>
    <t xml:space="preserve">mary18</t>
  </si>
  <si>
    <t xml:space="preserve">rv_001855</t>
  </si>
  <si>
    <t xml:space="preserve">stephenlee</t>
  </si>
  <si>
    <t xml:space="preserve">rv_000393</t>
  </si>
  <si>
    <t xml:space="preserve">michael23</t>
  </si>
  <si>
    <t xml:space="preserve">rv_001048</t>
  </si>
  <si>
    <t xml:space="preserve">josephortiz</t>
  </si>
  <si>
    <t xml:space="preserve">rv_001060</t>
  </si>
  <si>
    <t xml:space="preserve">michelle44</t>
  </si>
  <si>
    <t xml:space="preserve">Works fine most of the time. Great app, super easy to send money to friends!</t>
  </si>
  <si>
    <t xml:space="preserve">rv_002520</t>
  </si>
  <si>
    <t xml:space="preserve">carneycharles</t>
  </si>
  <si>
    <t xml:space="preserve">rv_003784</t>
  </si>
  <si>
    <t xml:space="preserve">kenneth50</t>
  </si>
  <si>
    <t xml:space="preserve">rv_002967</t>
  </si>
  <si>
    <t xml:space="preserve">nortiz</t>
  </si>
  <si>
    <t xml:space="preserve">rv_004615</t>
  </si>
  <si>
    <t xml:space="preserve">montoyaelizabeth</t>
  </si>
  <si>
    <t xml:space="preserve">rv_002362</t>
  </si>
  <si>
    <t xml:space="preserve">wcarey</t>
  </si>
  <si>
    <t xml:space="preserve">rv_005940</t>
  </si>
  <si>
    <t xml:space="preserve">gibsonbrandon</t>
  </si>
  <si>
    <t xml:space="preserve">rv_000280</t>
  </si>
  <si>
    <t xml:space="preserve">michael62</t>
  </si>
  <si>
    <t xml:space="preserve">rv_000784</t>
  </si>
  <si>
    <t xml:space="preserve">lisamccarthy</t>
  </si>
  <si>
    <t xml:space="preserve">rv_004115</t>
  </si>
  <si>
    <t xml:space="preserve">joshuareese</t>
  </si>
  <si>
    <t xml:space="preserve">rv_003763</t>
  </si>
  <si>
    <t xml:space="preserve">gsmith</t>
  </si>
  <si>
    <t xml:space="preserve">rv_001791</t>
  </si>
  <si>
    <t xml:space="preserve">denisesmith</t>
  </si>
  <si>
    <t xml:space="preserve">rv_004165</t>
  </si>
  <si>
    <t xml:space="preserve">sharpjill</t>
  </si>
  <si>
    <t xml:space="preserve">rv_004595</t>
  </si>
  <si>
    <t xml:space="preserve">zbarrett</t>
  </si>
  <si>
    <t xml:space="preserve">rv_002686</t>
  </si>
  <si>
    <t xml:space="preserve">rv_004844</t>
  </si>
  <si>
    <t xml:space="preserve">nicole16</t>
  </si>
  <si>
    <t xml:space="preserve">rv_001177</t>
  </si>
  <si>
    <t xml:space="preserve">jamesweber</t>
  </si>
  <si>
    <t xml:space="preserve">rv_001334</t>
  </si>
  <si>
    <t xml:space="preserve">jennifer90</t>
  </si>
  <si>
    <t xml:space="preserve">rv_002411</t>
  </si>
  <si>
    <t xml:space="preserve">ilopez</t>
  </si>
  <si>
    <t xml:space="preserve">rv_001921</t>
  </si>
  <si>
    <t xml:space="preserve">hmorgan</t>
  </si>
  <si>
    <t xml:space="preserve">rv_004617</t>
  </si>
  <si>
    <t xml:space="preserve">billycrane</t>
  </si>
  <si>
    <t xml:space="preserve">rv_002271</t>
  </si>
  <si>
    <t xml:space="preserve">christopherarnold</t>
  </si>
  <si>
    <t xml:space="preserve">rv_000458</t>
  </si>
  <si>
    <t xml:space="preserve">chenbailey</t>
  </si>
  <si>
    <t xml:space="preserve">rv_000734</t>
  </si>
  <si>
    <t xml:space="preserve">joseph21</t>
  </si>
  <si>
    <t xml:space="preserve">rv_002221</t>
  </si>
  <si>
    <t xml:space="preserve">nwilson</t>
  </si>
  <si>
    <t xml:space="preserve">rv_004443</t>
  </si>
  <si>
    <t xml:space="preserve">christineduncan</t>
  </si>
  <si>
    <t xml:space="preserve">rv_004205</t>
  </si>
  <si>
    <t xml:space="preserve">edwardshah</t>
  </si>
  <si>
    <t xml:space="preserve">rv_005135</t>
  </si>
  <si>
    <t xml:space="preserve">whitesean</t>
  </si>
  <si>
    <t xml:space="preserve">rv_003831</t>
  </si>
  <si>
    <t xml:space="preserve">ymartinez</t>
  </si>
  <si>
    <t xml:space="preserve">rv_000766</t>
  </si>
  <si>
    <t xml:space="preserve">wilsonshelia</t>
  </si>
  <si>
    <t xml:space="preserve">rv_005196</t>
  </si>
  <si>
    <t xml:space="preserve">reynoldsmichelle</t>
  </si>
  <si>
    <t xml:space="preserve">rv_005445</t>
  </si>
  <si>
    <t xml:space="preserve">hartmanjoshua</t>
  </si>
  <si>
    <t xml:space="preserve">rv_004204</t>
  </si>
  <si>
    <t xml:space="preserve">reginaldsmith</t>
  </si>
  <si>
    <t xml:space="preserve">rv_003381</t>
  </si>
  <si>
    <t xml:space="preserve">bassandrew</t>
  </si>
  <si>
    <t xml:space="preserve">rv_003048</t>
  </si>
  <si>
    <t xml:space="preserve">tonyawalters</t>
  </si>
  <si>
    <t xml:space="preserve">rv_003948</t>
  </si>
  <si>
    <t xml:space="preserve">loretta55</t>
  </si>
  <si>
    <t xml:space="preserve">rv_001046</t>
  </si>
  <si>
    <t xml:space="preserve">anthony02</t>
  </si>
  <si>
    <t xml:space="preserve">rv_000879</t>
  </si>
  <si>
    <t xml:space="preserve">jennifer91</t>
  </si>
  <si>
    <t xml:space="preserve">rv_000398</t>
  </si>
  <si>
    <t xml:space="preserve">kmaldonado</t>
  </si>
  <si>
    <t xml:space="preserve">rv_000031</t>
  </si>
  <si>
    <t xml:space="preserve">ycarlson</t>
  </si>
  <si>
    <t xml:space="preserve">rv_000941</t>
  </si>
  <si>
    <t xml:space="preserve">crystalpham</t>
  </si>
  <si>
    <t xml:space="preserve">rv_000028</t>
  </si>
  <si>
    <t xml:space="preserve">jeffrey28</t>
  </si>
  <si>
    <t xml:space="preserve">rv_005132</t>
  </si>
  <si>
    <t xml:space="preserve">broberts</t>
  </si>
  <si>
    <t xml:space="preserve">rv_005733</t>
  </si>
  <si>
    <t xml:space="preserve">rodriguezrhonda</t>
  </si>
  <si>
    <t xml:space="preserve">rv_001131</t>
  </si>
  <si>
    <t xml:space="preserve">perrybrittany</t>
  </si>
  <si>
    <t xml:space="preserve">rv_005153</t>
  </si>
  <si>
    <t xml:space="preserve">daniel15</t>
  </si>
  <si>
    <t xml:space="preserve">rv_005754</t>
  </si>
  <si>
    <t xml:space="preserve">patriciamorrison</t>
  </si>
  <si>
    <t xml:space="preserve">rv_003852</t>
  </si>
  <si>
    <t xml:space="preserve">gregstone</t>
  </si>
  <si>
    <t xml:space="preserve">Works fine most of the time. Clean design and works exactly as expected.</t>
  </si>
  <si>
    <t xml:space="preserve">rv_001033</t>
  </si>
  <si>
    <t xml:space="preserve">scottmcintyre</t>
  </si>
  <si>
    <t xml:space="preserve">rv_003448</t>
  </si>
  <si>
    <t xml:space="preserve">stonemichael</t>
  </si>
  <si>
    <t xml:space="preserve">rv_004726</t>
  </si>
  <si>
    <t xml:space="preserve">jennifer64</t>
  </si>
  <si>
    <t xml:space="preserve">rv_005079</t>
  </si>
  <si>
    <t xml:space="preserve">tonya48</t>
  </si>
  <si>
    <t xml:space="preserve">rv_003671</t>
  </si>
  <si>
    <t xml:space="preserve">claudiacunningham</t>
  </si>
  <si>
    <t xml:space="preserve">rv_002315</t>
  </si>
  <si>
    <t xml:space="preserve">leechristine</t>
  </si>
  <si>
    <t xml:space="preserve">rv_005367</t>
  </si>
  <si>
    <t xml:space="preserve">christina60</t>
  </si>
  <si>
    <t xml:space="preserve">rv_002162</t>
  </si>
  <si>
    <t xml:space="preserve">mitchelltina</t>
  </si>
  <si>
    <t xml:space="preserve">rv_004193</t>
  </si>
  <si>
    <t xml:space="preserve">helen91</t>
  </si>
  <si>
    <t xml:space="preserve">rv_005170</t>
  </si>
  <si>
    <t xml:space="preserve">jenniferstanley</t>
  </si>
  <si>
    <t xml:space="preserve">rv_000260</t>
  </si>
  <si>
    <t xml:space="preserve">jreed</t>
  </si>
  <si>
    <t xml:space="preserve">rv_002204</t>
  </si>
  <si>
    <t xml:space="preserve">martinezalexander</t>
  </si>
  <si>
    <t xml:space="preserve">rv_002597</t>
  </si>
  <si>
    <t xml:space="preserve">ortizbenjamin</t>
  </si>
  <si>
    <t xml:space="preserve">rv_004983</t>
  </si>
  <si>
    <t xml:space="preserve">charlesflowers</t>
  </si>
  <si>
    <t xml:space="preserve">rv_000046</t>
  </si>
  <si>
    <t xml:space="preserve">ibrandt</t>
  </si>
  <si>
    <t xml:space="preserve">rv_001635</t>
  </si>
  <si>
    <t xml:space="preserve">vgutierrez</t>
  </si>
  <si>
    <t xml:space="preserve">rv_002613</t>
  </si>
  <si>
    <t xml:space="preserve">rodriguezashley</t>
  </si>
  <si>
    <t xml:space="preserve">rv_001085</t>
  </si>
  <si>
    <t xml:space="preserve">barbaramoore</t>
  </si>
  <si>
    <t xml:space="preserve">rv_002710</t>
  </si>
  <si>
    <t xml:space="preserve">scooke</t>
  </si>
  <si>
    <t xml:space="preserve">rv_002605</t>
  </si>
  <si>
    <t xml:space="preserve">carrielynn</t>
  </si>
  <si>
    <t xml:space="preserve">rv_001558</t>
  </si>
  <si>
    <t xml:space="preserve">edwardprince</t>
  </si>
  <si>
    <t xml:space="preserve">rv_000152</t>
  </si>
  <si>
    <t xml:space="preserve">wwoods</t>
  </si>
  <si>
    <t xml:space="preserve">rv_005654</t>
  </si>
  <si>
    <t xml:space="preserve">davidjones</t>
  </si>
  <si>
    <t xml:space="preserve">rv_001597</t>
  </si>
  <si>
    <t xml:space="preserve">phillipmorris</t>
  </si>
  <si>
    <t xml:space="preserve">rv_002344</t>
  </si>
  <si>
    <t xml:space="preserve">denise20</t>
  </si>
  <si>
    <t xml:space="preserve">rv_002502</t>
  </si>
  <si>
    <t xml:space="preserve">davidharris</t>
  </si>
  <si>
    <t xml:space="preserve">rv_005840</t>
  </si>
  <si>
    <t xml:space="preserve">lball</t>
  </si>
  <si>
    <t xml:space="preserve">rv_004050</t>
  </si>
  <si>
    <t xml:space="preserve">donnaherman</t>
  </si>
  <si>
    <t xml:space="preserve">rv_001221</t>
  </si>
  <si>
    <t xml:space="preserve">michellecoleman</t>
  </si>
  <si>
    <t xml:space="preserve">rv_003367</t>
  </si>
  <si>
    <t xml:space="preserve">jerry51</t>
  </si>
  <si>
    <t xml:space="preserve">rv_005415</t>
  </si>
  <si>
    <t xml:space="preserve">shannonmueller</t>
  </si>
  <si>
    <t xml:space="preserve">rv_004539</t>
  </si>
  <si>
    <t xml:space="preserve">aaronjones</t>
  </si>
  <si>
    <t xml:space="preserve">rv_004941</t>
  </si>
  <si>
    <t xml:space="preserve">yburke</t>
  </si>
  <si>
    <t xml:space="preserve">rv_004606</t>
  </si>
  <si>
    <t xml:space="preserve">alyssa89</t>
  </si>
  <si>
    <t xml:space="preserve">rv_001513</t>
  </si>
  <si>
    <t xml:space="preserve">rv_003000</t>
  </si>
  <si>
    <t xml:space="preserve">christiancontreras</t>
  </si>
  <si>
    <t xml:space="preserve">rv_005820</t>
  </si>
  <si>
    <t xml:space="preserve">mckayemily</t>
  </si>
  <si>
    <t xml:space="preserve">rv_001294</t>
  </si>
  <si>
    <t xml:space="preserve">kgreene</t>
  </si>
  <si>
    <t xml:space="preserve">rv_001749</t>
  </si>
  <si>
    <t xml:space="preserve">kimberly37</t>
  </si>
  <si>
    <t xml:space="preserve">rv_000961</t>
  </si>
  <si>
    <t xml:space="preserve">kimmathis</t>
  </si>
  <si>
    <t xml:space="preserve">rv_003872</t>
  </si>
  <si>
    <t xml:space="preserve">rv_004034</t>
  </si>
  <si>
    <t xml:space="preserve">kellysims</t>
  </si>
  <si>
    <t xml:space="preserve">rv_001777</t>
  </si>
  <si>
    <t xml:space="preserve">pdouglas</t>
  </si>
  <si>
    <t xml:space="preserve">rv_005881</t>
  </si>
  <si>
    <t xml:space="preserve">jamesrussell</t>
  </si>
  <si>
    <t xml:space="preserve">rv_005703</t>
  </si>
  <si>
    <t xml:space="preserve">andrew09</t>
  </si>
  <si>
    <t xml:space="preserve">rv_002327</t>
  </si>
  <si>
    <t xml:space="preserve">brianwoodward</t>
  </si>
  <si>
    <t xml:space="preserve">rv_003737</t>
  </si>
  <si>
    <t xml:space="preserve">larsenmegan</t>
  </si>
  <si>
    <t xml:space="preserve">rv_005734</t>
  </si>
  <si>
    <t xml:space="preserve">buckleycrystal</t>
  </si>
  <si>
    <t xml:space="preserve">rv_002721</t>
  </si>
  <si>
    <t xml:space="preserve">melissa01</t>
  </si>
  <si>
    <t xml:space="preserve">rv_004228</t>
  </si>
  <si>
    <t xml:space="preserve">edwardsnicole</t>
  </si>
  <si>
    <t xml:space="preserve">rv_005368</t>
  </si>
  <si>
    <t xml:space="preserve">millerjuan</t>
  </si>
  <si>
    <t xml:space="preserve">rv_001810</t>
  </si>
  <si>
    <t xml:space="preserve">ibentley</t>
  </si>
  <si>
    <t xml:space="preserve">rv_003624</t>
  </si>
  <si>
    <t xml:space="preserve">ronald19</t>
  </si>
  <si>
    <t xml:space="preserve">rv_002219</t>
  </si>
  <si>
    <t xml:space="preserve">hendersonleslie</t>
  </si>
  <si>
    <t xml:space="preserve">rv_002291</t>
  </si>
  <si>
    <t xml:space="preserve">adennis</t>
  </si>
  <si>
    <t xml:space="preserve">rv_005442</t>
  </si>
  <si>
    <t xml:space="preserve">nathanrobles</t>
  </si>
  <si>
    <t xml:space="preserve">rv_002415</t>
  </si>
  <si>
    <t xml:space="preserve">terrancemorrison</t>
  </si>
  <si>
    <t xml:space="preserve">rv_003100</t>
  </si>
  <si>
    <t xml:space="preserve">rogersallen</t>
  </si>
  <si>
    <t xml:space="preserve">4.6.0</t>
  </si>
  <si>
    <t xml:space="preserve">rv_005050</t>
  </si>
  <si>
    <t xml:space="preserve">bwood</t>
  </si>
  <si>
    <t xml:space="preserve">Login screen just spins forever, never lets me in. Decent app but could use more features.</t>
  </si>
  <si>
    <t xml:space="preserve">rv_005932</t>
  </si>
  <si>
    <t xml:space="preserve">robin23</t>
  </si>
  <si>
    <t xml:space="preserve">rv_005960</t>
  </si>
  <si>
    <t xml:space="preserve">ncrawford</t>
  </si>
  <si>
    <t xml:space="preserve">rv_003844</t>
  </si>
  <si>
    <t xml:space="preserve">pbautista</t>
  </si>
  <si>
    <t xml:space="preserve">rv_005095</t>
  </si>
  <si>
    <t xml:space="preserve">sthomas</t>
  </si>
  <si>
    <t xml:space="preserve">rv_003371</t>
  </si>
  <si>
    <t xml:space="preserve">shanebarnes</t>
  </si>
  <si>
    <t xml:space="preserve">rv_005885</t>
  </si>
  <si>
    <t xml:space="preserve">turnerelizabeth</t>
  </si>
  <si>
    <t xml:space="preserve">rv_003715</t>
  </si>
  <si>
    <t xml:space="preserve">ellisjenna</t>
  </si>
  <si>
    <t xml:space="preserve">rv_005518</t>
  </si>
  <si>
    <t xml:space="preserve">jgutierrez</t>
  </si>
  <si>
    <t xml:space="preserve">rv_000944</t>
  </si>
  <si>
    <t xml:space="preserve">paul20</t>
  </si>
  <si>
    <t xml:space="preserve">rv_002392</t>
  </si>
  <si>
    <t xml:space="preserve">underwoodapril</t>
  </si>
  <si>
    <t xml:space="preserve">rv_000783</t>
  </si>
  <si>
    <t xml:space="preserve">baileymegan</t>
  </si>
  <si>
    <t xml:space="preserve">rv_001365</t>
  </si>
  <si>
    <t xml:space="preserve">duranamber</t>
  </si>
  <si>
    <t xml:space="preserve">rv_005619</t>
  </si>
  <si>
    <t xml:space="preserve">boydrenee</t>
  </si>
  <si>
    <t xml:space="preserve">rv_005194</t>
  </si>
  <si>
    <t xml:space="preserve">bruce99</t>
  </si>
  <si>
    <t xml:space="preserve">rv_004218</t>
  </si>
  <si>
    <t xml:space="preserve">alyssapeterson</t>
  </si>
  <si>
    <t xml:space="preserve">rv_002794</t>
  </si>
  <si>
    <t xml:space="preserve">rv_001017</t>
  </si>
  <si>
    <t xml:space="preserve">melissa87</t>
  </si>
  <si>
    <t xml:space="preserve">rv_000048</t>
  </si>
  <si>
    <t xml:space="preserve">samuel87</t>
  </si>
  <si>
    <t xml:space="preserve">rv_004771</t>
  </si>
  <si>
    <t xml:space="preserve">lho</t>
  </si>
  <si>
    <t xml:space="preserve">rv_001364</t>
  </si>
  <si>
    <t xml:space="preserve">loweelizabeth</t>
  </si>
  <si>
    <t xml:space="preserve">rv_005778</t>
  </si>
  <si>
    <t xml:space="preserve">gregorymullen</t>
  </si>
  <si>
    <t xml:space="preserve">rv_000418</t>
  </si>
  <si>
    <t xml:space="preserve">sabrinacollins</t>
  </si>
  <si>
    <t xml:space="preserve">rv_001872</t>
  </si>
  <si>
    <t xml:space="preserve">chavezjohn</t>
  </si>
  <si>
    <t xml:space="preserve">rv_003709</t>
  </si>
  <si>
    <t xml:space="preserve">coxjennifer</t>
  </si>
  <si>
    <t xml:space="preserve">rv_004143</t>
  </si>
  <si>
    <t xml:space="preserve">gomeztonya</t>
  </si>
  <si>
    <t xml:space="preserve">rv_004854</t>
  </si>
  <si>
    <t xml:space="preserve">gdavis</t>
  </si>
  <si>
    <t xml:space="preserve">rv_005349</t>
  </si>
  <si>
    <t xml:space="preserve">rfleming</t>
  </si>
  <si>
    <t xml:space="preserve">rv_001246</t>
  </si>
  <si>
    <t xml:space="preserve">enewman</t>
  </si>
  <si>
    <t xml:space="preserve">rv_000387</t>
  </si>
  <si>
    <t xml:space="preserve">xcollier</t>
  </si>
  <si>
    <t xml:space="preserve">rv_002621</t>
  </si>
  <si>
    <t xml:space="preserve">waynerodriguez</t>
  </si>
  <si>
    <t xml:space="preserve">rv_003653</t>
  </si>
  <si>
    <t xml:space="preserve">joshuapowers</t>
  </si>
  <si>
    <t xml:space="preserve">Decent app but could use more features. Customer support fixed my issue quickly, thanks!</t>
  </si>
  <si>
    <t xml:space="preserve">rv_005717</t>
  </si>
  <si>
    <t xml:space="preserve">rperez</t>
  </si>
  <si>
    <t xml:space="preserve">rv_001633</t>
  </si>
  <si>
    <t xml:space="preserve">wilsonsteven</t>
  </si>
  <si>
    <t xml:space="preserve">rv_002879</t>
  </si>
  <si>
    <t xml:space="preserve">timothyhart</t>
  </si>
  <si>
    <t xml:space="preserve">rv_002685</t>
  </si>
  <si>
    <t xml:space="preserve">wmooney</t>
  </si>
  <si>
    <t xml:space="preserve">rv_001067</t>
  </si>
  <si>
    <t xml:space="preserve">matthewreeves</t>
  </si>
  <si>
    <t xml:space="preserve">rv_004542</t>
  </si>
  <si>
    <t xml:space="preserve">sandysnyder</t>
  </si>
  <si>
    <t xml:space="preserve">rv_003004</t>
  </si>
  <si>
    <t xml:space="preserve">ubaker</t>
  </si>
  <si>
    <t xml:space="preserve">rv_000792</t>
  </si>
  <si>
    <t xml:space="preserve">glennstephanie</t>
  </si>
  <si>
    <t xml:space="preserve">rv_002739</t>
  </si>
  <si>
    <t xml:space="preserve">mgray</t>
  </si>
  <si>
    <t xml:space="preserve">rv_004700</t>
  </si>
  <si>
    <t xml:space="preserve">jenniferfloyd</t>
  </si>
  <si>
    <t xml:space="preserve">rv_002760</t>
  </si>
  <si>
    <t xml:space="preserve">kevinhodge</t>
  </si>
  <si>
    <t xml:space="preserve">rv_005193</t>
  </si>
  <si>
    <t xml:space="preserve">timothygrant</t>
  </si>
  <si>
    <t xml:space="preserve">rv_004244</t>
  </si>
  <si>
    <t xml:space="preserve">mpeters</t>
  </si>
  <si>
    <t xml:space="preserve">rv_004137</t>
  </si>
  <si>
    <t xml:space="preserve">sethsmith</t>
  </si>
  <si>
    <t xml:space="preserve">rv_001511</t>
  </si>
  <si>
    <t xml:space="preserve">sthompson</t>
  </si>
  <si>
    <t xml:space="preserve">rv_005162</t>
  </si>
  <si>
    <t xml:space="preserve">franklindarius</t>
  </si>
  <si>
    <t xml:space="preserve">Takes ages to load the transaction history. Works fine most of the time.</t>
  </si>
  <si>
    <t xml:space="preserve">rv_003648</t>
  </si>
  <si>
    <t xml:space="preserve">jennifer16</t>
  </si>
  <si>
    <t xml:space="preserve">rv_004440</t>
  </si>
  <si>
    <t xml:space="preserve">billkeller</t>
  </si>
  <si>
    <t xml:space="preserve">rv_001811</t>
  </si>
  <si>
    <t xml:space="preserve">joycehall</t>
  </si>
  <si>
    <t xml:space="preserve">rv_004037</t>
  </si>
  <si>
    <t xml:space="preserve">anna96</t>
  </si>
  <si>
    <t xml:space="preserve">rv_003248</t>
  </si>
  <si>
    <t xml:space="preserve">breanna61</t>
  </si>
  <si>
    <t xml:space="preserve">rv_000329</t>
  </si>
  <si>
    <t xml:space="preserve">markhernandez</t>
  </si>
  <si>
    <t xml:space="preserve">rv_001261</t>
  </si>
  <si>
    <t xml:space="preserve">lunapatricia</t>
  </si>
  <si>
    <t xml:space="preserve">rv_005470</t>
  </si>
  <si>
    <t xml:space="preserve">anthony96</t>
  </si>
  <si>
    <t xml:space="preserve">rv_001047</t>
  </si>
  <si>
    <t xml:space="preserve">mercedesholland</t>
  </si>
  <si>
    <t xml:space="preserve">rv_002277</t>
  </si>
  <si>
    <t xml:space="preserve">shermanshelly</t>
  </si>
  <si>
    <t xml:space="preserve">rv_000322</t>
  </si>
  <si>
    <t xml:space="preserve">pollardmichael</t>
  </si>
  <si>
    <t xml:space="preserve">rv_005419</t>
  </si>
  <si>
    <t xml:space="preserve">morgan69</t>
  </si>
  <si>
    <t xml:space="preserve">rv_004624</t>
  </si>
  <si>
    <t xml:space="preserve">wyattsara</t>
  </si>
  <si>
    <t xml:space="preserve">rv_002369</t>
  </si>
  <si>
    <t xml:space="preserve">benjamin79</t>
  </si>
  <si>
    <t xml:space="preserve">rv_001616</t>
  </si>
  <si>
    <t xml:space="preserve">benjamin09</t>
  </si>
  <si>
    <t xml:space="preserve">rv_000349</t>
  </si>
  <si>
    <t xml:space="preserve">gperry</t>
  </si>
  <si>
    <t xml:space="preserve">rv_003617</t>
  </si>
  <si>
    <t xml:space="preserve">frankfleming</t>
  </si>
  <si>
    <t xml:space="preserve">rv_002164</t>
  </si>
  <si>
    <t xml:space="preserve">hooderic</t>
  </si>
  <si>
    <t xml:space="preserve">rv_000366</t>
  </si>
  <si>
    <t xml:space="preserve">vjones</t>
  </si>
  <si>
    <t xml:space="preserve">rv_000301</t>
  </si>
  <si>
    <t xml:space="preserve">kristinwalter</t>
  </si>
  <si>
    <t xml:space="preserve">rv_002033</t>
  </si>
  <si>
    <t xml:space="preserve">wjensen</t>
  </si>
  <si>
    <t xml:space="preserve">rv_005522</t>
  </si>
  <si>
    <t xml:space="preserve">chunglaura</t>
  </si>
  <si>
    <t xml:space="preserve">rv_002607</t>
  </si>
  <si>
    <t xml:space="preserve">lsanders</t>
  </si>
  <si>
    <t xml:space="preserve">rv_001220</t>
  </si>
  <si>
    <t xml:space="preserve">simsjason</t>
  </si>
  <si>
    <t xml:space="preserve">OTP never arrives so I can't log in to my account. Decent app but could use more features.</t>
  </si>
  <si>
    <t xml:space="preserve">rv_005505</t>
  </si>
  <si>
    <t xml:space="preserve">adam10</t>
  </si>
  <si>
    <t xml:space="preserve">rv_005737</t>
  </si>
  <si>
    <t xml:space="preserve">debra00</t>
  </si>
  <si>
    <t xml:space="preserve">rv_001748</t>
  </si>
  <si>
    <t xml:space="preserve">lwood</t>
  </si>
  <si>
    <t xml:space="preserve">rv_001830</t>
  </si>
  <si>
    <t xml:space="preserve">saramann</t>
  </si>
  <si>
    <t xml:space="preserve">rv_002961</t>
  </si>
  <si>
    <t xml:space="preserve">sarahmartin</t>
  </si>
  <si>
    <t xml:space="preserve">rv_004982</t>
  </si>
  <si>
    <t xml:space="preserve">kcontreras</t>
  </si>
  <si>
    <t xml:space="preserve">rv_005277</t>
  </si>
  <si>
    <t xml:space="preserve">pdavis</t>
  </si>
  <si>
    <t xml:space="preserve">rv_003423</t>
  </si>
  <si>
    <t xml:space="preserve">rv_000844</t>
  </si>
  <si>
    <t xml:space="preserve">wayala</t>
  </si>
  <si>
    <t xml:space="preserve">rv_005348</t>
  </si>
  <si>
    <t xml:space="preserve">harold46</t>
  </si>
  <si>
    <t xml:space="preserve">rv_002324</t>
  </si>
  <si>
    <t xml:space="preserve">christopher18</t>
  </si>
  <si>
    <t xml:space="preserve">rv_001895</t>
  </si>
  <si>
    <t xml:space="preserve">patriciaellis</t>
  </si>
  <si>
    <t xml:space="preserve">rv_003915</t>
  </si>
  <si>
    <t xml:space="preserve">donald61</t>
  </si>
  <si>
    <t xml:space="preserve">rv_001729</t>
  </si>
  <si>
    <t xml:space="preserve">hbush</t>
  </si>
  <si>
    <t xml:space="preserve">rv_005495</t>
  </si>
  <si>
    <t xml:space="preserve">hurleybrandon</t>
  </si>
  <si>
    <t xml:space="preserve">rv_005624</t>
  </si>
  <si>
    <t xml:space="preserve">ashley77</t>
  </si>
  <si>
    <t xml:space="preserve">rv_005929</t>
  </si>
  <si>
    <t xml:space="preserve">whitelevi</t>
  </si>
  <si>
    <t xml:space="preserve">rv_005011</t>
  </si>
  <si>
    <t xml:space="preserve">lauren93</t>
  </si>
  <si>
    <t xml:space="preserve">rv_004096</t>
  </si>
  <si>
    <t xml:space="preserve">sylviaprice</t>
  </si>
  <si>
    <t xml:space="preserve">rv_004627</t>
  </si>
  <si>
    <t xml:space="preserve">pmiller</t>
  </si>
  <si>
    <t xml:space="preserve">rv_001965</t>
  </si>
  <si>
    <t xml:space="preserve">ericwalker</t>
  </si>
  <si>
    <t xml:space="preserve">rv_004008</t>
  </si>
  <si>
    <t xml:space="preserve">michaelholland</t>
  </si>
  <si>
    <t xml:space="preserve">rv_001699</t>
  </si>
  <si>
    <t xml:space="preserve">georgegina</t>
  </si>
  <si>
    <t xml:space="preserve">rv_002222</t>
  </si>
  <si>
    <t xml:space="preserve">shane60</t>
  </si>
  <si>
    <t xml:space="preserve">rv_004340</t>
  </si>
  <si>
    <t xml:space="preserve">john64</t>
  </si>
  <si>
    <t xml:space="preserve">rv_003536</t>
  </si>
  <si>
    <t xml:space="preserve">joshua09</t>
  </si>
  <si>
    <t xml:space="preserve">rv_004976</t>
  </si>
  <si>
    <t xml:space="preserve">michellecarter</t>
  </si>
  <si>
    <t xml:space="preserve">rv_003297</t>
  </si>
  <si>
    <t xml:space="preserve">ritteralexis</t>
  </si>
  <si>
    <t xml:space="preserve">rv_001285</t>
  </si>
  <si>
    <t xml:space="preserve">jason22</t>
  </si>
  <si>
    <t xml:space="preserve">rv_004830</t>
  </si>
  <si>
    <t xml:space="preserve">sophia54</t>
  </si>
  <si>
    <t xml:space="preserve">rv_005096</t>
  </si>
  <si>
    <t xml:space="preserve">rodneynolan</t>
  </si>
  <si>
    <t xml:space="preserve">rv_001477</t>
  </si>
  <si>
    <t xml:space="preserve">marcus51</t>
  </si>
  <si>
    <t xml:space="preserve">rv_004179</t>
  </si>
  <si>
    <t xml:space="preserve">thompsonjames</t>
  </si>
  <si>
    <t xml:space="preserve">rv_004314</t>
  </si>
  <si>
    <t xml:space="preserve">tconner</t>
  </si>
  <si>
    <t xml:space="preserve">rv_003478</t>
  </si>
  <si>
    <t xml:space="preserve">briansnyder</t>
  </si>
  <si>
    <t xml:space="preserve">rv_003263</t>
  </si>
  <si>
    <t xml:space="preserve">wardricky</t>
  </si>
  <si>
    <t xml:space="preserve">rv_000973</t>
  </si>
  <si>
    <t xml:space="preserve">youngtoni</t>
  </si>
  <si>
    <t xml:space="preserve">rv_004543</t>
  </si>
  <si>
    <t xml:space="preserve">caldwelllisa</t>
  </si>
  <si>
    <t xml:space="preserve">rv_001151</t>
  </si>
  <si>
    <t xml:space="preserve">petersenlatoya</t>
  </si>
  <si>
    <t xml:space="preserve">rv_004662</t>
  </si>
  <si>
    <t xml:space="preserve">rkidd</t>
  </si>
  <si>
    <t xml:space="preserve">rv_000657</t>
  </si>
  <si>
    <t xml:space="preserve">conniesimmons</t>
  </si>
  <si>
    <t xml:space="preserve">rv_003699</t>
  </si>
  <si>
    <t xml:space="preserve">gabrielawallace</t>
  </si>
  <si>
    <t xml:space="preserve">rv_005903</t>
  </si>
  <si>
    <t xml:space="preserve">andrewgonzalez</t>
  </si>
  <si>
    <t xml:space="preserve">rv_000849</t>
  </si>
  <si>
    <t xml:space="preserve">fheath</t>
  </si>
  <si>
    <t xml:space="preserve">rv_002413</t>
  </si>
  <si>
    <t xml:space="preserve">ppalmer</t>
  </si>
  <si>
    <t xml:space="preserve">rv_004275</t>
  </si>
  <si>
    <t xml:space="preserve">joseph58</t>
  </si>
  <si>
    <t xml:space="preserve">rv_005738</t>
  </si>
  <si>
    <t xml:space="preserve">mccalltimothy</t>
  </si>
  <si>
    <t xml:space="preserve">rv_002044</t>
  </si>
  <si>
    <t xml:space="preserve">uchapman</t>
  </si>
  <si>
    <t xml:space="preserve">rv_003274</t>
  </si>
  <si>
    <t xml:space="preserve">melissafrederick</t>
  </si>
  <si>
    <t xml:space="preserve">rv_003235</t>
  </si>
  <si>
    <t xml:space="preserve">tsmith</t>
  </si>
  <si>
    <t xml:space="preserve">rv_000896</t>
  </si>
  <si>
    <t xml:space="preserve">woodkelly</t>
  </si>
  <si>
    <t xml:space="preserve">rv_005286</t>
  </si>
  <si>
    <t xml:space="preserve">snyderandrea</t>
  </si>
  <si>
    <t xml:space="preserve">rv_001922</t>
  </si>
  <si>
    <t xml:space="preserve">imccullough</t>
  </si>
  <si>
    <t xml:space="preserve">rv_005841</t>
  </si>
  <si>
    <t xml:space="preserve">rv_003011</t>
  </si>
  <si>
    <t xml:space="preserve">woodmichael</t>
  </si>
  <si>
    <t xml:space="preserve">rv_001541</t>
  </si>
  <si>
    <t xml:space="preserve">ana92</t>
  </si>
  <si>
    <t xml:space="preserve">rv_003156</t>
  </si>
  <si>
    <t xml:space="preserve">suzannewade</t>
  </si>
  <si>
    <t xml:space="preserve">rv_002460</t>
  </si>
  <si>
    <t xml:space="preserve">ostone</t>
  </si>
  <si>
    <t xml:space="preserve">rv_003462</t>
  </si>
  <si>
    <t xml:space="preserve">rv_002037</t>
  </si>
  <si>
    <t xml:space="preserve">wdavis</t>
  </si>
  <si>
    <t xml:space="preserve">rv_005980</t>
  </si>
  <si>
    <t xml:space="preserve">williamsaudrey</t>
  </si>
  <si>
    <t xml:space="preserve">rv_002216</t>
  </si>
  <si>
    <t xml:space="preserve">vallison</t>
  </si>
  <si>
    <t xml:space="preserve">rv_004505</t>
  </si>
  <si>
    <t xml:space="preserve">darrell66</t>
  </si>
  <si>
    <t xml:space="preserve">rv_003833</t>
  </si>
  <si>
    <t xml:space="preserve">omargriffin</t>
  </si>
  <si>
    <t xml:space="preserve">Payment got stuck processing for over an hour. Works fine most of the time.</t>
  </si>
  <si>
    <t xml:space="preserve">rv_003329</t>
  </si>
  <si>
    <t xml:space="preserve">davidsmith</t>
  </si>
  <si>
    <t xml:space="preserve">rv_005057</t>
  </si>
  <si>
    <t xml:space="preserve">gonzalezmarissa</t>
  </si>
  <si>
    <t xml:space="preserve">rv_003718</t>
  </si>
  <si>
    <t xml:space="preserve">ashley90</t>
  </si>
  <si>
    <t xml:space="preserve">rv_001821</t>
  </si>
  <si>
    <t xml:space="preserve">daughertybarbara</t>
  </si>
  <si>
    <t xml:space="preserve">rv_003284</t>
  </si>
  <si>
    <t xml:space="preserve">claytimothy</t>
  </si>
  <si>
    <t xml:space="preserve">rv_004235</t>
  </si>
  <si>
    <t xml:space="preserve">yhoffman</t>
  </si>
  <si>
    <t xml:space="preserve">rv_001375</t>
  </si>
  <si>
    <t xml:space="preserve">nguyenchloe</t>
  </si>
  <si>
    <t xml:space="preserve">rv_000910</t>
  </si>
  <si>
    <t xml:space="preserve">grahamtamara</t>
  </si>
  <si>
    <t xml:space="preserve">rv_002872</t>
  </si>
  <si>
    <t xml:space="preserve">jessicamorton</t>
  </si>
  <si>
    <t xml:space="preserve">rv_003542</t>
  </si>
  <si>
    <t xml:space="preserve">browndana</t>
  </si>
  <si>
    <t xml:space="preserve">rv_003525</t>
  </si>
  <si>
    <t xml:space="preserve">marycastro</t>
  </si>
  <si>
    <t xml:space="preserve">rv_002041</t>
  </si>
  <si>
    <t xml:space="preserve">danny20</t>
  </si>
  <si>
    <t xml:space="preserve">rv_004914</t>
  </si>
  <si>
    <t xml:space="preserve">lopezkimberly</t>
  </si>
  <si>
    <t xml:space="preserve">2025-09</t>
  </si>
  <si>
    <t xml:space="preserve">rv_000562</t>
  </si>
  <si>
    <t xml:space="preserve">emily69</t>
  </si>
  <si>
    <t xml:space="preserve">rv_004786</t>
  </si>
  <si>
    <t xml:space="preserve">erinhaney</t>
  </si>
  <si>
    <t xml:space="preserve">rv_002421</t>
  </si>
  <si>
    <t xml:space="preserve">vgreene</t>
  </si>
  <si>
    <t xml:space="preserve">rv_002904</t>
  </si>
  <si>
    <t xml:space="preserve">devon36</t>
  </si>
  <si>
    <t xml:space="preserve">rv_002265</t>
  </si>
  <si>
    <t xml:space="preserve">isabellagriffin</t>
  </si>
  <si>
    <t xml:space="preserve">rv_005499</t>
  </si>
  <si>
    <t xml:space="preserve">gbraun</t>
  </si>
  <si>
    <t xml:space="preserve">rv_003970</t>
  </si>
  <si>
    <t xml:space="preserve">swalker</t>
  </si>
  <si>
    <t xml:space="preserve">rv_002742</t>
  </si>
  <si>
    <t xml:space="preserve">danielle55</t>
  </si>
  <si>
    <t xml:space="preserve">rv_004980</t>
  </si>
  <si>
    <t xml:space="preserve">rossamanda</t>
  </si>
  <si>
    <t xml:space="preserve">rv_004030</t>
  </si>
  <si>
    <t xml:space="preserve">abbottchristopher</t>
  </si>
  <si>
    <t xml:space="preserve">rv_002245</t>
  </si>
  <si>
    <t xml:space="preserve">rhondamoore</t>
  </si>
  <si>
    <t xml:space="preserve">rv_003570</t>
  </si>
  <si>
    <t xml:space="preserve">victoriahamilton</t>
  </si>
  <si>
    <t xml:space="preserve">rv_002901</t>
  </si>
  <si>
    <t xml:space="preserve">katrinagomez</t>
  </si>
  <si>
    <t xml:space="preserve">rv_005296</t>
  </si>
  <si>
    <t xml:space="preserve">anngarcia</t>
  </si>
  <si>
    <t xml:space="preserve">rv_005240</t>
  </si>
  <si>
    <t xml:space="preserve">amydavid</t>
  </si>
  <si>
    <t xml:space="preserve">rv_005950</t>
  </si>
  <si>
    <t xml:space="preserve">nicholasflores</t>
  </si>
  <si>
    <t xml:space="preserve">rv_004597</t>
  </si>
  <si>
    <t xml:space="preserve">susan92</t>
  </si>
  <si>
    <t xml:space="preserve">Getting logged out randomly several times a day. Decent app but could use more features.</t>
  </si>
  <si>
    <t xml:space="preserve">rv_000342</t>
  </si>
  <si>
    <t xml:space="preserve">lammarc</t>
  </si>
  <si>
    <t xml:space="preserve">rv_003348</t>
  </si>
  <si>
    <t xml:space="preserve">burkemichael</t>
  </si>
  <si>
    <t xml:space="preserve">SMOOTH EXPERIENCE, NO COMPLAINTS AT ALL. SMOOTH EXPERIENCE, NO COMPLAINTS AT ALL.</t>
  </si>
  <si>
    <t xml:space="preserve">rv_000352</t>
  </si>
  <si>
    <t xml:space="preserve">deckerchristopher</t>
  </si>
  <si>
    <t xml:space="preserve">rv_003225</t>
  </si>
  <si>
    <t xml:space="preserve">richard23</t>
  </si>
  <si>
    <t xml:space="preserve">rv_004154</t>
  </si>
  <si>
    <t xml:space="preserve">egonzalez</t>
  </si>
  <si>
    <t xml:space="preserve">rv_002016</t>
  </si>
  <si>
    <t xml:space="preserve">patrickshelton</t>
  </si>
  <si>
    <t xml:space="preserve">rv_001223</t>
  </si>
  <si>
    <t xml:space="preserve">elucas</t>
  </si>
  <si>
    <t xml:space="preserve">rv_001030</t>
  </si>
  <si>
    <t xml:space="preserve">dennismccann</t>
  </si>
  <si>
    <t xml:space="preserve">rv_004239</t>
  </si>
  <si>
    <t xml:space="preserve">alexandragordon</t>
  </si>
  <si>
    <t xml:space="preserve">rv_002484</t>
  </si>
  <si>
    <t xml:space="preserve">jeremiah66</t>
  </si>
  <si>
    <t xml:space="preserve">rv_002922</t>
  </si>
  <si>
    <t xml:space="preserve">vmanning</t>
  </si>
  <si>
    <t xml:space="preserve">rv_005824</t>
  </si>
  <si>
    <t xml:space="preserve">snelson</t>
  </si>
  <si>
    <t xml:space="preserve">rv_000992</t>
  </si>
  <si>
    <t xml:space="preserve">xhernandez</t>
  </si>
  <si>
    <t xml:space="preserve">rv_003964</t>
  </si>
  <si>
    <t xml:space="preserve">jphelps</t>
  </si>
  <si>
    <t xml:space="preserve">rv_000526</t>
  </si>
  <si>
    <t xml:space="preserve">jimenezcourtney</t>
  </si>
  <si>
    <t xml:space="preserve">rv_001672</t>
  </si>
  <si>
    <t xml:space="preserve">georgecollins</t>
  </si>
  <si>
    <t xml:space="preserve">rv_003214</t>
  </si>
  <si>
    <t xml:space="preserve">cookconnor</t>
  </si>
  <si>
    <t xml:space="preserve">rv_000651</t>
  </si>
  <si>
    <t xml:space="preserve">nyoung</t>
  </si>
  <si>
    <t xml:space="preserve">rv_003738</t>
  </si>
  <si>
    <t xml:space="preserve">judithcox</t>
  </si>
  <si>
    <t xml:space="preserve">rv_003692</t>
  </si>
  <si>
    <t xml:space="preserve">xcohen</t>
  </si>
  <si>
    <t xml:space="preserve">rv_002077</t>
  </si>
  <si>
    <t xml:space="preserve">edwardskenneth</t>
  </si>
  <si>
    <t xml:space="preserve">rv_000642</t>
  </si>
  <si>
    <t xml:space="preserve">avilatiffany</t>
  </si>
  <si>
    <t xml:space="preserve">rv_001536</t>
  </si>
  <si>
    <t xml:space="preserve">rodriguezbrian</t>
  </si>
  <si>
    <t xml:space="preserve">rv_000647</t>
  </si>
  <si>
    <t xml:space="preserve">johnsondonna</t>
  </si>
  <si>
    <t xml:space="preserve">rv_004935</t>
  </si>
  <si>
    <t xml:space="preserve">ashley14</t>
  </si>
  <si>
    <t xml:space="preserve">rv_004825</t>
  </si>
  <si>
    <t xml:space="preserve">natashaavila</t>
  </si>
  <si>
    <t xml:space="preserve">rv_004161</t>
  </si>
  <si>
    <t xml:space="preserve">michelle10</t>
  </si>
  <si>
    <t xml:space="preserve">rv_004607</t>
  </si>
  <si>
    <t xml:space="preserve">ryandodson</t>
  </si>
  <si>
    <t xml:space="preserve">rv_004600</t>
  </si>
  <si>
    <t xml:space="preserve">bobbytaylor</t>
  </si>
  <si>
    <t xml:space="preserve">rv_003127</t>
  </si>
  <si>
    <t xml:space="preserve">ngarcia</t>
  </si>
  <si>
    <t xml:space="preserve">rv_005649</t>
  </si>
  <si>
    <t xml:space="preserve">mking</t>
  </si>
  <si>
    <t xml:space="preserve">rv_004173</t>
  </si>
  <si>
    <t xml:space="preserve">jasonlove</t>
  </si>
  <si>
    <t xml:space="preserve">rv_001874</t>
  </si>
  <si>
    <t xml:space="preserve">davidphillips</t>
  </si>
  <si>
    <t xml:space="preserve">rv_001000</t>
  </si>
  <si>
    <t xml:space="preserve">seanbaker</t>
  </si>
  <si>
    <t xml:space="preserve">rv_005791</t>
  </si>
  <si>
    <t xml:space="preserve">uperez</t>
  </si>
  <si>
    <t xml:space="preserve">rv_005211</t>
  </si>
  <si>
    <t xml:space="preserve">gspencer</t>
  </si>
  <si>
    <t xml:space="preserve">rv_002134</t>
  </si>
  <si>
    <t xml:space="preserve">tmcdaniel</t>
  </si>
  <si>
    <t xml:space="preserve">rv_004569</t>
  </si>
  <si>
    <t xml:space="preserve">victoriasmith</t>
  </si>
  <si>
    <t xml:space="preserve">rv_000723</t>
  </si>
  <si>
    <t xml:space="preserve">lauren11</t>
  </si>
  <si>
    <t xml:space="preserve">rv_004223</t>
  </si>
  <si>
    <t xml:space="preserve">jbuchanan</t>
  </si>
  <si>
    <t xml:space="preserve">rv_004086</t>
  </si>
  <si>
    <t xml:space="preserve">cervanteskayla</t>
  </si>
  <si>
    <t xml:space="preserve">rv_005862</t>
  </si>
  <si>
    <t xml:space="preserve">mendozakevin</t>
  </si>
  <si>
    <t xml:space="preserve">rv_002603</t>
  </si>
  <si>
    <t xml:space="preserve">crystal02</t>
  </si>
  <si>
    <t xml:space="preserve">rv_000536</t>
  </si>
  <si>
    <t xml:space="preserve">robertspatrick</t>
  </si>
  <si>
    <t xml:space="preserve">rv_005148</t>
  </si>
  <si>
    <t xml:space="preserve">elizabeth52</t>
  </si>
  <si>
    <t xml:space="preserve">rv_003161</t>
  </si>
  <si>
    <t xml:space="preserve">williamsandre</t>
  </si>
  <si>
    <t xml:space="preserve">rv_005087</t>
  </si>
  <si>
    <t xml:space="preserve">danielle93</t>
  </si>
  <si>
    <t xml:space="preserve">rv_004369</t>
  </si>
  <si>
    <t xml:space="preserve">timothywright</t>
  </si>
  <si>
    <t xml:space="preserve">rv_004995</t>
  </si>
  <si>
    <t xml:space="preserve">dmendoza</t>
  </si>
  <si>
    <t xml:space="preserve">rv_001547</t>
  </si>
  <si>
    <t xml:space="preserve">michelle04</t>
  </si>
  <si>
    <t xml:space="preserve">rv_004333</t>
  </si>
  <si>
    <t xml:space="preserve">tracy55</t>
  </si>
  <si>
    <t xml:space="preserve">rv_004267</t>
  </si>
  <si>
    <t xml:space="preserve">vincentmorris</t>
  </si>
  <si>
    <t xml:space="preserve">rv_002212</t>
  </si>
  <si>
    <t xml:space="preserve">heathbrenda</t>
  </si>
  <si>
    <t xml:space="preserve">rv_003126</t>
  </si>
  <si>
    <t xml:space="preserve">taylorcruz</t>
  </si>
  <si>
    <t xml:space="preserve">rv_005178</t>
  </si>
  <si>
    <t xml:space="preserve">sandraheath</t>
  </si>
  <si>
    <t xml:space="preserve">rv_003336</t>
  </si>
  <si>
    <t xml:space="preserve">rv_003395</t>
  </si>
  <si>
    <t xml:space="preserve">ymitchell</t>
  </si>
  <si>
    <t xml:space="preserve">rv_000045</t>
  </si>
  <si>
    <t xml:space="preserve">josephbrennan</t>
  </si>
  <si>
    <t xml:space="preserve">rv_002905</t>
  </si>
  <si>
    <t xml:space="preserve">idunn</t>
  </si>
  <si>
    <t xml:space="preserve">rv_004648</t>
  </si>
  <si>
    <t xml:space="preserve">vayala</t>
  </si>
  <si>
    <t xml:space="preserve">rv_005400</t>
  </si>
  <si>
    <t xml:space="preserve">soliscarlos</t>
  </si>
  <si>
    <t xml:space="preserve">rv_000455</t>
  </si>
  <si>
    <t xml:space="preserve">kevinwilliams</t>
  </si>
  <si>
    <t xml:space="preserve">rv_005451</t>
  </si>
  <si>
    <t xml:space="preserve">sherry96</t>
  </si>
  <si>
    <t xml:space="preserve">rv_003649</t>
  </si>
  <si>
    <t xml:space="preserve">leonashley</t>
  </si>
  <si>
    <t xml:space="preserve">rv_001759</t>
  </si>
  <si>
    <t xml:space="preserve">noahthornton</t>
  </si>
  <si>
    <t xml:space="preserve">rv_000850</t>
  </si>
  <si>
    <t xml:space="preserve">taylordavid</t>
  </si>
  <si>
    <t xml:space="preserve">rv_005922</t>
  </si>
  <si>
    <t xml:space="preserve">smay</t>
  </si>
  <si>
    <t xml:space="preserve">rv_003562</t>
  </si>
  <si>
    <t xml:space="preserve">donald56</t>
  </si>
  <si>
    <t xml:space="preserve">rv_003131</t>
  </si>
  <si>
    <t xml:space="preserve">gparrish</t>
  </si>
  <si>
    <t xml:space="preserve">rv_000442</t>
  </si>
  <si>
    <t xml:space="preserve">mitchellkathryn</t>
  </si>
  <si>
    <t xml:space="preserve">rv_000205</t>
  </si>
  <si>
    <t xml:space="preserve">joshuamccann</t>
  </si>
  <si>
    <t xml:space="preserve">rv_004822</t>
  </si>
  <si>
    <t xml:space="preserve">smontgomery</t>
  </si>
  <si>
    <t xml:space="preserve">rv_005187</t>
  </si>
  <si>
    <t xml:space="preserve">rodneyhoward</t>
  </si>
  <si>
    <t xml:space="preserve">rv_000993</t>
  </si>
  <si>
    <t xml:space="preserve">pattersonkelly</t>
  </si>
  <si>
    <t xml:space="preserve">rv_001727</t>
  </si>
  <si>
    <t xml:space="preserve">robert89</t>
  </si>
  <si>
    <t xml:space="preserve">rv_001286</t>
  </si>
  <si>
    <t xml:space="preserve">carolyn13</t>
  </si>
  <si>
    <t xml:space="preserve">rv_002508</t>
  </si>
  <si>
    <t xml:space="preserve">aliciakent</t>
  </si>
  <si>
    <t xml:space="preserve">rv_003766</t>
  </si>
  <si>
    <t xml:space="preserve">schaeferscott</t>
  </si>
  <si>
    <t xml:space="preserve">rv_001519</t>
  </si>
  <si>
    <t xml:space="preserve">brentdennis</t>
  </si>
  <si>
    <t xml:space="preserve">rv_000059</t>
  </si>
  <si>
    <t xml:space="preserve">brownjessica</t>
  </si>
  <si>
    <t xml:space="preserve">rv_003930</t>
  </si>
  <si>
    <t xml:space="preserve">robert45</t>
  </si>
  <si>
    <t xml:space="preserve">rv_003891</t>
  </si>
  <si>
    <t xml:space="preserve">martinezjennifer</t>
  </si>
  <si>
    <t xml:space="preserve">rv_002647</t>
  </si>
  <si>
    <t xml:space="preserve">baileysheila</t>
  </si>
  <si>
    <t xml:space="preserve">rv_002900</t>
  </si>
  <si>
    <t xml:space="preserve">christophercooley</t>
  </si>
  <si>
    <t xml:space="preserve">rv_000706</t>
  </si>
  <si>
    <t xml:space="preserve">ariel18</t>
  </si>
  <si>
    <t xml:space="preserve">rv_003736</t>
  </si>
  <si>
    <t xml:space="preserve">ohudson</t>
  </si>
  <si>
    <t xml:space="preserve">rv_001703</t>
  </si>
  <si>
    <t xml:space="preserve">yschmidt</t>
  </si>
  <si>
    <t xml:space="preserve">rv_004307</t>
  </si>
  <si>
    <t xml:space="preserve">athompson</t>
  </si>
  <si>
    <t xml:space="preserve">rv_005249</t>
  </si>
  <si>
    <t xml:space="preserve">cervantespatrick</t>
  </si>
  <si>
    <t xml:space="preserve">rv_003860</t>
  </si>
  <si>
    <t xml:space="preserve">ufarmer</t>
  </si>
  <si>
    <t xml:space="preserve">rv_001468</t>
  </si>
  <si>
    <t xml:space="preserve">mario74</t>
  </si>
  <si>
    <t xml:space="preserve">rv_003806</t>
  </si>
  <si>
    <t xml:space="preserve">hyates</t>
  </si>
  <si>
    <t xml:space="preserve">rv_000139</t>
  </si>
  <si>
    <t xml:space="preserve">jrivas</t>
  </si>
  <si>
    <t xml:space="preserve">rv_005045</t>
  </si>
  <si>
    <t xml:space="preserve">vthompson</t>
  </si>
  <si>
    <t xml:space="preserve">rv_003904</t>
  </si>
  <si>
    <t xml:space="preserve">rgarrison</t>
  </si>
  <si>
    <t xml:space="preserve">rv_001109</t>
  </si>
  <si>
    <t xml:space="preserve">huntchristine</t>
  </si>
  <si>
    <t xml:space="preserve">rv_004893</t>
  </si>
  <si>
    <t xml:space="preserve">kelly01</t>
  </si>
  <si>
    <t xml:space="preserve">rv_002261</t>
  </si>
  <si>
    <t xml:space="preserve">kellerdarlene</t>
  </si>
  <si>
    <t xml:space="preserve">rv_004596</t>
  </si>
  <si>
    <t xml:space="preserve">shannon56</t>
  </si>
  <si>
    <t xml:space="preserve">rv_002433</t>
  </si>
  <si>
    <t xml:space="preserve">jennifer58</t>
  </si>
  <si>
    <t xml:space="preserve">rv_003285</t>
  </si>
  <si>
    <t xml:space="preserve">josephwilliams</t>
  </si>
  <si>
    <t xml:space="preserve">rv_001209</t>
  </si>
  <si>
    <t xml:space="preserve">mark43</t>
  </si>
  <si>
    <t xml:space="preserve">rv_000223</t>
  </si>
  <si>
    <t xml:space="preserve">jasmine71</t>
  </si>
  <si>
    <t xml:space="preserve">rv_005678</t>
  </si>
  <si>
    <t xml:space="preserve">javier62</t>
  </si>
  <si>
    <t xml:space="preserve">rv_004625</t>
  </si>
  <si>
    <t xml:space="preserve">vcastro</t>
  </si>
  <si>
    <t xml:space="preserve">rv_005966</t>
  </si>
  <si>
    <t xml:space="preserve">andresmiller</t>
  </si>
  <si>
    <t xml:space="preserve">rv_005130</t>
  </si>
  <si>
    <t xml:space="preserve">rv_001514</t>
  </si>
  <si>
    <t xml:space="preserve">michael66</t>
  </si>
  <si>
    <t xml:space="preserve">rv_000237</t>
  </si>
  <si>
    <t xml:space="preserve">harrisonricky</t>
  </si>
  <si>
    <t xml:space="preserve">rv_002441</t>
  </si>
  <si>
    <t xml:space="preserve">thomassandra</t>
  </si>
  <si>
    <t xml:space="preserve">rv_001154</t>
  </si>
  <si>
    <t xml:space="preserve">velasquezmegan</t>
  </si>
  <si>
    <t xml:space="preserve">rv_005586</t>
  </si>
  <si>
    <t xml:space="preserve">ashleyroberts</t>
  </si>
  <si>
    <t xml:space="preserve">rv_003605</t>
  </si>
  <si>
    <t xml:space="preserve">lori69</t>
  </si>
  <si>
    <t xml:space="preserve">rv_003728</t>
  </si>
  <si>
    <t xml:space="preserve">kmontgomery</t>
  </si>
  <si>
    <t xml:space="preserve">rv_003101</t>
  </si>
  <si>
    <t xml:space="preserve">zdavis</t>
  </si>
  <si>
    <t xml:space="preserve">rv_001957</t>
  </si>
  <si>
    <t xml:space="preserve">brandon48</t>
  </si>
  <si>
    <t xml:space="preserve">rv_001780</t>
  </si>
  <si>
    <t xml:space="preserve">kayla54</t>
  </si>
  <si>
    <t xml:space="preserve">rv_001016</t>
  </si>
  <si>
    <t xml:space="preserve">millerangela</t>
  </si>
  <si>
    <t xml:space="preserve">rv_002515</t>
  </si>
  <si>
    <t xml:space="preserve">hollydavis</t>
  </si>
  <si>
    <t xml:space="preserve">rv_005830</t>
  </si>
  <si>
    <t xml:space="preserve">twatkins</t>
  </si>
  <si>
    <t xml:space="preserve">rv_003840</t>
  </si>
  <si>
    <t xml:space="preserve">timothy81</t>
  </si>
  <si>
    <t xml:space="preserve">rv_003451</t>
  </si>
  <si>
    <t xml:space="preserve">laurie55</t>
  </si>
  <si>
    <t xml:space="preserve">rv_000085</t>
  </si>
  <si>
    <t xml:space="preserve">mikemoore</t>
  </si>
  <si>
    <t xml:space="preserve">rv_002587</t>
  </si>
  <si>
    <t xml:space="preserve">rv_001802</t>
  </si>
  <si>
    <t xml:space="preserve">tguerrero</t>
  </si>
  <si>
    <t xml:space="preserve">rv_001138</t>
  </si>
  <si>
    <t xml:space="preserve">april91</t>
  </si>
  <si>
    <t xml:space="preserve">rv_002174</t>
  </si>
  <si>
    <t xml:space="preserve">paulpowell</t>
  </si>
  <si>
    <t xml:space="preserve">rv_003424</t>
  </si>
  <si>
    <t xml:space="preserve">christina93</t>
  </si>
  <si>
    <t xml:space="preserve">Login screen just spins forever, never lets me in. Average experience, nothing special.</t>
  </si>
  <si>
    <t xml:space="preserve">rv_002599</t>
  </si>
  <si>
    <t xml:space="preserve">kathrynkrueger</t>
  </si>
  <si>
    <t xml:space="preserve">rv_004703</t>
  </si>
  <si>
    <t xml:space="preserve">paullopez</t>
  </si>
  <si>
    <t xml:space="preserve">rv_002192</t>
  </si>
  <si>
    <t xml:space="preserve">wilsondorothy</t>
  </si>
  <si>
    <t xml:space="preserve">rv_000698</t>
  </si>
  <si>
    <t xml:space="preserve">jamesfox</t>
  </si>
  <si>
    <t xml:space="preserve">rv_000726</t>
  </si>
  <si>
    <t xml:space="preserve">sean41</t>
  </si>
  <si>
    <t xml:space="preserve">rv_002335</t>
  </si>
  <si>
    <t xml:space="preserve">floresangela</t>
  </si>
  <si>
    <t xml:space="preserve">rv_004178</t>
  </si>
  <si>
    <t xml:space="preserve">ramoswilliam</t>
  </si>
  <si>
    <t xml:space="preserve">rv_004656</t>
  </si>
  <si>
    <t xml:space="preserve">wheeleranna</t>
  </si>
  <si>
    <t xml:space="preserve">Can't log in anymore, keeps saying invalid credentials even though they're correct. Works fine most of the time.</t>
  </si>
  <si>
    <t xml:space="preserve">rv_005600</t>
  </si>
  <si>
    <t xml:space="preserve">pdixon</t>
  </si>
  <si>
    <t xml:space="preserve">rv_002625</t>
  </si>
  <si>
    <t xml:space="preserve">oneillgabriel</t>
  </si>
  <si>
    <t xml:space="preserve">rv_003350</t>
  </si>
  <si>
    <t xml:space="preserve">youngmark</t>
  </si>
  <si>
    <t xml:space="preserve">rv_001604</t>
  </si>
  <si>
    <t xml:space="preserve">rhondacunningham</t>
  </si>
  <si>
    <t xml:space="preserve">rv_001770</t>
  </si>
  <si>
    <t xml:space="preserve">deckeralexander</t>
  </si>
  <si>
    <t xml:space="preserve">rv_002929</t>
  </si>
  <si>
    <t xml:space="preserve">teresa86</t>
  </si>
  <si>
    <t xml:space="preserve">rv_002738</t>
  </si>
  <si>
    <t xml:space="preserve">roberthernandez</t>
  </si>
  <si>
    <t xml:space="preserve">rv_000490</t>
  </si>
  <si>
    <t xml:space="preserve">ejohnson</t>
  </si>
  <si>
    <t xml:space="preserve">rv_002241</t>
  </si>
  <si>
    <t xml:space="preserve">wlloyd</t>
  </si>
  <si>
    <t xml:space="preserve">rv_003684</t>
  </si>
  <si>
    <t xml:space="preserve">lmoore</t>
  </si>
  <si>
    <t xml:space="preserve">rv_003990</t>
  </si>
  <si>
    <t xml:space="preserve">ashley09</t>
  </si>
  <si>
    <t xml:space="preserve">rv_005670</t>
  </si>
  <si>
    <t xml:space="preserve">bianca44</t>
  </si>
  <si>
    <t xml:space="preserve">rv_000052</t>
  </si>
  <si>
    <t xml:space="preserve">perezrebecca</t>
  </si>
  <si>
    <t xml:space="preserve">rv_005252</t>
  </si>
  <si>
    <t xml:space="preserve">washingtonashley</t>
  </si>
  <si>
    <t xml:space="preserve">rv_003459</t>
  </si>
  <si>
    <t xml:space="preserve">michelle11</t>
  </si>
  <si>
    <t xml:space="preserve">rv_005821</t>
  </si>
  <si>
    <t xml:space="preserve">hunter12</t>
  </si>
  <si>
    <t xml:space="preserve">rv_002912</t>
  </si>
  <si>
    <t xml:space="preserve">pruittmichael</t>
  </si>
  <si>
    <t xml:space="preserve">rv_004784</t>
  </si>
  <si>
    <t xml:space="preserve">hendersoncynthia</t>
  </si>
  <si>
    <t xml:space="preserve">rv_001953</t>
  </si>
  <si>
    <t xml:space="preserve">william90</t>
  </si>
  <si>
    <t xml:space="preserve">rv_000812</t>
  </si>
  <si>
    <t xml:space="preserve">keith48</t>
  </si>
  <si>
    <t xml:space="preserve">rv_002340</t>
  </si>
  <si>
    <t xml:space="preserve">mathisvincent</t>
  </si>
  <si>
    <t xml:space="preserve">rv_001370</t>
  </si>
  <si>
    <t xml:space="preserve">foxrodney</t>
  </si>
  <si>
    <t xml:space="preserve">rv_004706</t>
  </si>
  <si>
    <t xml:space="preserve">dford</t>
  </si>
  <si>
    <t xml:space="preserve">rv_001631</t>
  </si>
  <si>
    <t xml:space="preserve">lvasquez</t>
  </si>
  <si>
    <t xml:space="preserve">rv_002765</t>
  </si>
  <si>
    <t xml:space="preserve">urhodes</t>
  </si>
  <si>
    <t xml:space="preserve">rv_003503</t>
  </si>
  <si>
    <t xml:space="preserve">weberbrooke</t>
  </si>
  <si>
    <t xml:space="preserve">rv_000251</t>
  </si>
  <si>
    <t xml:space="preserve">murraydavid</t>
  </si>
  <si>
    <t xml:space="preserve">rv_000466</t>
  </si>
  <si>
    <t xml:space="preserve">dennis58</t>
  </si>
  <si>
    <t xml:space="preserve">rv_004294</t>
  </si>
  <si>
    <t xml:space="preserve">coltonrichardson</t>
  </si>
  <si>
    <t xml:space="preserve">rv_003038</t>
  </si>
  <si>
    <t xml:space="preserve">lmadden</t>
  </si>
  <si>
    <t xml:space="preserve">rv_004187</t>
  </si>
  <si>
    <t xml:space="preserve">juan21</t>
  </si>
  <si>
    <t xml:space="preserve">rv_003226</t>
  </si>
  <si>
    <t xml:space="preserve">lorraine79</t>
  </si>
  <si>
    <t xml:space="preserve">rv_000782</t>
  </si>
  <si>
    <t xml:space="preserve">candice96</t>
  </si>
  <si>
    <t xml:space="preserve">rv_001298</t>
  </si>
  <si>
    <t xml:space="preserve">mariaburke</t>
  </si>
  <si>
    <t xml:space="preserve">rv_001025</t>
  </si>
  <si>
    <t xml:space="preserve">jacksonrichard</t>
  </si>
  <si>
    <t xml:space="preserve">rv_001827</t>
  </si>
  <si>
    <t xml:space="preserve">andersonkylie</t>
  </si>
  <si>
    <t xml:space="preserve">rv_000287</t>
  </si>
  <si>
    <t xml:space="preserve">charleslandry</t>
  </si>
  <si>
    <t xml:space="preserve">rv_005179</t>
  </si>
  <si>
    <t xml:space="preserve">tina29</t>
  </si>
  <si>
    <t xml:space="preserve">rv_001442</t>
  </si>
  <si>
    <t xml:space="preserve">riveramegan</t>
  </si>
  <si>
    <t xml:space="preserve">rv_003466</t>
  </si>
  <si>
    <t xml:space="preserve">bbennett</t>
  </si>
  <si>
    <t xml:space="preserve">rv_000446</t>
  </si>
  <si>
    <t xml:space="preserve">gbrown</t>
  </si>
  <si>
    <t xml:space="preserve">rv_003516</t>
  </si>
  <si>
    <t xml:space="preserve">douglasalvarez</t>
  </si>
  <si>
    <t xml:space="preserve">rv_004787</t>
  </si>
  <si>
    <t xml:space="preserve">anthony00</t>
  </si>
  <si>
    <t xml:space="preserve">rv_005588</t>
  </si>
  <si>
    <t xml:space="preserve">yhenry</t>
  </si>
  <si>
    <t xml:space="preserve">rv_003215</t>
  </si>
  <si>
    <t xml:space="preserve">ariana50</t>
  </si>
  <si>
    <t xml:space="preserve">rv_005542</t>
  </si>
  <si>
    <t xml:space="preserve">rv_001993</t>
  </si>
  <si>
    <t xml:space="preserve">owensapril</t>
  </si>
  <si>
    <t xml:space="preserve">rv_004639</t>
  </si>
  <si>
    <t xml:space="preserve">olsonchristina</t>
  </si>
  <si>
    <t xml:space="preserve">rv_002111</t>
  </si>
  <si>
    <t xml:space="preserve">barbara12</t>
  </si>
  <si>
    <t xml:space="preserve">rv_001208</t>
  </si>
  <si>
    <t xml:space="preserve">baileynicole</t>
  </si>
  <si>
    <t xml:space="preserve">rv_004264</t>
  </si>
  <si>
    <t xml:space="preserve">williamsmegan</t>
  </si>
  <si>
    <t xml:space="preserve">rv_003249</t>
  </si>
  <si>
    <t xml:space="preserve">johnsonjessica</t>
  </si>
  <si>
    <t xml:space="preserve">rv_000212</t>
  </si>
  <si>
    <t xml:space="preserve">hernandezlisa</t>
  </si>
  <si>
    <t xml:space="preserve">rv_001410</t>
  </si>
  <si>
    <t xml:space="preserve">penanicole</t>
  </si>
  <si>
    <t xml:space="preserve">rv_003967</t>
  </si>
  <si>
    <t xml:space="preserve">christina15</t>
  </si>
  <si>
    <t xml:space="preserve">rv_005886</t>
  </si>
  <si>
    <t xml:space="preserve">sgordon</t>
  </si>
  <si>
    <t xml:space="preserve">rv_001089</t>
  </si>
  <si>
    <t xml:space="preserve">jessicadodson</t>
  </si>
  <si>
    <t xml:space="preserve">rv_003338</t>
  </si>
  <si>
    <t xml:space="preserve">rickyriley</t>
  </si>
  <si>
    <t xml:space="preserve">rv_001659</t>
  </si>
  <si>
    <t xml:space="preserve">matthewwebb</t>
  </si>
  <si>
    <t xml:space="preserve">rv_005327</t>
  </si>
  <si>
    <t xml:space="preserve">robert13</t>
  </si>
  <si>
    <t xml:space="preserve">rv_002629</t>
  </si>
  <si>
    <t xml:space="preserve">smithjoseph</t>
  </si>
  <si>
    <t xml:space="preserve">rv_005033</t>
  </si>
  <si>
    <t xml:space="preserve">karla66</t>
  </si>
  <si>
    <t xml:space="preserve">rv_003801</t>
  </si>
  <si>
    <t xml:space="preserve">susan57</t>
  </si>
  <si>
    <t xml:space="preserve">rv_001441</t>
  </si>
  <si>
    <t xml:space="preserve">dbolton</t>
  </si>
  <si>
    <t xml:space="preserve">rv_000141</t>
  </si>
  <si>
    <t xml:space="preserve">wcole</t>
  </si>
  <si>
    <t xml:space="preserve">rv_004099</t>
  </si>
  <si>
    <t xml:space="preserve">stevensjennifer</t>
  </si>
  <si>
    <t xml:space="preserve">rv_001637</t>
  </si>
  <si>
    <t xml:space="preserve">hannahking</t>
  </si>
  <si>
    <t xml:space="preserve">rv_005038</t>
  </si>
  <si>
    <t xml:space="preserve">zmurray</t>
  </si>
  <si>
    <t xml:space="preserve">rv_002229</t>
  </si>
  <si>
    <t xml:space="preserve">manderson</t>
  </si>
  <si>
    <t xml:space="preserve">rv_001330</t>
  </si>
  <si>
    <t xml:space="preserve">morrowthomas</t>
  </si>
  <si>
    <t xml:space="preserve">rv_005539</t>
  </si>
  <si>
    <t xml:space="preserve">riverabrian</t>
  </si>
  <si>
    <t xml:space="preserve">rv_000841</t>
  </si>
  <si>
    <t xml:space="preserve">yjones</t>
  </si>
  <si>
    <t xml:space="preserve">rv_002495</t>
  </si>
  <si>
    <t xml:space="preserve">pruittpaul</t>
  </si>
  <si>
    <t xml:space="preserve">rv_005926</t>
  </si>
  <si>
    <t xml:space="preserve">danielle38</t>
  </si>
  <si>
    <t xml:space="preserve">rv_003420</t>
  </si>
  <si>
    <t xml:space="preserve">mcampbell</t>
  </si>
  <si>
    <t xml:space="preserve">rv_001499</t>
  </si>
  <si>
    <t xml:space="preserve">charlene98</t>
  </si>
  <si>
    <t xml:space="preserve">rv_002923</t>
  </si>
  <si>
    <t xml:space="preserve">theodore57</t>
  </si>
  <si>
    <t xml:space="preserve">rv_001669</t>
  </si>
  <si>
    <t xml:space="preserve">ericwilson</t>
  </si>
  <si>
    <t xml:space="preserve">rv_004826</t>
  </si>
  <si>
    <t xml:space="preserve">michealhardy</t>
  </si>
  <si>
    <t xml:space="preserve">rv_001335</t>
  </si>
  <si>
    <t xml:space="preserve">daniellegonzales</t>
  </si>
  <si>
    <t xml:space="preserve">rv_003777</t>
  </si>
  <si>
    <t xml:space="preserve">nathan45</t>
  </si>
  <si>
    <t xml:space="preserve">rv_000662</t>
  </si>
  <si>
    <t xml:space="preserve">oallen</t>
  </si>
  <si>
    <t xml:space="preserve">rv_003192</t>
  </si>
  <si>
    <t xml:space="preserve">wendygonzalez</t>
  </si>
  <si>
    <t xml:space="preserve">rv_003670</t>
  </si>
  <si>
    <t xml:space="preserve">njohnson</t>
  </si>
  <si>
    <t xml:space="preserve">rv_003096</t>
  </si>
  <si>
    <t xml:space="preserve">carolyngarza</t>
  </si>
  <si>
    <t xml:space="preserve">rv_000053</t>
  </si>
  <si>
    <t xml:space="preserve">chad34</t>
  </si>
  <si>
    <t xml:space="preserve">rv_005165</t>
  </si>
  <si>
    <t xml:space="preserve">wortiz</t>
  </si>
  <si>
    <t xml:space="preserve">rv_000343</t>
  </si>
  <si>
    <t xml:space="preserve">cameronhill</t>
  </si>
  <si>
    <t xml:space="preserve">rv_002780</t>
  </si>
  <si>
    <t xml:space="preserve">wmurphy</t>
  </si>
  <si>
    <t xml:space="preserve">rv_001698</t>
  </si>
  <si>
    <t xml:space="preserve">zthompson</t>
  </si>
  <si>
    <t xml:space="preserve">rv_003851</t>
  </si>
  <si>
    <t xml:space="preserve">christina26</t>
  </si>
  <si>
    <t xml:space="preserve">rv_001397</t>
  </si>
  <si>
    <t xml:space="preserve">mirandadavidson</t>
  </si>
  <si>
    <t xml:space="preserve">rv_003442</t>
  </si>
  <si>
    <t xml:space="preserve">parkerrobert</t>
  </si>
  <si>
    <t xml:space="preserve">rv_003353</t>
  </si>
  <si>
    <t xml:space="preserve">nguyenkristin</t>
  </si>
  <si>
    <t xml:space="preserve">rv_003229</t>
  </si>
  <si>
    <t xml:space="preserve">georgeharmon</t>
  </si>
  <si>
    <t xml:space="preserve">rv_003167</t>
  </si>
  <si>
    <t xml:space="preserve">rv_005867</t>
  </si>
  <si>
    <t xml:space="preserve">jhickman</t>
  </si>
  <si>
    <t xml:space="preserve">rv_001971</t>
  </si>
  <si>
    <t xml:space="preserve">gerald40</t>
  </si>
  <si>
    <t xml:space="preserve">rv_000522</t>
  </si>
  <si>
    <t xml:space="preserve">georgeweber</t>
  </si>
  <si>
    <t xml:space="preserve">rv_002847</t>
  </si>
  <si>
    <t xml:space="preserve">kevin34</t>
  </si>
  <si>
    <t xml:space="preserve">rv_001948</t>
  </si>
  <si>
    <t xml:space="preserve">robert73</t>
  </si>
  <si>
    <t xml:space="preserve">rv_000283</t>
  </si>
  <si>
    <t xml:space="preserve">pharvey</t>
  </si>
  <si>
    <t xml:space="preserve">rv_004907</t>
  </si>
  <si>
    <t xml:space="preserve">maria99</t>
  </si>
  <si>
    <t xml:space="preserve">rv_002540</t>
  </si>
  <si>
    <t xml:space="preserve">pwang</t>
  </si>
  <si>
    <t xml:space="preserve">rv_003308</t>
  </si>
  <si>
    <t xml:space="preserve">nramirez</t>
  </si>
  <si>
    <t xml:space="preserve">rv_002297</t>
  </si>
  <si>
    <t xml:space="preserve">xrodriguez</t>
  </si>
  <si>
    <t xml:space="preserve">rv_001028</t>
  </si>
  <si>
    <t xml:space="preserve">penny05</t>
  </si>
  <si>
    <t xml:space="preserve">rv_004430</t>
  </si>
  <si>
    <t xml:space="preserve">zli</t>
  </si>
  <si>
    <t xml:space="preserve">rv_003202</t>
  </si>
  <si>
    <t xml:space="preserve">rv_002409</t>
  </si>
  <si>
    <t xml:space="preserve">danascott</t>
  </si>
  <si>
    <t xml:space="preserve">rv_000540</t>
  </si>
  <si>
    <t xml:space="preserve">fkoch</t>
  </si>
  <si>
    <t xml:space="preserve">rv_001551</t>
  </si>
  <si>
    <t xml:space="preserve">tcastro</t>
  </si>
  <si>
    <t xml:space="preserve">rv_004469</t>
  </si>
  <si>
    <t xml:space="preserve">bsmith</t>
  </si>
  <si>
    <t xml:space="preserve">rv_003911</t>
  </si>
  <si>
    <t xml:space="preserve">timothymartin</t>
  </si>
  <si>
    <t xml:space="preserve">rv_003697</t>
  </si>
  <si>
    <t xml:space="preserve">marcuscarter</t>
  </si>
  <si>
    <t xml:space="preserve">rv_001144</t>
  </si>
  <si>
    <t xml:space="preserve">waltonmalik</t>
  </si>
  <si>
    <t xml:space="preserve">rv_000429</t>
  </si>
  <si>
    <t xml:space="preserve">mariewise</t>
  </si>
  <si>
    <t xml:space="preserve">rv_004419</t>
  </si>
  <si>
    <t xml:space="preserve">mramirez</t>
  </si>
  <si>
    <t xml:space="preserve">rv_001824</t>
  </si>
  <si>
    <t xml:space="preserve">bryan42</t>
  </si>
  <si>
    <t xml:space="preserve">rv_001833</t>
  </si>
  <si>
    <t xml:space="preserve">ljenkins</t>
  </si>
  <si>
    <t xml:space="preserve">rv_005709</t>
  </si>
  <si>
    <t xml:space="preserve">chaveztina</t>
  </si>
  <si>
    <t xml:space="preserve">rv_005384</t>
  </si>
  <si>
    <t xml:space="preserve">miguelbaker</t>
  </si>
  <si>
    <t xml:space="preserve">rv_004069</t>
  </si>
  <si>
    <t xml:space="preserve">benjaminhughes</t>
  </si>
  <si>
    <t xml:space="preserve">rv_002532</t>
  </si>
  <si>
    <t xml:space="preserve">marylawson</t>
  </si>
  <si>
    <t xml:space="preserve">rv_002504</t>
  </si>
  <si>
    <t xml:space="preserve">kmoore</t>
  </si>
  <si>
    <t xml:space="preserve">rv_005704</t>
  </si>
  <si>
    <t xml:space="preserve">sara94</t>
  </si>
  <si>
    <t xml:space="preserve">rv_003726</t>
  </si>
  <si>
    <t xml:space="preserve">eddie04</t>
  </si>
  <si>
    <t xml:space="preserve">rv_004511</t>
  </si>
  <si>
    <t xml:space="preserve">douglaslester</t>
  </si>
  <si>
    <t xml:space="preserve">4.7.0</t>
  </si>
  <si>
    <t xml:space="preserve">2025-10</t>
  </si>
  <si>
    <t xml:space="preserve">rv_002404</t>
  </si>
  <si>
    <t xml:space="preserve">nhobbs</t>
  </si>
  <si>
    <t xml:space="preserve">rv_001904</t>
  </si>
  <si>
    <t xml:space="preserve">swatkins</t>
  </si>
  <si>
    <t xml:space="preserve">rv_002057</t>
  </si>
  <si>
    <t xml:space="preserve">ryan85</t>
  </si>
  <si>
    <t xml:space="preserve">rv_001350</t>
  </si>
  <si>
    <t xml:space="preserve">wcarrillo</t>
  </si>
  <si>
    <t xml:space="preserve">rv_005764</t>
  </si>
  <si>
    <t xml:space="preserve">patrickgarcia</t>
  </si>
  <si>
    <t xml:space="preserve">rv_001776</t>
  </si>
  <si>
    <t xml:space="preserve">millercassandra</t>
  </si>
  <si>
    <t xml:space="preserve">rv_005925</t>
  </si>
  <si>
    <t xml:space="preserve">sarawilliams</t>
  </si>
  <si>
    <t xml:space="preserve">rv_000093</t>
  </si>
  <si>
    <t xml:space="preserve">smithkellie</t>
  </si>
  <si>
    <t xml:space="preserve">rv_005040</t>
  </si>
  <si>
    <t xml:space="preserve">jacob32</t>
  </si>
  <si>
    <t xml:space="preserve">rv_005728</t>
  </si>
  <si>
    <t xml:space="preserve">holtrobert</t>
  </si>
  <si>
    <t xml:space="preserve">rv_001284</t>
  </si>
  <si>
    <t xml:space="preserve">jerryrobertson</t>
  </si>
  <si>
    <t xml:space="preserve">rv_001656</t>
  </si>
  <si>
    <t xml:space="preserve">kristen31</t>
  </si>
  <si>
    <t xml:space="preserve">rv_000411</t>
  </si>
  <si>
    <t xml:space="preserve">nwarren</t>
  </si>
  <si>
    <t xml:space="preserve">rv_004063</t>
  </si>
  <si>
    <t xml:space="preserve">stephanie64</t>
  </si>
  <si>
    <t xml:space="preserve">rv_000341</t>
  </si>
  <si>
    <t xml:space="preserve">henryrenee</t>
  </si>
  <si>
    <t xml:space="preserve">rv_000454</t>
  </si>
  <si>
    <t xml:space="preserve">srodriguez</t>
  </si>
  <si>
    <t xml:space="preserve">rv_001195</t>
  </si>
  <si>
    <t xml:space="preserve">kari89</t>
  </si>
  <si>
    <t xml:space="preserve">rv_003509</t>
  </si>
  <si>
    <t xml:space="preserve">chrishernandez</t>
  </si>
  <si>
    <t xml:space="preserve">rv_004387</t>
  </si>
  <si>
    <t xml:space="preserve">juliemyers</t>
  </si>
  <si>
    <t xml:space="preserve">rv_000665</t>
  </si>
  <si>
    <t xml:space="preserve">paulscott</t>
  </si>
  <si>
    <t xml:space="preserve">rv_001008</t>
  </si>
  <si>
    <t xml:space="preserve">zevans</t>
  </si>
  <si>
    <t xml:space="preserve">rv_002009</t>
  </si>
  <si>
    <t xml:space="preserve">katelyn65</t>
  </si>
  <si>
    <t xml:space="preserve">rv_000865</t>
  </si>
  <si>
    <t xml:space="preserve">courtney86</t>
  </si>
  <si>
    <t xml:space="preserve">rv_000933</t>
  </si>
  <si>
    <t xml:space="preserve">sandrahamilton</t>
  </si>
  <si>
    <t xml:space="preserve">rv_005216</t>
  </si>
  <si>
    <t xml:space="preserve">oneilldaniel</t>
  </si>
  <si>
    <t xml:space="preserve">rv_004487</t>
  </si>
  <si>
    <t xml:space="preserve">amandamaxwell</t>
  </si>
  <si>
    <t xml:space="preserve">rv_002610</t>
  </si>
  <si>
    <t xml:space="preserve">heather88</t>
  </si>
  <si>
    <t xml:space="preserve">rv_005901</t>
  </si>
  <si>
    <t xml:space="preserve">allenrivera</t>
  </si>
  <si>
    <t xml:space="preserve">rv_000420</t>
  </si>
  <si>
    <t xml:space="preserve">collinsnicholas</t>
  </si>
  <si>
    <t xml:space="preserve">rv_003748</t>
  </si>
  <si>
    <t xml:space="preserve">johngill</t>
  </si>
  <si>
    <t xml:space="preserve">rv_003427</t>
  </si>
  <si>
    <t xml:space="preserve">zrobles</t>
  </si>
  <si>
    <t xml:space="preserve">rv_005007</t>
  </si>
  <si>
    <t xml:space="preserve">grantamanda</t>
  </si>
  <si>
    <t xml:space="preserve">rv_003076</t>
  </si>
  <si>
    <t xml:space="preserve">gabriel37</t>
  </si>
  <si>
    <t xml:space="preserve">rv_004252</t>
  </si>
  <si>
    <t xml:space="preserve">nthompson</t>
  </si>
  <si>
    <t xml:space="preserve">rv_000015</t>
  </si>
  <si>
    <t xml:space="preserve">michellejames</t>
  </si>
  <si>
    <t xml:space="preserve">rv_000160</t>
  </si>
  <si>
    <t xml:space="preserve">qwhite</t>
  </si>
  <si>
    <t xml:space="preserve">rv_000304</t>
  </si>
  <si>
    <t xml:space="preserve">linda71</t>
  </si>
  <si>
    <t xml:space="preserve">rv_002145</t>
  </si>
  <si>
    <t xml:space="preserve">bradley27</t>
  </si>
  <si>
    <t xml:space="preserve">rv_003577</t>
  </si>
  <si>
    <t xml:space="preserve">morrisdaniel</t>
  </si>
  <si>
    <t xml:space="preserve">rv_003689</t>
  </si>
  <si>
    <t xml:space="preserve">montgomerydillon</t>
  </si>
  <si>
    <t xml:space="preserve">rv_000968</t>
  </si>
  <si>
    <t xml:space="preserve">david09</t>
  </si>
  <si>
    <t xml:space="preserve">rv_005692</t>
  </si>
  <si>
    <t xml:space="preserve">melinda87</t>
  </si>
  <si>
    <t xml:space="preserve">rv_003426</t>
  </si>
  <si>
    <t xml:space="preserve">nancycontreras</t>
  </si>
  <si>
    <t xml:space="preserve">rv_001612</t>
  </si>
  <si>
    <t xml:space="preserve">briannaalvarez</t>
  </si>
  <si>
    <t xml:space="preserve">rv_000473</t>
  </si>
  <si>
    <t xml:space="preserve">wking</t>
  </si>
  <si>
    <t xml:space="preserve">rv_005212</t>
  </si>
  <si>
    <t xml:space="preserve">wross</t>
  </si>
  <si>
    <t xml:space="preserve">rv_003178</t>
  </si>
  <si>
    <t xml:space="preserve">peter64</t>
  </si>
  <si>
    <t xml:space="preserve">rv_001324</t>
  </si>
  <si>
    <t xml:space="preserve">tking</t>
  </si>
  <si>
    <t xml:space="preserve">rv_000634</t>
  </si>
  <si>
    <t xml:space="preserve">ajohnson</t>
  </si>
  <si>
    <t xml:space="preserve">rv_003097</t>
  </si>
  <si>
    <t xml:space="preserve">barbaramitchell</t>
  </si>
  <si>
    <t xml:space="preserve">rv_003939</t>
  </si>
  <si>
    <t xml:space="preserve">michaelchambers</t>
  </si>
  <si>
    <t xml:space="preserve">The app force closes whenever I check my balance. It's okay, does what it needs to do.</t>
  </si>
  <si>
    <t xml:space="preserve">rv_001279</t>
  </si>
  <si>
    <t xml:space="preserve">nicholasgray</t>
  </si>
  <si>
    <t xml:space="preserve">rv_005457</t>
  </si>
  <si>
    <t xml:space="preserve">kerry11</t>
  </si>
  <si>
    <t xml:space="preserve">rv_004362</t>
  </si>
  <si>
    <t xml:space="preserve">wallssean</t>
  </si>
  <si>
    <t xml:space="preserve">rv_001391</t>
  </si>
  <si>
    <t xml:space="preserve">michael84</t>
  </si>
  <si>
    <t xml:space="preserve">rv_003603</t>
  </si>
  <si>
    <t xml:space="preserve">hugheslucas</t>
  </si>
  <si>
    <t xml:space="preserve">rv_001580</t>
  </si>
  <si>
    <t xml:space="preserve">aduran</t>
  </si>
  <si>
    <t xml:space="preserve">rv_004836</t>
  </si>
  <si>
    <t xml:space="preserve">ingramjessica</t>
  </si>
  <si>
    <t xml:space="preserve">rv_000487</t>
  </si>
  <si>
    <t xml:space="preserve">jonesdana</t>
  </si>
  <si>
    <t xml:space="preserve">rv_005768</t>
  </si>
  <si>
    <t xml:space="preserve">janicestuart</t>
  </si>
  <si>
    <t xml:space="preserve">rv_001356</t>
  </si>
  <si>
    <t xml:space="preserve">justinross</t>
  </si>
  <si>
    <t xml:space="preserve">rv_002741</t>
  </si>
  <si>
    <t xml:space="preserve">suttonrichard</t>
  </si>
  <si>
    <t xml:space="preserve">rv_000057</t>
  </si>
  <si>
    <t xml:space="preserve">agomez</t>
  </si>
  <si>
    <t xml:space="preserve">rv_004984</t>
  </si>
  <si>
    <t xml:space="preserve">humphreypatricia</t>
  </si>
  <si>
    <t xml:space="preserve">rv_002365</t>
  </si>
  <si>
    <t xml:space="preserve">seanwalker</t>
  </si>
  <si>
    <t xml:space="preserve">rv_004284</t>
  </si>
  <si>
    <t xml:space="preserve">michael03</t>
  </si>
  <si>
    <t xml:space="preserve">rv_000969</t>
  </si>
  <si>
    <t xml:space="preserve">xrosales</t>
  </si>
  <si>
    <t xml:space="preserve">rv_005233</t>
  </si>
  <si>
    <t xml:space="preserve">mariahlyons</t>
  </si>
  <si>
    <t xml:space="preserve">rv_003415</t>
  </si>
  <si>
    <t xml:space="preserve">randolphlaura</t>
  </si>
  <si>
    <t xml:space="preserve">rv_005253</t>
  </si>
  <si>
    <t xml:space="preserve">jesusthompson</t>
  </si>
  <si>
    <t xml:space="preserve">rv_002676</t>
  </si>
  <si>
    <t xml:space="preserve">kyle14</t>
  </si>
  <si>
    <t xml:space="preserve">rv_002642</t>
  </si>
  <si>
    <t xml:space="preserve">qrobertson</t>
  </si>
  <si>
    <t xml:space="preserve">rv_005430</t>
  </si>
  <si>
    <t xml:space="preserve">johnsparks</t>
  </si>
  <si>
    <t xml:space="preserve">rv_004215</t>
  </si>
  <si>
    <t xml:space="preserve">robertsmith</t>
  </si>
  <si>
    <t xml:space="preserve">rv_001100</t>
  </si>
  <si>
    <t xml:space="preserve">jasonjohnson</t>
  </si>
  <si>
    <t xml:space="preserve">rv_003319</t>
  </si>
  <si>
    <t xml:space="preserve">nicolaskeller</t>
  </si>
  <si>
    <t xml:space="preserve">rv_000315</t>
  </si>
  <si>
    <t xml:space="preserve">youngamanda</t>
  </si>
  <si>
    <t xml:space="preserve">rv_004201</t>
  </si>
  <si>
    <t xml:space="preserve">vhernandez</t>
  </si>
  <si>
    <t xml:space="preserve">rv_001755</t>
  </si>
  <si>
    <t xml:space="preserve">beckywilkinson</t>
  </si>
  <si>
    <t xml:space="preserve">rv_000425</t>
  </si>
  <si>
    <t xml:space="preserve">chrisrichard</t>
  </si>
  <si>
    <t xml:space="preserve">rv_004945</t>
  </si>
  <si>
    <t xml:space="preserve">madison00</t>
  </si>
  <si>
    <t xml:space="preserve">rv_001105</t>
  </si>
  <si>
    <t xml:space="preserve">butleromar</t>
  </si>
  <si>
    <t xml:space="preserve">rv_003812</t>
  </si>
  <si>
    <t xml:space="preserve">laurenmathis</t>
  </si>
  <si>
    <t xml:space="preserve">rv_005866</t>
  </si>
  <si>
    <t xml:space="preserve">joshua64</t>
  </si>
  <si>
    <t xml:space="preserve">rv_005257</t>
  </si>
  <si>
    <t xml:space="preserve">frederick62</t>
  </si>
  <si>
    <t xml:space="preserve">rv_001065</t>
  </si>
  <si>
    <t xml:space="preserve">jordan66</t>
  </si>
  <si>
    <t xml:space="preserve">rv_002483</t>
  </si>
  <si>
    <t xml:space="preserve">wcochran</t>
  </si>
  <si>
    <t xml:space="preserve">rv_004483</t>
  </si>
  <si>
    <t xml:space="preserve">keithharrison</t>
  </si>
  <si>
    <t xml:space="preserve">rv_004670</t>
  </si>
  <si>
    <t xml:space="preserve">halljoshua</t>
  </si>
  <si>
    <t xml:space="preserve">rv_004580</t>
  </si>
  <si>
    <t xml:space="preserve">sobrien</t>
  </si>
  <si>
    <t xml:space="preserve">rv_004527</t>
  </si>
  <si>
    <t xml:space="preserve">micheal89</t>
  </si>
  <si>
    <t xml:space="preserve">rv_001366</t>
  </si>
  <si>
    <t xml:space="preserve">charlesnathan</t>
  </si>
  <si>
    <t xml:space="preserve">rv_001614</t>
  </si>
  <si>
    <t xml:space="preserve">sanchezamy</t>
  </si>
  <si>
    <t xml:space="preserve">rv_001977</t>
  </si>
  <si>
    <t xml:space="preserve">mcguirewilliam</t>
  </si>
  <si>
    <t xml:space="preserve">rv_001278</t>
  </si>
  <si>
    <t xml:space="preserve">mary49</t>
  </si>
  <si>
    <t xml:space="preserve">rv_003105</t>
  </si>
  <si>
    <t xml:space="preserve">heather77</t>
  </si>
  <si>
    <t xml:space="preserve">rv_001926</t>
  </si>
  <si>
    <t xml:space="preserve">kimberlywang</t>
  </si>
  <si>
    <t xml:space="preserve">rv_004768</t>
  </si>
  <si>
    <t xml:space="preserve">qramirez</t>
  </si>
  <si>
    <t xml:space="preserve">rv_004575</t>
  </si>
  <si>
    <t xml:space="preserve">kristineprince</t>
  </si>
  <si>
    <t xml:space="preserve">rv_004589</t>
  </si>
  <si>
    <t xml:space="preserve">gwendolyn93</t>
  </si>
  <si>
    <t xml:space="preserve">rv_002279</t>
  </si>
  <si>
    <t xml:space="preserve">chaveztonya</t>
  </si>
  <si>
    <t xml:space="preserve">rv_004850</t>
  </si>
  <si>
    <t xml:space="preserve">travistaylor</t>
  </si>
  <si>
    <t xml:space="preserve">rv_000795</t>
  </si>
  <si>
    <t xml:space="preserve">cmckinney</t>
  </si>
  <si>
    <t xml:space="preserve">rv_002104</t>
  </si>
  <si>
    <t xml:space="preserve">gmcdowell</t>
  </si>
  <si>
    <t xml:space="preserve">rv_003959</t>
  </si>
  <si>
    <t xml:space="preserve">susanmorris</t>
  </si>
  <si>
    <t xml:space="preserve">rv_003579</t>
  </si>
  <si>
    <t xml:space="preserve">valvarez</t>
  </si>
  <si>
    <t xml:space="preserve">rv_000637</t>
  </si>
  <si>
    <t xml:space="preserve">ykane</t>
  </si>
  <si>
    <t xml:space="preserve">rv_005690</t>
  </si>
  <si>
    <t xml:space="preserve">stacyjohnson</t>
  </si>
  <si>
    <t xml:space="preserve">rv_005523</t>
  </si>
  <si>
    <t xml:space="preserve">tiffanyharris</t>
  </si>
  <si>
    <t xml:space="preserve">rv_000547</t>
  </si>
  <si>
    <t xml:space="preserve">jwilliams</t>
  </si>
  <si>
    <t xml:space="preserve">rv_000076</t>
  </si>
  <si>
    <t xml:space="preserve">richarddavid</t>
  </si>
  <si>
    <t xml:space="preserve">rv_000669</t>
  </si>
  <si>
    <t xml:space="preserve">russojacob</t>
  </si>
  <si>
    <t xml:space="preserve">rv_003132</t>
  </si>
  <si>
    <t xml:space="preserve">kimberlylopez</t>
  </si>
  <si>
    <t xml:space="preserve">rv_002930</t>
  </si>
  <si>
    <t xml:space="preserve">juliamorales</t>
  </si>
  <si>
    <t xml:space="preserve">rv_003446</t>
  </si>
  <si>
    <t xml:space="preserve">langchristopher</t>
  </si>
  <si>
    <t xml:space="preserve">rv_005150</t>
  </si>
  <si>
    <t xml:space="preserve">lindseysandra</t>
  </si>
  <si>
    <t xml:space="preserve">rv_003568</t>
  </si>
  <si>
    <t xml:space="preserve">benjamindavenport</t>
  </si>
  <si>
    <t xml:space="preserve">rv_002921</t>
  </si>
  <si>
    <t xml:space="preserve">lhernandez</t>
  </si>
  <si>
    <t xml:space="preserve">rv_005763</t>
  </si>
  <si>
    <t xml:space="preserve">duranlindsay</t>
  </si>
  <si>
    <t xml:space="preserve">rv_003988</t>
  </si>
  <si>
    <t xml:space="preserve">huangthomas</t>
  </si>
  <si>
    <t xml:space="preserve">App lags badly on older phones now. Works fine most of the time.</t>
  </si>
  <si>
    <t xml:space="preserve">rv_000824</t>
  </si>
  <si>
    <t xml:space="preserve">rv_002188</t>
  </si>
  <si>
    <t xml:space="preserve">ashley81</t>
  </si>
  <si>
    <t xml:space="preserve">rv_005817</t>
  </si>
  <si>
    <t xml:space="preserve">SMOOTH EXPERIENCE, NO COMPLAINTS AT ALL. BEST BANKING APP I'VE USED, VERY RELIABLE.</t>
  </si>
  <si>
    <t xml:space="preserve">rv_002050</t>
  </si>
  <si>
    <t xml:space="preserve">pittmanamanda</t>
  </si>
  <si>
    <t xml:space="preserve">rv_003081</t>
  </si>
  <si>
    <t xml:space="preserve">pamelarubio</t>
  </si>
  <si>
    <t xml:space="preserve">rv_005070</t>
  </si>
  <si>
    <t xml:space="preserve">hortonalexandra</t>
  </si>
  <si>
    <t xml:space="preserve">rv_002782</t>
  </si>
  <si>
    <t xml:space="preserve">richardsmith</t>
  </si>
  <si>
    <t xml:space="preserve">rv_000763</t>
  </si>
  <si>
    <t xml:space="preserve">seanmyers</t>
  </si>
  <si>
    <t xml:space="preserve">rv_005080</t>
  </si>
  <si>
    <t xml:space="preserve">jessica65</t>
  </si>
  <si>
    <t xml:space="preserve">rv_000422</t>
  </si>
  <si>
    <t xml:space="preserve">bromero</t>
  </si>
  <si>
    <t xml:space="preserve">rv_004807</t>
  </si>
  <si>
    <t xml:space="preserve">vickiwood</t>
  </si>
  <si>
    <t xml:space="preserve">rv_004360</t>
  </si>
  <si>
    <t xml:space="preserve">rdavis</t>
  </si>
  <si>
    <t xml:space="preserve">rv_004166</t>
  </si>
  <si>
    <t xml:space="preserve">molly91</t>
  </si>
  <si>
    <t xml:space="preserve">rv_003940</t>
  </si>
  <si>
    <t xml:space="preserve">rv_004645</t>
  </si>
  <si>
    <t xml:space="preserve">anthony66</t>
  </si>
  <si>
    <t xml:space="preserve">rv_002959</t>
  </si>
  <si>
    <t xml:space="preserve">katiecollins</t>
  </si>
  <si>
    <t xml:space="preserve">rv_004651</t>
  </si>
  <si>
    <t xml:space="preserve">xmorris</t>
  </si>
  <si>
    <t xml:space="preserve">rv_001488</t>
  </si>
  <si>
    <t xml:space="preserve">navarromary</t>
  </si>
  <si>
    <t xml:space="preserve">rv_000312</t>
  </si>
  <si>
    <t xml:space="preserve">tblankenship</t>
  </si>
  <si>
    <t xml:space="preserve">rv_000465</t>
  </si>
  <si>
    <t xml:space="preserve">jessicafuller</t>
  </si>
  <si>
    <t xml:space="preserve">rv_003932</t>
  </si>
  <si>
    <t xml:space="preserve">fsanchez</t>
  </si>
  <si>
    <t xml:space="preserve">rv_002202</t>
  </si>
  <si>
    <t xml:space="preserve">nturner</t>
  </si>
  <si>
    <t xml:space="preserve">rv_004673</t>
  </si>
  <si>
    <t xml:space="preserve">cgoodwin</t>
  </si>
  <si>
    <t xml:space="preserve">rv_004080</t>
  </si>
  <si>
    <t xml:space="preserve">pjones</t>
  </si>
  <si>
    <t xml:space="preserve">rv_001783</t>
  </si>
  <si>
    <t xml:space="preserve">scottlisa</t>
  </si>
  <si>
    <t xml:space="preserve">rv_003903</t>
  </si>
  <si>
    <t xml:space="preserve">amberfriedman</t>
  </si>
  <si>
    <t xml:space="preserve">rv_003582</t>
  </si>
  <si>
    <t xml:space="preserve">gonzaleschristina</t>
  </si>
  <si>
    <t xml:space="preserve">rv_000002</t>
  </si>
  <si>
    <t xml:space="preserve">garzaanthony</t>
  </si>
  <si>
    <t xml:space="preserve">rv_004114</t>
  </si>
  <si>
    <t xml:space="preserve">bensonpaul</t>
  </si>
  <si>
    <t xml:space="preserve">rv_002256</t>
  </si>
  <si>
    <t xml:space="preserve">hcrane</t>
  </si>
  <si>
    <t xml:space="preserve">rv_002716</t>
  </si>
  <si>
    <t xml:space="preserve">molinajared</t>
  </si>
  <si>
    <t xml:space="preserve">rv_000598</t>
  </si>
  <si>
    <t xml:space="preserve">sarahjohnson</t>
  </si>
  <si>
    <t xml:space="preserve">rv_005683</t>
  </si>
  <si>
    <t xml:space="preserve">danielleramsey</t>
  </si>
  <si>
    <t xml:space="preserve">rv_000616</t>
  </si>
  <si>
    <t xml:space="preserve">fowlershelia</t>
  </si>
  <si>
    <t xml:space="preserve">rv_003322</t>
  </si>
  <si>
    <t xml:space="preserve">lisa93</t>
  </si>
  <si>
    <t xml:space="preserve">rv_004658</t>
  </si>
  <si>
    <t xml:space="preserve">david05</t>
  </si>
  <si>
    <t xml:space="preserve">rv_000578</t>
  </si>
  <si>
    <t xml:space="preserve">plee</t>
  </si>
  <si>
    <t xml:space="preserve">rv_003642</t>
  </si>
  <si>
    <t xml:space="preserve">samanthaberger</t>
  </si>
  <si>
    <t xml:space="preserve">rv_003254</t>
  </si>
  <si>
    <t xml:space="preserve">brownjohn</t>
  </si>
  <si>
    <t xml:space="preserve">rv_001132</t>
  </si>
  <si>
    <t xml:space="preserve">ywhite</t>
  </si>
  <si>
    <t xml:space="preserve">rv_000919</t>
  </si>
  <si>
    <t xml:space="preserve">lindseytorres</t>
  </si>
  <si>
    <t xml:space="preserve">rv_005795</t>
  </si>
  <si>
    <t xml:space="preserve">ashley21</t>
  </si>
  <si>
    <t xml:space="preserve">rv_004373</t>
  </si>
  <si>
    <t xml:space="preserve">cperez</t>
  </si>
  <si>
    <t xml:space="preserve">rv_000175</t>
  </si>
  <si>
    <t xml:space="preserve">charlesvaughn</t>
  </si>
  <si>
    <t xml:space="preserve">rv_000097</t>
  </si>
  <si>
    <t xml:space="preserve">amydavenport</t>
  </si>
  <si>
    <t xml:space="preserve">rv_000756</t>
  </si>
  <si>
    <t xml:space="preserve">ystephens</t>
  </si>
  <si>
    <t xml:space="preserve">rv_004297</t>
  </si>
  <si>
    <t xml:space="preserve">kaylee14</t>
  </si>
  <si>
    <t xml:space="preserve">rv_000881</t>
  </si>
  <si>
    <t xml:space="preserve">porterashley</t>
  </si>
  <si>
    <t xml:space="preserve">rv_002828</t>
  </si>
  <si>
    <t xml:space="preserve">crystalguzman</t>
  </si>
  <si>
    <t xml:space="preserve">rv_002203</t>
  </si>
  <si>
    <t xml:space="preserve">hannah64</t>
  </si>
  <si>
    <t xml:space="preserve">rv_002385</t>
  </si>
  <si>
    <t xml:space="preserve">beardlindsey</t>
  </si>
  <si>
    <t xml:space="preserve">rv_005128</t>
  </si>
  <si>
    <t xml:space="preserve">jacqueline39</t>
  </si>
  <si>
    <t xml:space="preserve">rv_003895</t>
  </si>
  <si>
    <t xml:space="preserve">donaldbecker</t>
  </si>
  <si>
    <t xml:space="preserve">rv_004620</t>
  </si>
  <si>
    <t xml:space="preserve">amanda86</t>
  </si>
  <si>
    <t xml:space="preserve">rv_005436</t>
  </si>
  <si>
    <t xml:space="preserve">smithjerry</t>
  </si>
  <si>
    <t xml:space="preserve">rv_004227</t>
  </si>
  <si>
    <t xml:space="preserve">tracyharrison</t>
  </si>
  <si>
    <t xml:space="preserve">rv_005504</t>
  </si>
  <si>
    <t xml:space="preserve">ijones</t>
  </si>
  <si>
    <t xml:space="preserve">rv_004416</t>
  </si>
  <si>
    <t xml:space="preserve">lawrencebullock</t>
  </si>
  <si>
    <t xml:space="preserve">rv_003551</t>
  </si>
  <si>
    <t xml:space="preserve">haleyortiz</t>
  </si>
  <si>
    <t xml:space="preserve">rv_005799</t>
  </si>
  <si>
    <t xml:space="preserve">johnstonnicholas</t>
  </si>
  <si>
    <t xml:space="preserve">rv_004677</t>
  </si>
  <si>
    <t xml:space="preserve">rodriguezthomas</t>
  </si>
  <si>
    <t xml:space="preserve">rv_000946</t>
  </si>
  <si>
    <t xml:space="preserve">stokesthomas</t>
  </si>
  <si>
    <t xml:space="preserve">rv_005810</t>
  </si>
  <si>
    <t xml:space="preserve">ksullivan</t>
  </si>
  <si>
    <t xml:space="preserve">rv_002916</t>
  </si>
  <si>
    <t xml:space="preserve">nicholasjohnson</t>
  </si>
  <si>
    <t xml:space="preserve">rv_002568</t>
  </si>
  <si>
    <t xml:space="preserve">joshuaschneider</t>
  </si>
  <si>
    <t xml:space="preserve">rv_004799</t>
  </si>
  <si>
    <t xml:space="preserve">walter05</t>
  </si>
  <si>
    <t xml:space="preserve">rv_005917</t>
  </si>
  <si>
    <t xml:space="preserve">davisjennifer</t>
  </si>
  <si>
    <t xml:space="preserve">rv_000884</t>
  </si>
  <si>
    <t xml:space="preserve">trevinoalexander</t>
  </si>
  <si>
    <t xml:space="preserve">rv_003585</t>
  </si>
  <si>
    <t xml:space="preserve">timothy64</t>
  </si>
  <si>
    <t xml:space="preserve">rv_001681</t>
  </si>
  <si>
    <t xml:space="preserve">oruiz</t>
  </si>
  <si>
    <t xml:space="preserve">rv_000728</t>
  </si>
  <si>
    <t xml:space="preserve">fgarcia</t>
  </si>
  <si>
    <t xml:space="preserve">rv_003471</t>
  </si>
  <si>
    <t xml:space="preserve">chavezbecky</t>
  </si>
  <si>
    <t xml:space="preserve">rv_003853</t>
  </si>
  <si>
    <t xml:space="preserve">judypatrick</t>
  </si>
  <si>
    <t xml:space="preserve">rv_000864</t>
  </si>
  <si>
    <t xml:space="preserve">rv_005740</t>
  </si>
  <si>
    <t xml:space="preserve">luisbates</t>
  </si>
  <si>
    <t xml:space="preserve">rv_000062</t>
  </si>
  <si>
    <t xml:space="preserve">steven17</t>
  </si>
  <si>
    <t xml:space="preserve">rv_003458</t>
  </si>
  <si>
    <t xml:space="preserve">irios</t>
  </si>
  <si>
    <t xml:space="preserve">rv_000827</t>
  </si>
  <si>
    <t xml:space="preserve">amy29</t>
  </si>
  <si>
    <t xml:space="preserve">rv_000672</t>
  </si>
  <si>
    <t xml:space="preserve">suzannewilson</t>
  </si>
  <si>
    <t xml:space="preserve">rv_005469</t>
  </si>
  <si>
    <t xml:space="preserve">eharrington</t>
  </si>
  <si>
    <t xml:space="preserve">rv_004496</t>
  </si>
  <si>
    <t xml:space="preserve">reevesfernando</t>
  </si>
  <si>
    <t xml:space="preserve">rv_003264</t>
  </si>
  <si>
    <t xml:space="preserve">petersonfaith</t>
  </si>
  <si>
    <t xml:space="preserve">rv_002294</t>
  </si>
  <si>
    <t xml:space="preserve">bensonstanley</t>
  </si>
  <si>
    <t xml:space="preserve">rv_001171</t>
  </si>
  <si>
    <t xml:space="preserve">dalesandoval</t>
  </si>
  <si>
    <t xml:space="preserve">rv_004796</t>
  </si>
  <si>
    <t xml:space="preserve">gardnerdylan</t>
  </si>
  <si>
    <t xml:space="preserve">rv_000400</t>
  </si>
  <si>
    <t xml:space="preserve">cjones</t>
  </si>
  <si>
    <t xml:space="preserve">rv_000158</t>
  </si>
  <si>
    <t xml:space="preserve">qvargas</t>
  </si>
  <si>
    <t xml:space="preserve">rv_004157</t>
  </si>
  <si>
    <t xml:space="preserve">vrussell</t>
  </si>
  <si>
    <t xml:space="preserve">rv_004593</t>
  </si>
  <si>
    <t xml:space="preserve">carl04</t>
  </si>
  <si>
    <t xml:space="preserve">rv_004094</t>
  </si>
  <si>
    <t xml:space="preserve">shawnsuarez</t>
  </si>
  <si>
    <t xml:space="preserve">rv_005012</t>
  </si>
  <si>
    <t xml:space="preserve">mproctor</t>
  </si>
  <si>
    <t xml:space="preserve">rv_000549</t>
  </si>
  <si>
    <t xml:space="preserve">wgordon</t>
  </si>
  <si>
    <t xml:space="preserve">rv_005767</t>
  </si>
  <si>
    <t xml:space="preserve">patriciagrant</t>
  </si>
  <si>
    <t xml:space="preserve">rv_000254</t>
  </si>
  <si>
    <t xml:space="preserve">stephenthomas</t>
  </si>
  <si>
    <t xml:space="preserve">rv_005225</t>
  </si>
  <si>
    <t xml:space="preserve">michaelvillarreal</t>
  </si>
  <si>
    <t xml:space="preserve">rv_004779</t>
  </si>
  <si>
    <t xml:space="preserve">alicia14</t>
  </si>
  <si>
    <t xml:space="preserve">rv_005937</t>
  </si>
  <si>
    <t xml:space="preserve">youngmichael</t>
  </si>
  <si>
    <t xml:space="preserve">rv_000040</t>
  </si>
  <si>
    <t xml:space="preserve">hickmannatasha</t>
  </si>
  <si>
    <t xml:space="preserve">rv_001130</t>
  </si>
  <si>
    <t xml:space="preserve">jarvismegan</t>
  </si>
  <si>
    <t xml:space="preserve">rv_001629</t>
  </si>
  <si>
    <t xml:space="preserve">sara99</t>
  </si>
  <si>
    <t xml:space="preserve">rv_003113</t>
  </si>
  <si>
    <t xml:space="preserve">valentinecharles</t>
  </si>
  <si>
    <t xml:space="preserve">rv_001716</t>
  </si>
  <si>
    <t xml:space="preserve">qmoore</t>
  </si>
  <si>
    <t xml:space="preserve">rv_001389</t>
  </si>
  <si>
    <t xml:space="preserve">lewisjonathan</t>
  </si>
  <si>
    <t xml:space="preserve">rv_001867</t>
  </si>
  <si>
    <t xml:space="preserve">patriciavargas</t>
  </si>
  <si>
    <t xml:space="preserve">rv_002985</t>
  </si>
  <si>
    <t xml:space="preserve">huertakim</t>
  </si>
  <si>
    <t xml:space="preserve">rv_002465</t>
  </si>
  <si>
    <t xml:space="preserve">phall</t>
  </si>
  <si>
    <t xml:space="preserve">rv_005139</t>
  </si>
  <si>
    <t xml:space="preserve">nhiggins</t>
  </si>
  <si>
    <t xml:space="preserve">rv_004475</t>
  </si>
  <si>
    <t xml:space="preserve">brandon31</t>
  </si>
  <si>
    <t xml:space="preserve">EXTREMELY LAGGY AFTER THE RECENT UPDATE.</t>
  </si>
  <si>
    <t xml:space="preserve">rv_002940</t>
  </si>
  <si>
    <t xml:space="preserve">josephdavila</t>
  </si>
  <si>
    <t xml:space="preserve">rv_002530</t>
  </si>
  <si>
    <t xml:space="preserve">jenniferkim</t>
  </si>
  <si>
    <t xml:space="preserve">rv_001760</t>
  </si>
  <si>
    <t xml:space="preserve">hbaker</t>
  </si>
  <si>
    <t xml:space="preserve">rv_005441</t>
  </si>
  <si>
    <t xml:space="preserve">kelleylisa</t>
  </si>
  <si>
    <t xml:space="preserve">rv_002885</t>
  </si>
  <si>
    <t xml:space="preserve">perezpaul</t>
  </si>
  <si>
    <t xml:space="preserve">rv_005023</t>
  </si>
  <si>
    <t xml:space="preserve">omar19</t>
  </si>
  <si>
    <t xml:space="preserve">rv_005339</t>
  </si>
  <si>
    <t xml:space="preserve">daniel71</t>
  </si>
  <si>
    <t xml:space="preserve">rv_002435</t>
  </si>
  <si>
    <t xml:space="preserve">renee02</t>
  </si>
  <si>
    <t xml:space="preserve">rv_005323</t>
  </si>
  <si>
    <t xml:space="preserve">brooke98</t>
  </si>
  <si>
    <t xml:space="preserve">rv_004502</t>
  </si>
  <si>
    <t xml:space="preserve">alexandra62</t>
  </si>
  <si>
    <t xml:space="preserve">rv_005298</t>
  </si>
  <si>
    <t xml:space="preserve">margaretrussell</t>
  </si>
  <si>
    <t xml:space="preserve">rv_003309</t>
  </si>
  <si>
    <t xml:space="preserve">maureenmeyer</t>
  </si>
  <si>
    <t xml:space="preserve">rv_003461</t>
  </si>
  <si>
    <t xml:space="preserve">codychapman</t>
  </si>
  <si>
    <t xml:space="preserve">rv_005975</t>
  </si>
  <si>
    <t xml:space="preserve">elizabeth20</t>
  </si>
  <si>
    <t xml:space="preserve">rv_002290</t>
  </si>
  <si>
    <t xml:space="preserve">cfields</t>
  </si>
  <si>
    <t xml:space="preserve">rv_005722</t>
  </si>
  <si>
    <t xml:space="preserve">hendricksangela</t>
  </si>
  <si>
    <t xml:space="preserve">rv_001747</t>
  </si>
  <si>
    <t xml:space="preserve">reneestevenson</t>
  </si>
  <si>
    <t xml:space="preserve">rv_004837</t>
  </si>
  <si>
    <t xml:space="preserve">john88</t>
  </si>
  <si>
    <t xml:space="preserve">rv_004903</t>
  </si>
  <si>
    <t xml:space="preserve">lbraun</t>
  </si>
  <si>
    <t xml:space="preserve">rv_005605</t>
  </si>
  <si>
    <t xml:space="preserve">kmorris</t>
  </si>
  <si>
    <t xml:space="preserve">rv_005812</t>
  </si>
  <si>
    <t xml:space="preserve">rv_000475</t>
  </si>
  <si>
    <t xml:space="preserve">glennmartin</t>
  </si>
  <si>
    <t xml:space="preserve">rv_003929</t>
  </si>
  <si>
    <t xml:space="preserve">megan44</t>
  </si>
  <si>
    <t xml:space="preserve">rv_002064</t>
  </si>
  <si>
    <t xml:space="preserve">boydmichael</t>
  </si>
  <si>
    <t xml:space="preserve">rv_001446</t>
  </si>
  <si>
    <t xml:space="preserve">paulproctor</t>
  </si>
  <si>
    <t xml:space="preserve">rv_002675</t>
  </si>
  <si>
    <t xml:space="preserve">dustin09</t>
  </si>
  <si>
    <t xml:space="preserve">rv_001564</t>
  </si>
  <si>
    <t xml:space="preserve">michelleparker</t>
  </si>
  <si>
    <t xml:space="preserve">rv_001900</t>
  </si>
  <si>
    <t xml:space="preserve">thomasfisher</t>
  </si>
  <si>
    <t xml:space="preserve">rv_005374</t>
  </si>
  <si>
    <t xml:space="preserve">jamesmiller</t>
  </si>
  <si>
    <t xml:space="preserve">rv_001570</t>
  </si>
  <si>
    <t xml:space="preserve">tali</t>
  </si>
  <si>
    <t xml:space="preserve">rv_005497</t>
  </si>
  <si>
    <t xml:space="preserve">robert07</t>
  </si>
  <si>
    <t xml:space="preserve">rv_002328</t>
  </si>
  <si>
    <t xml:space="preserve">anthonybrown</t>
  </si>
  <si>
    <t xml:space="preserve">rv_001555</t>
  </si>
  <si>
    <t xml:space="preserve">joel84</t>
  </si>
  <si>
    <t xml:space="preserve">rv_001772</t>
  </si>
  <si>
    <t xml:space="preserve">jeffrey44</t>
  </si>
  <si>
    <t xml:space="preserve">rv_005730</t>
  </si>
  <si>
    <t xml:space="preserve">iford</t>
  </si>
  <si>
    <t xml:space="preserve">rv_000605</t>
  </si>
  <si>
    <t xml:space="preserve">riverajessica</t>
  </si>
  <si>
    <t xml:space="preserve">rv_001056</t>
  </si>
  <si>
    <t xml:space="preserve">smithyvonne</t>
  </si>
  <si>
    <t xml:space="preserve">rv_001474</t>
  </si>
  <si>
    <t xml:space="preserve">barrettamber</t>
  </si>
  <si>
    <t xml:space="preserve">rv_003578</t>
  </si>
  <si>
    <t xml:space="preserve">misty02</t>
  </si>
  <si>
    <t xml:space="preserve">rv_002592</t>
  </si>
  <si>
    <t xml:space="preserve">rv_001243</t>
  </si>
  <si>
    <t xml:space="preserve">eugenewalker</t>
  </si>
  <si>
    <t xml:space="preserve">rv_003307</t>
  </si>
  <si>
    <t xml:space="preserve">brownrachel</t>
  </si>
  <si>
    <t xml:space="preserve">rv_005802</t>
  </si>
  <si>
    <t xml:space="preserve">woodsaaron</t>
  </si>
  <si>
    <t xml:space="preserve">rv_002733</t>
  </si>
  <si>
    <t xml:space="preserve">patrick26</t>
  </si>
  <si>
    <t xml:space="preserve">rv_005599</t>
  </si>
  <si>
    <t xml:space="preserve">rv_005595</t>
  </si>
  <si>
    <t xml:space="preserve">jefferywalker</t>
  </si>
  <si>
    <t xml:space="preserve">rv_001868</t>
  </si>
  <si>
    <t xml:space="preserve">robinvillanueva</t>
  </si>
  <si>
    <t xml:space="preserve">rv_005576</t>
  </si>
  <si>
    <t xml:space="preserve">michael35</t>
  </si>
  <si>
    <t xml:space="preserve">rv_000498</t>
  </si>
  <si>
    <t xml:space="preserve">greenjorge</t>
  </si>
  <si>
    <t xml:space="preserve">The new interface is so confusing compared to before. Works fine most of the time.</t>
  </si>
  <si>
    <t xml:space="preserve">rv_002456</t>
  </si>
  <si>
    <t xml:space="preserve">zroy</t>
  </si>
  <si>
    <t xml:space="preserve">rv_005454</t>
  </si>
  <si>
    <t xml:space="preserve">qcompton</t>
  </si>
  <si>
    <t xml:space="preserve">rv_003725</t>
  </si>
  <si>
    <t xml:space="preserve">dana03</t>
  </si>
  <si>
    <t xml:space="preserve">rv_002247</t>
  </si>
  <si>
    <t xml:space="preserve">mooremichael</t>
  </si>
  <si>
    <t xml:space="preserve">rv_002254</t>
  </si>
  <si>
    <t xml:space="preserve">icobb</t>
  </si>
  <si>
    <t xml:space="preserve">rv_003559</t>
  </si>
  <si>
    <t xml:space="preserve">kylebecker</t>
  </si>
  <si>
    <t xml:space="preserve">rv_000558</t>
  </si>
  <si>
    <t xml:space="preserve">phillipjensen</t>
  </si>
  <si>
    <t xml:space="preserve">rv_000820</t>
  </si>
  <si>
    <t xml:space="preserve">powellkara</t>
  </si>
  <si>
    <t xml:space="preserve">rv_003887</t>
  </si>
  <si>
    <t xml:space="preserve">qalvarado</t>
  </si>
  <si>
    <t xml:space="preserve">rv_005304</t>
  </si>
  <si>
    <t xml:space="preserve">eguzman</t>
  </si>
  <si>
    <t xml:space="preserve">rv_004568</t>
  </si>
  <si>
    <t xml:space="preserve">michaellaura</t>
  </si>
  <si>
    <t xml:space="preserve">rv_004090</t>
  </si>
  <si>
    <t xml:space="preserve">ncampbell</t>
  </si>
  <si>
    <t xml:space="preserve">rv_003711</t>
  </si>
  <si>
    <t xml:space="preserve">thomasjose</t>
  </si>
  <si>
    <t xml:space="preserve">rv_003634</t>
  </si>
  <si>
    <t xml:space="preserve">ronald40</t>
  </si>
  <si>
    <t xml:space="preserve">rv_002372</t>
  </si>
  <si>
    <t xml:space="preserve">mjackson</t>
  </si>
  <si>
    <t xml:space="preserve">rv_004338</t>
  </si>
  <si>
    <t xml:space="preserve">jenniferbarry</t>
  </si>
  <si>
    <t xml:space="preserve">rv_005905</t>
  </si>
  <si>
    <t xml:space="preserve">santiagoronald</t>
  </si>
  <si>
    <t xml:space="preserve">rv_005458</t>
  </si>
  <si>
    <t xml:space="preserve">valeriesmith</t>
  </si>
  <si>
    <t xml:space="preserve">rv_005805</t>
  </si>
  <si>
    <t xml:space="preserve">udavis</t>
  </si>
  <si>
    <t xml:space="preserve">Buttons are too small and hard to tap on the new layout. Average experience, nothing special.</t>
  </si>
  <si>
    <t xml:space="preserve">rv_001489</t>
  </si>
  <si>
    <t xml:space="preserve">blackburnsusan</t>
  </si>
  <si>
    <t xml:space="preserve">rv_005944</t>
  </si>
  <si>
    <t xml:space="preserve">jill17</t>
  </si>
  <si>
    <t xml:space="preserve">rv_002318</t>
  </si>
  <si>
    <t xml:space="preserve">barrettamanda</t>
  </si>
  <si>
    <t xml:space="preserve">rv_002354</t>
  </si>
  <si>
    <t xml:space="preserve">matthew79</t>
  </si>
  <si>
    <t xml:space="preserve">rv_004602</t>
  </si>
  <si>
    <t xml:space="preserve">roberttownsend</t>
  </si>
  <si>
    <t xml:space="preserve">rv_002618</t>
  </si>
  <si>
    <t xml:space="preserve">upena</t>
  </si>
  <si>
    <t xml:space="preserve">rv_001404</t>
  </si>
  <si>
    <t xml:space="preserve">bjackson</t>
  </si>
  <si>
    <t xml:space="preserve">rv_001359</t>
  </si>
  <si>
    <t xml:space="preserve">staceyvega</t>
  </si>
  <si>
    <t xml:space="preserve">rv_005278</t>
  </si>
  <si>
    <t xml:space="preserve">villawilliam</t>
  </si>
  <si>
    <t xml:space="preserve">rv_002189</t>
  </si>
  <si>
    <t xml:space="preserve">palmerwilliam</t>
  </si>
  <si>
    <t xml:space="preserve">rv_000770</t>
  </si>
  <si>
    <t xml:space="preserve">carlos01</t>
  </si>
  <si>
    <t xml:space="preserve">rv_001168</t>
  </si>
  <si>
    <t xml:space="preserve">tranryan</t>
  </si>
  <si>
    <t xml:space="preserve">rv_003785</t>
  </si>
  <si>
    <t xml:space="preserve">ronald65</t>
  </si>
  <si>
    <t xml:space="preserve">2025-11</t>
  </si>
  <si>
    <t xml:space="preserve">rv_001327</t>
  </si>
  <si>
    <t xml:space="preserve">craigromero</t>
  </si>
  <si>
    <t xml:space="preserve">rv_002339</t>
  </si>
  <si>
    <t xml:space="preserve">kevinrussell</t>
  </si>
  <si>
    <t xml:space="preserve">rv_005494</t>
  </si>
  <si>
    <t xml:space="preserve">tyler09</t>
  </si>
  <si>
    <t xml:space="preserve">rv_000250</t>
  </si>
  <si>
    <t xml:space="preserve">tranchristopher</t>
  </si>
  <si>
    <t xml:space="preserve">rv_002000</t>
  </si>
  <si>
    <t xml:space="preserve">jacobsonleah</t>
  </si>
  <si>
    <t xml:space="preserve">rv_004618</t>
  </si>
  <si>
    <t xml:space="preserve">aallen</t>
  </si>
  <si>
    <t xml:space="preserve">rv_001869</t>
  </si>
  <si>
    <t xml:space="preserve">cbaird</t>
  </si>
  <si>
    <t xml:space="preserve">rv_001569</t>
  </si>
  <si>
    <t xml:space="preserve">jessicacannon</t>
  </si>
  <si>
    <t xml:space="preserve">rv_003219</t>
  </si>
  <si>
    <t xml:space="preserve">kevincollins</t>
  </si>
  <si>
    <t xml:space="preserve">APP CRASHES EVERY TIME I TRY TO OPEN IT, SO FRUSTRATING!</t>
  </si>
  <si>
    <t xml:space="preserve">rv_001801</t>
  </si>
  <si>
    <t xml:space="preserve">gregorywilliams</t>
  </si>
  <si>
    <t xml:space="preserve">rv_002225</t>
  </si>
  <si>
    <t xml:space="preserve">sandra72</t>
  </si>
  <si>
    <t xml:space="preserve">rv_001941</t>
  </si>
  <si>
    <t xml:space="preserve">smithdanielle</t>
  </si>
  <si>
    <t xml:space="preserve">rv_003802</t>
  </si>
  <si>
    <t xml:space="preserve">jackmcdonald</t>
  </si>
  <si>
    <t xml:space="preserve">rv_004524</t>
  </si>
  <si>
    <t xml:space="preserve">brian83</t>
  </si>
  <si>
    <t xml:space="preserve">rv_001995</t>
  </si>
  <si>
    <t xml:space="preserve">angela01</t>
  </si>
  <si>
    <t xml:space="preserve">rv_005346</t>
  </si>
  <si>
    <t xml:space="preserve">rv_005589</t>
  </si>
  <si>
    <t xml:space="preserve">matthewsmith</t>
  </si>
  <si>
    <t xml:space="preserve">rv_004763</t>
  </si>
  <si>
    <t xml:space="preserve">jasonhernandez</t>
  </si>
  <si>
    <t xml:space="preserve">rv_002341</t>
  </si>
  <si>
    <t xml:space="preserve">nathanielgalloway</t>
  </si>
  <si>
    <t xml:space="preserve">rv_005230</t>
  </si>
  <si>
    <t xml:space="preserve">bweeks</t>
  </si>
  <si>
    <t xml:space="preserve">rv_003022</t>
  </si>
  <si>
    <t xml:space="preserve">vgarcia</t>
  </si>
  <si>
    <t xml:space="preserve">rv_005874</t>
  </si>
  <si>
    <t xml:space="preserve">jmaynard</t>
  </si>
  <si>
    <t xml:space="preserve">OTP never arrives so I can't log in to my account. Good enough for basic transactions.</t>
  </si>
  <si>
    <t xml:space="preserve">rv_003668</t>
  </si>
  <si>
    <t xml:space="preserve">christopher85</t>
  </si>
  <si>
    <t xml:space="preserve">rv_003276</t>
  </si>
  <si>
    <t xml:space="preserve">aguilarsharon</t>
  </si>
  <si>
    <t xml:space="preserve">rv_002205</t>
  </si>
  <si>
    <t xml:space="preserve">cabreraheather</t>
  </si>
  <si>
    <t xml:space="preserve">rv_002859</t>
  </si>
  <si>
    <t xml:space="preserve">sharphailey</t>
  </si>
  <si>
    <t xml:space="preserve">rv_004299</t>
  </si>
  <si>
    <t xml:space="preserve">davidfields</t>
  </si>
  <si>
    <t xml:space="preserve">rv_003610</t>
  </si>
  <si>
    <t xml:space="preserve">bishopkaren</t>
  </si>
  <si>
    <t xml:space="preserve">rv_005122</t>
  </si>
  <si>
    <t xml:space="preserve">suehowe</t>
  </si>
  <si>
    <t xml:space="preserve">rv_002289</t>
  </si>
  <si>
    <t xml:space="preserve">lwiggins</t>
  </si>
  <si>
    <t xml:space="preserve">rv_001877</t>
  </si>
  <si>
    <t xml:space="preserve">braysteven</t>
  </si>
  <si>
    <t xml:space="preserve">rv_000945</t>
  </si>
  <si>
    <t xml:space="preserve">carla04</t>
  </si>
  <si>
    <t xml:space="preserve">rv_001882</t>
  </si>
  <si>
    <t xml:space="preserve">kristinmiller</t>
  </si>
  <si>
    <t xml:space="preserve">rv_000713</t>
  </si>
  <si>
    <t xml:space="preserve">anneknight</t>
  </si>
  <si>
    <t xml:space="preserve">rv_003377</t>
  </si>
  <si>
    <t xml:space="preserve">xchen</t>
  </si>
  <si>
    <t xml:space="preserve">rv_000453</t>
  </si>
  <si>
    <t xml:space="preserve">anaacosta</t>
  </si>
  <si>
    <t xml:space="preserve">rv_004685</t>
  </si>
  <si>
    <t xml:space="preserve">brianclark</t>
  </si>
  <si>
    <t xml:space="preserve">rv_004249</t>
  </si>
  <si>
    <t xml:space="preserve">parrishangela</t>
  </si>
  <si>
    <t xml:space="preserve">rv_001075</t>
  </si>
  <si>
    <t xml:space="preserve">eyork</t>
  </si>
  <si>
    <t xml:space="preserve">rv_003576</t>
  </si>
  <si>
    <t xml:space="preserve">nathan69</t>
  </si>
  <si>
    <t xml:space="preserve">rv_001890</t>
  </si>
  <si>
    <t xml:space="preserve">michael48</t>
  </si>
  <si>
    <t xml:space="preserve">rv_004384</t>
  </si>
  <si>
    <t xml:space="preserve">angela71</t>
  </si>
  <si>
    <t xml:space="preserve">rv_003786</t>
  </si>
  <si>
    <t xml:space="preserve">laurenwilliamson</t>
  </si>
  <si>
    <t xml:space="preserve">rv_000702</t>
  </si>
  <si>
    <t xml:space="preserve">valdezmichele</t>
  </si>
  <si>
    <t xml:space="preserve">rv_004780</t>
  </si>
  <si>
    <t xml:space="preserve">martin22</t>
  </si>
  <si>
    <t xml:space="preserve">rv_004507</t>
  </si>
  <si>
    <t xml:space="preserve">tony03</t>
  </si>
  <si>
    <t xml:space="preserve">rv_003147</t>
  </si>
  <si>
    <t xml:space="preserve">john81</t>
  </si>
  <si>
    <t xml:space="preserve">rv_003824</t>
  </si>
  <si>
    <t xml:space="preserve">kendraharris</t>
  </si>
  <si>
    <t xml:space="preserve">rv_002819</t>
  </si>
  <si>
    <t xml:space="preserve">whiteaaron</t>
  </si>
  <si>
    <t xml:space="preserve">rv_002274</t>
  </si>
  <si>
    <t xml:space="preserve">john46</t>
  </si>
  <si>
    <t xml:space="preserve">rv_001847</t>
  </si>
  <si>
    <t xml:space="preserve">washingtondarren</t>
  </si>
  <si>
    <t xml:space="preserve">WHY DID THEY CHANGE THE WHOLE LAYOUT, IT WAS FINE BEFORE.</t>
  </si>
  <si>
    <t xml:space="preserve">rv_004278</t>
  </si>
  <si>
    <t xml:space="preserve">swilson</t>
  </si>
  <si>
    <t xml:space="preserve">rv_001435</t>
  </si>
  <si>
    <t xml:space="preserve">blopez</t>
  </si>
  <si>
    <t xml:space="preserve">rv_004357</t>
  </si>
  <si>
    <t xml:space="preserve">gibsonkaitlyn</t>
  </si>
  <si>
    <t xml:space="preserve">rv_001483</t>
  </si>
  <si>
    <t xml:space="preserve">smithsamantha</t>
  </si>
  <si>
    <t xml:space="preserve">rv_002671</t>
  </si>
  <si>
    <t xml:space="preserve">kelsey28</t>
  </si>
  <si>
    <t xml:space="preserve">rv_002805</t>
  </si>
  <si>
    <t xml:space="preserve">johnwang</t>
  </si>
  <si>
    <t xml:space="preserve">rv_002886</t>
  </si>
  <si>
    <t xml:space="preserve">diana36</t>
  </si>
  <si>
    <t xml:space="preserve">rv_002273</t>
  </si>
  <si>
    <t xml:space="preserve">zamoraamber</t>
  </si>
  <si>
    <t xml:space="preserve">rv_003678</t>
  </si>
  <si>
    <t xml:space="preserve">katiejoyce</t>
  </si>
  <si>
    <t xml:space="preserve">rv_004422</t>
  </si>
  <si>
    <t xml:space="preserve">gloriaward</t>
  </si>
  <si>
    <t xml:space="preserve">rv_003239</t>
  </si>
  <si>
    <t xml:space="preserve">albert25</t>
  </si>
  <si>
    <t xml:space="preserve">rv_000241</t>
  </si>
  <si>
    <t xml:space="preserve">gibsonleonard</t>
  </si>
  <si>
    <t xml:space="preserve">Payment failed but the money was still deducted from my account. It's okay, does what it needs to do.</t>
  </si>
  <si>
    <t xml:space="preserve">rv_003091</t>
  </si>
  <si>
    <t xml:space="preserve">jennifer19</t>
  </si>
  <si>
    <t xml:space="preserve">rv_004071</t>
  </si>
  <si>
    <t xml:space="preserve">ryanwood</t>
  </si>
  <si>
    <t xml:space="preserve">rv_005386</t>
  </si>
  <si>
    <t xml:space="preserve">wesleyjohns</t>
  </si>
  <si>
    <t xml:space="preserve">rv_005081</t>
  </si>
  <si>
    <t xml:space="preserve">kristin94</t>
  </si>
  <si>
    <t xml:space="preserve">rv_000325</t>
  </si>
  <si>
    <t xml:space="preserve">batesdarlene</t>
  </si>
  <si>
    <t xml:space="preserve">rv_004172</t>
  </si>
  <si>
    <t xml:space="preserve">smithlatasha</t>
  </si>
  <si>
    <t xml:space="preserve">rv_002628</t>
  </si>
  <si>
    <t xml:space="preserve">wwashington</t>
  </si>
  <si>
    <t xml:space="preserve">rv_003475</t>
  </si>
  <si>
    <t xml:space="preserve">jaredmcmahon</t>
  </si>
  <si>
    <t xml:space="preserve">rv_004454</t>
  </si>
  <si>
    <t xml:space="preserve">glewis</t>
  </si>
  <si>
    <t xml:space="preserve">rv_002868</t>
  </si>
  <si>
    <t xml:space="preserve">nicoleroth</t>
  </si>
  <si>
    <t xml:space="preserve">rv_002045</t>
  </si>
  <si>
    <t xml:space="preserve">uhudson</t>
  </si>
  <si>
    <t xml:space="preserve">rv_002690</t>
  </si>
  <si>
    <t xml:space="preserve">kpena</t>
  </si>
  <si>
    <t xml:space="preserve">rv_000749</t>
  </si>
  <si>
    <t xml:space="preserve">bentonsteven</t>
  </si>
  <si>
    <t xml:space="preserve">rv_003197</t>
  </si>
  <si>
    <t xml:space="preserve">anneshelton</t>
  </si>
  <si>
    <t xml:space="preserve">rv_005609</t>
  </si>
  <si>
    <t xml:space="preserve">llambert</t>
  </si>
  <si>
    <t xml:space="preserve">rv_005416</t>
  </si>
  <si>
    <t xml:space="preserve">smithgina</t>
  </si>
  <si>
    <t xml:space="preserve">rv_000901</t>
  </si>
  <si>
    <t xml:space="preserve">tapiaaaron</t>
  </si>
  <si>
    <t xml:space="preserve">rv_000170</t>
  </si>
  <si>
    <t xml:space="preserve">stevenscott</t>
  </si>
  <si>
    <t xml:space="preserve">rv_005388</t>
  </si>
  <si>
    <t xml:space="preserve">loweruben</t>
  </si>
  <si>
    <t xml:space="preserve">rv_001167</t>
  </si>
  <si>
    <t xml:space="preserve">tamarasmith</t>
  </si>
  <si>
    <t xml:space="preserve">rv_005381</t>
  </si>
  <si>
    <t xml:space="preserve">russellhorton</t>
  </si>
  <si>
    <t xml:space="preserve">rv_004622</t>
  </si>
  <si>
    <t xml:space="preserve">kayla07</t>
  </si>
  <si>
    <t xml:space="preserve">rv_005424</t>
  </si>
  <si>
    <t xml:space="preserve">cgarcia</t>
  </si>
  <si>
    <t xml:space="preserve">rv_002275</t>
  </si>
  <si>
    <t xml:space="preserve">dennismckenzie</t>
  </si>
  <si>
    <t xml:space="preserve">rv_004066</t>
  </si>
  <si>
    <t xml:space="preserve">stephaniepeters</t>
  </si>
  <si>
    <t xml:space="preserve">rv_005085</t>
  </si>
  <si>
    <t xml:space="preserve">sarahsmith</t>
  </si>
  <si>
    <t xml:space="preserve">rv_001055</t>
  </si>
  <si>
    <t xml:space="preserve">erica96</t>
  </si>
  <si>
    <t xml:space="preserve">rv_000199</t>
  </si>
  <si>
    <t xml:space="preserve">michael74</t>
  </si>
  <si>
    <t xml:space="preserve">rv_002990</t>
  </si>
  <si>
    <t xml:space="preserve">christopherjones</t>
  </si>
  <si>
    <t xml:space="preserve">rv_002724</t>
  </si>
  <si>
    <t xml:space="preserve">wrightbrandon</t>
  </si>
  <si>
    <t xml:space="preserve">rv_000025</t>
  </si>
  <si>
    <t xml:space="preserve">ithomas</t>
  </si>
  <si>
    <t xml:space="preserve">rv_005027</t>
  </si>
  <si>
    <t xml:space="preserve">twagner</t>
  </si>
  <si>
    <t xml:space="preserve">rv_002555</t>
  </si>
  <si>
    <t xml:space="preserve">johnathandavis</t>
  </si>
  <si>
    <t xml:space="preserve">rv_004449</t>
  </si>
  <si>
    <t xml:space="preserve">lisa11</t>
  </si>
  <si>
    <t xml:space="preserve">rv_000201</t>
  </si>
  <si>
    <t xml:space="preserve">david82</t>
  </si>
  <si>
    <t xml:space="preserve">rv_002158</t>
  </si>
  <si>
    <t xml:space="preserve">anna93</t>
  </si>
  <si>
    <t xml:space="preserve">rv_005396</t>
  </si>
  <si>
    <t xml:space="preserve">deanna27</t>
  </si>
  <si>
    <t xml:space="preserve">rv_002305</t>
  </si>
  <si>
    <t xml:space="preserve">ymccullough</t>
  </si>
  <si>
    <t xml:space="preserve">rv_004250</t>
  </si>
  <si>
    <t xml:space="preserve">donald68</t>
  </si>
  <si>
    <t xml:space="preserve">rv_000262</t>
  </si>
  <si>
    <t xml:space="preserve">tinaallen</t>
  </si>
  <si>
    <t xml:space="preserve">rv_004660</t>
  </si>
  <si>
    <t xml:space="preserve">benjamin10</t>
  </si>
  <si>
    <t xml:space="preserve">rv_001107</t>
  </si>
  <si>
    <t xml:space="preserve">turnerdorothy</t>
  </si>
  <si>
    <t xml:space="preserve">rv_005391</t>
  </si>
  <si>
    <t xml:space="preserve">taylorjames</t>
  </si>
  <si>
    <t xml:space="preserve">rv_000569</t>
  </si>
  <si>
    <t xml:space="preserve">leescott</t>
  </si>
  <si>
    <t xml:space="preserve">rv_000371</t>
  </si>
  <si>
    <t xml:space="preserve">craigjoseph</t>
  </si>
  <si>
    <t xml:space="preserve">rv_001594</t>
  </si>
  <si>
    <t xml:space="preserve">vaughnrebecca</t>
  </si>
  <si>
    <t xml:space="preserve">rv_002943</t>
  </si>
  <si>
    <t xml:space="preserve">alan54</t>
  </si>
  <si>
    <t xml:space="preserve">rv_000786</t>
  </si>
  <si>
    <t xml:space="preserve">lawrenceallen</t>
  </si>
  <si>
    <t xml:space="preserve">rv_000892</t>
  </si>
  <si>
    <t xml:space="preserve">jeffreyblack</t>
  </si>
  <si>
    <t xml:space="preserve">rv_002190</t>
  </si>
  <si>
    <t xml:space="preserve">rv_003198</t>
  </si>
  <si>
    <t xml:space="preserve">linda23</t>
  </si>
  <si>
    <t xml:space="preserve">rv_005446</t>
  </si>
  <si>
    <t xml:space="preserve">jamesparker</t>
  </si>
  <si>
    <t xml:space="preserve">rv_001409</t>
  </si>
  <si>
    <t xml:space="preserve">garciachristine</t>
  </si>
  <si>
    <t xml:space="preserve">rv_003210</t>
  </si>
  <si>
    <t xml:space="preserve">brian62</t>
  </si>
  <si>
    <t xml:space="preserve">rv_004697</t>
  </si>
  <si>
    <t xml:space="preserve">andrewsdenise</t>
  </si>
  <si>
    <t xml:space="preserve">4.8.0</t>
  </si>
  <si>
    <t xml:space="preserve">rv_001316</t>
  </si>
  <si>
    <t xml:space="preserve">lanedavid</t>
  </si>
  <si>
    <t xml:space="preserve">rv_000627</t>
  </si>
  <si>
    <t xml:space="preserve">dstokes</t>
  </si>
  <si>
    <t xml:space="preserve">rv_001447</t>
  </si>
  <si>
    <t xml:space="preserve">joanjohnson</t>
  </si>
  <si>
    <t xml:space="preserve">rv_004184</t>
  </si>
  <si>
    <t xml:space="preserve">carolyn84</t>
  </si>
  <si>
    <t xml:space="preserve">rv_002537</t>
  </si>
  <si>
    <t xml:space="preserve">scottwilliams</t>
  </si>
  <si>
    <t xml:space="preserve">rv_000868</t>
  </si>
  <si>
    <t xml:space="preserve">terrimoore</t>
  </si>
  <si>
    <t xml:space="preserve">Why did they change the whole layout, it was fine before. It's okay, does what it needs to do.</t>
  </si>
  <si>
    <t xml:space="preserve">rv_002172</t>
  </si>
  <si>
    <t xml:space="preserve">johnwise</t>
  </si>
  <si>
    <t xml:space="preserve">rv_002259</t>
  </si>
  <si>
    <t xml:space="preserve">millerleroy</t>
  </si>
  <si>
    <t xml:space="preserve">rv_004322</t>
  </si>
  <si>
    <t xml:space="preserve">alowe</t>
  </si>
  <si>
    <t xml:space="preserve">rv_002451</t>
  </si>
  <si>
    <t xml:space="preserve">victor72</t>
  </si>
  <si>
    <t xml:space="preserve">rv_003499</t>
  </si>
  <si>
    <t xml:space="preserve">asmith</t>
  </si>
  <si>
    <t xml:space="preserve">rv_005365</t>
  </si>
  <si>
    <t xml:space="preserve">epatterson</t>
  </si>
  <si>
    <t xml:space="preserve">rv_004800</t>
  </si>
  <si>
    <t xml:space="preserve">gharrison</t>
  </si>
  <si>
    <t xml:space="preserve">rv_002228</t>
  </si>
  <si>
    <t xml:space="preserve">justincurry</t>
  </si>
  <si>
    <t xml:space="preserve">rv_005991</t>
  </si>
  <si>
    <t xml:space="preserve">nortongregory</t>
  </si>
  <si>
    <t xml:space="preserve">rv_001715</t>
  </si>
  <si>
    <t xml:space="preserve">xbridges</t>
  </si>
  <si>
    <t xml:space="preserve">rv_001022</t>
  </si>
  <si>
    <t xml:space="preserve">floydmikayla</t>
  </si>
  <si>
    <t xml:space="preserve">rv_000633</t>
  </si>
  <si>
    <t xml:space="preserve">michaelcesar</t>
  </si>
  <si>
    <t xml:space="preserve">rv_001887</t>
  </si>
  <si>
    <t xml:space="preserve">devonrogers</t>
  </si>
  <si>
    <t xml:space="preserve">rv_005269</t>
  </si>
  <si>
    <t xml:space="preserve">hayesnicole</t>
  </si>
  <si>
    <t xml:space="preserve">rv_002416</t>
  </si>
  <si>
    <t xml:space="preserve">miguel08</t>
  </si>
  <si>
    <t xml:space="preserve">rv_004891</t>
  </si>
  <si>
    <t xml:space="preserve">jcoleman</t>
  </si>
  <si>
    <t xml:space="preserve">rv_003335</t>
  </si>
  <si>
    <t xml:space="preserve">rv_000388</t>
  </si>
  <si>
    <t xml:space="preserve">kimdaniel</t>
  </si>
  <si>
    <t xml:space="preserve">rv_001146</t>
  </si>
  <si>
    <t xml:space="preserve">andreagray</t>
  </si>
  <si>
    <t xml:space="preserve">rv_003522</t>
  </si>
  <si>
    <t xml:space="preserve">hkelly</t>
  </si>
  <si>
    <t xml:space="preserve">rv_003862</t>
  </si>
  <si>
    <t xml:space="preserve">christophermcneil</t>
  </si>
  <si>
    <t xml:space="preserve">rv_004494</t>
  </si>
  <si>
    <t xml:space="preserve">michelleflowers</t>
  </si>
  <si>
    <t xml:space="preserve">rv_001357</t>
  </si>
  <si>
    <t xml:space="preserve">charles27</t>
  </si>
  <si>
    <t xml:space="preserve">rv_001332</t>
  </si>
  <si>
    <t xml:space="preserve">nathanlynch</t>
  </si>
  <si>
    <t xml:space="preserve">rv_004107</t>
  </si>
  <si>
    <t xml:space="preserve">rachel86</t>
  </si>
  <si>
    <t xml:space="preserve">rv_003876</t>
  </si>
  <si>
    <t xml:space="preserve">adkinslauren</t>
  </si>
  <si>
    <t xml:space="preserve">rv_004367</t>
  </si>
  <si>
    <t xml:space="preserve">melissa04</t>
  </si>
  <si>
    <t xml:space="preserve">rv_001080</t>
  </si>
  <si>
    <t xml:space="preserve">matthewbenitez</t>
  </si>
  <si>
    <t xml:space="preserve">rv_005756</t>
  </si>
  <si>
    <t xml:space="preserve">yvazquez</t>
  </si>
  <si>
    <t xml:space="preserve">rv_004556</t>
  </si>
  <si>
    <t xml:space="preserve">qfry</t>
  </si>
  <si>
    <t xml:space="preserve">rv_001418</t>
  </si>
  <si>
    <t xml:space="preserve">regina78</t>
  </si>
  <si>
    <t xml:space="preserve">rv_002448</t>
  </si>
  <si>
    <t xml:space="preserve">fclark</t>
  </si>
  <si>
    <t xml:space="preserve">rv_000386</t>
  </si>
  <si>
    <t xml:space="preserve">burchgeorge</t>
  </si>
  <si>
    <t xml:space="preserve">rv_005364</t>
  </si>
  <si>
    <t xml:space="preserve">thompsonkelly</t>
  </si>
  <si>
    <t xml:space="preserve">rv_002010</t>
  </si>
  <si>
    <t xml:space="preserve">zestrada</t>
  </si>
  <si>
    <t xml:space="preserve">rv_004504</t>
  </si>
  <si>
    <t xml:space="preserve">charlesvang</t>
  </si>
  <si>
    <t xml:space="preserve">rv_004481</t>
  </si>
  <si>
    <t xml:space="preserve">hallchristopher</t>
  </si>
  <si>
    <t xml:space="preserve">rv_005475</t>
  </si>
  <si>
    <t xml:space="preserve">shawn89</t>
  </si>
  <si>
    <t xml:space="preserve">rv_002927</t>
  </si>
  <si>
    <t xml:space="preserve">qspencer</t>
  </si>
  <si>
    <t xml:space="preserve">rv_004875</t>
  </si>
  <si>
    <t xml:space="preserve">cshepard</t>
  </si>
  <si>
    <t xml:space="preserve">rv_002531</t>
  </si>
  <si>
    <t xml:space="preserve">khoover</t>
  </si>
  <si>
    <t xml:space="preserve">rv_004142</t>
  </si>
  <si>
    <t xml:space="preserve">suzanneflores</t>
  </si>
  <si>
    <t xml:space="preserve">rv_005061</t>
  </si>
  <si>
    <t xml:space="preserve">murphymark</t>
  </si>
  <si>
    <t xml:space="preserve">rv_002586</t>
  </si>
  <si>
    <t xml:space="preserve">ywolf</t>
  </si>
  <si>
    <t xml:space="preserve">rv_000296</t>
  </si>
  <si>
    <t xml:space="preserve">jeffery39</t>
  </si>
  <si>
    <t xml:space="preserve">rv_000597</t>
  </si>
  <si>
    <t xml:space="preserve">gentrygregory</t>
  </si>
  <si>
    <t xml:space="preserve">rv_000649</t>
  </si>
  <si>
    <t xml:space="preserve">griffinemily</t>
  </si>
  <si>
    <t xml:space="preserve">rv_004858</t>
  </si>
  <si>
    <t xml:space="preserve">cookrobert</t>
  </si>
  <si>
    <t xml:space="preserve">rv_004118</t>
  </si>
  <si>
    <t xml:space="preserve">mirandaanderson</t>
  </si>
  <si>
    <t xml:space="preserve">rv_001400</t>
  </si>
  <si>
    <t xml:space="preserve">martinjeremy</t>
  </si>
  <si>
    <t xml:space="preserve">rv_000527</t>
  </si>
  <si>
    <t xml:space="preserve">dawn47</t>
  </si>
  <si>
    <t xml:space="preserve">rv_005808</t>
  </si>
  <si>
    <t xml:space="preserve">nbullock</t>
  </si>
  <si>
    <t xml:space="preserve">rv_003555</t>
  </si>
  <si>
    <t xml:space="preserve">hardinian</t>
  </si>
  <si>
    <t xml:space="preserve">rv_002519</t>
  </si>
  <si>
    <t xml:space="preserve">reginajenkins</t>
  </si>
  <si>
    <t xml:space="preserve">rv_004545</t>
  </si>
  <si>
    <t xml:space="preserve">barbara85</t>
  </si>
  <si>
    <t xml:space="preserve">rv_002326</t>
  </si>
  <si>
    <t xml:space="preserve">moorestephanie</t>
  </si>
  <si>
    <t xml:space="preserve">rv_003379</t>
  </si>
  <si>
    <t xml:space="preserve">jacksonrobert</t>
  </si>
  <si>
    <t xml:space="preserve">rv_004203</t>
  </si>
  <si>
    <t xml:space="preserve">kristinajames</t>
  </si>
  <si>
    <t xml:space="preserve">rv_004853</t>
  </si>
  <si>
    <t xml:space="preserve">uchang</t>
  </si>
  <si>
    <t xml:space="preserve">rv_002816</t>
  </si>
  <si>
    <t xml:space="preserve">tschneider</t>
  </si>
  <si>
    <t xml:space="preserve">rv_004750</t>
  </si>
  <si>
    <t xml:space="preserve">rodgerstina</t>
  </si>
  <si>
    <t xml:space="preserve">rv_003539</t>
  </si>
  <si>
    <t xml:space="preserve">johnsonanthony</t>
  </si>
  <si>
    <t xml:space="preserve">rv_004074</t>
  </si>
  <si>
    <t xml:space="preserve">carrollstacy</t>
  </si>
  <si>
    <t xml:space="preserve">The new interface is so confusing compared to before. It's okay, does what it needs to do.</t>
  </si>
  <si>
    <t xml:space="preserve">rv_001973</t>
  </si>
  <si>
    <t xml:space="preserve">haileyparker</t>
  </si>
  <si>
    <t xml:space="preserve">rv_003534</t>
  </si>
  <si>
    <t xml:space="preserve">lawsonarthur</t>
  </si>
  <si>
    <t xml:space="preserve">rv_000912</t>
  </si>
  <si>
    <t xml:space="preserve">vhaynes</t>
  </si>
  <si>
    <t xml:space="preserve">rv_002825</t>
  </si>
  <si>
    <t xml:space="preserve">julia98</t>
  </si>
  <si>
    <t xml:space="preserve">rv_000650</t>
  </si>
  <si>
    <t xml:space="preserve">sanchezbradley</t>
  </si>
  <si>
    <t xml:space="preserve">rv_003821</t>
  </si>
  <si>
    <t xml:space="preserve">ronald43</t>
  </si>
  <si>
    <t xml:space="preserve">rv_003531</t>
  </si>
  <si>
    <t xml:space="preserve">gonzalezmichael</t>
  </si>
  <si>
    <t xml:space="preserve">rv_005461</t>
  </si>
  <si>
    <t xml:space="preserve">kelsey70</t>
  </si>
  <si>
    <t xml:space="preserve">rv_004405</t>
  </si>
  <si>
    <t xml:space="preserve">bmejia</t>
  </si>
  <si>
    <t xml:space="preserve">NEW UI LOOKS NICE BUT NAVIGATION GOT WAY WORSE. GOOD ENOUGH FOR BASIC TRANSACTIONS.</t>
  </si>
  <si>
    <t xml:space="preserve">rv_004621</t>
  </si>
  <si>
    <t xml:space="preserve">shawstephanie</t>
  </si>
  <si>
    <t xml:space="preserve">rv_001249</t>
  </si>
  <si>
    <t xml:space="preserve">michael31</t>
  </si>
  <si>
    <t xml:space="preserve">rv_001484</t>
  </si>
  <si>
    <t xml:space="preserve">fhebert</t>
  </si>
  <si>
    <t xml:space="preserve">rv_002123</t>
  </si>
  <si>
    <t xml:space="preserve">smithalicia</t>
  </si>
  <si>
    <t xml:space="preserve">rv_005099</t>
  </si>
  <si>
    <t xml:space="preserve">michaelrobertson</t>
  </si>
  <si>
    <t xml:space="preserve">rv_003050</t>
  </si>
  <si>
    <t xml:space="preserve">rv_002388</t>
  </si>
  <si>
    <t xml:space="preserve">lance10</t>
  </si>
  <si>
    <t xml:space="preserve">rv_005883</t>
  </si>
  <si>
    <t xml:space="preserve">rv_004134</t>
  </si>
  <si>
    <t xml:space="preserve">xwoods</t>
  </si>
  <si>
    <t xml:space="preserve">rv_004529</t>
  </si>
  <si>
    <t xml:space="preserve">cgallagher</t>
  </si>
  <si>
    <t xml:space="preserve">rv_002652</t>
  </si>
  <si>
    <t xml:space="preserve">marisa87</t>
  </si>
  <si>
    <t xml:space="preserve">rv_003034</t>
  </si>
  <si>
    <t xml:space="preserve">matthew96</t>
  </si>
  <si>
    <t xml:space="preserve">rv_000794</t>
  </si>
  <si>
    <t xml:space="preserve">fortiz</t>
  </si>
  <si>
    <t xml:space="preserve">rv_001069</t>
  </si>
  <si>
    <t xml:space="preserve">william28</t>
  </si>
  <si>
    <t xml:space="preserve">rv_001701</t>
  </si>
  <si>
    <t xml:space="preserve">davislisa</t>
  </si>
  <si>
    <t xml:space="preserve">rv_003005</t>
  </si>
  <si>
    <t xml:space="preserve">mcneilsherry</t>
  </si>
  <si>
    <t xml:space="preserve">rv_000187</t>
  </si>
  <si>
    <t xml:space="preserve">nicole37</t>
  </si>
  <si>
    <t xml:space="preserve">rv_004028</t>
  </si>
  <si>
    <t xml:space="preserve">rv_000516</t>
  </si>
  <si>
    <t xml:space="preserve">guerraapril</t>
  </si>
  <si>
    <t xml:space="preserve">rv_002130</t>
  </si>
  <si>
    <t xml:space="preserve">anthonycherry</t>
  </si>
  <si>
    <t xml:space="preserve">rv_002821</t>
  </si>
  <si>
    <t xml:space="preserve">jordanjohnny</t>
  </si>
  <si>
    <t xml:space="preserve">rv_005142</t>
  </si>
  <si>
    <t xml:space="preserve">davidjohnson</t>
  </si>
  <si>
    <t xml:space="preserve">rv_001066</t>
  </si>
  <si>
    <t xml:space="preserve">ldoyle</t>
  </si>
  <si>
    <t xml:space="preserve">rv_001643</t>
  </si>
  <si>
    <t xml:space="preserve">brewertimothy</t>
  </si>
  <si>
    <t xml:space="preserve">rv_004315</t>
  </si>
  <si>
    <t xml:space="preserve">THE NEW INTERFACE IS SO CONFUSING COMPARED TO BEFORE.</t>
  </si>
  <si>
    <t xml:space="preserve">rv_000054</t>
  </si>
  <si>
    <t xml:space="preserve">ilewis</t>
  </si>
  <si>
    <t xml:space="preserve">rv_004723</t>
  </si>
  <si>
    <t xml:space="preserve">hernandezandrew</t>
  </si>
  <si>
    <t xml:space="preserve">rv_003066</t>
  </si>
  <si>
    <t xml:space="preserve">leeanthony</t>
  </si>
  <si>
    <t xml:space="preserve">rv_005603</t>
  </si>
  <si>
    <t xml:space="preserve">christinasmith</t>
  </si>
  <si>
    <t xml:space="preserve">rv_001078</t>
  </si>
  <si>
    <t xml:space="preserve">dillonpatrick</t>
  </si>
  <si>
    <t xml:space="preserve">rv_000112</t>
  </si>
  <si>
    <t xml:space="preserve">sheila14</t>
  </si>
  <si>
    <t xml:space="preserve">rv_002696</t>
  </si>
  <si>
    <t xml:space="preserve">saradavis</t>
  </si>
  <si>
    <t xml:space="preserve">rv_002896</t>
  </si>
  <si>
    <t xml:space="preserve">kimberlythomas</t>
  </si>
  <si>
    <t xml:space="preserve">rv_000638</t>
  </si>
  <si>
    <t xml:space="preserve">qmiller</t>
  </si>
  <si>
    <t xml:space="preserve">rv_000164</t>
  </si>
  <si>
    <t xml:space="preserve">rv_003216</t>
  </si>
  <si>
    <t xml:space="preserve">yangemily</t>
  </si>
  <si>
    <t xml:space="preserve">rv_004741</t>
  </si>
  <si>
    <t xml:space="preserve">sandra91</t>
  </si>
  <si>
    <t xml:space="preserve">rv_002544</t>
  </si>
  <si>
    <t xml:space="preserve">roblesmaria</t>
  </si>
  <si>
    <t xml:space="preserve">rv_002459</t>
  </si>
  <si>
    <t xml:space="preserve">taylorchristopher</t>
  </si>
  <si>
    <t xml:space="preserve">rv_000821</t>
  </si>
  <si>
    <t xml:space="preserve">shawn75</t>
  </si>
  <si>
    <t xml:space="preserve">rv_000106</t>
  </si>
  <si>
    <t xml:space="preserve">erik16</t>
  </si>
  <si>
    <t xml:space="preserve">rv_000344</t>
  </si>
  <si>
    <t xml:space="preserve">oscar98</t>
  </si>
  <si>
    <t xml:space="preserve">rv_002467</t>
  </si>
  <si>
    <t xml:space="preserve">hartmansara</t>
  </si>
  <si>
    <t xml:space="preserve">rv_000955</t>
  </si>
  <si>
    <t xml:space="preserve">djohnson</t>
  </si>
  <si>
    <t xml:space="preserve">rv_002071</t>
  </si>
  <si>
    <t xml:space="preserve">steven86</t>
  </si>
  <si>
    <t xml:space="preserve">rv_004262</t>
  </si>
  <si>
    <t xml:space="preserve">shanewilson</t>
  </si>
  <si>
    <t xml:space="preserve">rv_000367</t>
  </si>
  <si>
    <t xml:space="preserve">davisalyssa</t>
  </si>
  <si>
    <t xml:space="preserve">rv_001289</t>
  </si>
  <si>
    <t xml:space="preserve">brittanyholland</t>
  </si>
  <si>
    <t xml:space="preserve">rv_003944</t>
  </si>
  <si>
    <t xml:space="preserve">bcaldwell</t>
  </si>
  <si>
    <t xml:space="preserve">rv_004350</t>
  </si>
  <si>
    <t xml:space="preserve">bflores</t>
  </si>
  <si>
    <t xml:space="preserve">rv_000116</t>
  </si>
  <si>
    <t xml:space="preserve">mlam</t>
  </si>
  <si>
    <t xml:space="preserve">rv_001732</t>
  </si>
  <si>
    <t xml:space="preserve">steven18</t>
  </si>
  <si>
    <t xml:space="preserve">rv_002038</t>
  </si>
  <si>
    <t xml:space="preserve">robert03</t>
  </si>
  <si>
    <t xml:space="preserve">rv_003931</t>
  </si>
  <si>
    <t xml:space="preserve">smithjennifer</t>
  </si>
  <si>
    <t xml:space="preserve">rv_005168</t>
  </si>
  <si>
    <t xml:space="preserve">andersonhenry</t>
  </si>
  <si>
    <t xml:space="preserve">rv_003369</t>
  </si>
  <si>
    <t xml:space="preserve">wcox</t>
  </si>
  <si>
    <t xml:space="preserve">rv_001091</t>
  </si>
  <si>
    <t xml:space="preserve">rhodescourtney</t>
  </si>
  <si>
    <t xml:space="preserve">rv_005239</t>
  </si>
  <si>
    <t xml:space="preserve">benjamin49</t>
  </si>
  <si>
    <t xml:space="preserve">rv_000915</t>
  </si>
  <si>
    <t xml:space="preserve">moorefrank</t>
  </si>
  <si>
    <t xml:space="preserve">rv_003557</t>
  </si>
  <si>
    <t xml:space="preserve">wangkristina</t>
  </si>
  <si>
    <t xml:space="preserve">rv_005714</t>
  </si>
  <si>
    <t xml:space="preserve">tvelasquez</t>
  </si>
  <si>
    <t xml:space="preserve">rv_000151</t>
  </si>
  <si>
    <t xml:space="preserve">gateskathy</t>
  </si>
  <si>
    <t xml:space="preserve">rv_005267</t>
  </si>
  <si>
    <t xml:space="preserve">wallersarah</t>
  </si>
  <si>
    <t xml:space="preserve">rv_000037</t>
  </si>
  <si>
    <t xml:space="preserve">harrellkenneth</t>
  </si>
  <si>
    <t xml:space="preserve">rv_001814</t>
  </si>
  <si>
    <t xml:space="preserve">sanchezdeborah</t>
  </si>
  <si>
    <t xml:space="preserve">rv_001244</t>
  </si>
  <si>
    <t xml:space="preserve">james29</t>
  </si>
  <si>
    <t xml:space="preserve">rv_000216</t>
  </si>
  <si>
    <t xml:space="preserve">levans</t>
  </si>
  <si>
    <t xml:space="preserve">rv_003978</t>
  </si>
  <si>
    <t xml:space="preserve">pwood</t>
  </si>
  <si>
    <t xml:space="preserve">rv_002177</t>
  </si>
  <si>
    <t xml:space="preserve">michaeldavis</t>
  </si>
  <si>
    <t xml:space="preserve">rv_002217</t>
  </si>
  <si>
    <t xml:space="preserve">benjamin67</t>
  </si>
  <si>
    <t xml:space="preserve">rv_005613</t>
  </si>
  <si>
    <t xml:space="preserve">aaronwallace</t>
  </si>
  <si>
    <t xml:space="preserve">rv_003160</t>
  </si>
  <si>
    <t xml:space="preserve">emarks</t>
  </si>
  <si>
    <t xml:space="preserve">rv_004189</t>
  </si>
  <si>
    <t xml:space="preserve">harveylisa</t>
  </si>
  <si>
    <t xml:space="preserve">rv_002001</t>
  </si>
  <si>
    <t xml:space="preserve">harry71</t>
  </si>
  <si>
    <t xml:space="preserve">rv_002442</t>
  </si>
  <si>
    <t xml:space="preserve">jamesgray</t>
  </si>
  <si>
    <t xml:space="preserve">rv_003849</t>
  </si>
  <si>
    <t xml:space="preserve">dfarmer</t>
  </si>
  <si>
    <t xml:space="preserve">rv_004200</t>
  </si>
  <si>
    <t xml:space="preserve">rv_001029</t>
  </si>
  <si>
    <t xml:space="preserve">larry71</t>
  </si>
  <si>
    <t xml:space="preserve">rv_004403</t>
  </si>
  <si>
    <t xml:space="preserve">wlucas</t>
  </si>
  <si>
    <t xml:space="preserve">rv_004661</t>
  </si>
  <si>
    <t xml:space="preserve">elizabeth24</t>
  </si>
  <si>
    <t xml:space="preserve">rv_005739</t>
  </si>
  <si>
    <t xml:space="preserve">jessicajones</t>
  </si>
  <si>
    <t xml:space="preserve">rv_000505</t>
  </si>
  <si>
    <t xml:space="preserve">patricia22</t>
  </si>
  <si>
    <t xml:space="preserve">rv_000594</t>
  </si>
  <si>
    <t xml:space="preserve">mwoods</t>
  </si>
  <si>
    <t xml:space="preserve">rv_001837</t>
  </si>
  <si>
    <t xml:space="preserve">davidmoreno</t>
  </si>
  <si>
    <t xml:space="preserve">rv_003703</t>
  </si>
  <si>
    <t xml:space="preserve">smithantonio</t>
  </si>
  <si>
    <t xml:space="preserve">rv_002761</t>
  </si>
  <si>
    <t xml:space="preserve">richard51</t>
  </si>
  <si>
    <t xml:space="preserve">rv_005089</t>
  </si>
  <si>
    <t xml:space="preserve">lloydmiranda</t>
  </si>
  <si>
    <t xml:space="preserve">rv_001092</t>
  </si>
  <si>
    <t xml:space="preserve">jeremywiley</t>
  </si>
  <si>
    <t xml:space="preserve">rv_003896</t>
  </si>
  <si>
    <t xml:space="preserve">gonzalezjulie</t>
  </si>
  <si>
    <t xml:space="preserve">rv_002490</t>
  </si>
  <si>
    <t xml:space="preserve">thomasmurphy</t>
  </si>
  <si>
    <t xml:space="preserve">rv_002427</t>
  </si>
  <si>
    <t xml:space="preserve">lindsay63</t>
  </si>
  <si>
    <t xml:space="preserve">rv_003796</t>
  </si>
  <si>
    <t xml:space="preserve">tiffany62</t>
  </si>
  <si>
    <t xml:space="preserve">rv_003292</t>
  </si>
  <si>
    <t xml:space="preserve">hdunn</t>
  </si>
  <si>
    <t xml:space="preserve">Why did they change the whole layout, it was fine before. Decent app but could use more features.</t>
  </si>
  <si>
    <t xml:space="preserve">rv_000532</t>
  </si>
  <si>
    <t xml:space="preserve">jessica56</t>
  </si>
  <si>
    <t xml:space="preserve">rv_003681</t>
  </si>
  <si>
    <t xml:space="preserve">kaylee15</t>
  </si>
  <si>
    <t xml:space="preserve">rv_001909</t>
  </si>
  <si>
    <t xml:space="preserve">christinemartin</t>
  </si>
  <si>
    <t xml:space="preserve">rv_000163</t>
  </si>
  <si>
    <t xml:space="preserve">fking</t>
  </si>
  <si>
    <t xml:space="preserve">rv_001534</t>
  </si>
  <si>
    <t xml:space="preserve">scottglass</t>
  </si>
  <si>
    <t xml:space="preserve">rv_002226</t>
  </si>
  <si>
    <t xml:space="preserve">rv_004896</t>
  </si>
  <si>
    <t xml:space="preserve">rv_000198</t>
  </si>
  <si>
    <t xml:space="preserve">jbarajas</t>
  </si>
  <si>
    <t xml:space="preserve">rv_002993</t>
  </si>
  <si>
    <t xml:space="preserve">elizabethgreen</t>
  </si>
  <si>
    <t xml:space="preserve">rv_005565</t>
  </si>
  <si>
    <t xml:space="preserve">meganford</t>
  </si>
  <si>
    <t xml:space="preserve">rv_005912</t>
  </si>
  <si>
    <t xml:space="preserve">jessicahawkins</t>
  </si>
  <si>
    <t xml:space="preserve">rv_005467</t>
  </si>
  <si>
    <t xml:space="preserve">ambergrant</t>
  </si>
  <si>
    <t xml:space="preserve">rv_000206</t>
  </si>
  <si>
    <t xml:space="preserve">heidi27</t>
  </si>
  <si>
    <t xml:space="preserve">rv_003524</t>
  </si>
  <si>
    <t xml:space="preserve">soniabass</t>
  </si>
  <si>
    <t xml:space="preserve">rv_001924</t>
  </si>
  <si>
    <t xml:space="preserve">seandavis</t>
  </si>
  <si>
    <t xml:space="preserve">rv_002770</t>
  </si>
  <si>
    <t xml:space="preserve">lawsontami</t>
  </si>
  <si>
    <t xml:space="preserve">rv_004535</t>
  </si>
  <si>
    <t xml:space="preserve">williamsalexander</t>
  </si>
  <si>
    <t xml:space="preserve">rv_003393</t>
  </si>
  <si>
    <t xml:space="preserve">shirley13</t>
  </si>
  <si>
    <t xml:space="preserve">rv_002749</t>
  </si>
  <si>
    <t xml:space="preserve">catherine02</t>
  </si>
  <si>
    <t xml:space="preserve">rv_001301</t>
  </si>
  <si>
    <t xml:space="preserve">ecarlson</t>
  </si>
  <si>
    <t xml:space="preserve">rv_001160</t>
  </si>
  <si>
    <t xml:space="preserve">princetravis</t>
  </si>
  <si>
    <t xml:space="preserve">rv_001546</t>
  </si>
  <si>
    <t xml:space="preserve">pricejoseph</t>
  </si>
  <si>
    <t xml:space="preserve">rv_005105</t>
  </si>
  <si>
    <t xml:space="preserve">simsclaire</t>
  </si>
  <si>
    <t xml:space="preserve">rv_003961</t>
  </si>
  <si>
    <t xml:space="preserve">katherine82</t>
  </si>
  <si>
    <t xml:space="preserve">rv_000153</t>
  </si>
  <si>
    <t xml:space="preserve">karen68</t>
  </si>
  <si>
    <t xml:space="preserve">rv_004211</t>
  </si>
  <si>
    <t xml:space="preserve">dcosta</t>
  </si>
  <si>
    <t xml:space="preserve">rv_002157</t>
  </si>
  <si>
    <t xml:space="preserve">henry28</t>
  </si>
  <si>
    <t xml:space="preserve">rv_002450</t>
  </si>
  <si>
    <t xml:space="preserve">jacksonpaul</t>
  </si>
  <si>
    <t xml:space="preserve">rv_003332</t>
  </si>
  <si>
    <t xml:space="preserve">michael49</t>
  </si>
  <si>
    <t xml:space="preserve">rv_004304</t>
  </si>
  <si>
    <t xml:space="preserve">simoneric</t>
  </si>
  <si>
    <t xml:space="preserve">rv_003838</t>
  </si>
  <si>
    <t xml:space="preserve">wyang</t>
  </si>
  <si>
    <t xml:space="preserve">rv_004634</t>
  </si>
  <si>
    <t xml:space="preserve">joneseric</t>
  </si>
  <si>
    <t xml:space="preserve">Getting logged out randomly several times a day. Works fine most of the time.</t>
  </si>
  <si>
    <t xml:space="preserve">rv_004727</t>
  </si>
  <si>
    <t xml:space="preserve">brenda69</t>
  </si>
  <si>
    <t xml:space="preserve">rv_000180</t>
  </si>
  <si>
    <t xml:space="preserve">gshort</t>
  </si>
  <si>
    <t xml:space="preserve">rv_005710</t>
  </si>
  <si>
    <t xml:space="preserve">johnfrank</t>
  </si>
  <si>
    <t xml:space="preserve">rv_000586</t>
  </si>
  <si>
    <t xml:space="preserve">sandra47</t>
  </si>
  <si>
    <t xml:space="preserve">Buttons are too small and hard to tap on the new layout. Works fine most of the time.</t>
  </si>
  <si>
    <t xml:space="preserve">rv_000374</t>
  </si>
  <si>
    <t xml:space="preserve">reeddaniel</t>
  </si>
  <si>
    <t xml:space="preserve">rv_005379</t>
  </si>
  <si>
    <t xml:space="preserve">calhounbrian</t>
  </si>
  <si>
    <t xml:space="preserve">BUTTONS ARE TOO SMALL AND HARD TO TAP ON THE NEW LAYOUT.</t>
  </si>
  <si>
    <t xml:space="preserve">rv_005408</t>
  </si>
  <si>
    <t xml:space="preserve">robertsonjennifer</t>
  </si>
  <si>
    <t xml:space="preserve">rv_000813</t>
  </si>
  <si>
    <t xml:space="preserve">taylorkaren</t>
  </si>
  <si>
    <t xml:space="preserve">2025-12</t>
  </si>
  <si>
    <t xml:space="preserve">rv_002781</t>
  </si>
  <si>
    <t xml:space="preserve">smithpamela</t>
  </si>
  <si>
    <t xml:space="preserve">rv_001522</t>
  </si>
  <si>
    <t xml:space="preserve">App lags badly on older phones now. Good enough for basic transactions.</t>
  </si>
  <si>
    <t xml:space="preserve">rv_005449</t>
  </si>
  <si>
    <t xml:space="preserve">bryantkaren</t>
  </si>
  <si>
    <t xml:space="preserve">rv_002125</t>
  </si>
  <si>
    <t xml:space="preserve">walkerjames</t>
  </si>
  <si>
    <t xml:space="preserve">rv_004619</t>
  </si>
  <si>
    <t xml:space="preserve">ewilliams</t>
  </si>
  <si>
    <t xml:space="preserve">rv_004897</t>
  </si>
  <si>
    <t xml:space="preserve">ricklewis</t>
  </si>
  <si>
    <t xml:space="preserve">rv_005143</t>
  </si>
  <si>
    <t xml:space="preserve">taylormichael</t>
  </si>
  <si>
    <t xml:space="preserve">rv_000869</t>
  </si>
  <si>
    <t xml:space="preserve">peter14</t>
  </si>
  <si>
    <t xml:space="preserve">rv_004023</t>
  </si>
  <si>
    <t xml:space="preserve">wendymora</t>
  </si>
  <si>
    <t xml:space="preserve">rv_003865</t>
  </si>
  <si>
    <t xml:space="preserve">rv_000950</t>
  </si>
  <si>
    <t xml:space="preserve">lkelly</t>
  </si>
  <si>
    <t xml:space="preserve">rv_005857</t>
  </si>
  <si>
    <t xml:space="preserve">ncummings</t>
  </si>
  <si>
    <t xml:space="preserve">rv_005221</t>
  </si>
  <si>
    <t xml:space="preserve">rv_000730</t>
  </si>
  <si>
    <t xml:space="preserve">rv_005508</t>
  </si>
  <si>
    <t xml:space="preserve">meganblackwell</t>
  </si>
  <si>
    <t xml:space="preserve">rv_004248</t>
  </si>
  <si>
    <t xml:space="preserve">marcussmith</t>
  </si>
  <si>
    <t xml:space="preserve">rv_000039</t>
  </si>
  <si>
    <t xml:space="preserve">georgetracy</t>
  </si>
  <si>
    <t xml:space="preserve">rv_002047</t>
  </si>
  <si>
    <t xml:space="preserve">matthewshaw</t>
  </si>
  <si>
    <t xml:space="preserve">rv_003443</t>
  </si>
  <si>
    <t xml:space="preserve">amandachan</t>
  </si>
  <si>
    <t xml:space="preserve">rv_002667</t>
  </si>
  <si>
    <t xml:space="preserve">juliewilson</t>
  </si>
  <si>
    <t xml:space="preserve">rv_003701</t>
  </si>
  <si>
    <t xml:space="preserve">laramary</t>
  </si>
  <si>
    <t xml:space="preserve">rv_001492</t>
  </si>
  <si>
    <t xml:space="preserve">ashleymeza</t>
  </si>
  <si>
    <t xml:space="preserve">rv_003976</t>
  </si>
  <si>
    <t xml:space="preserve">yburton</t>
  </si>
  <si>
    <t xml:space="preserve">rv_004330</t>
  </si>
  <si>
    <t xml:space="preserve">ggilmore</t>
  </si>
  <si>
    <t xml:space="preserve">rv_003956</t>
  </si>
  <si>
    <t xml:space="preserve">christy26</t>
  </si>
  <si>
    <t xml:space="preserve">rv_002475</t>
  </si>
  <si>
    <t xml:space="preserve">michelleperez</t>
  </si>
  <si>
    <t xml:space="preserve">rv_002679</t>
  </si>
  <si>
    <t xml:space="preserve">zavalamason</t>
  </si>
  <si>
    <t xml:space="preserve">rv_003808</t>
  </si>
  <si>
    <t xml:space="preserve">knightwendy</t>
  </si>
  <si>
    <t xml:space="preserve">rv_004042</t>
  </si>
  <si>
    <t xml:space="preserve">michaelmedina</t>
  </si>
  <si>
    <t xml:space="preserve">rv_005347</t>
  </si>
  <si>
    <t xml:space="preserve">lindsay48</t>
  </si>
  <si>
    <t xml:space="preserve">rv_002830</t>
  </si>
  <si>
    <t xml:space="preserve">jamesgriffin</t>
  </si>
  <si>
    <t xml:space="preserve">rv_002617</t>
  </si>
  <si>
    <t xml:space="preserve">ayalarobert</t>
  </si>
  <si>
    <t xml:space="preserve">rv_003337</t>
  </si>
  <si>
    <t xml:space="preserve">jlittle</t>
  </si>
  <si>
    <t xml:space="preserve">rv_000463</t>
  </si>
  <si>
    <t xml:space="preserve">qzavala</t>
  </si>
  <si>
    <t xml:space="preserve">rv_001919</t>
  </si>
  <si>
    <t xml:space="preserve">deborah47</t>
  </si>
  <si>
    <t xml:space="preserve">rv_005245</t>
  </si>
  <si>
    <t xml:space="preserve">deborah97</t>
  </si>
  <si>
    <t xml:space="preserve">rv_004551</t>
  </si>
  <si>
    <t xml:space="preserve">angelarichard</t>
  </si>
  <si>
    <t xml:space="preserve">rv_004351</t>
  </si>
  <si>
    <t xml:space="preserve">jackie68</t>
  </si>
  <si>
    <t xml:space="preserve">rv_003616</t>
  </si>
  <si>
    <t xml:space="preserve">greenstephanie</t>
  </si>
  <si>
    <t xml:space="preserve">rv_002682</t>
  </si>
  <si>
    <t xml:space="preserve">melissaluna</t>
  </si>
  <si>
    <t xml:space="preserve">rv_001214</t>
  </si>
  <si>
    <t xml:space="preserve">patrick16</t>
  </si>
  <si>
    <t xml:space="preserve">rv_002184</t>
  </si>
  <si>
    <t xml:space="preserve">sarahrose</t>
  </si>
  <si>
    <t xml:space="preserve">rv_002689</t>
  </si>
  <si>
    <t xml:space="preserve">hornjenna</t>
  </si>
  <si>
    <t xml:space="preserve">rv_002503</t>
  </si>
  <si>
    <t xml:space="preserve">qmeyers</t>
  </si>
  <si>
    <t xml:space="preserve">rv_002003</t>
  </si>
  <si>
    <t xml:space="preserve">wilsonralph</t>
  </si>
  <si>
    <t xml:space="preserve">rv_005169</t>
  </si>
  <si>
    <t xml:space="preserve">williamsonanthony</t>
  </si>
  <si>
    <t xml:space="preserve">rv_000716</t>
  </si>
  <si>
    <t xml:space="preserve">brian63</t>
  </si>
  <si>
    <t xml:space="preserve">rv_002991</t>
  </si>
  <si>
    <t xml:space="preserve">rv_001950</t>
  </si>
  <si>
    <t xml:space="preserve">georgemichael</t>
  </si>
  <si>
    <t xml:space="preserve">rv_005583</t>
  </si>
  <si>
    <t xml:space="preserve">cwoods</t>
  </si>
  <si>
    <t xml:space="preserve">rv_001883</t>
  </si>
  <si>
    <t xml:space="preserve">jill08</t>
  </si>
  <si>
    <t xml:space="preserve">rv_000524</t>
  </si>
  <si>
    <t xml:space="preserve">millerstacy</t>
  </si>
  <si>
    <t xml:space="preserve">rv_004616</t>
  </si>
  <si>
    <t xml:space="preserve">ralph08</t>
  </si>
  <si>
    <t xml:space="preserve">rv_003360</t>
  </si>
  <si>
    <t xml:space="preserve">sandovaledward</t>
  </si>
  <si>
    <t xml:space="preserve">rv_003714</t>
  </si>
  <si>
    <t xml:space="preserve">josephrivera</t>
  </si>
  <si>
    <t xml:space="preserve">rv_004657</t>
  </si>
  <si>
    <t xml:space="preserve">watkinsthomas</t>
  </si>
  <si>
    <t xml:space="preserve">rv_000219</t>
  </si>
  <si>
    <t xml:space="preserve">colleenbaker</t>
  </si>
  <si>
    <t xml:space="preserve">rv_004560</t>
  </si>
  <si>
    <t xml:space="preserve">sharon14</t>
  </si>
  <si>
    <t xml:space="preserve">rv_001407</t>
  </si>
  <si>
    <t xml:space="preserve">brownnatasha</t>
  </si>
  <si>
    <t xml:space="preserve">rv_001354</t>
  </si>
  <si>
    <t xml:space="preserve">laurengutierrez</t>
  </si>
  <si>
    <t xml:space="preserve">rv_004918</t>
  </si>
  <si>
    <t xml:space="preserve">omoore</t>
  </si>
  <si>
    <t xml:space="preserve">rv_001175</t>
  </si>
  <si>
    <t xml:space="preserve">vmorrison</t>
  </si>
  <si>
    <t xml:space="preserve">rv_004729</t>
  </si>
  <si>
    <t xml:space="preserve">pamelanguyen</t>
  </si>
  <si>
    <t xml:space="preserve">rv_003775</t>
  </si>
  <si>
    <t xml:space="preserve">rchan</t>
  </si>
  <si>
    <t xml:space="preserve">rv_004724</t>
  </si>
  <si>
    <t xml:space="preserve">abradley</t>
  </si>
  <si>
    <t xml:space="preserve">rv_000656</t>
  </si>
  <si>
    <t xml:space="preserve">dturner</t>
  </si>
  <si>
    <t xml:space="preserve">rv_002779</t>
  </si>
  <si>
    <t xml:space="preserve">rv_001967</t>
  </si>
  <si>
    <t xml:space="preserve">butlersabrina</t>
  </si>
  <si>
    <t xml:space="preserve">rv_001646</t>
  </si>
  <si>
    <t xml:space="preserve">annette58</t>
  </si>
  <si>
    <t xml:space="preserve">rv_001493</t>
  </si>
  <si>
    <t xml:space="preserve">xreese</t>
  </si>
  <si>
    <t xml:space="preserve">rv_000094</t>
  </si>
  <si>
    <t xml:space="preserve">evan78</t>
  </si>
  <si>
    <t xml:space="preserve">rv_000169</t>
  </si>
  <si>
    <t xml:space="preserve">kcaldwell</t>
  </si>
  <si>
    <t xml:space="preserve">rv_002017</t>
  </si>
  <si>
    <t xml:space="preserve">kevinhanson</t>
  </si>
  <si>
    <t xml:space="preserve">rv_003508</t>
  </si>
  <si>
    <t xml:space="preserve">claudia64</t>
  </si>
  <si>
    <t xml:space="preserve">rv_001451</t>
  </si>
  <si>
    <t xml:space="preserve">kingdanielle</t>
  </si>
  <si>
    <t xml:space="preserve">rv_004717</t>
  </si>
  <si>
    <t xml:space="preserve">danielgriffith</t>
  </si>
  <si>
    <t xml:space="preserve">rv_002378</t>
  </si>
  <si>
    <t xml:space="preserve">pdavidson</t>
  </si>
  <si>
    <t xml:space="preserve">rv_004626</t>
  </si>
  <si>
    <t xml:space="preserve">amygonzalez</t>
  </si>
  <si>
    <t xml:space="preserve">rv_002167</t>
  </si>
  <si>
    <t xml:space="preserve">riverabradley</t>
  </si>
  <si>
    <t xml:space="preserve">rv_003108</t>
  </si>
  <si>
    <t xml:space="preserve">taylorvictoria</t>
  </si>
  <si>
    <t xml:space="preserve">rv_001157</t>
  </si>
  <si>
    <t xml:space="preserve">wwilson</t>
  </si>
  <si>
    <t xml:space="preserve">rv_005760</t>
  </si>
  <si>
    <t xml:space="preserve">solomonandrea</t>
  </si>
  <si>
    <t xml:space="preserve">rv_003352</t>
  </si>
  <si>
    <t xml:space="preserve">jliu</t>
  </si>
  <si>
    <t xml:space="preserve">rv_003504</t>
  </si>
  <si>
    <t xml:space="preserve">bellangie</t>
  </si>
  <si>
    <t xml:space="preserve">rv_002995</t>
  </si>
  <si>
    <t xml:space="preserve">tabitha42</t>
  </si>
  <si>
    <t xml:space="preserve">rv_004425</t>
  </si>
  <si>
    <t xml:space="preserve">danielle39</t>
  </si>
  <si>
    <t xml:space="preserve">rv_005564</t>
  </si>
  <si>
    <t xml:space="preserve">rv_003112</t>
  </si>
  <si>
    <t xml:space="preserve">nicole01</t>
  </si>
  <si>
    <t xml:space="preserve">rv_002284</t>
  </si>
  <si>
    <t xml:space="preserve">thomasronald</t>
  </si>
  <si>
    <t xml:space="preserve">rv_004714</t>
  </si>
  <si>
    <t xml:space="preserve">timothykim</t>
  </si>
  <si>
    <t xml:space="preserve">rv_003122</t>
  </si>
  <si>
    <t xml:space="preserve">gomezmary</t>
  </si>
  <si>
    <t xml:space="preserve">rv_001009</t>
  </si>
  <si>
    <t xml:space="preserve">shawrachel</t>
  </si>
  <si>
    <t xml:space="preserve">rv_001835</t>
  </si>
  <si>
    <t xml:space="preserve">burtonkimberly</t>
  </si>
  <si>
    <t xml:space="preserve">rv_003267</t>
  </si>
  <si>
    <t xml:space="preserve">lauriegonzales</t>
  </si>
  <si>
    <t xml:space="preserve">rv_002251</t>
  </si>
  <si>
    <t xml:space="preserve">william14</t>
  </si>
  <si>
    <t xml:space="preserve">Can't log in anymore, keeps saying invalid credentials even though they're correct. Average experience, nothing special.</t>
  </si>
  <si>
    <t xml:space="preserve">rv_004922</t>
  </si>
  <si>
    <t xml:space="preserve">abigailrobinson</t>
  </si>
  <si>
    <t xml:space="preserve">rv_005792</t>
  </si>
  <si>
    <t xml:space="preserve">ysandoval</t>
  </si>
  <si>
    <t xml:space="preserve">rv_004015</t>
  </si>
  <si>
    <t xml:space="preserve">nwhite</t>
  </si>
  <si>
    <t xml:space="preserve">rv_001187</t>
  </si>
  <si>
    <t xml:space="preserve">rv_005816</t>
  </si>
  <si>
    <t xml:space="preserve">awong</t>
  </si>
  <si>
    <t xml:space="preserve">rv_001139</t>
  </si>
  <si>
    <t xml:space="preserve">pstanley</t>
  </si>
  <si>
    <t xml:space="preserve">rv_002034</t>
  </si>
  <si>
    <t xml:space="preserve">luke09</t>
  </si>
  <si>
    <t xml:space="preserve">rv_002564</t>
  </si>
  <si>
    <t xml:space="preserve">victor32</t>
  </si>
  <si>
    <t xml:space="preserve">rv_001340</t>
  </si>
  <si>
    <t xml:space="preserve">sheakimberly</t>
  </si>
  <si>
    <t xml:space="preserve">rv_002796</t>
  </si>
  <si>
    <t xml:space="preserve">markduran</t>
  </si>
  <si>
    <t xml:space="preserve">rv_002785</t>
  </si>
  <si>
    <t xml:space="preserve">moorediane</t>
  </si>
  <si>
    <t xml:space="preserve">rv_004889</t>
  </si>
  <si>
    <t xml:space="preserve">lhicks</t>
  </si>
  <si>
    <t xml:space="preserve">rv_003251</t>
  </si>
  <si>
    <t xml:space="preserve">omorris</t>
  </si>
  <si>
    <t xml:space="preserve">rv_004144</t>
  </si>
  <si>
    <t xml:space="preserve">lsmith</t>
  </si>
  <si>
    <t xml:space="preserve">rv_001297</t>
  </si>
  <si>
    <t xml:space="preserve">kdillon</t>
  </si>
  <si>
    <t xml:space="preserve">rv_005358</t>
  </si>
  <si>
    <t xml:space="preserve">jonathan66</t>
  </si>
  <si>
    <t xml:space="preserve">rv_003854</t>
  </si>
  <si>
    <t xml:space="preserve">michaelbuckley</t>
  </si>
  <si>
    <t xml:space="preserve">rv_002820</t>
  </si>
  <si>
    <t xml:space="preserve">jason74</t>
  </si>
  <si>
    <t xml:space="preserve">rv_000142</t>
  </si>
  <si>
    <t xml:space="preserve">maryramirez</t>
  </si>
  <si>
    <t xml:space="preserve">rv_005231</t>
  </si>
  <si>
    <t xml:space="preserve">jkim</t>
  </si>
  <si>
    <t xml:space="preserve">rv_001328</t>
  </si>
  <si>
    <t xml:space="preserve">lauren90</t>
  </si>
  <si>
    <t xml:space="preserve">rv_000583</t>
  </si>
  <si>
    <t xml:space="preserve">zhuang</t>
  </si>
  <si>
    <t xml:space="preserve">rv_002473</t>
  </si>
  <si>
    <t xml:space="preserve">krista66</t>
  </si>
  <si>
    <t xml:space="preserve">rv_004273</t>
  </si>
  <si>
    <t xml:space="preserve">randyhernandez</t>
  </si>
  <si>
    <t xml:space="preserve">rv_005818</t>
  </si>
  <si>
    <t xml:space="preserve">james91</t>
  </si>
  <si>
    <t xml:space="preserve">App crashes every time I try to open it, so frustrating! It's okay, does what it needs to do.</t>
  </si>
  <si>
    <t xml:space="preserve">rv_001408</t>
  </si>
  <si>
    <t xml:space="preserve">johnsonrandy</t>
  </si>
  <si>
    <t xml:space="preserve">rv_004199</t>
  </si>
  <si>
    <t xml:space="preserve">uhobbs</t>
  </si>
  <si>
    <t xml:space="preserve">rv_005362</t>
  </si>
  <si>
    <t xml:space="preserve">jeremy00</t>
  </si>
  <si>
    <t xml:space="preserve">rv_002511</t>
  </si>
  <si>
    <t xml:space="preserve">treed</t>
  </si>
  <si>
    <t xml:space="preserve">rv_000895</t>
  </si>
  <si>
    <t xml:space="preserve">mark87</t>
  </si>
  <si>
    <t xml:space="preserve">rv_001317</t>
  </si>
  <si>
    <t xml:space="preserve">brooksjamie</t>
  </si>
  <si>
    <t xml:space="preserve">rv_001169</t>
  </si>
  <si>
    <t xml:space="preserve">xglass</t>
  </si>
  <si>
    <t xml:space="preserve">rv_005916</t>
  </si>
  <si>
    <t xml:space="preserve">zjones</t>
  </si>
  <si>
    <t xml:space="preserve">rv_001433</t>
  </si>
  <si>
    <t xml:space="preserve">derrickrodriguez</t>
  </si>
  <si>
    <t xml:space="preserve">rv_001061</t>
  </si>
  <si>
    <t xml:space="preserve">edwardcannon</t>
  </si>
  <si>
    <t xml:space="preserve">rv_003474</t>
  </si>
  <si>
    <t xml:space="preserve">douglas11</t>
  </si>
  <si>
    <t xml:space="preserve">rv_002846</t>
  </si>
  <si>
    <t xml:space="preserve">ugordon</t>
  </si>
  <si>
    <t xml:space="preserve">rv_003180</t>
  </si>
  <si>
    <t xml:space="preserve">mary16</t>
  </si>
  <si>
    <t xml:space="preserve">rv_002522</t>
  </si>
  <si>
    <t xml:space="preserve">qhayes</t>
  </si>
  <si>
    <t xml:space="preserve">rv_002693</t>
  </si>
  <si>
    <t xml:space="preserve">jillsmith</t>
  </si>
  <si>
    <t xml:space="preserve">rv_001521</t>
  </si>
  <si>
    <t xml:space="preserve">walkerkeith</t>
  </si>
  <si>
    <t xml:space="preserve">rv_004635</t>
  </si>
  <si>
    <t xml:space="preserve">farrellaaron</t>
  </si>
  <si>
    <t xml:space="preserve">rv_005585</t>
  </si>
  <si>
    <t xml:space="preserve">jenniferhuber</t>
  </si>
  <si>
    <t xml:space="preserve">rv_001412</t>
  </si>
  <si>
    <t xml:space="preserve">davidroberson</t>
  </si>
  <si>
    <t xml:space="preserve">rv_001314</t>
  </si>
  <si>
    <t xml:space="preserve">reneemiller</t>
  </si>
  <si>
    <t xml:space="preserve">rv_003133</t>
  </si>
  <si>
    <t xml:space="preserve">rodney49</t>
  </si>
  <si>
    <t xml:space="preserve">rv_000740</t>
  </si>
  <si>
    <t xml:space="preserve">vbrock</t>
  </si>
  <si>
    <t xml:space="preserve">rv_004177</t>
  </si>
  <si>
    <t xml:space="preserve">rroberts</t>
  </si>
  <si>
    <t xml:space="preserve">rv_003902</t>
  </si>
  <si>
    <t xml:space="preserve">meganpotter</t>
  </si>
  <si>
    <t xml:space="preserve">rv_003064</t>
  </si>
  <si>
    <t xml:space="preserve">timothy99</t>
  </si>
  <si>
    <t xml:space="preserve">rv_002242</t>
  </si>
  <si>
    <t xml:space="preserve">villegaskimberly</t>
  </si>
  <si>
    <t xml:space="preserve">rv_000468</t>
  </si>
  <si>
    <t xml:space="preserve">rv_002836</t>
  </si>
  <si>
    <t xml:space="preserve">webbalexandra</t>
  </si>
  <si>
    <t xml:space="preserve">rv_004641</t>
  </si>
  <si>
    <t xml:space="preserve">rv_005361</t>
  </si>
  <si>
    <t xml:space="preserve">rodriguezcynthia</t>
  </si>
  <si>
    <t xml:space="preserve">rv_005487</t>
  </si>
  <si>
    <t xml:space="preserve">rv_003168</t>
  </si>
  <si>
    <t xml:space="preserve">jennifer89</t>
  </si>
  <si>
    <t xml:space="preserve">rv_003238</t>
  </si>
  <si>
    <t xml:space="preserve">taylorsharp</t>
  </si>
  <si>
    <t xml:space="preserve">rv_005397</t>
  </si>
  <si>
    <t xml:space="preserve">anthonydillon</t>
  </si>
  <si>
    <t xml:space="preserve">rv_003204</t>
  </si>
  <si>
    <t xml:space="preserve">taylor67</t>
  </si>
  <si>
    <t xml:space="preserve">rv_000182</t>
  </si>
  <si>
    <t xml:space="preserve">bzimmerman</t>
  </si>
  <si>
    <t xml:space="preserve">rv_004901</t>
  </si>
  <si>
    <t xml:space="preserve">victoria91</t>
  </si>
  <si>
    <t xml:space="preserve">rv_000269</t>
  </si>
  <si>
    <t xml:space="preserve">jsmith</t>
  </si>
  <si>
    <t xml:space="preserve">rv_004992</t>
  </si>
  <si>
    <t xml:space="preserve">bmoyer</t>
  </si>
  <si>
    <t xml:space="preserve">rv_004518</t>
  </si>
  <si>
    <t xml:space="preserve">smiller</t>
  </si>
  <si>
    <t xml:space="preserve">rv_001800</t>
  </si>
  <si>
    <t xml:space="preserve">christopher74</t>
  </si>
  <si>
    <t xml:space="preserve">rv_005675</t>
  </si>
  <si>
    <t xml:space="preserve">shawnanderson</t>
  </si>
  <si>
    <t xml:space="preserve">rv_003414</t>
  </si>
  <si>
    <t xml:space="preserve">patricia06</t>
  </si>
  <si>
    <t xml:space="preserve">rv_005978</t>
  </si>
  <si>
    <t xml:space="preserve">colton31</t>
  </si>
  <si>
    <t xml:space="preserve">rv_004186</t>
  </si>
  <si>
    <t xml:space="preserve">alyssapena</t>
  </si>
  <si>
    <t xml:space="preserve">rv_001042</t>
  </si>
  <si>
    <t xml:space="preserve">hreid</t>
  </si>
  <si>
    <t xml:space="preserve">rv_002950</t>
  </si>
  <si>
    <t xml:space="preserve">omiller</t>
  </si>
  <si>
    <t xml:space="preserve">rv_001817</t>
  </si>
  <si>
    <t xml:space="preserve">marybrown</t>
  </si>
  <si>
    <t xml:space="preserve">rv_003791</t>
  </si>
  <si>
    <t xml:space="preserve">twatts</t>
  </si>
  <si>
    <t xml:space="preserve">rv_001779</t>
  </si>
  <si>
    <t xml:space="preserve">kenneth17</t>
  </si>
  <si>
    <t xml:space="preserve">rv_002827</t>
  </si>
  <si>
    <t xml:space="preserve">gmiller</t>
  </si>
  <si>
    <t xml:space="preserve">rv_004480</t>
  </si>
  <si>
    <t xml:space="preserve">robertjackson</t>
  </si>
  <si>
    <t xml:space="preserve">rv_001104</t>
  </si>
  <si>
    <t xml:space="preserve">valdezandrew</t>
  </si>
  <si>
    <t xml:space="preserve">rv_004253</t>
  </si>
  <si>
    <t xml:space="preserve">schneidermario</t>
  </si>
  <si>
    <t xml:space="preserve">rv_004110</t>
  </si>
  <si>
    <t xml:space="preserve">xevans</t>
  </si>
  <si>
    <t xml:space="preserve">rv_004993</t>
  </si>
  <si>
    <t xml:space="preserve">lfloyd</t>
  </si>
  <si>
    <t xml:space="preserve">rv_000462</t>
  </si>
  <si>
    <t xml:space="preserve">myerstheodore</t>
  </si>
  <si>
    <t xml:space="preserve">rv_003546</t>
  </si>
  <si>
    <t xml:space="preserve">rachael29</t>
  </si>
  <si>
    <t xml:space="preserve">rv_001542</t>
  </si>
  <si>
    <t xml:space="preserve">bennettrebecca</t>
  </si>
  <si>
    <t xml:space="preserve">rv_001563</t>
  </si>
  <si>
    <t xml:space="preserve">biancasutton</t>
  </si>
  <si>
    <t xml:space="preserve">rv_000092</t>
  </si>
  <si>
    <t xml:space="preserve">waltersmaria</t>
  </si>
  <si>
    <t xml:space="preserve">rv_004111</t>
  </si>
  <si>
    <t xml:space="preserve">nwilliams</t>
  </si>
  <si>
    <t xml:space="preserve">rv_000754</t>
  </si>
  <si>
    <t xml:space="preserve">rv_003404</t>
  </si>
  <si>
    <t xml:space="preserve">adamwall</t>
  </si>
  <si>
    <t xml:space="preserve">rv_001752</t>
  </si>
  <si>
    <t xml:space="preserve">marymullins</t>
  </si>
  <si>
    <t xml:space="preserve">rv_005182</t>
  </si>
  <si>
    <t xml:space="preserve">jennifer10</t>
  </si>
  <si>
    <t xml:space="preserve">rv_003965</t>
  </si>
  <si>
    <t xml:space="preserve">amanda62</t>
  </si>
  <si>
    <t xml:space="preserve">rv_004973</t>
  </si>
  <si>
    <t xml:space="preserve">qjones</t>
  </si>
  <si>
    <t xml:space="preserve">rv_003305</t>
  </si>
  <si>
    <t xml:space="preserve">shelly84</t>
  </si>
  <si>
    <t xml:space="preserve">rv_001143</t>
  </si>
  <si>
    <t xml:space="preserve">kchristian</t>
  </si>
  <si>
    <t xml:space="preserve">rv_000767</t>
  </si>
  <si>
    <t xml:space="preserve">michaelcooper</t>
  </si>
  <si>
    <t xml:space="preserve">rv_003457</t>
  </si>
  <si>
    <t xml:space="preserve">arthurbrady</t>
  </si>
  <si>
    <t xml:space="preserve">rv_005967</t>
  </si>
  <si>
    <t xml:space="preserve">fbailey</t>
  </si>
  <si>
    <t xml:space="preserve">rv_000417</t>
  </si>
  <si>
    <t xml:space="preserve">mathewaguilar</t>
  </si>
  <si>
    <t xml:space="preserve">rv_005317</t>
  </si>
  <si>
    <t xml:space="preserve">david16</t>
  </si>
  <si>
    <t xml:space="preserve">rv_005946</t>
  </si>
  <si>
    <t xml:space="preserve">vdougherty</t>
  </si>
  <si>
    <t xml:space="preserve">rv_004197</t>
  </si>
  <si>
    <t xml:space="preserve">amy33</t>
  </si>
  <si>
    <t xml:space="preserve">rv_005160</t>
  </si>
  <si>
    <t xml:space="preserve">rayvictoria</t>
  </si>
  <si>
    <t xml:space="preserve">rv_001790</t>
  </si>
  <si>
    <t xml:space="preserve">kimberly07</t>
  </si>
  <si>
    <t xml:space="preserve">rv_004554</t>
  </si>
  <si>
    <t xml:space="preserve">robert66</t>
  </si>
  <si>
    <t xml:space="preserve">rv_002356</t>
  </si>
  <si>
    <t xml:space="preserve">rv_003666</t>
  </si>
  <si>
    <t xml:space="preserve">guerreroashley</t>
  </si>
  <si>
    <t xml:space="preserve">rv_005721</t>
  </si>
  <si>
    <t xml:space="preserve">richardsonana</t>
  </si>
  <si>
    <t xml:space="preserve">rv_002637</t>
  </si>
  <si>
    <t xml:space="preserve">morgan10</t>
  </si>
  <si>
    <t xml:space="preserve">rv_002812</t>
  </si>
  <si>
    <t xml:space="preserve">ronaldjensen</t>
  </si>
  <si>
    <t xml:space="preserve">rv_002651</t>
  </si>
  <si>
    <t xml:space="preserve">andersonlaura</t>
  </si>
  <si>
    <t xml:space="preserve">rv_005942</t>
  </si>
  <si>
    <t xml:space="preserve">carmengomez</t>
  </si>
  <si>
    <t xml:space="preserve">rv_005120</t>
  </si>
  <si>
    <t xml:space="preserve">jamescobb</t>
  </si>
  <si>
    <t xml:space="preserve">rv_003143</t>
  </si>
  <si>
    <t xml:space="preserve">rthompson</t>
  </si>
  <si>
    <t xml:space="preserve">rv_004343</t>
  </si>
  <si>
    <t xml:space="preserve">clarkmaria</t>
  </si>
  <si>
    <t xml:space="preserve">rv_000162</t>
  </si>
  <si>
    <t xml:space="preserve">matthew64</t>
  </si>
  <si>
    <t xml:space="preserve">rv_001898</t>
  </si>
  <si>
    <t xml:space="preserve">tylergolden</t>
  </si>
  <si>
    <t xml:space="preserve">rv_001443</t>
  </si>
  <si>
    <t xml:space="preserve">brianrowe</t>
  </si>
  <si>
    <t xml:space="preserve">rv_005555</t>
  </si>
  <si>
    <t xml:space="preserve">flemingwhitney</t>
  </si>
  <si>
    <t xml:space="preserve">rv_004866</t>
  </si>
  <si>
    <t xml:space="preserve">cassandra18</t>
  </si>
  <si>
    <t xml:space="preserve">rv_005474</t>
  </si>
  <si>
    <t xml:space="preserve">ryanmiles</t>
  </si>
  <si>
    <t xml:space="preserve">rv_003519</t>
  </si>
  <si>
    <t xml:space="preserve">uortega</t>
  </si>
  <si>
    <t xml:space="preserve">rv_002661</t>
  </si>
  <si>
    <t xml:space="preserve">monica99</t>
  </si>
  <si>
    <t xml:space="preserve">rv_002649</t>
  </si>
  <si>
    <t xml:space="preserve">navarrokelly</t>
  </si>
  <si>
    <t xml:space="preserve">rv_004418</t>
  </si>
  <si>
    <t xml:space="preserve">james58</t>
  </si>
  <si>
    <t xml:space="preserve">4.9.0</t>
  </si>
  <si>
    <t xml:space="preserve">rv_002316</t>
  </si>
  <si>
    <t xml:space="preserve">bernardaimee</t>
  </si>
  <si>
    <t xml:space="preserve">rv_000336</t>
  </si>
  <si>
    <t xml:space="preserve">alvarezkimberly</t>
  </si>
  <si>
    <t xml:space="preserve">rv_001394</t>
  </si>
  <si>
    <t xml:space="preserve">tiffanymitchell</t>
  </si>
  <si>
    <t xml:space="preserve">rv_003502</t>
  </si>
  <si>
    <t xml:space="preserve">medinamark</t>
  </si>
  <si>
    <t xml:space="preserve">rv_003425</t>
  </si>
  <si>
    <t xml:space="preserve">todd24</t>
  </si>
  <si>
    <t xml:space="preserve">rv_005219</t>
  </si>
  <si>
    <t xml:space="preserve">wrightsteven</t>
  </si>
  <si>
    <t xml:space="preserve">rv_005423</t>
  </si>
  <si>
    <t xml:space="preserve">iriley</t>
  </si>
  <si>
    <t xml:space="preserve">rv_001826</t>
  </si>
  <si>
    <t xml:space="preserve">samuelfrost</t>
  </si>
  <si>
    <t xml:space="preserve">rv_000819</t>
  </si>
  <si>
    <t xml:space="preserve">schultznicole</t>
  </si>
  <si>
    <t xml:space="preserve">rv_001880</t>
  </si>
  <si>
    <t xml:space="preserve">vbarry</t>
  </si>
  <si>
    <t xml:space="preserve">rv_005646</t>
  </si>
  <si>
    <t xml:space="preserve">sanchezjennifer</t>
  </si>
  <si>
    <t xml:space="preserve">rv_005503</t>
  </si>
  <si>
    <t xml:space="preserve">iallen</t>
  </si>
  <si>
    <t xml:space="preserve">rv_000591</t>
  </si>
  <si>
    <t xml:space="preserve">erivera</t>
  </si>
  <si>
    <t xml:space="preserve">rv_005455</t>
  </si>
  <si>
    <t xml:space="preserve">rv_005633</t>
  </si>
  <si>
    <t xml:space="preserve">aaronthompson</t>
  </si>
  <si>
    <t xml:space="preserve">rv_005295</t>
  </si>
  <si>
    <t xml:space="preserve">edward70</t>
  </si>
  <si>
    <t xml:space="preserve">rv_005335</t>
  </si>
  <si>
    <t xml:space="preserve">austinjennifer</t>
  </si>
  <si>
    <t xml:space="preserve">rv_000003</t>
  </si>
  <si>
    <t xml:space="preserve">robinsonwilliam</t>
  </si>
  <si>
    <t xml:space="preserve">rv_001148</t>
  </si>
  <si>
    <t xml:space="preserve">fmiller</t>
  </si>
  <si>
    <t xml:space="preserve">rv_005943</t>
  </si>
  <si>
    <t xml:space="preserve">heather29</t>
  </si>
  <si>
    <t xml:space="preserve">rv_004245</t>
  </si>
  <si>
    <t xml:space="preserve">gblake</t>
  </si>
  <si>
    <t xml:space="preserve">rv_002569</t>
  </si>
  <si>
    <t xml:space="preserve">meyertiffany</t>
  </si>
  <si>
    <t xml:space="preserve">rv_004286</t>
  </si>
  <si>
    <t xml:space="preserve">robinsonhenry</t>
  </si>
  <si>
    <t xml:space="preserve">rv_003021</t>
  </si>
  <si>
    <t xml:space="preserve">davisallen</t>
  </si>
  <si>
    <t xml:space="preserve">rv_002579</t>
  </si>
  <si>
    <t xml:space="preserve">ucollins</t>
  </si>
  <si>
    <t xml:space="preserve">rv_002068</t>
  </si>
  <si>
    <t xml:space="preserve">madison24</t>
  </si>
  <si>
    <t xml:space="preserve">rv_005427</t>
  </si>
  <si>
    <t xml:space="preserve">lpage</t>
  </si>
  <si>
    <t xml:space="preserve">rv_001120</t>
  </si>
  <si>
    <t xml:space="preserve">steven12</t>
  </si>
  <si>
    <t xml:space="preserve">rv_000704</t>
  </si>
  <si>
    <t xml:space="preserve">rv_005682</t>
  </si>
  <si>
    <t xml:space="preserve">singhsarah</t>
  </si>
  <si>
    <t xml:space="preserve">rv_000035</t>
  </si>
  <si>
    <t xml:space="preserve">ryan70</t>
  </si>
  <si>
    <t xml:space="preserve">rv_003818</t>
  </si>
  <si>
    <t xml:space="preserve">shawn60</t>
  </si>
  <si>
    <t xml:space="preserve">rv_000218</t>
  </si>
  <si>
    <t xml:space="preserve">lynchjody</t>
  </si>
  <si>
    <t xml:space="preserve">rv_003507</t>
  </si>
  <si>
    <t xml:space="preserve">tsilva</t>
  </si>
  <si>
    <t xml:space="preserve">rv_004441</t>
  </si>
  <si>
    <t xml:space="preserve">smithmatthew</t>
  </si>
  <si>
    <t xml:space="preserve">rv_001018</t>
  </si>
  <si>
    <t xml:space="preserve">buchanancindy</t>
  </si>
  <si>
    <t xml:space="preserve">rv_001778</t>
  </si>
  <si>
    <t xml:space="preserve">pauladominguez</t>
  </si>
  <si>
    <t xml:space="preserve">rv_005642</t>
  </si>
  <si>
    <t xml:space="preserve">barryclark</t>
  </si>
  <si>
    <t xml:space="preserve">rv_003422</t>
  </si>
  <si>
    <t xml:space="preserve">rv_003489</t>
  </si>
  <si>
    <t xml:space="preserve">mccluretyler</t>
  </si>
  <si>
    <t xml:space="preserve">rv_001820</t>
  </si>
  <si>
    <t xml:space="preserve">lisa65</t>
  </si>
  <si>
    <t xml:space="preserve">rv_005234</t>
  </si>
  <si>
    <t xml:space="preserve">rv_000590</t>
  </si>
  <si>
    <t xml:space="preserve">danawilliams</t>
  </si>
  <si>
    <t xml:space="preserve">rv_000194</t>
  </si>
  <si>
    <t xml:space="preserve">bwest</t>
  </si>
  <si>
    <t xml:space="preserve">rv_003803</t>
  </si>
  <si>
    <t xml:space="preserve">mcox</t>
  </si>
  <si>
    <t xml:space="preserve">rv_003792</t>
  </si>
  <si>
    <t xml:space="preserve">mwright</t>
  </si>
  <si>
    <t xml:space="preserve">rv_001806</t>
  </si>
  <si>
    <t xml:space="preserve">tracybrown</t>
  </si>
  <si>
    <t xml:space="preserve">rv_004138</t>
  </si>
  <si>
    <t xml:space="preserve">kpotts</t>
  </si>
  <si>
    <t xml:space="preserve">rv_003611</t>
  </si>
  <si>
    <t xml:space="preserve">brewerdevin</t>
  </si>
  <si>
    <t xml:space="preserve">rv_000800</t>
  </si>
  <si>
    <t xml:space="preserve">rv_002798</t>
  </si>
  <si>
    <t xml:space="preserve">ganderson</t>
  </si>
  <si>
    <t xml:space="preserve">rv_002235</t>
  </si>
  <si>
    <t xml:space="preserve">romanmatthew</t>
  </si>
  <si>
    <t xml:space="preserve">rv_001836</t>
  </si>
  <si>
    <t xml:space="preserve">robert83</t>
  </si>
  <si>
    <t xml:space="preserve">rv_000026</t>
  </si>
  <si>
    <t xml:space="preserve">julieryan</t>
  </si>
  <si>
    <t xml:space="preserve">rv_003744</t>
  </si>
  <si>
    <t xml:space="preserve">jeremylove</t>
  </si>
  <si>
    <t xml:space="preserve">rv_000978</t>
  </si>
  <si>
    <t xml:space="preserve">koconnor</t>
  </si>
  <si>
    <t xml:space="preserve">rv_001459</t>
  </si>
  <si>
    <t xml:space="preserve">ndavis</t>
  </si>
  <si>
    <t xml:space="preserve">rv_002866</t>
  </si>
  <si>
    <t xml:space="preserve">jacobhenry</t>
  </si>
  <si>
    <t xml:space="preserve">rv_002391</t>
  </si>
  <si>
    <t xml:space="preserve">vallen</t>
  </si>
  <si>
    <t xml:space="preserve">rv_004202</t>
  </si>
  <si>
    <t xml:space="preserve">bbarnes</t>
  </si>
  <si>
    <t xml:space="preserve">rv_003850</t>
  </si>
  <si>
    <t xml:space="preserve">michelleguerrero</t>
  </si>
  <si>
    <t xml:space="preserve">rv_002553</t>
  </si>
  <si>
    <t xml:space="preserve">bradley36</t>
  </si>
  <si>
    <t xml:space="preserve">rv_002240</t>
  </si>
  <si>
    <t xml:space="preserve">mccarthysara</t>
  </si>
  <si>
    <t xml:space="preserve">rv_003417</t>
  </si>
  <si>
    <t xml:space="preserve">sanchezbrenda</t>
  </si>
  <si>
    <t xml:space="preserve">rv_000708</t>
  </si>
  <si>
    <t xml:space="preserve">rv_005831</t>
  </si>
  <si>
    <t xml:space="preserve">barnesjames</t>
  </si>
  <si>
    <t xml:space="preserve">rv_005945</t>
  </si>
  <si>
    <t xml:space="preserve">thompsondouglas</t>
  </si>
  <si>
    <t xml:space="preserve">Can't log in anymore, keeps saying invalid credentials even though they're correct. It's okay, does what it needs to do.</t>
  </si>
  <si>
    <t xml:space="preserve">rv_000109</t>
  </si>
  <si>
    <t xml:space="preserve">jeffreykeller</t>
  </si>
  <si>
    <t xml:space="preserve">rv_005303</t>
  </si>
  <si>
    <t xml:space="preserve">vickimullins</t>
  </si>
  <si>
    <t xml:space="preserve">rv_004485</t>
  </si>
  <si>
    <t xml:space="preserve">mortonjames</t>
  </si>
  <si>
    <t xml:space="preserve">rv_004827</t>
  </si>
  <si>
    <t xml:space="preserve">tlewis</t>
  </si>
  <si>
    <t xml:space="preserve">rv_003302</t>
  </si>
  <si>
    <t xml:space="preserve">douglascharles</t>
  </si>
  <si>
    <t xml:space="preserve">rv_003181</t>
  </si>
  <si>
    <t xml:space="preserve">yknight</t>
  </si>
  <si>
    <t xml:space="preserve">rv_002734</t>
  </si>
  <si>
    <t xml:space="preserve">rv_004082</t>
  </si>
  <si>
    <t xml:space="preserve">brian16</t>
  </si>
  <si>
    <t xml:space="preserve">rv_001217</t>
  </si>
  <si>
    <t xml:space="preserve">rv_000261</t>
  </si>
  <si>
    <t xml:space="preserve">ugibson</t>
  </si>
  <si>
    <t xml:space="preserve">rv_002641</t>
  </si>
  <si>
    <t xml:space="preserve">qmontgomery</t>
  </si>
  <si>
    <t xml:space="preserve">rv_003719</t>
  </si>
  <si>
    <t xml:space="preserve">earlroberts</t>
  </si>
  <si>
    <t xml:space="preserve">Buttons are too small and hard to tap on the new layout. Good enough for basic transactions.</t>
  </si>
  <si>
    <t xml:space="preserve">rv_003075</t>
  </si>
  <si>
    <t xml:space="preserve">suzanne19</t>
  </si>
  <si>
    <t xml:space="preserve">rv_005078</t>
  </si>
  <si>
    <t xml:space="preserve">trevormorgan</t>
  </si>
  <si>
    <t xml:space="preserve">rv_005126</t>
  </si>
  <si>
    <t xml:space="preserve">bowmanjoel</t>
  </si>
  <si>
    <t xml:space="preserve">rv_001793</t>
  </si>
  <si>
    <t xml:space="preserve">rebecca90</t>
  </si>
  <si>
    <t xml:space="preserve">2026-01</t>
  </si>
  <si>
    <t xml:space="preserve">rv_003017</t>
  </si>
  <si>
    <t xml:space="preserve">jbrooks</t>
  </si>
  <si>
    <t xml:space="preserve">rv_000610</t>
  </si>
  <si>
    <t xml:space="preserve">thomasboyle</t>
  </si>
  <si>
    <t xml:space="preserve">rv_003055</t>
  </si>
  <si>
    <t xml:space="preserve">rodriguezjustin</t>
  </si>
  <si>
    <t xml:space="preserve">rv_004509</t>
  </si>
  <si>
    <t xml:space="preserve">shannongarza</t>
  </si>
  <si>
    <t xml:space="preserve">rv_002468</t>
  </si>
  <si>
    <t xml:space="preserve">wilsonmichael</t>
  </si>
  <si>
    <t xml:space="preserve">rv_002551</t>
  </si>
  <si>
    <t xml:space="preserve">pricestephen</t>
  </si>
  <si>
    <t xml:space="preserve">rv_002357</t>
  </si>
  <si>
    <t xml:space="preserve">robertwoodard</t>
  </si>
  <si>
    <t xml:space="preserve">rv_000928</t>
  </si>
  <si>
    <t xml:space="preserve">gina19</t>
  </si>
  <si>
    <t xml:space="preserve">rv_005066</t>
  </si>
  <si>
    <t xml:space="preserve">heidischneider</t>
  </si>
  <si>
    <t xml:space="preserve">rv_005210</t>
  </si>
  <si>
    <t xml:space="preserve">rv_003111</t>
  </si>
  <si>
    <t xml:space="preserve">villamiranda</t>
  </si>
  <si>
    <t xml:space="preserve">rv_003966</t>
  </si>
  <si>
    <t xml:space="preserve">rv_000854</t>
  </si>
  <si>
    <t xml:space="preserve">kimberly04</t>
  </si>
  <si>
    <t xml:space="preserve">rv_003331</t>
  </si>
  <si>
    <t xml:space="preserve">matthew60</t>
  </si>
  <si>
    <t xml:space="preserve">rv_005280</t>
  </si>
  <si>
    <t xml:space="preserve">lacey96</t>
  </si>
  <si>
    <t xml:space="preserve">rv_001424</t>
  </si>
  <si>
    <t xml:space="preserve">rv_004260</t>
  </si>
  <si>
    <t xml:space="preserve">zmay</t>
  </si>
  <si>
    <t xml:space="preserve">rv_005765</t>
  </si>
  <si>
    <t xml:space="preserve">zmartinez</t>
  </si>
  <si>
    <t xml:space="preserve">rv_003051</t>
  </si>
  <si>
    <t xml:space="preserve">qtownsend</t>
  </si>
  <si>
    <t xml:space="preserve">rv_005509</t>
  </si>
  <si>
    <t xml:space="preserve">zavaladiane</t>
  </si>
  <si>
    <t xml:space="preserve">rv_003493</t>
  </si>
  <si>
    <t xml:space="preserve">alexandra95</t>
  </si>
  <si>
    <t xml:space="preserve">rv_005236</t>
  </si>
  <si>
    <t xml:space="preserve">tammy90</t>
  </si>
  <si>
    <t xml:space="preserve">rv_000148</t>
  </si>
  <si>
    <t xml:space="preserve">drivera</t>
  </si>
  <si>
    <t xml:space="preserve">rv_005527</t>
  </si>
  <si>
    <t xml:space="preserve">lwalker</t>
  </si>
  <si>
    <t xml:space="preserve">rv_004640</t>
  </si>
  <si>
    <t xml:space="preserve">kellychristopher</t>
  </si>
  <si>
    <t xml:space="preserve">rv_001050</t>
  </si>
  <si>
    <t xml:space="preserve">wellsdavid</t>
  </si>
  <si>
    <t xml:space="preserve">rv_003771</t>
  </si>
  <si>
    <t xml:space="preserve">mariolee</t>
  </si>
  <si>
    <t xml:space="preserve">rv_003637</t>
  </si>
  <si>
    <t xml:space="preserve">larsonmichael</t>
  </si>
  <si>
    <t xml:space="preserve">rv_005658</t>
  </si>
  <si>
    <t xml:space="preserve">valenciaerik</t>
  </si>
  <si>
    <t xml:space="preserve">rv_003286</t>
  </si>
  <si>
    <t xml:space="preserve">crawfordjeffrey</t>
  </si>
  <si>
    <t xml:space="preserve">rv_001162</t>
  </si>
  <si>
    <t xml:space="preserve">jacobconrad</t>
  </si>
  <si>
    <t xml:space="preserve">rv_005498</t>
  </si>
  <si>
    <t xml:space="preserve">jasontaylor</t>
  </si>
  <si>
    <t xml:space="preserve">rv_000694</t>
  </si>
  <si>
    <t xml:space="preserve">patelrobert</t>
  </si>
  <si>
    <t xml:space="preserve">rv_001232</t>
  </si>
  <si>
    <t xml:space="preserve">kristin49</t>
  </si>
  <si>
    <t xml:space="preserve">rv_004911</t>
  </si>
  <si>
    <t xml:space="preserve">dylancunningham</t>
  </si>
  <si>
    <t xml:space="preserve">rv_005842</t>
  </si>
  <si>
    <t xml:space="preserve">stevencraig</t>
  </si>
  <si>
    <t xml:space="preserve">rv_005891</t>
  </si>
  <si>
    <t xml:space="preserve">oliviavaldez</t>
  </si>
  <si>
    <t xml:space="preserve">rv_001182</t>
  </si>
  <si>
    <t xml:space="preserve">natalie60</t>
  </si>
  <si>
    <t xml:space="preserve">rv_003745</t>
  </si>
  <si>
    <t xml:space="preserve">billylynch</t>
  </si>
  <si>
    <t xml:space="preserve">rv_002807</t>
  </si>
  <si>
    <t xml:space="preserve">thomaspatton</t>
  </si>
  <si>
    <t xml:space="preserve">rv_001098</t>
  </si>
  <si>
    <t xml:space="preserve">stacyhull</t>
  </si>
  <si>
    <t xml:space="preserve">rv_003340</t>
  </si>
  <si>
    <t xml:space="preserve">stephanie72</t>
  </si>
  <si>
    <t xml:space="preserve">rv_003121</t>
  </si>
  <si>
    <t xml:space="preserve">bakerkenneth</t>
  </si>
  <si>
    <t xml:space="preserve">rv_003982</t>
  </si>
  <si>
    <t xml:space="preserve">gnichols</t>
  </si>
  <si>
    <t xml:space="preserve">rv_005203</t>
  </si>
  <si>
    <t xml:space="preserve">yrichardson</t>
  </si>
  <si>
    <t xml:space="preserve">rv_000908</t>
  </si>
  <si>
    <t xml:space="preserve">wagnerdana</t>
  </si>
  <si>
    <t xml:space="preserve">rv_001980</t>
  </si>
  <si>
    <t xml:space="preserve">pattonsamantha</t>
  </si>
  <si>
    <t xml:space="preserve">rv_002572</t>
  </si>
  <si>
    <t xml:space="preserve">lauriehorton</t>
  </si>
  <si>
    <t xml:space="preserve">rv_004689</t>
  </si>
  <si>
    <t xml:space="preserve">john16</t>
  </si>
  <si>
    <t xml:space="preserve">rv_000811</t>
  </si>
  <si>
    <t xml:space="preserve">candice25</t>
  </si>
  <si>
    <t xml:space="preserve">rv_000281</t>
  </si>
  <si>
    <t xml:space="preserve">amandaknight</t>
  </si>
  <si>
    <t xml:space="preserve">rv_002852</t>
  </si>
  <si>
    <t xml:space="preserve">veronicaclark</t>
  </si>
  <si>
    <t xml:space="preserve">rv_004601</t>
  </si>
  <si>
    <t xml:space="preserve">mkrueger</t>
  </si>
  <si>
    <t xml:space="preserve">rv_005716</t>
  </si>
  <si>
    <t xml:space="preserve">oknight</t>
  </si>
  <si>
    <t xml:space="preserve">rv_001711</t>
  </si>
  <si>
    <t xml:space="preserve">ryanlawrence</t>
  </si>
  <si>
    <t xml:space="preserve">rv_002126</t>
  </si>
  <si>
    <t xml:space="preserve">keith76</t>
  </si>
  <si>
    <t xml:space="preserve">rv_000385</t>
  </si>
  <si>
    <t xml:space="preserve">rv_005781</t>
  </si>
  <si>
    <t xml:space="preserve">marissareid</t>
  </si>
  <si>
    <t xml:space="preserve">rv_001269</t>
  </si>
  <si>
    <t xml:space="preserve">katherinetaylor</t>
  </si>
  <si>
    <t xml:space="preserve">rv_005273</t>
  </si>
  <si>
    <t xml:space="preserve">bryanjohnson</t>
  </si>
  <si>
    <t xml:space="preserve">rv_002972</t>
  </si>
  <si>
    <t xml:space="preserve">hollycastro</t>
  </si>
  <si>
    <t xml:space="preserve">rv_002815</t>
  </si>
  <si>
    <t xml:space="preserve">rv_000632</t>
  </si>
  <si>
    <t xml:space="preserve">hendersonisabella</t>
  </si>
  <si>
    <t xml:space="preserve">rv_004007</t>
  </si>
  <si>
    <t xml:space="preserve">lopezrichard</t>
  </si>
  <si>
    <t xml:space="preserve">Average experience, nothing special. Great app, super easy to send money to friends!</t>
  </si>
  <si>
    <t xml:space="preserve">rv_003885</t>
  </si>
  <si>
    <t xml:space="preserve">rv_001403</t>
  </si>
  <si>
    <t xml:space="preserve">julie87</t>
  </si>
  <si>
    <t xml:space="preserve">rv_005601</t>
  </si>
  <si>
    <t xml:space="preserve">hernandezrebecca</t>
  </si>
  <si>
    <t xml:space="preserve">rv_003265</t>
  </si>
  <si>
    <t xml:space="preserve">nlee</t>
  </si>
  <si>
    <t xml:space="preserve">rv_002397</t>
  </si>
  <si>
    <t xml:space="preserve">pattonbryan</t>
  </si>
  <si>
    <t xml:space="preserve">rv_002323</t>
  </si>
  <si>
    <t xml:space="preserve">heathlogan</t>
  </si>
  <si>
    <t xml:space="preserve">rv_004679</t>
  </si>
  <si>
    <t xml:space="preserve">bakerbrittany</t>
  </si>
  <si>
    <t xml:space="preserve">rv_002246</t>
  </si>
  <si>
    <t xml:space="preserve">jean87</t>
  </si>
  <si>
    <t xml:space="preserve">rv_002008</t>
  </si>
  <si>
    <t xml:space="preserve">kathy99</t>
  </si>
  <si>
    <t xml:space="preserve">rv_004933</t>
  </si>
  <si>
    <t xml:space="preserve">powersgina</t>
  </si>
  <si>
    <t xml:space="preserve">It's okay, does what it needs to do. Works fine most of the time.</t>
  </si>
  <si>
    <t xml:space="preserve">rv_000949</t>
  </si>
  <si>
    <t xml:space="preserve">gallagherstacie</t>
  </si>
  <si>
    <t xml:space="preserve">rv_003589</t>
  </si>
  <si>
    <t xml:space="preserve">sandratanner</t>
  </si>
  <si>
    <t xml:space="preserve">rv_005574</t>
  </si>
  <si>
    <t xml:space="preserve">mosesveronica</t>
  </si>
  <si>
    <t xml:space="preserve">rv_004319</t>
  </si>
  <si>
    <t xml:space="preserve">rv_001876</t>
  </si>
  <si>
    <t xml:space="preserve">jacquelinehodge</t>
  </si>
  <si>
    <t xml:space="preserve">rv_004633</t>
  </si>
  <si>
    <t xml:space="preserve">kyle88</t>
  </si>
  <si>
    <t xml:space="preserve">rv_002979</t>
  </si>
  <si>
    <t xml:space="preserve">vgonzalez</t>
  </si>
  <si>
    <t xml:space="preserve">rv_001102</t>
  </si>
  <si>
    <t xml:space="preserve">brooksdanielle</t>
  </si>
  <si>
    <t xml:space="preserve">rv_000098</t>
  </si>
  <si>
    <t xml:space="preserve">russellwilliams</t>
  </si>
  <si>
    <t xml:space="preserve">rv_004376</t>
  </si>
  <si>
    <t xml:space="preserve">hsmith</t>
  </si>
  <si>
    <t xml:space="preserve">rv_004883</t>
  </si>
  <si>
    <t xml:space="preserve">msanders</t>
  </si>
  <si>
    <t xml:space="preserve">rv_002717</t>
  </si>
  <si>
    <t xml:space="preserve">whitecarol</t>
  </si>
  <si>
    <t xml:space="preserve">rv_001686</t>
  </si>
  <si>
    <t xml:space="preserve">ssingleton</t>
  </si>
  <si>
    <t xml:space="preserve">rv_000559</t>
  </si>
  <si>
    <t xml:space="preserve">brittney88</t>
  </si>
  <si>
    <t xml:space="preserve">rv_001927</t>
  </si>
  <si>
    <t xml:space="preserve">andrewryan</t>
  </si>
  <si>
    <t xml:space="preserve">rv_000752</t>
  </si>
  <si>
    <t xml:space="preserve">ichambers</t>
  </si>
  <si>
    <t xml:space="preserve">rv_003386</t>
  </si>
  <si>
    <t xml:space="preserve">mcknightbrandon</t>
  </si>
  <si>
    <t xml:space="preserve">rv_000478</t>
  </si>
  <si>
    <t xml:space="preserve">terri77</t>
  </si>
  <si>
    <t xml:space="preserve">rv_005807</t>
  </si>
  <si>
    <t xml:space="preserve">ashleywalton</t>
  </si>
  <si>
    <t xml:space="preserve">rv_005720</t>
  </si>
  <si>
    <t xml:space="preserve">rv_003754</t>
  </si>
  <si>
    <t xml:space="preserve">perkinsmichelle</t>
  </si>
  <si>
    <t xml:space="preserve">rv_003871</t>
  </si>
  <si>
    <t xml:space="preserve">lovejustin</t>
  </si>
  <si>
    <t xml:space="preserve">rv_000533</t>
  </si>
  <si>
    <t xml:space="preserve">kathleenrobertson</t>
  </si>
  <si>
    <t xml:space="preserve">rv_005718</t>
  </si>
  <si>
    <t xml:space="preserve">johnsondebbie</t>
  </si>
  <si>
    <t xml:space="preserve">rv_004287</t>
  </si>
  <si>
    <t xml:space="preserve">jamie65</t>
  </si>
  <si>
    <t xml:space="preserve">rv_000231</t>
  </si>
  <si>
    <t xml:space="preserve">prestonjessica</t>
  </si>
  <si>
    <t xml:space="preserve">rv_000140</t>
  </si>
  <si>
    <t xml:space="preserve">vmerritt</t>
  </si>
  <si>
    <t xml:space="preserve">rv_000891</t>
  </si>
  <si>
    <t xml:space="preserve">rv_005687</t>
  </si>
  <si>
    <t xml:space="preserve">ldickson</t>
  </si>
  <si>
    <t xml:space="preserve">rv_004848</t>
  </si>
  <si>
    <t xml:space="preserve">stephenscatherine</t>
  </si>
  <si>
    <t xml:space="preserve">rv_005532</t>
  </si>
  <si>
    <t xml:space="preserve">bwilliams</t>
  </si>
  <si>
    <t xml:space="preserve">rv_003472</t>
  </si>
  <si>
    <t xml:space="preserve">sandersjesse</t>
  </si>
  <si>
    <t xml:space="preserve">rv_005478</t>
  </si>
  <si>
    <t xml:space="preserve">sarah17</t>
  </si>
  <si>
    <t xml:space="preserve">rv_003370</t>
  </si>
  <si>
    <t xml:space="preserve">melendezdenise</t>
  </si>
  <si>
    <t xml:space="preserve">rv_000318</t>
  </si>
  <si>
    <t xml:space="preserve">nicolepena</t>
  </si>
  <si>
    <t xml:space="preserve">rv_004047</t>
  </si>
  <si>
    <t xml:space="preserve">kleintyler</t>
  </si>
  <si>
    <t xml:space="preserve">rv_000700</t>
  </si>
  <si>
    <t xml:space="preserve">susan79</t>
  </si>
  <si>
    <t xml:space="preserve">rv_005947</t>
  </si>
  <si>
    <t xml:space="preserve">john87</t>
  </si>
  <si>
    <t xml:space="preserve">rv_002006</t>
  </si>
  <si>
    <t xml:space="preserve">james61</t>
  </si>
  <si>
    <t xml:space="preserve">rv_004160</t>
  </si>
  <si>
    <t xml:space="preserve">fsellers</t>
  </si>
  <si>
    <t xml:space="preserve">rv_003252</t>
  </si>
  <si>
    <t xml:space="preserve">danielgilmore</t>
  </si>
  <si>
    <t xml:space="preserve">rv_005982</t>
  </si>
  <si>
    <t xml:space="preserve">thompsonedwin</t>
  </si>
  <si>
    <t xml:space="preserve">rv_005324</t>
  </si>
  <si>
    <t xml:space="preserve">paynestephanie</t>
  </si>
  <si>
    <t xml:space="preserve">rv_002656</t>
  </si>
  <si>
    <t xml:space="preserve">garciavictoria</t>
  </si>
  <si>
    <t xml:space="preserve">rv_003705</t>
  </si>
  <si>
    <t xml:space="preserve">ajones</t>
  </si>
  <si>
    <t xml:space="preserve">rv_003035</t>
  </si>
  <si>
    <t xml:space="preserve">angelamyers</t>
  </si>
  <si>
    <t xml:space="preserve">rv_000737</t>
  </si>
  <si>
    <t xml:space="preserve">sheryl79</t>
  </si>
  <si>
    <t xml:space="preserve">rv_000004</t>
  </si>
  <si>
    <t xml:space="preserve">hoffmanjennifer</t>
  </si>
  <si>
    <t xml:space="preserve">rv_000397</t>
  </si>
  <si>
    <t xml:space="preserve">wwebster</t>
  </si>
  <si>
    <t xml:space="preserve">rv_005570</t>
  </si>
  <si>
    <t xml:space="preserve">harrisphyllis</t>
  </si>
  <si>
    <t xml:space="preserve">rv_001476</t>
  </si>
  <si>
    <t xml:space="preserve">jcannon</t>
  </si>
  <si>
    <t xml:space="preserve">rv_005025</t>
  </si>
  <si>
    <t xml:space="preserve">isimpson</t>
  </si>
  <si>
    <t xml:space="preserve">rv_000496</t>
  </si>
  <si>
    <t xml:space="preserve">john10</t>
  </si>
  <si>
    <t xml:space="preserve">rv_005180</t>
  </si>
  <si>
    <t xml:space="preserve">nicholas09</t>
  </si>
  <si>
    <t xml:space="preserve">rv_004520</t>
  </si>
  <si>
    <t xml:space="preserve">villamisty</t>
  </si>
  <si>
    <t xml:space="preserve">rv_000612</t>
  </si>
  <si>
    <t xml:space="preserve">stephanie49</t>
  </si>
  <si>
    <t xml:space="preserve">rv_004101</t>
  </si>
  <si>
    <t xml:space="preserve">jared66</t>
  </si>
  <si>
    <t xml:space="preserve">rv_001207</t>
  </si>
  <si>
    <t xml:space="preserve">robertherrera</t>
  </si>
  <si>
    <t xml:space="preserve">rv_002052</t>
  </si>
  <si>
    <t xml:space="preserve">nballard</t>
  </si>
  <si>
    <t xml:space="preserve">rv_003452</t>
  </si>
  <si>
    <t xml:space="preserve">ulewis</t>
  </si>
  <si>
    <t xml:space="preserve">rv_005825</t>
  </si>
  <si>
    <t xml:space="preserve">smarsh</t>
  </si>
  <si>
    <t xml:space="preserve">rv_000433</t>
  </si>
  <si>
    <t xml:space="preserve">kylestokes</t>
  </si>
  <si>
    <t xml:space="preserve">rv_000584</t>
  </si>
  <si>
    <t xml:space="preserve">stephanie24</t>
  </si>
  <si>
    <t xml:space="preserve">rv_004906</t>
  </si>
  <si>
    <t xml:space="preserve">qkane</t>
  </si>
  <si>
    <t xml:space="preserve">rv_003620</t>
  </si>
  <si>
    <t xml:space="preserve">martindavid</t>
  </si>
  <si>
    <t xml:space="preserve">rv_002142</t>
  </si>
  <si>
    <t xml:space="preserve">dconrad</t>
  </si>
  <si>
    <t xml:space="preserve">rv_000391</t>
  </si>
  <si>
    <t xml:space="preserve">jeffrey21</t>
  </si>
  <si>
    <t xml:space="preserve">rv_003920</t>
  </si>
  <si>
    <t xml:space="preserve">weaverchelsea</t>
  </si>
  <si>
    <t xml:space="preserve">rv_002609</t>
  </si>
  <si>
    <t xml:space="preserve">rv_003717</t>
  </si>
  <si>
    <t xml:space="preserve">crivera</t>
  </si>
  <si>
    <t xml:space="preserve">rv_004608</t>
  </si>
  <si>
    <t xml:space="preserve">gibsonjennifer</t>
  </si>
  <si>
    <t xml:space="preserve">rv_000645</t>
  </si>
  <si>
    <t xml:space="preserve">stevenmoore</t>
  </si>
  <si>
    <t xml:space="preserve">rv_004921</t>
  </si>
  <si>
    <t xml:space="preserve">kylehahn</t>
  </si>
  <si>
    <t xml:space="preserve">rv_000355</t>
  </si>
  <si>
    <t xml:space="preserve">elizabeth65</t>
  </si>
  <si>
    <t xml:space="preserve">rv_004637</t>
  </si>
  <si>
    <t xml:space="preserve">tammy17</t>
  </si>
  <si>
    <t xml:space="preserve">rv_004035</t>
  </si>
  <si>
    <t xml:space="preserve">fgraham</t>
  </si>
  <si>
    <t xml:space="preserve">rv_005334</t>
  </si>
  <si>
    <t xml:space="preserve">linda01</t>
  </si>
  <si>
    <t xml:space="preserve">rv_003690</t>
  </si>
  <si>
    <t xml:space="preserve">greenejessica</t>
  </si>
  <si>
    <t xml:space="preserve">rv_003119</t>
  </si>
  <si>
    <t xml:space="preserve">rstanley</t>
  </si>
  <si>
    <t xml:space="preserve">rv_003107</t>
  </si>
  <si>
    <t xml:space="preserve">johnsonbrandon</t>
  </si>
  <si>
    <t xml:space="preserve">rv_005856</t>
  </si>
  <si>
    <t xml:space="preserve">vincent29</t>
  </si>
  <si>
    <t xml:space="preserve">rv_003006</t>
  </si>
  <si>
    <t xml:space="preserve">cynthiafowler</t>
  </si>
  <si>
    <t xml:space="preserve">rv_002891</t>
  </si>
  <si>
    <t xml:space="preserve">gregorymoreno</t>
  </si>
  <si>
    <t xml:space="preserve">rv_004890</t>
  </si>
  <si>
    <t xml:space="preserve">farmstrong</t>
  </si>
  <si>
    <t xml:space="preserve">rv_005618</t>
  </si>
  <si>
    <t xml:space="preserve">carlosmeadows</t>
  </si>
  <si>
    <t xml:space="preserve">rv_005319</t>
  </si>
  <si>
    <t xml:space="preserve">rv_005854</t>
  </si>
  <si>
    <t xml:space="preserve">rv_005053</t>
  </si>
  <si>
    <t xml:space="preserve">mallory30</t>
  </si>
  <si>
    <t xml:space="preserve">rv_002989</t>
  </si>
  <si>
    <t xml:space="preserve">onelson</t>
  </si>
  <si>
    <t xml:space="preserve">rv_002848</t>
  </si>
  <si>
    <t xml:space="preserve">andrea23</t>
  </si>
  <si>
    <t xml:space="preserve">rv_003289</t>
  </si>
  <si>
    <t xml:space="preserve">amandadalton</t>
  </si>
  <si>
    <t xml:space="preserve">rv_003149</t>
  </si>
  <si>
    <t xml:space="preserve">olong</t>
  </si>
  <si>
    <t xml:space="preserve">rv_003390</t>
  </si>
  <si>
    <t xml:space="preserve">hernandezalan</t>
  </si>
  <si>
    <t xml:space="preserve">rv_002147</t>
  </si>
  <si>
    <t xml:space="preserve">chloe48</t>
  </si>
  <si>
    <t xml:space="preserve">rv_003834</t>
  </si>
  <si>
    <t xml:space="preserve">xgonzalez</t>
  </si>
  <si>
    <t xml:space="preserve">App crashes every time I try to open it, so frustrating! Decent app but could use more features.</t>
  </si>
  <si>
    <t xml:space="preserve">rv_002595</t>
  </si>
  <si>
    <t xml:space="preserve">travis66</t>
  </si>
  <si>
    <t xml:space="preserve">rv_005371</t>
  </si>
  <si>
    <t xml:space="preserve">smithrebecca</t>
  </si>
  <si>
    <t xml:space="preserve">rv_002894</t>
  </si>
  <si>
    <t xml:space="preserve">nelsonvictor</t>
  </si>
  <si>
    <t xml:space="preserve">rv_003946</t>
  </si>
  <si>
    <t xml:space="preserve">corey60</t>
  </si>
  <si>
    <t xml:space="preserve">rv_005995</t>
  </si>
  <si>
    <t xml:space="preserve">sonya64</t>
  </si>
  <si>
    <t xml:space="preserve">rv_004486</t>
  </si>
  <si>
    <t xml:space="preserve">jonescraig</t>
  </si>
  <si>
    <t xml:space="preserve">rv_002334</t>
  </si>
  <si>
    <t xml:space="preserve">ravery</t>
  </si>
  <si>
    <t xml:space="preserve">rv_000145</t>
  </si>
  <si>
    <t xml:space="preserve">josephflores</t>
  </si>
  <si>
    <t xml:space="preserve">rv_000368</t>
  </si>
  <si>
    <t xml:space="preserve">vbarnes</t>
  </si>
  <si>
    <t xml:space="preserve">rv_001379</t>
  </si>
  <si>
    <t xml:space="preserve">xhaynes</t>
  </si>
  <si>
    <t xml:space="preserve">rv_004702</t>
  </si>
  <si>
    <t xml:space="preserve">scott32</t>
  </si>
  <si>
    <t xml:space="preserve">rv_002837</t>
  </si>
  <si>
    <t xml:space="preserve">jacksonjoshua</t>
  </si>
  <si>
    <t xml:space="preserve">rv_000994</t>
  </si>
  <si>
    <t xml:space="preserve">bgonzalez</t>
  </si>
  <si>
    <t xml:space="preserve">rv_000747</t>
  </si>
  <si>
    <t xml:space="preserve">kdiaz</t>
  </si>
  <si>
    <t xml:space="preserve">rv_003273</t>
  </si>
  <si>
    <t xml:space="preserve">tammyjones</t>
  </si>
  <si>
    <t xml:space="preserve">rv_005712</t>
  </si>
  <si>
    <t xml:space="preserve">brian48</t>
  </si>
  <si>
    <t xml:space="preserve">rv_000883</t>
  </si>
  <si>
    <t xml:space="preserve">perezwilliam</t>
  </si>
  <si>
    <t xml:space="preserve">rv_000274</t>
  </si>
  <si>
    <t xml:space="preserve">courtney78</t>
  </si>
  <si>
    <t xml:space="preserve">rv_000122</t>
  </si>
  <si>
    <t xml:space="preserve">lbyrd</t>
  </si>
  <si>
    <t xml:space="preserve">rv_000060</t>
  </si>
  <si>
    <t xml:space="preserve">wrightjames</t>
  </si>
  <si>
    <t xml:space="preserve">rv_004501</t>
  </si>
  <si>
    <t xml:space="preserve">kristin96</t>
  </si>
  <si>
    <t xml:space="preserve">rv_004460</t>
  </si>
  <si>
    <t xml:space="preserve">mmassey</t>
  </si>
  <si>
    <t xml:space="preserve">rv_005819</t>
  </si>
  <si>
    <t xml:space="preserve">mmurphy</t>
  </si>
  <si>
    <t xml:space="preserve">rv_003998</t>
  </si>
  <si>
    <t xml:space="preserve">morenojessica</t>
  </si>
  <si>
    <t xml:space="preserve">rv_003375</t>
  </si>
  <si>
    <t xml:space="preserve">lee16</t>
  </si>
  <si>
    <t xml:space="preserve">rv_001553</t>
  </si>
  <si>
    <t xml:space="preserve">matthew62</t>
  </si>
  <si>
    <t xml:space="preserve">rv_002264</t>
  </si>
  <si>
    <t xml:space="preserve">regina04</t>
  </si>
  <si>
    <t xml:space="preserve">rv_002363</t>
  </si>
  <si>
    <t xml:space="preserve">rv_001118</t>
  </si>
  <si>
    <t xml:space="preserve">cummingscraig</t>
  </si>
  <si>
    <t xml:space="preserve">rv_003897</t>
  </si>
  <si>
    <t xml:space="preserve">annaschmidt</t>
  </si>
  <si>
    <t xml:space="preserve">rv_005473</t>
  </si>
  <si>
    <t xml:space="preserve">davidharding</t>
  </si>
  <si>
    <t xml:space="preserve">rv_005287</t>
  </si>
  <si>
    <t xml:space="preserve">gregorymitchell</t>
  </si>
  <si>
    <t xml:space="preserve">rv_003848</t>
  </si>
  <si>
    <t xml:space="preserve">andersoneric</t>
  </si>
  <si>
    <t xml:space="preserve">rv_002401</t>
  </si>
  <si>
    <t xml:space="preserve">nmorales</t>
  </si>
  <si>
    <t xml:space="preserve">rv_001136</t>
  </si>
  <si>
    <t xml:space="preserve">alexander89</t>
  </si>
  <si>
    <t xml:space="preserve">5.0.0</t>
  </si>
  <si>
    <t xml:space="preserve">rv_004692</t>
  </si>
  <si>
    <t xml:space="preserve">hayley92</t>
  </si>
  <si>
    <t xml:space="preserve">rv_001710</t>
  </si>
  <si>
    <t xml:space="preserve">daniel40</t>
  </si>
  <si>
    <t xml:space="preserve">rv_004687</t>
  </si>
  <si>
    <t xml:space="preserve">max69</t>
  </si>
  <si>
    <t xml:space="preserve">rv_002584</t>
  </si>
  <si>
    <t xml:space="preserve">cjackson</t>
  </si>
  <si>
    <t xml:space="preserve">CLEAN DESIGN AND WORKS EXACTLY AS EXPECTED. GREAT APP, SUPER EASY TO SEND MONEY TO FRIENDS!</t>
  </si>
  <si>
    <t xml:space="preserve">rv_000810</t>
  </si>
  <si>
    <t xml:space="preserve">lindahudson</t>
  </si>
  <si>
    <t xml:space="preserve">rv_005512</t>
  </si>
  <si>
    <t xml:space="preserve">jamesjohnson</t>
  </si>
  <si>
    <t xml:space="preserve">rv_000899</t>
  </si>
  <si>
    <t xml:space="preserve">edwardrandolph</t>
  </si>
  <si>
    <t xml:space="preserve">rv_001472</t>
  </si>
  <si>
    <t xml:space="preserve">bgross</t>
  </si>
  <si>
    <t xml:space="preserve">rv_003467</t>
  </si>
  <si>
    <t xml:space="preserve">walkerrichard</t>
  </si>
  <si>
    <t xml:space="preserve">rv_001931</t>
  </si>
  <si>
    <t xml:space="preserve">jenniferpatterson</t>
  </si>
  <si>
    <t xml:space="preserve">rv_002039</t>
  </si>
  <si>
    <t xml:space="preserve">jimmycollins</t>
  </si>
  <si>
    <t xml:space="preserve">rv_003087</t>
  </si>
  <si>
    <t xml:space="preserve">floresalex</t>
  </si>
  <si>
    <t xml:space="preserve">rv_004146</t>
  </si>
  <si>
    <t xml:space="preserve">rv_003139</t>
  </si>
  <si>
    <t xml:space="preserve">gshaw</t>
  </si>
  <si>
    <t xml:space="preserve">rv_000133</t>
  </si>
  <si>
    <t xml:space="preserve">psanchez</t>
  </si>
  <si>
    <t xml:space="preserve">rv_003809</t>
  </si>
  <si>
    <t xml:space="preserve">kristy74</t>
  </si>
  <si>
    <t xml:space="preserve">rv_002971</t>
  </si>
  <si>
    <t xml:space="preserve">oliverdawn</t>
  </si>
  <si>
    <t xml:space="preserve">rv_001326</t>
  </si>
  <si>
    <t xml:space="preserve">adkinssean</t>
  </si>
  <si>
    <t xml:space="preserve">rv_001320</t>
  </si>
  <si>
    <t xml:space="preserve">melissa69</t>
  </si>
  <si>
    <t xml:space="preserve">rv_000107</t>
  </si>
  <si>
    <t xml:space="preserve">garrisonjeffrey</t>
  </si>
  <si>
    <t xml:space="preserve">rv_000125</t>
  </si>
  <si>
    <t xml:space="preserve">steven73</t>
  </si>
  <si>
    <t xml:space="preserve">rv_001676</t>
  </si>
  <si>
    <t xml:space="preserve">mwhite</t>
  </si>
  <si>
    <t xml:space="preserve">rv_001691</t>
  </si>
  <si>
    <t xml:space="preserve">pallen</t>
  </si>
  <si>
    <t xml:space="preserve">rv_005382</t>
  </si>
  <si>
    <t xml:space="preserve">idelacruz</t>
  </si>
  <si>
    <t xml:space="preserve">rv_000842</t>
  </si>
  <si>
    <t xml:space="preserve">crosscurtis</t>
  </si>
  <si>
    <t xml:space="preserve">rv_003059</t>
  </si>
  <si>
    <t xml:space="preserve">tuckerconnie</t>
  </si>
  <si>
    <t xml:space="preserve">rv_001428</t>
  </si>
  <si>
    <t xml:space="preserve">twright</t>
  </si>
  <si>
    <t xml:space="preserve">rv_004855</t>
  </si>
  <si>
    <t xml:space="preserve">umaxwell</t>
  </si>
  <si>
    <t xml:space="preserve">rv_002600</t>
  </si>
  <si>
    <t xml:space="preserve">william75</t>
  </si>
  <si>
    <t xml:space="preserve">rv_002030</t>
  </si>
  <si>
    <t xml:space="preserve">rkeller</t>
  </si>
  <si>
    <t xml:space="preserve">rv_004241</t>
  </si>
  <si>
    <t xml:space="preserve">evansjames</t>
  </si>
  <si>
    <t xml:space="preserve">rv_001908</t>
  </si>
  <si>
    <t xml:space="preserve">hernandezjustin</t>
  </si>
  <si>
    <t xml:space="preserve">rv_002566</t>
  </si>
  <si>
    <t xml:space="preserve">sandrageorge</t>
  </si>
  <si>
    <t xml:space="preserve">rv_000135</t>
  </si>
  <si>
    <t xml:space="preserve">osbornejeffery</t>
  </si>
  <si>
    <t xml:space="preserve">rv_001485</t>
  </si>
  <si>
    <t xml:space="preserve">dowen</t>
  </si>
  <si>
    <t xml:space="preserve">rv_005370</t>
  </si>
  <si>
    <t xml:space="preserve">rv_004017</t>
  </si>
  <si>
    <t xml:space="preserve">audrey72</t>
  </si>
  <si>
    <t xml:space="preserve">rv_003188</t>
  </si>
  <si>
    <t xml:space="preserve">btorres</t>
  </si>
  <si>
    <t xml:space="preserve">rv_003983</t>
  </si>
  <si>
    <t xml:space="preserve">jenniferrobbins</t>
  </si>
  <si>
    <t xml:space="preserve">rv_003569</t>
  </si>
  <si>
    <t xml:space="preserve">rv_002529</t>
  </si>
  <si>
    <t xml:space="preserve">fmurray</t>
  </si>
  <si>
    <t xml:space="preserve">rv_001235</t>
  </si>
  <si>
    <t xml:space="preserve">wellsamanda</t>
  </si>
  <si>
    <t xml:space="preserve">rv_004718</t>
  </si>
  <si>
    <t xml:space="preserve">hannah48</t>
  </si>
  <si>
    <t xml:space="preserve">rv_001721</t>
  </si>
  <si>
    <t xml:space="preserve">senglish</t>
  </si>
  <si>
    <t xml:space="preserve">rv_004570</t>
  </si>
  <si>
    <t xml:space="preserve">antoniocarter</t>
  </si>
  <si>
    <t xml:space="preserve">rv_000755</t>
  </si>
  <si>
    <t xml:space="preserve">iaguilar</t>
  </si>
  <si>
    <t xml:space="preserve">rv_005776</t>
  </si>
  <si>
    <t xml:space="preserve">jon25</t>
  </si>
  <si>
    <t xml:space="preserve">rv_001032</t>
  </si>
  <si>
    <t xml:space="preserve">jessica91</t>
  </si>
  <si>
    <t xml:space="preserve">rv_002578</t>
  </si>
  <si>
    <t xml:space="preserve">joelmiller</t>
  </si>
  <si>
    <t xml:space="preserve">rv_002516</t>
  </si>
  <si>
    <t xml:space="preserve">allenmonica</t>
  </si>
  <si>
    <t xml:space="preserve">rv_003782</t>
  </si>
  <si>
    <t xml:space="preserve">theresawang</t>
  </si>
  <si>
    <t xml:space="preserve">rv_005832</t>
  </si>
  <si>
    <t xml:space="preserve">ronald04</t>
  </si>
  <si>
    <t xml:space="preserve">rv_004332</t>
  </si>
  <si>
    <t xml:space="preserve">sarah23</t>
  </si>
  <si>
    <t xml:space="preserve">rv_001073</t>
  </si>
  <si>
    <t xml:space="preserve">julieparker</t>
  </si>
  <si>
    <t xml:space="preserve">rv_004312</t>
  </si>
  <si>
    <t xml:space="preserve">russomary</t>
  </si>
  <si>
    <t xml:space="preserve">rv_004690</t>
  </si>
  <si>
    <t xml:space="preserve">deborah70</t>
  </si>
  <si>
    <t xml:space="preserve">rv_005174</t>
  </si>
  <si>
    <t xml:space="preserve">guerrerostanley</t>
  </si>
  <si>
    <t xml:space="preserve">rv_004013</t>
  </si>
  <si>
    <t xml:space="preserve">murphykevin</t>
  </si>
  <si>
    <t xml:space="preserve">rv_001647</t>
  </si>
  <si>
    <t xml:space="preserve">clarkgina</t>
  </si>
  <si>
    <t xml:space="preserve">rv_001642</t>
  </si>
  <si>
    <t xml:space="preserve">sandra77</t>
  </si>
  <si>
    <t xml:space="preserve">rv_003058</t>
  </si>
  <si>
    <t xml:space="preserve">henryandrew</t>
  </si>
  <si>
    <t xml:space="preserve">rv_004515</t>
  </si>
  <si>
    <t xml:space="preserve">sanchezdustin</t>
  </si>
  <si>
    <t xml:space="preserve">rv_005104</t>
  </si>
  <si>
    <t xml:space="preserve">martinezcatherine</t>
  </si>
  <si>
    <t xml:space="preserve">rv_002672</t>
  </si>
  <si>
    <t xml:space="preserve">danielsmith</t>
  </si>
  <si>
    <t xml:space="preserve">rv_002374</t>
  </si>
  <si>
    <t xml:space="preserve">andersonsarah</t>
  </si>
  <si>
    <t xml:space="preserve">rv_000732</t>
  </si>
  <si>
    <t xml:space="preserve">ashleyjackson</t>
  </si>
  <si>
    <t xml:space="preserve">rv_001323</t>
  </si>
  <si>
    <t xml:space="preserve">jwhite</t>
  </si>
  <si>
    <t xml:space="preserve">rv_004024</t>
  </si>
  <si>
    <t xml:space="preserve">jmcfarland</t>
  </si>
  <si>
    <t xml:space="preserve">rv_005827</t>
  </si>
  <si>
    <t xml:space="preserve">taylortammy</t>
  </si>
  <si>
    <t xml:space="preserve">rv_002835</t>
  </si>
  <si>
    <t xml:space="preserve">shane16</t>
  </si>
  <si>
    <t xml:space="preserve">rv_005250</t>
  </si>
  <si>
    <t xml:space="preserve">curtis61</t>
  </si>
  <si>
    <t xml:space="preserve">rv_003767</t>
  </si>
  <si>
    <t xml:space="preserve">jamesrodriguez</t>
  </si>
  <si>
    <t xml:space="preserve">rv_004655</t>
  </si>
  <si>
    <t xml:space="preserve">michelle12</t>
  </si>
  <si>
    <t xml:space="preserve">rv_002236</t>
  </si>
  <si>
    <t xml:space="preserve">williamsondavid</t>
  </si>
  <si>
    <t xml:space="preserve">rv_000715</t>
  </si>
  <si>
    <t xml:space="preserve">patrick21</t>
  </si>
  <si>
    <t xml:space="preserve">rv_002375</t>
  </si>
  <si>
    <t xml:space="preserve">nicoledaniel</t>
  </si>
  <si>
    <t xml:space="preserve">rv_002013</t>
  </si>
  <si>
    <t xml:space="preserve">ocrawford</t>
  </si>
  <si>
    <t xml:space="preserve">rv_001013</t>
  </si>
  <si>
    <t xml:space="preserve">rmiller</t>
  </si>
  <si>
    <t xml:space="preserve">rv_002317</t>
  </si>
  <si>
    <t xml:space="preserve">bshaw</t>
  </si>
  <si>
    <t xml:space="preserve">rv_003564</t>
  </si>
  <si>
    <t xml:space="preserve">gregoryphillips</t>
  </si>
  <si>
    <t xml:space="preserve">rv_000939</t>
  </si>
  <si>
    <t xml:space="preserve">rbrown</t>
  </si>
  <si>
    <t xml:space="preserve">rv_003384</t>
  </si>
  <si>
    <t xml:space="preserve">richardhawkins</t>
  </si>
  <si>
    <t xml:space="preserve">rv_001979</t>
  </si>
  <si>
    <t xml:space="preserve">joneselizabeth</t>
  </si>
  <si>
    <t xml:space="preserve">rv_002737</t>
  </si>
  <si>
    <t xml:space="preserve">jenniferelliott</t>
  </si>
  <si>
    <t xml:space="preserve">rv_002727</t>
  </si>
  <si>
    <t xml:space="preserve">catherine83</t>
  </si>
  <si>
    <t xml:space="preserve">rv_004019</t>
  </si>
  <si>
    <t xml:space="preserve">mcconnellpamela</t>
  </si>
  <si>
    <t xml:space="preserve">rv_005569</t>
  </si>
  <si>
    <t xml:space="preserve">taramejia</t>
  </si>
  <si>
    <t xml:space="preserve">rv_001675</t>
  </si>
  <si>
    <t xml:space="preserve">reyeschristopher</t>
  </si>
  <si>
    <t xml:space="preserve">rv_000958</t>
  </si>
  <si>
    <t xml:space="preserve">lindsaypeterson</t>
  </si>
  <si>
    <t xml:space="preserve">rv_000058</t>
  </si>
  <si>
    <t xml:space="preserve">dshields</t>
  </si>
  <si>
    <t xml:space="preserve">rv_000050</t>
  </si>
  <si>
    <t xml:space="preserve">chapmanjerry</t>
  </si>
  <si>
    <t xml:space="preserve">rv_001044</t>
  </si>
  <si>
    <t xml:space="preserve">ethompson</t>
  </si>
  <si>
    <t xml:space="preserve">rv_004782</t>
  </si>
  <si>
    <t xml:space="preserve">donaldtyler</t>
  </si>
  <si>
    <t xml:space="preserve">rv_003677</t>
  </si>
  <si>
    <t xml:space="preserve">duncangregory</t>
  </si>
  <si>
    <t xml:space="preserve">rv_004169</t>
  </si>
  <si>
    <t xml:space="preserve">salazarbrian</t>
  </si>
  <si>
    <t xml:space="preserve">rv_004636</t>
  </si>
  <si>
    <t xml:space="preserve">camerontownsend</t>
  </si>
  <si>
    <t xml:space="preserve">rv_005602</t>
  </si>
  <si>
    <t xml:space="preserve">cruzscott</t>
  </si>
  <si>
    <t xml:space="preserve">rv_001368</t>
  </si>
  <si>
    <t xml:space="preserve">wwhite</t>
  </si>
  <si>
    <t xml:space="preserve">rv_000920</t>
  </si>
  <si>
    <t xml:space="preserve">lewismelissa</t>
  </si>
  <si>
    <t xml:space="preserve">rv_004285</t>
  </si>
  <si>
    <t xml:space="preserve">jay04</t>
  </si>
  <si>
    <t xml:space="preserve">rv_000172</t>
  </si>
  <si>
    <t xml:space="preserve">tamirodriguez</t>
  </si>
  <si>
    <t xml:space="preserve">rv_002423</t>
  </si>
  <si>
    <t xml:space="preserve">danielwalter</t>
  </si>
  <si>
    <t xml:space="preserve">rv_000005</t>
  </si>
  <si>
    <t xml:space="preserve">lrobinson</t>
  </si>
  <si>
    <t xml:space="preserve">rv_004879</t>
  </si>
  <si>
    <t xml:space="preserve">stonecody</t>
  </si>
  <si>
    <t xml:space="preserve">rv_004346</t>
  </si>
  <si>
    <t xml:space="preserve">msmith</t>
  </si>
  <si>
    <t xml:space="preserve">rv_005314</t>
  </si>
  <si>
    <t xml:space="preserve">scook</t>
  </si>
  <si>
    <t xml:space="preserve">rv_001453</t>
  </si>
  <si>
    <t xml:space="preserve">teresayoung</t>
  </si>
  <si>
    <t xml:space="preserve">rv_005729</t>
  </si>
  <si>
    <t xml:space="preserve">nancy23</t>
  </si>
  <si>
    <t xml:space="preserve">rv_001179</t>
  </si>
  <si>
    <t xml:space="preserve">rv_002547</t>
  </si>
  <si>
    <t xml:space="preserve">colleenvilla</t>
  </si>
  <si>
    <t xml:space="preserve">rv_001258</t>
  </si>
  <si>
    <t xml:space="preserve">tony12</t>
  </si>
  <si>
    <t xml:space="preserve">rv_002980</t>
  </si>
  <si>
    <t xml:space="preserve">stewartwendy</t>
  </si>
  <si>
    <t xml:space="preserve">Payment got stuck processing for over an hour. Average experience, nothing special.</t>
  </si>
  <si>
    <t xml:space="preserve">rv_003815</t>
  </si>
  <si>
    <t xml:space="preserve">dmeyers</t>
  </si>
  <si>
    <t xml:space="preserve">rv_004355</t>
  </si>
  <si>
    <t xml:space="preserve">wellsamy</t>
  </si>
  <si>
    <t xml:space="preserve">rv_002454</t>
  </si>
  <si>
    <t xml:space="preserve">ylittle</t>
  </si>
  <si>
    <t xml:space="preserve">rv_000200</t>
  </si>
  <si>
    <t xml:space="preserve">john13</t>
  </si>
  <si>
    <t xml:space="preserve">rv_002876</t>
  </si>
  <si>
    <t xml:space="preserve">douglas90</t>
  </si>
  <si>
    <t xml:space="preserve">rv_005071</t>
  </si>
  <si>
    <t xml:space="preserve">jacobsmary</t>
  </si>
  <si>
    <t xml:space="preserve">rv_004880</t>
  </si>
  <si>
    <t xml:space="preserve">ronaldbradford</t>
  </si>
  <si>
    <t xml:space="preserve">rv_002549</t>
  </si>
  <si>
    <t xml:space="preserve">jasonkelly</t>
  </si>
  <si>
    <t xml:space="preserve">rv_002099</t>
  </si>
  <si>
    <t xml:space="preserve">michelemartin</t>
  </si>
  <si>
    <t xml:space="preserve">rv_001210</t>
  </si>
  <si>
    <t xml:space="preserve">wbarajas</t>
  </si>
  <si>
    <t xml:space="preserve">2026-02</t>
  </si>
  <si>
    <t xml:space="preserve">rv_004206</t>
  </si>
  <si>
    <t xml:space="preserve">codymyers</t>
  </si>
  <si>
    <t xml:space="preserve">rv_005639</t>
  </si>
  <si>
    <t xml:space="preserve">jonesterri</t>
  </si>
  <si>
    <t xml:space="preserve">The app force closes whenever I check my balance. Average experience, nothing special.</t>
  </si>
  <si>
    <t xml:space="preserve">rv_003295</t>
  </si>
  <si>
    <t xml:space="preserve">allenchristopher</t>
  </si>
  <si>
    <t xml:space="preserve">rv_001164</t>
  </si>
  <si>
    <t xml:space="preserve">jenniferrodriguez</t>
  </si>
  <si>
    <t xml:space="preserve">rv_001383</t>
  </si>
  <si>
    <t xml:space="preserve">angelachase</t>
  </si>
  <si>
    <t xml:space="preserve">rv_000132</t>
  </si>
  <si>
    <t xml:space="preserve">jennifercruz</t>
  </si>
  <si>
    <t xml:space="preserve">rv_005017</t>
  </si>
  <si>
    <t xml:space="preserve">wrivers</t>
  </si>
  <si>
    <t xml:space="preserve">rv_004222</t>
  </si>
  <si>
    <t xml:space="preserve">reneeorr</t>
  </si>
  <si>
    <t xml:space="preserve">rv_003565</t>
  </si>
  <si>
    <t xml:space="preserve">rv_001972</t>
  </si>
  <si>
    <t xml:space="preserve">walkermelissa</t>
  </si>
  <si>
    <t xml:space="preserve">rv_002007</t>
  </si>
  <si>
    <t xml:space="preserve">maryhardy</t>
  </si>
  <si>
    <t xml:space="preserve">rv_003200</t>
  </si>
  <si>
    <t xml:space="preserve">kevin49</t>
  </si>
  <si>
    <t xml:space="preserve">rv_004061</t>
  </si>
  <si>
    <t xml:space="preserve">rachelfreeman</t>
  </si>
  <si>
    <t xml:space="preserve">rv_004309</t>
  </si>
  <si>
    <t xml:space="preserve">jennifer73</t>
  </si>
  <si>
    <t xml:space="preserve">rv_000543</t>
  </si>
  <si>
    <t xml:space="preserve">brandon47</t>
  </si>
  <si>
    <t xml:space="preserve">rv_005872</t>
  </si>
  <si>
    <t xml:space="preserve">allison96</t>
  </si>
  <si>
    <t xml:space="preserve">rv_004170</t>
  </si>
  <si>
    <t xml:space="preserve">jamesreese</t>
  </si>
  <si>
    <t xml:space="preserve">rv_004884</t>
  </si>
  <si>
    <t xml:space="preserve">meyerskathryn</t>
  </si>
  <si>
    <t xml:space="preserve">rv_002528</t>
  </si>
  <si>
    <t xml:space="preserve">markgoodman</t>
  </si>
  <si>
    <t xml:space="preserve">rv_002496</t>
  </si>
  <si>
    <t xml:space="preserve">jessekeller</t>
  </si>
  <si>
    <t xml:space="preserve">rv_004009</t>
  </si>
  <si>
    <t xml:space="preserve">morgankaren</t>
  </si>
  <si>
    <t xml:space="preserve">rv_004415</t>
  </si>
  <si>
    <t xml:space="preserve">nancy98</t>
  </si>
  <si>
    <t xml:space="preserve">rv_002276</t>
  </si>
  <si>
    <t xml:space="preserve">courtney51</t>
  </si>
  <si>
    <t xml:space="preserve">rv_003434</t>
  </si>
  <si>
    <t xml:space="preserve">kimwebb</t>
  </si>
  <si>
    <t xml:space="preserve">rv_003421</t>
  </si>
  <si>
    <t xml:space="preserve">tapiamercedes</t>
  </si>
  <si>
    <t xml:space="preserve">rv_000360</t>
  </si>
  <si>
    <t xml:space="preserve">bellangela</t>
  </si>
  <si>
    <t xml:space="preserve">rv_001021</t>
  </si>
  <si>
    <t xml:space="preserve">buckleyanna</t>
  </si>
  <si>
    <t xml:space="preserve">rv_003103</t>
  </si>
  <si>
    <t xml:space="preserve">karen61</t>
  </si>
  <si>
    <t xml:space="preserve">rv_005418</t>
  </si>
  <si>
    <t xml:space="preserve">amandahorne</t>
  </si>
  <si>
    <t xml:space="preserve">rv_001114</t>
  </si>
  <si>
    <t xml:space="preserve">haleycastillo</t>
  </si>
  <si>
    <t xml:space="preserve">rv_000890</t>
  </si>
  <si>
    <t xml:space="preserve">margaret95</t>
  </si>
  <si>
    <t xml:space="preserve">rv_003217</t>
  </si>
  <si>
    <t xml:space="preserve">mileszachary</t>
  </si>
  <si>
    <t xml:space="preserve">rv_004950</t>
  </si>
  <si>
    <t xml:space="preserve">dsims</t>
  </si>
  <si>
    <t xml:space="preserve">rv_002098</t>
  </si>
  <si>
    <t xml:space="preserve">christopher34</t>
  </si>
  <si>
    <t xml:space="preserve">rv_005919</t>
  </si>
  <si>
    <t xml:space="preserve">ibarrabrian</t>
  </si>
  <si>
    <t xml:space="preserve">rv_001099</t>
  </si>
  <si>
    <t xml:space="preserve">rv_000350</t>
  </si>
  <si>
    <t xml:space="preserve">ronald45</t>
  </si>
  <si>
    <t xml:space="preserve">rv_001782</t>
  </si>
  <si>
    <t xml:space="preserve">reyesmarvin</t>
  </si>
  <si>
    <t xml:space="preserve">rv_003888</t>
  </si>
  <si>
    <t xml:space="preserve">kathryn41</t>
  </si>
  <si>
    <t xml:space="preserve">rv_003619</t>
  </si>
  <si>
    <t xml:space="preserve">riosrichard</t>
  </si>
  <si>
    <t xml:space="preserve">rv_004794</t>
  </si>
  <si>
    <t xml:space="preserve">nortonwilliam</t>
  </si>
  <si>
    <t xml:space="preserve">rv_001796</t>
  </si>
  <si>
    <t xml:space="preserve">imartinez</t>
  </si>
  <si>
    <t xml:space="preserve">rv_004530</t>
  </si>
  <si>
    <t xml:space="preserve">lutzeric</t>
  </si>
  <si>
    <t xml:space="preserve">rv_005553</t>
  </si>
  <si>
    <t xml:space="preserve">garyjohnson</t>
  </si>
  <si>
    <t xml:space="preserve">rv_005444</t>
  </si>
  <si>
    <t xml:space="preserve">sarah31</t>
  </si>
  <si>
    <t xml:space="preserve">rv_000320</t>
  </si>
  <si>
    <t xml:space="preserve">vaughnjeff</t>
  </si>
  <si>
    <t xml:space="preserve">rv_004817</t>
  </si>
  <si>
    <t xml:space="preserve">greenjessica</t>
  </si>
  <si>
    <t xml:space="preserve">rv_001915</t>
  </si>
  <si>
    <t xml:space="preserve">kfernandez</t>
  </si>
  <si>
    <t xml:space="preserve">rv_004722</t>
  </si>
  <si>
    <t xml:space="preserve">courtneymadden</t>
  </si>
  <si>
    <t xml:space="preserve">rv_001367</t>
  </si>
  <si>
    <t xml:space="preserve">travis94</t>
  </si>
  <si>
    <t xml:space="preserve">rv_004948</t>
  </si>
  <si>
    <t xml:space="preserve">rv_001386</t>
  </si>
  <si>
    <t xml:space="preserve">oporter</t>
  </si>
  <si>
    <t xml:space="preserve">rv_003560</t>
  </si>
  <si>
    <t xml:space="preserve">julierojas</t>
  </si>
  <si>
    <t xml:space="preserve">rv_005921</t>
  </si>
  <si>
    <t xml:space="preserve">gblair</t>
  </si>
  <si>
    <t xml:space="preserve">rv_003857</t>
  </si>
  <si>
    <t xml:space="preserve">anthony05</t>
  </si>
  <si>
    <t xml:space="preserve">rv_005431</t>
  </si>
  <si>
    <t xml:space="preserve">theresagalloway</t>
  </si>
  <si>
    <t xml:space="preserve">rv_002382</t>
  </si>
  <si>
    <t xml:space="preserve">stephensonjeffrey</t>
  </si>
  <si>
    <t xml:space="preserve">rv_002402</t>
  </si>
  <si>
    <t xml:space="preserve">mhall</t>
  </si>
  <si>
    <t xml:space="preserve">rv_002081</t>
  </si>
  <si>
    <t xml:space="preserve">boydmaria</t>
  </si>
  <si>
    <t xml:space="preserve">rv_004769</t>
  </si>
  <si>
    <t xml:space="preserve">sarayates</t>
  </si>
  <si>
    <t xml:space="preserve">rv_001253</t>
  </si>
  <si>
    <t xml:space="preserve">lindsey62</t>
  </si>
  <si>
    <t xml:space="preserve">rv_004233</t>
  </si>
  <si>
    <t xml:space="preserve">owright</t>
  </si>
  <si>
    <t xml:space="preserve">rv_000290</t>
  </si>
  <si>
    <t xml:space="preserve">gcastaneda</t>
  </si>
  <si>
    <t xml:space="preserve">rv_002364</t>
  </si>
  <si>
    <t xml:space="preserve">martinezmitchell</t>
  </si>
  <si>
    <t xml:space="preserve">rv_005536</t>
  </si>
  <si>
    <t xml:space="preserve">tammy53</t>
  </si>
  <si>
    <t xml:space="preserve">rv_001041</t>
  </si>
  <si>
    <t xml:space="preserve">joshuacolon</t>
  </si>
  <si>
    <t xml:space="preserve">rv_000242</t>
  </si>
  <si>
    <t xml:space="preserve">darrell68</t>
  </si>
  <si>
    <t xml:space="preserve">rv_002266</t>
  </si>
  <si>
    <t xml:space="preserve">paigeweber</t>
  </si>
  <si>
    <t xml:space="preserve">rv_001339</t>
  </si>
  <si>
    <t xml:space="preserve">john02</t>
  </si>
  <si>
    <t xml:space="preserve">rv_003488</t>
  </si>
  <si>
    <t xml:space="preserve">samuelstanton</t>
  </si>
  <si>
    <t xml:space="preserve">rv_005577</t>
  </si>
  <si>
    <t xml:space="preserve">dwayne56</t>
  </si>
  <si>
    <t xml:space="preserve">rv_000457</t>
  </si>
  <si>
    <t xml:space="preserve">fbrown</t>
  </si>
  <si>
    <t xml:space="preserve">SMOOTH EXPERIENCE, NO COMPLAINTS AT ALL. CUSTOMER SUPPORT FIXED MY ISSUE QUICKLY, THANKS!</t>
  </si>
  <si>
    <t xml:space="preserve">rv_003636</t>
  </si>
  <si>
    <t xml:space="preserve">griffinkenneth</t>
  </si>
  <si>
    <t xml:space="preserve">rv_004040</t>
  </si>
  <si>
    <t xml:space="preserve">daniellestevenson</t>
  </si>
  <si>
    <t xml:space="preserve">rv_003435</t>
  </si>
  <si>
    <t xml:space="preserve">rburke</t>
  </si>
  <si>
    <t xml:space="preserve">rv_004585</t>
  </si>
  <si>
    <t xml:space="preserve">jason72</t>
  </si>
  <si>
    <t xml:space="preserve">rv_001552</t>
  </si>
  <si>
    <t xml:space="preserve">williamssandra</t>
  </si>
  <si>
    <t xml:space="preserve">rv_000785</t>
  </si>
  <si>
    <t xml:space="preserve">samantha91</t>
  </si>
  <si>
    <t xml:space="preserve">rv_003592</t>
  </si>
  <si>
    <t xml:space="preserve">wallerkyle</t>
  </si>
  <si>
    <t xml:space="preserve">rv_005657</t>
  </si>
  <si>
    <t xml:space="preserve">harrisonnicholas</t>
  </si>
  <si>
    <t xml:space="preserve">rv_005726</t>
  </si>
  <si>
    <t xml:space="preserve">fwilliams</t>
  </si>
  <si>
    <t xml:space="preserve">rv_003530</t>
  </si>
  <si>
    <t xml:space="preserve">patrickwhite</t>
  </si>
  <si>
    <t xml:space="preserve">rv_002360</t>
  </si>
  <si>
    <t xml:space="preserve">ryanpatricia</t>
  </si>
  <si>
    <t xml:space="preserve">rv_000630</t>
  </si>
  <si>
    <t xml:space="preserve">rv_001419</t>
  </si>
  <si>
    <t xml:space="preserve">lindaramos</t>
  </si>
  <si>
    <t xml:space="preserve">rv_000217</t>
  </si>
  <si>
    <t xml:space="preserve">ntorres</t>
  </si>
  <si>
    <t xml:space="preserve">rv_003057</t>
  </si>
  <si>
    <t xml:space="preserve">roberta36</t>
  </si>
  <si>
    <t xml:space="preserve">rv_003706</t>
  </si>
  <si>
    <t xml:space="preserve">nicole81</t>
  </si>
  <si>
    <t xml:space="preserve">rv_002211</t>
  </si>
  <si>
    <t xml:space="preserve">emaynard</t>
  </si>
  <si>
    <t xml:space="preserve">rv_001248</t>
  </si>
  <si>
    <t xml:space="preserve">jessicafreeman</t>
  </si>
  <si>
    <t xml:space="preserve">rv_002994</t>
  </si>
  <si>
    <t xml:space="preserve">davisrachel</t>
  </si>
  <si>
    <t xml:space="preserve">rv_004715</t>
  </si>
  <si>
    <t xml:space="preserve">andreyoung</t>
  </si>
  <si>
    <t xml:space="preserve">rv_005616</t>
  </si>
  <si>
    <t xml:space="preserve">jaimegraves</t>
  </si>
  <si>
    <t xml:space="preserve">rv_004548</t>
  </si>
  <si>
    <t xml:space="preserve">hamiltonjoseph</t>
  </si>
  <si>
    <t xml:space="preserve">rv_000545</t>
  </si>
  <si>
    <t xml:space="preserve">jordannicole</t>
  </si>
  <si>
    <t xml:space="preserve">rv_005409</t>
  </si>
  <si>
    <t xml:space="preserve">galexander</t>
  </si>
  <si>
    <t xml:space="preserve">rv_001875</t>
  </si>
  <si>
    <t xml:space="preserve">smithelizabeth</t>
  </si>
  <si>
    <t xml:space="preserve">rv_005969</t>
  </si>
  <si>
    <t xml:space="preserve">ashley22</t>
  </si>
  <si>
    <t xml:space="preserve">rv_004225</t>
  </si>
  <si>
    <t xml:space="preserve">tammyharrington</t>
  </si>
  <si>
    <t xml:space="preserve">rv_005851</t>
  </si>
  <si>
    <t xml:space="preserve">karensanchez</t>
  </si>
  <si>
    <t xml:space="preserve">rv_001520</t>
  </si>
  <si>
    <t xml:space="preserve">wmaddox</t>
  </si>
  <si>
    <t xml:space="preserve">rv_000768</t>
  </si>
  <si>
    <t xml:space="preserve">adrianabailey</t>
  </si>
  <si>
    <t xml:space="preserve">rv_005282</t>
  </si>
  <si>
    <t xml:space="preserve">dbeck</t>
  </si>
  <si>
    <t xml:space="preserve">rv_003483</t>
  </si>
  <si>
    <t xml:space="preserve">pedwards</t>
  </si>
  <si>
    <t xml:space="preserve">rv_003772</t>
  </si>
  <si>
    <t xml:space="preserve">kfloyd</t>
  </si>
  <si>
    <t xml:space="preserve">rv_000555</t>
  </si>
  <si>
    <t xml:space="preserve">taylormason</t>
  </si>
  <si>
    <t xml:space="preserve">rv_001203</t>
  </si>
  <si>
    <t xml:space="preserve">ayalacolleen</t>
  </si>
  <si>
    <t xml:space="preserve">rv_002700</t>
  </si>
  <si>
    <t xml:space="preserve">hsanchez</t>
  </si>
  <si>
    <t xml:space="preserve">rv_002410</t>
  </si>
  <si>
    <t xml:space="preserve">nolson</t>
  </si>
  <si>
    <t xml:space="preserve">rv_004385</t>
  </si>
  <si>
    <t xml:space="preserve">brandiwilson</t>
  </si>
  <si>
    <t xml:space="preserve">rv_005434</t>
  </si>
  <si>
    <t xml:space="preserve">josephangela</t>
  </si>
  <si>
    <t xml:space="preserve">rv_004808</t>
  </si>
  <si>
    <t xml:space="preserve">diazlorraine</t>
  </si>
  <si>
    <t xml:space="preserve">rv_000738</t>
  </si>
  <si>
    <t xml:space="preserve">stephentaylor</t>
  </si>
  <si>
    <t xml:space="preserve">rv_001809</t>
  </si>
  <si>
    <t xml:space="preserve">sullivanjason</t>
  </si>
  <si>
    <t xml:space="preserve">rv_004323</t>
  </si>
  <si>
    <t xml:space="preserve">susan19</t>
  </si>
  <si>
    <t xml:space="preserve">rv_005305</t>
  </si>
  <si>
    <t xml:space="preserve">rv_000357</t>
  </si>
  <si>
    <t xml:space="preserve">schmittcaroline</t>
  </si>
  <si>
    <t xml:space="preserve">rv_004686</t>
  </si>
  <si>
    <t xml:space="preserve">hlee</t>
  </si>
  <si>
    <t xml:space="preserve">rv_000228</t>
  </si>
  <si>
    <t xml:space="preserve">scott74</t>
  </si>
  <si>
    <t xml:space="preserve">rv_002594</t>
  </si>
  <si>
    <t xml:space="preserve">smithvincent</t>
  </si>
  <si>
    <t xml:space="preserve">rv_000482</t>
  </si>
  <si>
    <t xml:space="preserve">murphykenneth</t>
  </si>
  <si>
    <t xml:space="preserve">rv_001916</t>
  </si>
  <si>
    <t xml:space="preserve">david06</t>
  </si>
  <si>
    <t xml:space="preserve">rv_001870</t>
  </si>
  <si>
    <t xml:space="preserve">gquinn</t>
  </si>
  <si>
    <t xml:space="preserve">rv_004389</t>
  </si>
  <si>
    <t xml:space="preserve">brenda04</t>
  </si>
  <si>
    <t xml:space="preserve">rv_000278</t>
  </si>
  <si>
    <t xml:space="preserve">wallaceheather</t>
  </si>
  <si>
    <t xml:space="preserve">rv_000471</t>
  </si>
  <si>
    <t xml:space="preserve">moodynina</t>
  </si>
  <si>
    <t xml:space="preserve">rv_004182</t>
  </si>
  <si>
    <t xml:space="preserve">lopezmelinda</t>
  </si>
  <si>
    <t xml:space="preserve">rv_002237</t>
  </si>
  <si>
    <t xml:space="preserve">tomchaney</t>
  </si>
  <si>
    <t xml:space="preserve">rv_005617</t>
  </si>
  <si>
    <t xml:space="preserve">coreypope</t>
  </si>
  <si>
    <t xml:space="preserve">rv_003083</t>
  </si>
  <si>
    <t xml:space="preserve">raymond12</t>
  </si>
  <si>
    <t xml:space="preserve">rv_003816</t>
  </si>
  <si>
    <t xml:space="preserve">vpreston</t>
  </si>
  <si>
    <t xml:space="preserve">rv_001110</t>
  </si>
  <si>
    <t xml:space="preserve">daniel17</t>
  </si>
  <si>
    <t xml:space="preserve">rv_005166</t>
  </si>
  <si>
    <t xml:space="preserve">brianobrien</t>
  </si>
  <si>
    <t xml:space="preserve">rv_004345</t>
  </si>
  <si>
    <t xml:space="preserve">rv_005800</t>
  </si>
  <si>
    <t xml:space="preserve">brittanyhayes</t>
  </si>
  <si>
    <t xml:space="preserve">rv_003680</t>
  </si>
  <si>
    <t xml:space="preserve">robertgreene</t>
  </si>
  <si>
    <t xml:space="preserve">rv_001252</t>
  </si>
  <si>
    <t xml:space="preserve">rv_002399</t>
  </si>
  <si>
    <t xml:space="preserve">rjones</t>
  </si>
  <si>
    <t xml:space="preserve">rv_004550</t>
  </si>
  <si>
    <t xml:space="preserve">laurie41</t>
  </si>
  <si>
    <t xml:space="preserve">rv_000177</t>
  </si>
  <si>
    <t xml:space="preserve">hoganashlee</t>
  </si>
  <si>
    <t xml:space="preserve">rv_003391</t>
  </si>
  <si>
    <t xml:space="preserve">emily76</t>
  </si>
  <si>
    <t xml:space="preserve">rv_001490</t>
  </si>
  <si>
    <t xml:space="preserve">garciajerry</t>
  </si>
  <si>
    <t xml:space="preserve">rv_004552</t>
  </si>
  <si>
    <t xml:space="preserve">nicolewright</t>
  </si>
  <si>
    <t xml:space="preserve">rv_005948</t>
  </si>
  <si>
    <t xml:space="preserve">frankward</t>
  </si>
  <si>
    <t xml:space="preserve">rv_001311</t>
  </si>
  <si>
    <t xml:space="preserve">yclarke</t>
  </si>
  <si>
    <t xml:space="preserve">rv_001228</t>
  </si>
  <si>
    <t xml:space="preserve">ystewart</t>
  </si>
  <si>
    <t xml:space="preserve">rv_002322</t>
  </si>
  <si>
    <t xml:space="preserve">morganhenry</t>
  </si>
  <si>
    <t xml:space="preserve">rv_002144</t>
  </si>
  <si>
    <t xml:space="preserve">hthomas</t>
  </si>
  <si>
    <t xml:space="preserve">rv_001866</t>
  </si>
  <si>
    <t xml:space="preserve">johnhamilton</t>
  </si>
  <si>
    <t xml:space="preserve">rv_004390</t>
  </si>
  <si>
    <t xml:space="preserve">luissanchez</t>
  </si>
  <si>
    <t xml:space="preserve">rv_000008</t>
  </si>
  <si>
    <t xml:space="preserve">susanrogers</t>
  </si>
  <si>
    <t xml:space="preserve">rv_004534</t>
  </si>
  <si>
    <t xml:space="preserve">ohill</t>
  </si>
  <si>
    <t xml:space="preserve">rv_004732</t>
  </si>
  <si>
    <t xml:space="preserve">norrisdakota</t>
  </si>
  <si>
    <t xml:space="preserve">rv_003762</t>
  </si>
  <si>
    <t xml:space="preserve">connie12</t>
  </si>
  <si>
    <t xml:space="preserve">rv_005835</t>
  </si>
  <si>
    <t xml:space="preserve">benjaminstevenson</t>
  </si>
  <si>
    <t xml:space="preserve">rv_005413</t>
  </si>
  <si>
    <t xml:space="preserve">ronald83</t>
  </si>
  <si>
    <t xml:space="preserve">rv_003373</t>
  </si>
  <si>
    <t xml:space="preserve">qcraig</t>
  </si>
  <si>
    <t xml:space="preserve">rv_000918</t>
  </si>
  <si>
    <t xml:space="preserve">steven11</t>
  </si>
  <si>
    <t xml:space="preserve">rv_003039</t>
  </si>
  <si>
    <t xml:space="preserve">hstrong</t>
  </si>
  <si>
    <t xml:space="preserve">rv_005793</t>
  </si>
  <si>
    <t xml:space="preserve">edwardsjoshua</t>
  </si>
  <si>
    <t xml:space="preserve">rv_002803</t>
  </si>
  <si>
    <t xml:space="preserve">bmiller</t>
  </si>
  <si>
    <t xml:space="preserve">rv_004269</t>
  </si>
  <si>
    <t xml:space="preserve">travis68</t>
  </si>
  <si>
    <t xml:space="preserve">rv_003864</t>
  </si>
  <si>
    <t xml:space="preserve">ichase</t>
  </si>
  <si>
    <t xml:space="preserve">rv_005118</t>
  </si>
  <si>
    <t xml:space="preserve">jenniferhorne</t>
  </si>
  <si>
    <t xml:space="preserve">rv_002129</t>
  </si>
  <si>
    <t xml:space="preserve">robertortiz</t>
  </si>
  <si>
    <t xml:space="preserve">rv_000428</t>
  </si>
  <si>
    <t xml:space="preserve">carlamoore</t>
  </si>
  <si>
    <t xml:space="preserve">rv_001630</t>
  </si>
  <si>
    <t xml:space="preserve">rv_005123</t>
  </si>
  <si>
    <t xml:space="preserve">hunter29</t>
  </si>
  <si>
    <t xml:space="preserve">rv_004426</t>
  </si>
  <si>
    <t xml:space="preserve">isaac75</t>
  </si>
  <si>
    <t xml:space="preserve">rv_002521</t>
  </si>
  <si>
    <t xml:space="preserve">gordonkimberly</t>
  </si>
  <si>
    <t xml:space="preserve">rv_004793</t>
  </si>
  <si>
    <t xml:space="preserve">vanessaedwards</t>
  </si>
  <si>
    <t xml:space="preserve">rv_004216</t>
  </si>
  <si>
    <t xml:space="preserve">crystal54</t>
  </si>
  <si>
    <t xml:space="preserve">rv_005110</t>
  </si>
  <si>
    <t xml:space="preserve">katiepowell</t>
  </si>
  <si>
    <t xml:space="preserve">rv_003974</t>
  </si>
  <si>
    <t xml:space="preserve">jperry</t>
  </si>
  <si>
    <t xml:space="preserve">rv_005741</t>
  </si>
  <si>
    <t xml:space="preserve">rv_000673</t>
  </si>
  <si>
    <t xml:space="preserve">srocha</t>
  </si>
  <si>
    <t xml:space="preserve">rv_003203</t>
  </si>
  <si>
    <t xml:space="preserve">gbenson</t>
  </si>
  <si>
    <t xml:space="preserve">rv_000983</t>
  </si>
  <si>
    <t xml:space="preserve">jonesgeorge</t>
  </si>
  <si>
    <t xml:space="preserve">rv_002042</t>
  </si>
  <si>
    <t xml:space="preserve">benjamin69</t>
  </si>
  <si>
    <t xml:space="preserve">rv_000009</t>
  </si>
  <si>
    <t xml:space="preserve">jamesmichael</t>
  </si>
  <si>
    <t xml:space="preserve">rv_004852</t>
  </si>
  <si>
    <t xml:space="preserve">cummingsstephanie</t>
  </si>
  <si>
    <t xml:space="preserve">rv_001935</t>
  </si>
  <si>
    <t xml:space="preserve">slara</t>
  </si>
  <si>
    <t xml:space="preserve">rv_003955</t>
  </si>
  <si>
    <t xml:space="preserve">craig16</t>
  </si>
  <si>
    <t xml:space="preserve">rv_005268</t>
  </si>
  <si>
    <t xml:space="preserve">kevin22</t>
  </si>
  <si>
    <t xml:space="preserve">rv_001758</t>
  </si>
  <si>
    <t xml:space="preserve">vturner</t>
  </si>
  <si>
    <t xml:space="preserve">rv_002313</t>
  </si>
  <si>
    <t xml:space="preserve">clinejasmine</t>
  </si>
  <si>
    <t xml:space="preserve">rv_004395</t>
  </si>
  <si>
    <t xml:space="preserve">michellejones</t>
  </si>
  <si>
    <t xml:space="preserve">rv_004068</t>
  </si>
  <si>
    <t xml:space="preserve">harrisondaniel</t>
  </si>
  <si>
    <t xml:space="preserve">rv_005516</t>
  </si>
  <si>
    <t xml:space="preserve">anna54</t>
  </si>
  <si>
    <t xml:space="preserve">rv_002688</t>
  </si>
  <si>
    <t xml:space="preserve">rv_003977</t>
  </si>
  <si>
    <t xml:space="preserve">jasmine54</t>
  </si>
  <si>
    <t xml:space="preserve">rv_000963</t>
  </si>
  <si>
    <t xml:space="preserve">rogersmarcus</t>
  </si>
  <si>
    <t xml:space="preserve">rv_003779</t>
  </si>
  <si>
    <t xml:space="preserve">ronald66</t>
  </si>
  <si>
    <t xml:space="preserve">rv_004468</t>
  </si>
  <si>
    <t xml:space="preserve">xarmstrong</t>
  </si>
  <si>
    <t xml:space="preserve">rv_003587</t>
  </si>
  <si>
    <t xml:space="preserve">fisherkim</t>
  </si>
  <si>
    <t xml:space="preserve">rv_002840</t>
  </si>
  <si>
    <t xml:space="preserve">rv_004930</t>
  </si>
  <si>
    <t xml:space="preserve">wberry</t>
  </si>
  <si>
    <t xml:space="preserve">rv_000862</t>
  </si>
  <si>
    <t xml:space="preserve">kathrynbest</t>
  </si>
  <si>
    <t xml:space="preserve">AVERAGE EXPERIENCE, NOTHING SPECIAL. LOVE THE NEW UPDATE, MUCH FASTER THAN BEFORE.</t>
  </si>
  <si>
    <t xml:space="preserve">rv_002702</t>
  </si>
  <si>
    <t xml:space="preserve">denisebennett</t>
  </si>
  <si>
    <t xml:space="preserve">rv_003024</t>
  </si>
  <si>
    <t xml:space="preserve">contrerasmelissa</t>
  </si>
  <si>
    <t xml:space="preserve">rv_002684</t>
  </si>
  <si>
    <t xml:space="preserve">rrogers</t>
  </si>
  <si>
    <t xml:space="preserve">rv_005814</t>
  </si>
  <si>
    <t xml:space="preserve">davidpearson</t>
  </si>
  <si>
    <t xml:space="preserve">rv_003193</t>
  </si>
  <si>
    <t xml:space="preserve">carterantonio</t>
  </si>
  <si>
    <t xml:space="preserve">rv_005798</t>
  </si>
  <si>
    <t xml:space="preserve">mark40</t>
  </si>
  <si>
    <t xml:space="preserve">rv_005238</t>
  </si>
  <si>
    <t xml:space="preserve">hestrada</t>
  </si>
  <si>
    <t xml:space="preserve">rv_005337</t>
  </si>
  <si>
    <t xml:space="preserve">pvang</t>
  </si>
  <si>
    <t xml:space="preserve">rv_000021</t>
  </si>
  <si>
    <t xml:space="preserve">gabriellecameron</t>
  </si>
  <si>
    <t xml:space="preserve">rv_000557</t>
  </si>
  <si>
    <t xml:space="preserve">markaustin</t>
  </si>
  <si>
    <t xml:space="preserve">rv_001527</t>
  </si>
  <si>
    <t xml:space="preserve">mpearson</t>
  </si>
  <si>
    <t xml:space="preserve">rv_001653</t>
  </si>
  <si>
    <t xml:space="preserve">crawfordjohn</t>
  </si>
  <si>
    <t xml:space="preserve">rv_001609</t>
  </si>
  <si>
    <t xml:space="preserve">deanjohnny</t>
  </si>
  <si>
    <t xml:space="preserve">rv_004398</t>
  </si>
  <si>
    <t xml:space="preserve">mariarussell</t>
  </si>
  <si>
    <t xml:space="preserve">rv_003175</t>
  </si>
  <si>
    <t xml:space="preserve">sheppardnatalie</t>
  </si>
  <si>
    <t xml:space="preserve">rv_000073</t>
  </si>
  <si>
    <t xml:space="preserve">hshaw</t>
  </si>
  <si>
    <t xml:space="preserve">rv_005171</t>
  </si>
  <si>
    <t xml:space="preserve">mrandolph</t>
  </si>
  <si>
    <t xml:space="preserve">rv_003003</t>
  </si>
  <si>
    <t xml:space="preserve">hlin</t>
  </si>
  <si>
    <t xml:space="preserve">rv_005428</t>
  </si>
  <si>
    <t xml:space="preserve">david38</t>
  </si>
  <si>
    <t xml:space="preserve">rv_003152</t>
  </si>
  <si>
    <t xml:space="preserve">daviswesley</t>
  </si>
  <si>
    <t xml:space="preserve">rv_000743</t>
  </si>
  <si>
    <t xml:space="preserve">timothythompson</t>
  </si>
  <si>
    <t xml:space="preserve">rv_001840</t>
  </si>
  <si>
    <t xml:space="preserve">joshualee</t>
  </si>
  <si>
    <t xml:space="preserve">rv_003778</t>
  </si>
  <si>
    <t xml:space="preserve">maria57</t>
  </si>
  <si>
    <t xml:space="preserve">rv_000565</t>
  </si>
  <si>
    <t xml:space="preserve">jennifersilva</t>
  </si>
  <si>
    <t xml:space="preserve">rv_005888</t>
  </si>
  <si>
    <t xml:space="preserve">johnsonlacey</t>
  </si>
  <si>
    <t xml:space="preserve">rv_004919</t>
  </si>
  <si>
    <t xml:space="preserve">bryantrobert</t>
  </si>
  <si>
    <t xml:space="preserve">rv_003969</t>
  </si>
  <si>
    <t xml:space="preserve">elizabethhill</t>
  </si>
  <si>
    <t xml:space="preserve">rv_005858</t>
  </si>
  <si>
    <t xml:space="preserve">cory21</t>
  </si>
  <si>
    <t xml:space="preserve">rv_003858</t>
  </si>
  <si>
    <t xml:space="preserve">onealaustin</t>
  </si>
  <si>
    <t xml:space="preserve">Takes ages to load the transaction history. Good enough for basic transactions.</t>
  </si>
  <si>
    <t xml:space="preserve">rv_003593</t>
  </si>
  <si>
    <t xml:space="preserve">laurieellis</t>
  </si>
  <si>
    <t xml:space="preserve">rv_002500</t>
  </si>
  <si>
    <t xml:space="preserve">amandamendoza</t>
  </si>
  <si>
    <t xml:space="preserve">rv_004127</t>
  </si>
  <si>
    <t xml:space="preserve">langernest</t>
  </si>
  <si>
    <t xml:space="preserve">rv_003875</t>
  </si>
  <si>
    <t xml:space="preserve">rv_002596</t>
  </si>
  <si>
    <t xml:space="preserve">patrick49</t>
  </si>
  <si>
    <t xml:space="preserve">rv_003258</t>
  </si>
  <si>
    <t xml:space="preserve">vanessaberry</t>
  </si>
  <si>
    <t xml:space="preserve">rv_000885</t>
  </si>
  <si>
    <t xml:space="preserve">ruizpatrick</t>
  </si>
  <si>
    <t xml:space="preserve">rv_005630</t>
  </si>
  <si>
    <t xml:space="preserve">lindahill</t>
  </si>
  <si>
    <t xml:space="preserve">rv_001702</t>
  </si>
  <si>
    <t xml:space="preserve">shermandonna</t>
  </si>
  <si>
    <t xml:space="preserve">rv_000070</t>
  </si>
  <si>
    <t xml:space="preserve">smoore</t>
  </si>
  <si>
    <t xml:space="preserve">rv_005547</t>
  </si>
  <si>
    <t xml:space="preserve">wadecarol</t>
  </si>
  <si>
    <t xml:space="preserve">rv_000166</t>
  </si>
  <si>
    <t xml:space="preserve">harringtondenise</t>
  </si>
  <si>
    <t xml:space="preserve">rv_001290</t>
  </si>
  <si>
    <t xml:space="preserve">rv_002381</t>
  </si>
  <si>
    <t xml:space="preserve">hsimpson</t>
  </si>
  <si>
    <t xml:space="preserve">rv_005902</t>
  </si>
  <si>
    <t xml:space="preserve">lewisnatalie</t>
  </si>
  <si>
    <t xml:space="preserve">rv_005067</t>
  </si>
  <si>
    <t xml:space="preserve">campbellkayla</t>
  </si>
  <si>
    <t xml:space="preserve">rv_003186</t>
  </si>
  <si>
    <t xml:space="preserve">alexis03</t>
  </si>
  <si>
    <t xml:space="preserve">rv_002580</t>
  </si>
  <si>
    <t xml:space="preserve">johnthompson</t>
  </si>
  <si>
    <t xml:space="preserve">rv_000999</t>
  </si>
  <si>
    <t xml:space="preserve">nathanjames</t>
  </si>
  <si>
    <t xml:space="preserve">rv_004987</t>
  </si>
  <si>
    <t xml:space="preserve">jessica79</t>
  </si>
  <si>
    <t xml:space="preserve">rv_005127</t>
  </si>
  <si>
    <t xml:space="preserve">joeljackson</t>
  </si>
  <si>
    <t xml:space="preserve">rv_004445</t>
  </si>
  <si>
    <t xml:space="preserve">andrewsilva</t>
  </si>
  <si>
    <t xml:space="preserve">rv_001788</t>
  </si>
  <si>
    <t xml:space="preserve">gainesjennifer</t>
  </si>
  <si>
    <t xml:space="preserve">rv_003600</t>
  </si>
  <si>
    <t xml:space="preserve">ruizgloria</t>
  </si>
  <si>
    <t xml:space="preserve">rv_001381</t>
  </si>
  <si>
    <t xml:space="preserve">ashleykrause</t>
  </si>
  <si>
    <t xml:space="preserve">rv_004393</t>
  </si>
  <si>
    <t xml:space="preserve">thompsonangela</t>
  </si>
  <si>
    <t xml:space="preserve">rv_001219</t>
  </si>
  <si>
    <t xml:space="preserve">jacksonstephanie</t>
  </si>
  <si>
    <t xml:space="preserve">rv_004734</t>
  </si>
  <si>
    <t xml:space="preserve">stuartnichols</t>
  </si>
  <si>
    <t xml:space="preserve">rv_005331</t>
  </si>
  <si>
    <t xml:space="preserve">gcollins</t>
  </si>
  <si>
    <t xml:space="preserve">rv_005075</t>
  </si>
  <si>
    <t xml:space="preserve">ubutler</t>
  </si>
  <si>
    <t xml:space="preserve">rv_005711</t>
  </si>
  <si>
    <t xml:space="preserve">bakerpaul</t>
  </si>
  <si>
    <t xml:space="preserve">rv_004236</t>
  </si>
  <si>
    <t xml:space="preserve">sue75</t>
  </si>
  <si>
    <t xml:space="preserve">rv_003014</t>
  </si>
  <si>
    <t xml:space="preserve">wjenkins</t>
  </si>
  <si>
    <t xml:space="preserve">rv_001946</t>
  </si>
  <si>
    <t xml:space="preserve">moodyeric</t>
  </si>
  <si>
    <t xml:space="preserve">rv_005550</t>
  </si>
  <si>
    <t xml:space="preserve">rv_002054</t>
  </si>
  <si>
    <t xml:space="preserve">joshua98</t>
  </si>
  <si>
    <t xml:space="preserve">rv_000764</t>
  </si>
  <si>
    <t xml:space="preserve">michaeljohnson</t>
  </si>
  <si>
    <t xml:space="preserve">rv_004104</t>
  </si>
  <si>
    <t xml:space="preserve">rv_000018</t>
  </si>
  <si>
    <t xml:space="preserve">jacqueline19</t>
  </si>
  <si>
    <t xml:space="preserve">rv_005321</t>
  </si>
  <si>
    <t xml:space="preserve">vmosley</t>
  </si>
  <si>
    <t xml:space="preserve">rv_000925</t>
  </si>
  <si>
    <t xml:space="preserve">codygarcia</t>
  </si>
  <si>
    <t xml:space="preserve">rv_005031</t>
  </si>
  <si>
    <t xml:space="preserve">faithsparks</t>
  </si>
  <si>
    <t xml:space="preserve">rv_005407</t>
  </si>
  <si>
    <t xml:space="preserve">hodgemichelle</t>
  </si>
  <si>
    <t xml:space="preserve">rv_005864</t>
  </si>
  <si>
    <t xml:space="preserve">thomas92</t>
  </si>
  <si>
    <t xml:space="preserve">rv_004942</t>
  </si>
  <si>
    <t xml:space="preserve">murillodarryl</t>
  </si>
  <si>
    <t xml:space="preserve">rv_002534</t>
  </si>
  <si>
    <t xml:space="preserve">qjackson</t>
  </si>
  <si>
    <t xml:space="preserve">rv_002795</t>
  </si>
  <si>
    <t xml:space="preserve">fisherandrea</t>
  </si>
  <si>
    <t xml:space="preserve">rv_005590</t>
  </si>
  <si>
    <t xml:space="preserve">cynthiapoole</t>
  </si>
  <si>
    <t xml:space="preserve">rv_003742</t>
  </si>
  <si>
    <t xml:space="preserve">johnrobles</t>
  </si>
  <si>
    <t xml:space="preserve">rv_005596</t>
  </si>
  <si>
    <t xml:space="preserve">melissa10</t>
  </si>
  <si>
    <t xml:space="preserve">rv_003110</t>
  </si>
  <si>
    <t xml:space="preserve">jenniferburnett</t>
  </si>
  <si>
    <t xml:space="preserve">rv_004521</t>
  </si>
  <si>
    <t xml:space="preserve">rv_001506</t>
  </si>
  <si>
    <t xml:space="preserve">clintonstevens</t>
  </si>
  <si>
    <t xml:space="preserve">rv_000222</t>
  </si>
  <si>
    <t xml:space="preserve">ocarter</t>
  </si>
  <si>
    <t xml:space="preserve">rv_000619</t>
  </si>
  <si>
    <t xml:space="preserve">rv_001751</t>
  </si>
  <si>
    <t xml:space="preserve">tracey29</t>
  </si>
  <si>
    <t xml:space="preserve">rv_002108</t>
  </si>
  <si>
    <t xml:space="preserve">davidsonisaiah</t>
  </si>
  <si>
    <t xml:space="preserve">rv_003429</t>
  </si>
  <si>
    <t xml:space="preserve">danielibarra</t>
  </si>
  <si>
    <t xml:space="preserve">rv_005228</t>
  </si>
  <si>
    <t xml:space="preserve">cookyvonne</t>
  </si>
  <si>
    <t xml:space="preserve">rv_002787</t>
  </si>
  <si>
    <t xml:space="preserve">ross28</t>
  </si>
  <si>
    <t xml:space="preserve">DECENT APP BUT COULD USE MORE FEATURES. DECENT APP BUT COULD USE MORE FEATURES.</t>
  </si>
  <si>
    <t xml:space="preserve">rv_003485</t>
  </si>
  <si>
    <t xml:space="preserve">morseronald</t>
  </si>
  <si>
    <t xml:space="preserve">rv_001515</t>
  </si>
  <si>
    <t xml:space="preserve">kanejeremy</t>
  </si>
  <si>
    <t xml:space="preserve">rv_001058</t>
  </si>
  <si>
    <t xml:space="preserve">rv_001456</t>
  </si>
  <si>
    <t xml:space="preserve">novakbianca</t>
  </si>
  <si>
    <t xml:space="preserve">rv_000660</t>
  </si>
  <si>
    <t xml:space="preserve">trussell</t>
  </si>
  <si>
    <t xml:space="preserve">rv_004968</t>
  </si>
  <si>
    <t xml:space="preserve">erikamiller</t>
  </si>
  <si>
    <t xml:space="preserve">rv_004759</t>
  </si>
  <si>
    <t xml:space="preserve">basserik</t>
  </si>
  <si>
    <t xml:space="preserve">rv_001264</t>
  </si>
  <si>
    <t xml:space="preserve">jvaldez</t>
  </si>
  <si>
    <t xml:space="preserve">FAST TRANSFERS AND GREAT CUSTOMER SERVICE. FAST TRANSFERS AND GREAT CUSTOMER SERVICE.</t>
  </si>
  <si>
    <t xml:space="preserve">rv_001039</t>
  </si>
  <si>
    <t xml:space="preserve">marywright</t>
  </si>
  <si>
    <t xml:space="preserve">rv_002527</t>
  </si>
  <si>
    <t xml:space="preserve">smithdanny</t>
  </si>
  <si>
    <t xml:space="preserve">rv_003723</t>
  </si>
  <si>
    <t xml:space="preserve">julianeal</t>
  </si>
  <si>
    <t xml:space="preserve">rv_002999</t>
  </si>
  <si>
    <t xml:space="preserve">jmorrow</t>
  </si>
  <si>
    <t xml:space="preserve">rv_002506</t>
  </si>
  <si>
    <t xml:space="preserve">james27</t>
  </si>
  <si>
    <t xml:space="preserve">rv_003514</t>
  </si>
  <si>
    <t xml:space="preserve">garylogan</t>
  </si>
  <si>
    <t xml:space="preserve">2026-03</t>
  </si>
  <si>
    <t xml:space="preserve">rv_001861</t>
  </si>
  <si>
    <t xml:space="preserve">belindatran</t>
  </si>
  <si>
    <t xml:space="preserve">rv_003758</t>
  </si>
  <si>
    <t xml:space="preserve">fguzman</t>
  </si>
  <si>
    <t xml:space="preserve">rv_004994</t>
  </si>
  <si>
    <t xml:space="preserve">hpowell</t>
  </si>
  <si>
    <t xml:space="preserve">rv_001271</t>
  </si>
  <si>
    <t xml:space="preserve">jillwebb</t>
  </si>
  <si>
    <t xml:space="preserve">rv_001803</t>
  </si>
  <si>
    <t xml:space="preserve">omosley</t>
  </si>
  <si>
    <t xml:space="preserve">rv_002466</t>
  </si>
  <si>
    <t xml:space="preserve">howardchristopher</t>
  </si>
  <si>
    <t xml:space="preserve">rv_001037</t>
  </si>
  <si>
    <t xml:space="preserve">kimberlywarren</t>
  </si>
  <si>
    <t xml:space="preserve">rv_003510</t>
  </si>
  <si>
    <t xml:space="preserve">joshuabaker</t>
  </si>
  <si>
    <t xml:space="preserve">rv_000321</t>
  </si>
  <si>
    <t xml:space="preserve">xsampson</t>
  </si>
  <si>
    <t xml:space="preserve">rv_000456</t>
  </si>
  <si>
    <t xml:space="preserve">nfowler</t>
  </si>
  <si>
    <t xml:space="preserve">HATE THE NEW REDESIGN, CAN'T FIND ANYTHING ANYMORE. DECENT APP BUT COULD USE MORE FEATURES.</t>
  </si>
  <si>
    <t xml:space="preserve">rv_003170</t>
  </si>
  <si>
    <t xml:space="preserve">hernandezrobert</t>
  </si>
  <si>
    <t xml:space="preserve">rv_001338</t>
  </si>
  <si>
    <t xml:space="preserve">christinacraig</t>
  </si>
  <si>
    <t xml:space="preserve">rv_000858</t>
  </si>
  <si>
    <t xml:space="preserve">elittle</t>
  </si>
  <si>
    <t xml:space="preserve">rv_003074</t>
  </si>
  <si>
    <t xml:space="preserve">johngonzalez</t>
  </si>
  <si>
    <t xml:space="preserve">rv_005366</t>
  </si>
  <si>
    <t xml:space="preserve">icollins</t>
  </si>
  <si>
    <t xml:space="preserve">rv_001617</t>
  </si>
  <si>
    <t xml:space="preserve">mark10</t>
  </si>
  <si>
    <t xml:space="preserve">rv_005177</t>
  </si>
  <si>
    <t xml:space="preserve">clarkefelicia</t>
  </si>
  <si>
    <t xml:space="preserve">rv_002883</t>
  </si>
  <si>
    <t xml:space="preserve">garciakenneth</t>
  </si>
  <si>
    <t xml:space="preserve">rv_003693</t>
  </si>
  <si>
    <t xml:space="preserve">paulnicole</t>
  </si>
  <si>
    <t xml:space="preserve">rv_000173</t>
  </si>
  <si>
    <t xml:space="preserve">hickmanbarbara</t>
  </si>
  <si>
    <t xml:space="preserve">rv_004681</t>
  </si>
  <si>
    <t xml:space="preserve">mccoyandre</t>
  </si>
  <si>
    <t xml:space="preserve">rv_005437</t>
  </si>
  <si>
    <t xml:space="preserve">smithheather</t>
  </si>
  <si>
    <t xml:space="preserve">rv_002855</t>
  </si>
  <si>
    <t xml:space="preserve">rickycarr</t>
  </si>
  <si>
    <t xml:space="preserve">rv_002669</t>
  </si>
  <si>
    <t xml:space="preserve">collinsbrittany</t>
  </si>
  <si>
    <t xml:space="preserve">rv_004310</t>
  </si>
  <si>
    <t xml:space="preserve">rv_004465</t>
  </si>
  <si>
    <t xml:space="preserve">eburke</t>
  </si>
  <si>
    <t xml:space="preserve">rv_005393</t>
  </si>
  <si>
    <t xml:space="preserve">nfleming</t>
  </si>
  <si>
    <t xml:space="preserve">rv_002486</t>
  </si>
  <si>
    <t xml:space="preserve">weekseric</t>
  </si>
  <si>
    <t xml:space="preserve">rv_002706</t>
  </si>
  <si>
    <t xml:space="preserve">millertracy</t>
  </si>
  <si>
    <t xml:space="preserve">rv_005106</t>
  </si>
  <si>
    <t xml:space="preserve">bennettalan</t>
  </si>
  <si>
    <t xml:space="preserve">rv_004353</t>
  </si>
  <si>
    <t xml:space="preserve">stacy70</t>
  </si>
  <si>
    <t xml:space="preserve">REALLY CONVENIENT FOR PAYING BILLS EVERY MONTH. LOVE THE NEW UPDATE, MUCH FASTER THAN BEFORE.</t>
  </si>
  <si>
    <t xml:space="preserve">rv_003299</t>
  </si>
  <si>
    <t xml:space="preserve">samuelcampbell</t>
  </si>
  <si>
    <t xml:space="preserve">rv_001440</t>
  </si>
  <si>
    <t xml:space="preserve">matthewcollins</t>
  </si>
  <si>
    <t xml:space="preserve">rv_005360</t>
  </si>
  <si>
    <t xml:space="preserve">srogers</t>
  </si>
  <si>
    <t xml:space="preserve">rv_003660</t>
  </si>
  <si>
    <t xml:space="preserve">omatthews</t>
  </si>
  <si>
    <t xml:space="preserve">rv_002031</t>
  </si>
  <si>
    <t xml:space="preserve">kalvarez</t>
  </si>
  <si>
    <t xml:space="preserve">rv_001265</t>
  </si>
  <si>
    <t xml:space="preserve">philip94</t>
  </si>
  <si>
    <t xml:space="preserve">rv_003497</t>
  </si>
  <si>
    <t xml:space="preserve">vclark</t>
  </si>
  <si>
    <t xml:space="preserve">rv_001222</t>
  </si>
  <si>
    <t xml:space="preserve">harrismaria</t>
  </si>
  <si>
    <t xml:space="preserve">rv_004981</t>
  </si>
  <si>
    <t xml:space="preserve">rebeccafigueroa</t>
  </si>
  <si>
    <t xml:space="preserve">rv_000439</t>
  </si>
  <si>
    <t xml:space="preserve">moniquewilliams</t>
  </si>
  <si>
    <t xml:space="preserve">rv_003130</t>
  </si>
  <si>
    <t xml:space="preserve">jefferycox</t>
  </si>
  <si>
    <t xml:space="preserve">rv_002758</t>
  </si>
  <si>
    <t xml:space="preserve">rshaw</t>
  </si>
  <si>
    <t xml:space="preserve">rv_004397</t>
  </si>
  <si>
    <t xml:space="preserve">xfranco</t>
  </si>
  <si>
    <t xml:space="preserve">rv_004450</t>
  </si>
  <si>
    <t xml:space="preserve">meganwalker</t>
  </si>
  <si>
    <t xml:space="preserve">rv_003306</t>
  </si>
  <si>
    <t xml:space="preserve">alisonadams</t>
  </si>
  <si>
    <t xml:space="preserve">rv_003029</t>
  </si>
  <si>
    <t xml:space="preserve">rv_004708</t>
  </si>
  <si>
    <t xml:space="preserve">robertkeith</t>
  </si>
  <si>
    <t xml:space="preserve">rv_004043</t>
  </si>
  <si>
    <t xml:space="preserve">hrodgers</t>
  </si>
  <si>
    <t xml:space="preserve">rv_003366</t>
  </si>
  <si>
    <t xml:space="preserve">rhonda53</t>
  </si>
  <si>
    <t xml:space="preserve">rv_004533</t>
  </si>
  <si>
    <t xml:space="preserve">douglas31</t>
  </si>
  <si>
    <t xml:space="preserve">rv_003954</t>
  </si>
  <si>
    <t xml:space="preserve">christina35</t>
  </si>
  <si>
    <t xml:space="preserve">rv_000486</t>
  </si>
  <si>
    <t xml:space="preserve">yhill</t>
  </si>
  <si>
    <t xml:space="preserve">rv_000959</t>
  </si>
  <si>
    <t xml:space="preserve">samantharichard</t>
  </si>
  <si>
    <t xml:space="preserve">rv_003228</t>
  </si>
  <si>
    <t xml:space="preserve">donaldgarner</t>
  </si>
  <si>
    <t xml:space="preserve">rv_005501</t>
  </si>
  <si>
    <t xml:space="preserve">adam17</t>
  </si>
  <si>
    <t xml:space="preserve">rv_002981</t>
  </si>
  <si>
    <t xml:space="preserve">vlewis</t>
  </si>
  <si>
    <t xml:space="preserve">SMOOTH EXPERIENCE, NO COMPLAINTS AT ALL. REALLY CONVENIENT FOR PAYING BILLS EVERY MONTH.</t>
  </si>
  <si>
    <t xml:space="preserve">rv_004927</t>
  </si>
  <si>
    <t xml:space="preserve">rv_004594</t>
  </si>
  <si>
    <t xml:space="preserve">flopez</t>
  </si>
  <si>
    <t xml:space="preserve">rv_000077</t>
  </si>
  <si>
    <t xml:space="preserve">bethwilliams</t>
  </si>
  <si>
    <t xml:space="preserve">rv_000507</t>
  </si>
  <si>
    <t xml:space="preserve">joelsnyder</t>
  </si>
  <si>
    <t xml:space="preserve">rv_005034</t>
  </si>
  <si>
    <t xml:space="preserve">gina90</t>
  </si>
  <si>
    <t xml:space="preserve">rv_003260</t>
  </si>
  <si>
    <t xml:space="preserve">jeremiah26</t>
  </si>
  <si>
    <t xml:space="preserve">rv_003846</t>
  </si>
  <si>
    <t xml:space="preserve">rsmith</t>
  </si>
  <si>
    <t xml:space="preserve">rv_003334</t>
  </si>
  <si>
    <t xml:space="preserve">mary27</t>
  </si>
  <si>
    <t xml:space="preserve">rv_003994</t>
  </si>
  <si>
    <t xml:space="preserve">mark98</t>
  </si>
  <si>
    <t xml:space="preserve">rv_004303</t>
  </si>
  <si>
    <t xml:space="preserve">joseph97</t>
  </si>
  <si>
    <t xml:space="preserve">rv_003661</t>
  </si>
  <si>
    <t xml:space="preserve">amber78</t>
  </si>
  <si>
    <t xml:space="preserve">rv_001031</t>
  </si>
  <si>
    <t xml:space="preserve">uschroeder</t>
  </si>
  <si>
    <t xml:space="preserve">rv_000889</t>
  </si>
  <si>
    <t xml:space="preserve">umoon</t>
  </si>
  <si>
    <t xml:space="preserve">rv_005612</t>
  </si>
  <si>
    <t xml:space="preserve">steven70</t>
  </si>
  <si>
    <t xml:space="preserve">rv_000459</t>
  </si>
  <si>
    <t xml:space="preserve">kellysmith</t>
  </si>
  <si>
    <t xml:space="preserve">rv_000265</t>
  </si>
  <si>
    <t xml:space="preserve">zthornton</t>
  </si>
  <si>
    <t xml:space="preserve">rv_001189</t>
  </si>
  <si>
    <t xml:space="preserve">juliahoffman</t>
  </si>
  <si>
    <t xml:space="preserve">rv_000188</t>
  </si>
  <si>
    <t xml:space="preserve">frogers</t>
  </si>
  <si>
    <t xml:space="preserve">rv_004546</t>
  </si>
  <si>
    <t xml:space="preserve">alison98</t>
  </si>
  <si>
    <t xml:space="preserve">rv_005519</t>
  </si>
  <si>
    <t xml:space="preserve">michellejenkins</t>
  </si>
  <si>
    <t xml:space="preserve">rv_004070</t>
  </si>
  <si>
    <t xml:space="preserve">farmerlindsay</t>
  </si>
  <si>
    <t xml:space="preserve">rv_004646</t>
  </si>
  <si>
    <t xml:space="preserve">aguirrekimberly</t>
  </si>
  <si>
    <t xml:space="preserve">rv_005904</t>
  </si>
  <si>
    <t xml:space="preserve">emcdonald</t>
  </si>
  <si>
    <t xml:space="preserve">rv_002546</t>
  </si>
  <si>
    <t xml:space="preserve">ochoamarcus</t>
  </si>
  <si>
    <t xml:space="preserve">rv_004991</t>
  </si>
  <si>
    <t xml:space="preserve">ricky53</t>
  </si>
  <si>
    <t xml:space="preserve">rv_003465</t>
  </si>
  <si>
    <t xml:space="preserve">bakerdiana</t>
  </si>
  <si>
    <t xml:space="preserve">rv_003115</t>
  </si>
  <si>
    <t xml:space="preserve">sarasilva</t>
  </si>
  <si>
    <t xml:space="preserve">rv_002558</t>
  </si>
  <si>
    <t xml:space="preserve">rogerscharlotte</t>
  </si>
  <si>
    <t xml:space="preserve">rv_004383</t>
  </si>
  <si>
    <t xml:space="preserve">elizabethgriffin</t>
  </si>
  <si>
    <t xml:space="preserve">rv_005941</t>
  </si>
  <si>
    <t xml:space="preserve">ccarter</t>
  </si>
  <si>
    <t xml:space="preserve">rv_005865</t>
  </si>
  <si>
    <t xml:space="preserve">benjaminsmith</t>
  </si>
  <si>
    <t xml:space="preserve">rv_002426</t>
  </si>
  <si>
    <t xml:space="preserve">johnnavarro</t>
  </si>
  <si>
    <t xml:space="preserve">rv_005464</t>
  </si>
  <si>
    <t xml:space="preserve">angela68</t>
  </si>
  <si>
    <t xml:space="preserve">rv_004623</t>
  </si>
  <si>
    <t xml:space="preserve">amandatran</t>
  </si>
  <si>
    <t xml:space="preserve">rv_005668</t>
  </si>
  <si>
    <t xml:space="preserve">christopherhunt</t>
  </si>
  <si>
    <t xml:space="preserve">rv_004381</t>
  </si>
  <si>
    <t xml:space="preserve">phunter</t>
  </si>
  <si>
    <t xml:space="preserve">rv_000207</t>
  </si>
  <si>
    <t xml:space="preserve">salasaudrey</t>
  </si>
  <si>
    <t xml:space="preserve">rv_002707</t>
  </si>
  <si>
    <t xml:space="preserve">andrewberry</t>
  </si>
  <si>
    <t xml:space="preserve">rv_000364</t>
  </si>
  <si>
    <t xml:space="preserve">anthony44</t>
  </si>
  <si>
    <t xml:space="preserve">rv_002330</t>
  </si>
  <si>
    <t xml:space="preserve">qorozco</t>
  </si>
  <si>
    <t xml:space="preserve">IT FREEZES AND THEN CRASHES, HAD TO REINSTALL TWICE. WORKS FINE MOST OF THE TIME.</t>
  </si>
  <si>
    <t xml:space="preserve">rv_005868</t>
  </si>
  <si>
    <t xml:space="preserve">ashleymorrow</t>
  </si>
  <si>
    <t xml:space="preserve">rv_005013</t>
  </si>
  <si>
    <t xml:space="preserve">william42</t>
  </si>
  <si>
    <t xml:space="preserve">rv_002267</t>
  </si>
  <si>
    <t xml:space="preserve">zterry</t>
  </si>
  <si>
    <t xml:space="preserve">rv_004423</t>
  </si>
  <si>
    <t xml:space="preserve">james79</t>
  </si>
  <si>
    <t xml:space="preserve">rv_005341</t>
  </si>
  <si>
    <t xml:space="preserve">marissamedina</t>
  </si>
  <si>
    <t xml:space="preserve">rv_002089</t>
  </si>
  <si>
    <t xml:space="preserve">stewartrodney</t>
  </si>
  <si>
    <t xml:space="preserve">rv_004952</t>
  </si>
  <si>
    <t xml:space="preserve">huangscott</t>
  </si>
  <si>
    <t xml:space="preserve">rv_004379</t>
  </si>
  <si>
    <t xml:space="preserve">fjones</t>
  </si>
  <si>
    <t xml:space="preserve">rv_004940</t>
  </si>
  <si>
    <t xml:space="preserve">aaroncontreras</t>
  </si>
  <si>
    <t xml:space="preserve">rv_003293</t>
  </si>
  <si>
    <t xml:space="preserve">REALLY CONVENIENT FOR PAYING BILLS EVERY MONTH. GREAT APP, SUPER EASY TO SEND MONEY TO FRIENDS!</t>
  </si>
  <si>
    <t xml:space="preserve">rv_005190</t>
  </si>
  <si>
    <t xml:space="preserve">beasleykimberly</t>
  </si>
  <si>
    <t xml:space="preserve">rv_005561</t>
  </si>
  <si>
    <t xml:space="preserve">tammy94</t>
  </si>
  <si>
    <t xml:space="preserve">rv_000300</t>
  </si>
  <si>
    <t xml:space="preserve">julie23</t>
  </si>
  <si>
    <t xml:space="preserve">rv_000272</t>
  </si>
  <si>
    <t xml:space="preserve">cindy61</t>
  </si>
  <si>
    <t xml:space="preserve">rv_004894</t>
  </si>
  <si>
    <t xml:space="preserve">kevinspencer</t>
  </si>
  <si>
    <t xml:space="preserve">rv_005052</t>
  </si>
  <si>
    <t xml:space="preserve">alexis57</t>
  </si>
  <si>
    <t xml:space="preserve">rv_003310</t>
  </si>
  <si>
    <t xml:space="preserve">judy31</t>
  </si>
  <si>
    <t xml:space="preserve">rv_002310</t>
  </si>
  <si>
    <t xml:space="preserve">christopher99</t>
  </si>
  <si>
    <t xml:space="preserve">rv_000196</t>
  </si>
  <si>
    <t xml:space="preserve">kevinperkins</t>
  </si>
  <si>
    <t xml:space="preserve">rv_002065</t>
  </si>
  <si>
    <t xml:space="preserve">johnfrancis</t>
  </si>
  <si>
    <t xml:space="preserve">rv_005453</t>
  </si>
  <si>
    <t xml:space="preserve">leachbrandon</t>
  </si>
  <si>
    <t xml:space="preserve">rv_002206</t>
  </si>
  <si>
    <t xml:space="preserve">micheleclark</t>
  </si>
  <si>
    <t xml:space="preserve">rv_000931</t>
  </si>
  <si>
    <t xml:space="preserve">christopherboone</t>
  </si>
  <si>
    <t xml:space="preserve">rv_002918</t>
  </si>
  <si>
    <t xml:space="preserve">batescharles</t>
  </si>
  <si>
    <t xml:space="preserve">rv_003981</t>
  </si>
  <si>
    <t xml:space="preserve">colinlowery</t>
  </si>
  <si>
    <t xml:space="preserve">rv_004266</t>
  </si>
  <si>
    <t xml:space="preserve">stephaniebest</t>
  </si>
  <si>
    <t xml:space="preserve">rv_000264</t>
  </si>
  <si>
    <t xml:space="preserve">rv_000193</t>
  </si>
  <si>
    <t xml:space="preserve">hannahbrewer</t>
  </si>
  <si>
    <t xml:space="preserve">rv_005930</t>
  </si>
  <si>
    <t xml:space="preserve">langbrenda</t>
  </si>
  <si>
    <t xml:space="preserve">rv_004767</t>
  </si>
  <si>
    <t xml:space="preserve">stephaniecoleman</t>
  </si>
  <si>
    <t xml:space="preserve">rv_002697</t>
  </si>
  <si>
    <t xml:space="preserve">dwhite</t>
  </si>
  <si>
    <t xml:space="preserve">rv_001508</t>
  </si>
  <si>
    <t xml:space="preserve">jesseshepherd</t>
  </si>
  <si>
    <t xml:space="preserve">rv_001943</t>
  </si>
  <si>
    <t xml:space="preserve">jamescollier</t>
  </si>
  <si>
    <t xml:space="preserve">rv_004334</t>
  </si>
  <si>
    <t xml:space="preserve">zmills</t>
  </si>
  <si>
    <t xml:space="preserve">rv_002889</t>
  </si>
  <si>
    <t xml:space="preserve">charles51</t>
  </si>
  <si>
    <t xml:space="preserve">rv_005548</t>
  </si>
  <si>
    <t xml:space="preserve">corymiller</t>
  </si>
  <si>
    <t xml:space="preserve">rv_001211</t>
  </si>
  <si>
    <t xml:space="preserve">rv_003484</t>
  </si>
  <si>
    <t xml:space="preserve">marcfletcher</t>
  </si>
  <si>
    <t xml:space="preserve">rv_001201</t>
  </si>
  <si>
    <t xml:space="preserve">riverajenna</t>
  </si>
  <si>
    <t xml:space="preserve">rv_002141</t>
  </si>
  <si>
    <t xml:space="preserve">carpenterjorge</t>
  </si>
  <si>
    <t xml:space="preserve">rv_005484</t>
  </si>
  <si>
    <t xml:space="preserve">juanfranklin</t>
  </si>
  <si>
    <t xml:space="preserve">rv_001724</t>
  </si>
  <si>
    <t xml:space="preserve">rv_003116</t>
  </si>
  <si>
    <t xml:space="preserve">martinezmichelle</t>
  </si>
  <si>
    <t xml:space="preserve">rv_005933</t>
  </si>
  <si>
    <t xml:space="preserve">rv_003469</t>
  </si>
  <si>
    <t xml:space="preserve">patrickkaiser</t>
  </si>
  <si>
    <t xml:space="preserve">rv_003015</t>
  </si>
  <si>
    <t xml:space="preserve">wmills</t>
  </si>
  <si>
    <t xml:space="preserve">rv_004951</t>
  </si>
  <si>
    <t xml:space="preserve">rv_004820</t>
  </si>
  <si>
    <t xml:space="preserve">allisonbrown</t>
  </si>
  <si>
    <t xml:space="preserve">rv_001528</t>
  </si>
  <si>
    <t xml:space="preserve">johnadams</t>
  </si>
  <si>
    <t xml:space="preserve">rv_003799</t>
  </si>
  <si>
    <t xml:space="preserve">angela40</t>
  </si>
  <si>
    <t xml:space="preserve">rv_002498</t>
  </si>
  <si>
    <t xml:space="preserve">jacksonmichele</t>
  </si>
  <si>
    <t xml:space="preserve">rv_001851</t>
  </si>
  <si>
    <t xml:space="preserve">rv_004039</t>
  </si>
  <si>
    <t xml:space="preserve">lopezchristopher</t>
  </si>
  <si>
    <t xml:space="preserve">rv_000010</t>
  </si>
  <si>
    <t xml:space="preserve">cassandra07</t>
  </si>
  <si>
    <t xml:space="preserve">rv_003650</t>
  </si>
  <si>
    <t xml:space="preserve">christina83</t>
  </si>
  <si>
    <t xml:space="preserve">rv_001411</t>
  </si>
  <si>
    <t xml:space="preserve">jerome47</t>
  </si>
  <si>
    <t xml:space="preserve">rv_000258</t>
  </si>
  <si>
    <t xml:space="preserve">lori44</t>
  </si>
  <si>
    <t xml:space="preserve">rv_001470</t>
  </si>
  <si>
    <t xml:space="preserve">lori85</t>
  </si>
  <si>
    <t xml:space="preserve">rv_002888</t>
  </si>
  <si>
    <t xml:space="preserve">cristiansosa</t>
  </si>
  <si>
    <t xml:space="preserve">rv_002383</t>
  </si>
  <si>
    <t xml:space="preserve">samantha87</t>
  </si>
  <si>
    <t xml:space="preserve">rv_002849</t>
  </si>
  <si>
    <t xml:space="preserve">fergusonkelly</t>
  </si>
  <si>
    <t xml:space="preserve">rv_000423</t>
  </si>
  <si>
    <t xml:space="preserve">kyle35</t>
  </si>
  <si>
    <t xml:space="preserve">rv_002491</t>
  </si>
  <si>
    <t xml:space="preserve">tfowler</t>
  </si>
  <si>
    <t xml:space="preserve">CUSTOMER SUPPORT FIXED MY ISSUE QUICKLY, THANKS! CLEAN DESIGN AND WORKS EXACTLY AS EXPECTED.</t>
  </si>
  <si>
    <t xml:space="preserve">rv_000947</t>
  </si>
  <si>
    <t xml:space="preserve">katie32</t>
  </si>
  <si>
    <t xml:space="preserve">rv_005861</t>
  </si>
  <si>
    <t xml:space="preserve">dariusmendoza</t>
  </si>
  <si>
    <t xml:space="preserve">rv_003245</t>
  </si>
  <si>
    <t xml:space="preserve">mestes</t>
  </si>
  <si>
    <t xml:space="preserve">rv_000108</t>
  </si>
  <si>
    <t xml:space="preserve">rv_004006</t>
  </si>
  <si>
    <t xml:space="preserve">rv_003747</t>
  </si>
  <si>
    <t xml:space="preserve">alexandrabrown</t>
  </si>
  <si>
    <t xml:space="preserve">rv_002390</t>
  </si>
  <si>
    <t xml:space="preserve">mary31</t>
  </si>
  <si>
    <t xml:space="preserve">rv_002754</t>
  </si>
  <si>
    <t xml:space="preserve">douglasbradley</t>
  </si>
  <si>
    <t xml:space="preserve">rv_003437</t>
  </si>
  <si>
    <t xml:space="preserve">pamelapatton</t>
  </si>
  <si>
    <t xml:space="preserve">rv_002004</t>
  </si>
  <si>
    <t xml:space="preserve">figueroapatricia</t>
  </si>
  <si>
    <t xml:space="preserve">rv_003140</t>
  </si>
  <si>
    <t xml:space="preserve">brian45</t>
  </si>
  <si>
    <t xml:space="preserve">rv_000113</t>
  </si>
  <si>
    <t xml:space="preserve">beverlyterrell</t>
  </si>
  <si>
    <t xml:space="preserve">rv_003072</t>
  </si>
  <si>
    <t xml:space="preserve">jean47</t>
  </si>
  <si>
    <t xml:space="preserve">rv_003595</t>
  </si>
  <si>
    <t xml:space="preserve">nicoleturner</t>
  </si>
  <si>
    <t xml:space="preserve">rv_000851</t>
  </si>
  <si>
    <t xml:space="preserve">bbell</t>
  </si>
  <si>
    <t xml:space="preserve">rv_000601</t>
  </si>
  <si>
    <t xml:space="preserve">hebertmatthew</t>
  </si>
  <si>
    <t xml:space="preserve">rv_003061</t>
  </si>
  <si>
    <t xml:space="preserve">cynthia72</t>
  </si>
  <si>
    <t xml:space="preserve">rv_001650</t>
  </si>
  <si>
    <t xml:space="preserve">ashleyprice</t>
  </si>
  <si>
    <t xml:space="preserve">rv_002773</t>
  </si>
  <si>
    <t xml:space="preserve">ksimpson</t>
  </si>
  <si>
    <t xml:space="preserve">rv_001464</t>
  </si>
  <si>
    <t xml:space="preserve">norrismichael</t>
  </si>
  <si>
    <t xml:space="preserve">rv_002103</t>
  </si>
  <si>
    <t xml:space="preserve">vmclaughlin</t>
  </si>
  <si>
    <t xml:space="preserve">rv_001452</t>
  </si>
  <si>
    <t xml:space="preserve">michaelwilliams</t>
  </si>
  <si>
    <t xml:space="preserve">rv_005044</t>
  </si>
  <si>
    <t xml:space="preserve">amandamorgan</t>
  </si>
  <si>
    <t xml:space="preserve">FAST TRANSFERS AND GREAT CUSTOMER SERVICE. SMOOTH EXPERIENCE, NO COMPLAINTS AT ALL.</t>
  </si>
  <si>
    <t xml:space="preserve">rv_003727</t>
  </si>
  <si>
    <t xml:space="preserve">jennifer86</t>
  </si>
  <si>
    <t xml:space="preserve">rv_000759</t>
  </si>
  <si>
    <t xml:space="preserve">gabriel90</t>
  </si>
  <si>
    <t xml:space="preserve">rv_004881</t>
  </si>
  <si>
    <t xml:space="preserve">acevedonancy</t>
  </si>
  <si>
    <t xml:space="preserve">rv_005772</t>
  </si>
  <si>
    <t xml:space="preserve">cgonzalez</t>
  </si>
  <si>
    <t xml:space="preserve">rv_002078</t>
  </si>
  <si>
    <t xml:space="preserve">lesterrichard</t>
  </si>
  <si>
    <t xml:space="preserve">rv_000676</t>
  </si>
  <si>
    <t xml:space="preserve">kyle58</t>
  </si>
  <si>
    <t xml:space="preserve">rv_004421</t>
  </si>
  <si>
    <t xml:space="preserve">leahbarker</t>
  </si>
  <si>
    <t xml:space="preserve">rv_003951</t>
  </si>
  <si>
    <t xml:space="preserve">angelaboyer</t>
  </si>
  <si>
    <t xml:space="preserve">rv_005315</t>
  </si>
  <si>
    <t xml:space="preserve">kentmichael</t>
  </si>
  <si>
    <t xml:space="preserve">rv_001242</t>
  </si>
  <si>
    <t xml:space="preserve">gwhitehead</t>
  </si>
  <si>
    <t xml:space="preserve">rv_000407</t>
  </si>
  <si>
    <t xml:space="preserve">marcalvarez</t>
  </si>
  <si>
    <t xml:space="preserve">rv_001049</t>
  </si>
  <si>
    <t xml:space="preserve">hancocktammy</t>
  </si>
  <si>
    <t xml:space="preserve">rv_000305</t>
  </si>
  <si>
    <t xml:space="preserve">karenperez</t>
  </si>
  <si>
    <t xml:space="preserve">rv_003702</t>
  </si>
  <si>
    <t xml:space="preserve">johnbowen</t>
  </si>
  <si>
    <t xml:space="preserve">rv_005531</t>
  </si>
  <si>
    <t xml:space="preserve">sullivanjoshua</t>
  </si>
  <si>
    <t xml:space="preserve">rv_002573</t>
  </si>
  <si>
    <t xml:space="preserve">cathyjames</t>
  </si>
  <si>
    <t xml:space="preserve">rv_004695</t>
  </si>
  <si>
    <t xml:space="preserve">simongabriella</t>
  </si>
  <si>
    <t xml:space="preserve">rv_000803</t>
  </si>
  <si>
    <t xml:space="preserve">veronicagarcia</t>
  </si>
  <si>
    <t xml:space="preserve">rv_004760</t>
  </si>
  <si>
    <t xml:space="preserve">rv_003259</t>
  </si>
  <si>
    <t xml:space="preserve">jameshenry</t>
  </si>
  <si>
    <t xml:space="preserve">rv_004531</t>
  </si>
  <si>
    <t xml:space="preserve">trivera</t>
  </si>
  <si>
    <t xml:space="preserve">rv_001142</t>
  </si>
  <si>
    <t xml:space="preserve">smithsarah</t>
  </si>
  <si>
    <t xml:space="preserve">rv_000621</t>
  </si>
  <si>
    <t xml:space="preserve">foxallison</t>
  </si>
  <si>
    <t xml:space="preserve">rv_004969</t>
  </si>
  <si>
    <t xml:space="preserve">aaronrodriguez</t>
  </si>
  <si>
    <t xml:space="preserve">rv_002604</t>
  </si>
  <si>
    <t xml:space="preserve">catherine24</t>
  </si>
  <si>
    <t xml:space="preserve">rv_005320</t>
  </si>
  <si>
    <t xml:space="preserve">ebruce</t>
  </si>
  <si>
    <t xml:space="preserve">rv_003918</t>
  </si>
  <si>
    <t xml:space="preserve">alexandria97</t>
  </si>
  <si>
    <t xml:space="preserve">rv_002974</t>
  </si>
  <si>
    <t xml:space="preserve">ashleynash</t>
  </si>
  <si>
    <t xml:space="preserve">rv_004867</t>
  </si>
  <si>
    <t xml:space="preserve">daniel43</t>
  </si>
  <si>
    <t xml:space="preserve">rv_003879</t>
  </si>
  <si>
    <t xml:space="preserve">fernandomorris</t>
  </si>
  <si>
    <t xml:space="preserve">rv_003807</t>
  </si>
  <si>
    <t xml:space="preserve">durhamwilliam</t>
  </si>
  <si>
    <t xml:space="preserve">rv_004368</t>
  </si>
  <si>
    <t xml:space="preserve">ronald21</t>
  </si>
  <si>
    <t xml:space="preserve">rv_004728</t>
  </si>
  <si>
    <t xml:space="preserve">cody79</t>
  </si>
  <si>
    <t xml:space="preserve">rv_001784</t>
  </si>
  <si>
    <t xml:space="preserve">scottvasquez</t>
  </si>
  <si>
    <t xml:space="preserve">rv_000935</t>
  </si>
  <si>
    <t xml:space="preserve">rv_001685</t>
  </si>
  <si>
    <t xml:space="preserve">erodriguez</t>
  </si>
  <si>
    <t xml:space="preserve">rv_004667</t>
  </si>
  <si>
    <t xml:space="preserve">coxcody</t>
  </si>
  <si>
    <t xml:space="preserve">rv_001982</t>
  </si>
  <si>
    <t xml:space="preserve">anthony24</t>
  </si>
  <si>
    <t xml:space="preserve">rv_003232</t>
  </si>
  <si>
    <t xml:space="preserve">peter17</t>
  </si>
  <si>
    <t xml:space="preserve">rv_004237</t>
  </si>
  <si>
    <t xml:space="preserve">madisonbrewer</t>
  </si>
  <si>
    <t xml:space="preserve">rv_000333</t>
  </si>
  <si>
    <t xml:space="preserve">howardkristina</t>
  </si>
  <si>
    <t xml:space="preserve">rv_001704</t>
  </si>
  <si>
    <t xml:space="preserve">rgonzalez</t>
  </si>
  <si>
    <t xml:space="preserve">rv_005290</t>
  </si>
  <si>
    <t xml:space="preserve">owhite</t>
  </si>
  <si>
    <t xml:space="preserve">rv_005232</t>
  </si>
  <si>
    <t xml:space="preserve">gomezcaleb</t>
  </si>
  <si>
    <t xml:space="preserve">rv_005306</t>
  </si>
  <si>
    <t xml:space="preserve">evansjason</t>
  </si>
  <si>
    <t xml:space="preserve">rv_001343</t>
  </si>
  <si>
    <t xml:space="preserve">calhounandrea</t>
  </si>
  <si>
    <t xml:space="preserve">rv_002148</t>
  </si>
  <si>
    <t xml:space="preserve">rv_003463</t>
  </si>
  <si>
    <t xml:space="preserve">kristen68</t>
  </si>
  <si>
    <t xml:space="preserve">rv_000115</t>
  </si>
  <si>
    <t xml:space="preserve">samuel81</t>
  </si>
  <si>
    <t xml:space="preserve">rv_002049</t>
  </si>
  <si>
    <t xml:space="preserve">rv_001765</t>
  </si>
  <si>
    <t xml:space="preserve">matthew41</t>
  </si>
  <si>
    <t xml:space="preserve">rv_003383</t>
  </si>
  <si>
    <t xml:space="preserve">wstrong</t>
  </si>
  <si>
    <t xml:space="preserve">rv_005736</t>
  </si>
  <si>
    <t xml:space="preserve">johnsonsharon</t>
  </si>
  <si>
    <t xml:space="preserve">rv_004100</t>
  </si>
  <si>
    <t xml:space="preserve">vanessamartinez</t>
  </si>
  <si>
    <t xml:space="preserve">rv_004476</t>
  </si>
  <si>
    <t xml:space="preserve">christopherdominguez</t>
  </si>
  <si>
    <t xml:space="preserve">rv_003563</t>
  </si>
  <si>
    <t xml:space="preserve">marynelson</t>
  </si>
  <si>
    <t xml:space="preserve">rv_002429</t>
  </si>
  <si>
    <t xml:space="preserve">alejandro50</t>
  </si>
  <si>
    <t xml:space="preserve">rv_004971</t>
  </si>
  <si>
    <t xml:space="preserve">david78</t>
  </si>
  <si>
    <t xml:space="preserve">rv_003378</t>
  </si>
  <si>
    <t xml:space="preserve">rachelwalter</t>
  </si>
  <si>
    <t xml:space="preserve">rv_004436</t>
  </si>
  <si>
    <t xml:space="preserve">rv_000404</t>
  </si>
  <si>
    <t xml:space="preserve">chase19</t>
  </si>
  <si>
    <t xml:space="preserve">rv_003054</t>
  </si>
  <si>
    <t xml:space="preserve">rodriguezsara</t>
  </si>
  <si>
    <t xml:space="preserve">rv_004773</t>
  </si>
  <si>
    <t xml:space="preserve">hallisabella</t>
  </si>
  <si>
    <t xml:space="preserve">rv_003313</t>
  </si>
  <si>
    <t xml:space="preserve">bbenton</t>
  </si>
  <si>
    <t xml:space="preserve">rv_004108</t>
  </si>
  <si>
    <t xml:space="preserve">dawn36</t>
  </si>
  <si>
    <t xml:space="preserve">rv_001426</t>
  </si>
  <si>
    <t xml:space="preserve">laurakelley</t>
  </si>
  <si>
    <t xml:space="preserve">rv_000729</t>
  </si>
  <si>
    <t xml:space="preserve">angela99</t>
  </si>
  <si>
    <t xml:space="preserve">rv_000238</t>
  </si>
  <si>
    <t xml:space="preserve">elizabeth25</t>
  </si>
  <si>
    <t xml:space="preserve">rv_002398</t>
  </si>
  <si>
    <t xml:space="preserve">nbrown</t>
  </si>
  <si>
    <t xml:space="preserve">rv_000775</t>
  </si>
  <si>
    <t xml:space="preserve">lsoto</t>
  </si>
  <si>
    <t xml:space="preserve">rv_002664</t>
  </si>
  <si>
    <t xml:space="preserve">ostokes</t>
  </si>
  <si>
    <t xml:space="preserve">rv_002589</t>
  </si>
  <si>
    <t xml:space="preserve">brooke28</t>
  </si>
  <si>
    <t xml:space="preserve">rv_004676</t>
  </si>
  <si>
    <t xml:space="preserve">davisshirley</t>
  </si>
  <si>
    <t xml:space="preserve">rv_005593</t>
  </si>
  <si>
    <t xml:space="preserve">daniel84</t>
  </si>
  <si>
    <t xml:space="preserve">rv_003376</t>
  </si>
  <si>
    <t xml:space="preserve">jwagner</t>
  </si>
  <si>
    <t xml:space="preserve">rv_001212</t>
  </si>
  <si>
    <t xml:space="preserve">rebeccaaustin</t>
  </si>
  <si>
    <t xml:space="preserve">rv_005417</t>
  </si>
  <si>
    <t xml:space="preserve">john91</t>
  </si>
  <si>
    <t xml:space="preserve">rv_004217</t>
  </si>
  <si>
    <t xml:space="preserve">mcarr</t>
  </si>
  <si>
    <t xml:space="preserve">rv_004943</t>
  </si>
  <si>
    <t xml:space="preserve">egordon</t>
  </si>
  <si>
    <t xml:space="preserve">rv_001445</t>
  </si>
  <si>
    <t xml:space="preserve">lisa01</t>
  </si>
  <si>
    <t xml:space="preserve">rv_002295</t>
  </si>
  <si>
    <t xml:space="preserve">francissherry</t>
  </si>
  <si>
    <t xml:space="preserve">rv_004628</t>
  </si>
  <si>
    <t xml:space="preserve">staceysmith</t>
  </si>
  <si>
    <t xml:space="preserve">rv_003643</t>
  </si>
  <si>
    <t xml:space="preserve">rv_002799</t>
  </si>
  <si>
    <t xml:space="preserve">martinezmaurice</t>
  </si>
  <si>
    <t xml:space="preserve">rv_003303</t>
  </si>
  <si>
    <t xml:space="preserve">troymoss</t>
  </si>
  <si>
    <t xml:space="preserve">rv_003975</t>
  </si>
  <si>
    <t xml:space="preserve">robertabbott</t>
  </si>
  <si>
    <t xml:space="preserve">rv_000303</t>
  </si>
  <si>
    <t xml:space="preserve">robin74</t>
  </si>
  <si>
    <t xml:space="preserve">rv_000834</t>
  </si>
  <si>
    <t xml:space="preserve">john52</t>
  </si>
  <si>
    <t xml:space="preserve">New UI looks nice but navigation got way worse. It's okay, does what it needs to do.</t>
  </si>
  <si>
    <t xml:space="preserve">rv_004231</t>
  </si>
  <si>
    <t xml:space="preserve">carl63</t>
  </si>
  <si>
    <t xml:space="preserve">rv_005377</t>
  </si>
  <si>
    <t xml:space="preserve">ksparks</t>
  </si>
  <si>
    <t xml:space="preserve">rv_003141</t>
  </si>
  <si>
    <t xml:space="preserve">Decent app but could use more features. Smooth experience, no complaints at all.</t>
  </si>
  <si>
    <t xml:space="preserve">rv_001396</t>
  </si>
  <si>
    <t xml:space="preserve">jamesjustin</t>
  </si>
  <si>
    <t xml:space="preserve">rv_000640</t>
  </si>
  <si>
    <t xml:space="preserve">victorialong</t>
  </si>
  <si>
    <t xml:space="preserve">rv_000214</t>
  </si>
  <si>
    <t xml:space="preserve">yobrien</t>
  </si>
  <si>
    <t xml:space="preserve">rv_003447</t>
  </si>
  <si>
    <t xml:space="preserve">rhonda81</t>
  </si>
  <si>
    <t xml:space="preserve">rv_001245</t>
  </si>
  <si>
    <t xml:space="preserve">yorksarah</t>
  </si>
  <si>
    <t xml:space="preserve">rv_005621</t>
  </si>
  <si>
    <t xml:space="preserve">hrodriguez</t>
  </si>
  <si>
    <t xml:space="preserve">rv_005796</t>
  </si>
  <si>
    <t xml:space="preserve">christopher41</t>
  </si>
  <si>
    <t xml:space="preserve">rv_000311</t>
  </si>
  <si>
    <t xml:space="preserve">rose31</t>
  </si>
  <si>
    <t xml:space="preserve">rv_001463</t>
  </si>
  <si>
    <t xml:space="preserve">linda73</t>
  </si>
  <si>
    <t xml:space="preserve">rv_000224</t>
  </si>
  <si>
    <t xml:space="preserve">sandrafrench</t>
  </si>
  <si>
    <t xml:space="preserve">rv_005176</t>
  </si>
  <si>
    <t xml:space="preserve">gregory14</t>
  </si>
  <si>
    <t xml:space="preserve">rv_000641</t>
  </si>
  <si>
    <t xml:space="preserve">jessicawalker</t>
  </si>
  <si>
    <t xml:space="preserve">rv_005438</t>
  </si>
  <si>
    <t xml:space="preserve">ymurray</t>
  </si>
  <si>
    <t xml:space="preserve">rv_001475</t>
  </si>
  <si>
    <t xml:space="preserve">rlee</t>
  </si>
  <si>
    <t xml:space="preserve">rv_002439</t>
  </si>
  <si>
    <t xml:space="preserve">shelleyrowland</t>
  </si>
  <si>
    <t xml:space="preserve">rv_001795</t>
  </si>
  <si>
    <t xml:space="preserve">fernandezaaron</t>
  </si>
  <si>
    <t xml:space="preserve">rv_000438</t>
  </si>
  <si>
    <t xml:space="preserve">lisasolis</t>
  </si>
  <si>
    <t xml:space="preserve">rv_002956</t>
  </si>
  <si>
    <t xml:space="preserve">nallen</t>
  </si>
  <si>
    <t xml:space="preserve">rv_003868</t>
  </si>
  <si>
    <t xml:space="preserve">woodskaitlyn</t>
  </si>
  <si>
    <t xml:space="preserve">rv_002505</t>
  </si>
  <si>
    <t xml:space="preserve">briana87</t>
  </si>
  <si>
    <t xml:space="preserve">rv_002352</t>
  </si>
  <si>
    <t xml:space="preserve">nicole54</t>
  </si>
  <si>
    <t xml:space="preserve">rv_004845</t>
  </si>
  <si>
    <t xml:space="preserve">lindsayshaffer</t>
  </si>
  <si>
    <t xml:space="preserve">rv_001086</t>
  </si>
  <si>
    <t xml:space="preserve">andersonryan</t>
  </si>
  <si>
    <t xml:space="preserve">rv_000377</t>
  </si>
  <si>
    <t xml:space="preserve">smithkevin</t>
  </si>
  <si>
    <t xml:space="preserve">rv_002982</t>
  </si>
  <si>
    <t xml:space="preserve">dwilson</t>
  </si>
  <si>
    <t xml:space="preserve">rv_004809</t>
  </si>
  <si>
    <t xml:space="preserve">jblair</t>
  </si>
  <si>
    <t xml:space="preserve">rv_000606</t>
  </si>
  <si>
    <t xml:space="preserve">jennifer05</t>
  </si>
  <si>
    <t xml:space="preserve">rv_004842</t>
  </si>
  <si>
    <t xml:space="preserve">jamesrobinson</t>
  </si>
  <si>
    <t xml:space="preserve">rv_000643</t>
  </si>
  <si>
    <t xml:space="preserve">inunez</t>
  </si>
  <si>
    <t xml:space="preserve">rv_003892</t>
  </si>
  <si>
    <t xml:space="preserve">morganparker</t>
  </si>
  <si>
    <t xml:space="preserve">rv_001881</t>
  </si>
  <si>
    <t xml:space="preserve">phillipskaren</t>
  </si>
  <si>
    <t xml:space="preserve">rv_003869</t>
  </si>
  <si>
    <t xml:space="preserve">davidrobertson</t>
  </si>
  <si>
    <t xml:space="preserve">rv_005134</t>
  </si>
  <si>
    <t xml:space="preserve">ucarr</t>
  </si>
  <si>
    <t xml:space="preserve">rv_000985</t>
  </si>
  <si>
    <t xml:space="preserve">morgantricia</t>
  </si>
  <si>
    <t xml:space="preserve">rv_000117</t>
  </si>
  <si>
    <t xml:space="preserve">bradley60</t>
  </si>
  <si>
    <t xml:space="preserve">rv_000534</t>
  </si>
  <si>
    <t xml:space="preserve">floressteven</t>
  </si>
  <si>
    <t xml:space="preserve">rv_005731</t>
  </si>
  <si>
    <t xml:space="preserve">uross</t>
  </si>
  <si>
    <t xml:space="preserve">rv_001756</t>
  </si>
  <si>
    <t xml:space="preserve">maykarla</t>
  </si>
  <si>
    <t xml:space="preserve">rv_004581</t>
  </si>
  <si>
    <t xml:space="preserve">antonio52</t>
  </si>
  <si>
    <t xml:space="preserve">rv_000441</t>
  </si>
  <si>
    <t xml:space="preserve">dawsonzachary</t>
  </si>
  <si>
    <t xml:space="preserve">rv_003906</t>
  </si>
  <si>
    <t xml:space="preserve">peter86</t>
  </si>
  <si>
    <t xml:space="preserve">rv_003154</t>
  </si>
  <si>
    <t xml:space="preserve">georgemaldonado</t>
  </si>
  <si>
    <t xml:space="preserve">rv_005804</t>
  </si>
  <si>
    <t xml:space="preserve">elizabethjones</t>
  </si>
  <si>
    <t xml:space="preserve">rv_005200</t>
  </si>
  <si>
    <t xml:space="preserve">jacquelinedelacruz</t>
  </si>
  <si>
    <t xml:space="preserve">rv_003221</t>
  </si>
  <si>
    <t xml:space="preserve">dannysmith</t>
  </si>
  <si>
    <t xml:space="preserve">rv_001448</t>
  </si>
  <si>
    <t xml:space="preserve">gmoss</t>
  </si>
  <si>
    <t xml:space="preserve">rv_000347</t>
  </si>
  <si>
    <t xml:space="preserve">russellbeasley</t>
  </si>
  <si>
    <t xml:space="preserve">rv_001533</t>
  </si>
  <si>
    <t xml:space="preserve">christina79</t>
  </si>
  <si>
    <t xml:space="preserve">rv_005951</t>
  </si>
  <si>
    <t xml:space="preserve">brittany63</t>
  </si>
  <si>
    <t xml:space="preserve">rv_004097</t>
  </si>
  <si>
    <t xml:space="preserve">nicole50</t>
  </si>
  <si>
    <t xml:space="preserve">rv_000229</t>
  </si>
  <si>
    <t xml:space="preserve">gbender</t>
  </si>
  <si>
    <t xml:space="preserve">rv_001990</t>
  </si>
  <si>
    <t xml:space="preserve">maryzavala</t>
  </si>
  <si>
    <t xml:space="preserve">rv_000380</t>
  </si>
  <si>
    <t xml:space="preserve">ythompson</t>
  </si>
  <si>
    <t xml:space="preserve">rv_005188</t>
  </si>
  <si>
    <t xml:space="preserve">amber64</t>
  </si>
  <si>
    <t xml:space="preserve">rv_003800</t>
  </si>
  <si>
    <t xml:space="preserve">kelseyjones</t>
  </si>
  <si>
    <t xml:space="preserve">rv_000345</t>
  </si>
  <si>
    <t xml:space="preserve">shawn96</t>
  </si>
  <si>
    <t xml:space="preserve">rv_003270</t>
  </si>
  <si>
    <t xml:space="preserve">wilsonjerry</t>
  </si>
  <si>
    <t xml:space="preserve">rv_005560</t>
  </si>
  <si>
    <t xml:space="preserve">michellearias</t>
  </si>
  <si>
    <t xml:space="preserve">rv_003912</t>
  </si>
  <si>
    <t xml:space="preserve">petermoore</t>
  </si>
  <si>
    <t xml:space="preserve">rv_000444</t>
  </si>
  <si>
    <t xml:space="preserve">odavis</t>
  </si>
  <si>
    <t xml:space="preserve">rv_003943</t>
  </si>
  <si>
    <t xml:space="preserve">bentleylisa</t>
  </si>
  <si>
    <t xml:space="preserve">rv_004300</t>
  </si>
  <si>
    <t xml:space="preserve">beardsarah</t>
  </si>
  <si>
    <t xml:space="preserve">rv_005028</t>
  </si>
  <si>
    <t xml:space="preserve">maryanderson</t>
  </si>
  <si>
    <t xml:space="preserve">rv_005060</t>
  </si>
  <si>
    <t xml:space="preserve">christopher47</t>
  </si>
  <si>
    <t xml:space="preserve">rv_002709</t>
  </si>
  <si>
    <t xml:space="preserve">bauerherbert</t>
  </si>
  <si>
    <t xml:space="preserve">rv_005794</t>
  </si>
  <si>
    <t xml:space="preserve">rv_004320</t>
  </si>
  <si>
    <t xml:space="preserve">taylor54</t>
  </si>
  <si>
    <t xml:space="preserve">rv_001739</t>
  </si>
  <si>
    <t xml:space="preserve">keith09</t>
  </si>
  <si>
    <t xml:space="preserve">rv_003914</t>
  </si>
  <si>
    <t xml:space="preserve">maryjones</t>
  </si>
  <si>
    <t xml:space="preserve">OTP NEVER ARRIVES SO I CAN'T LOG IN TO MY ACCOUNT. WORKS FINE MOST OF THE TIME.</t>
  </si>
  <si>
    <t xml:space="preserve">rv_003707</t>
  </si>
  <si>
    <t xml:space="preserve">gonzalesmaria</t>
  </si>
  <si>
    <t xml:space="preserve">rv_000452</t>
  </si>
  <si>
    <t xml:space="preserve">smithjason</t>
  </si>
  <si>
    <t xml:space="preserve">rv_002638</t>
  </si>
  <si>
    <t xml:space="preserve">zharrell</t>
  </si>
  <si>
    <t xml:space="preserve">rv_001178</t>
  </si>
  <si>
    <t xml:space="preserve">glenda22</t>
  </si>
  <si>
    <t xml:space="preserve">2026-04</t>
  </si>
  <si>
    <t xml:space="preserve">rv_003053</t>
  </si>
  <si>
    <t xml:space="preserve">littlebeth</t>
  </si>
  <si>
    <t xml:space="preserve">rv_004986</t>
  </si>
  <si>
    <t xml:space="preserve">ijackson</t>
  </si>
  <si>
    <t xml:space="preserve">rv_005113</t>
  </si>
  <si>
    <t xml:space="preserve">jorge58</t>
  </si>
  <si>
    <t xml:space="preserve">rv_001611</t>
  </si>
  <si>
    <t xml:space="preserve">franklintrevor</t>
  </si>
  <si>
    <t xml:space="preserve">rv_000226</t>
  </si>
  <si>
    <t xml:space="preserve">rebekahserrano</t>
  </si>
  <si>
    <t xml:space="preserve">rv_005261</t>
  </si>
  <si>
    <t xml:space="preserve">donnahopkins</t>
  </si>
  <si>
    <t xml:space="preserve">rv_001624</t>
  </si>
  <si>
    <t xml:space="preserve">rv_001256</t>
  </si>
  <si>
    <t xml:space="preserve">erinrivera</t>
  </si>
  <si>
    <t xml:space="preserve">rv_002431</t>
  </si>
  <si>
    <t xml:space="preserve">bradley03</t>
  </si>
  <si>
    <t xml:space="preserve">rv_003685</t>
  </si>
  <si>
    <t xml:space="preserve">iroberts</t>
  </si>
  <si>
    <t xml:space="preserve">rv_004847</t>
  </si>
  <si>
    <t xml:space="preserve">ygriffith</t>
  </si>
  <si>
    <t xml:space="preserve">rv_000247</t>
  </si>
  <si>
    <t xml:space="preserve">samuel71</t>
  </si>
  <si>
    <t xml:space="preserve">rv_003704</t>
  </si>
  <si>
    <t xml:space="preserve">ecamacho</t>
  </si>
  <si>
    <t xml:space="preserve">rv_000517</t>
  </si>
  <si>
    <t xml:space="preserve">fred53</t>
  </si>
  <si>
    <t xml:space="preserve">rv_004664</t>
  </si>
  <si>
    <t xml:space="preserve">charles44</t>
  </si>
  <si>
    <t xml:space="preserve">rv_003236</t>
  </si>
  <si>
    <t xml:space="preserve">brewerpatricia</t>
  </si>
  <si>
    <t xml:space="preserve">rv_002853</t>
  </si>
  <si>
    <t xml:space="preserve">rv_002332</t>
  </si>
  <si>
    <t xml:space="preserve">harriskaren</t>
  </si>
  <si>
    <t xml:space="preserve">rv_001962</t>
  </si>
  <si>
    <t xml:space="preserve">madeline02</t>
  </si>
  <si>
    <t xml:space="preserve">rv_003430</t>
  </si>
  <si>
    <t xml:space="preserve">robert75</t>
  </si>
  <si>
    <t xml:space="preserve">rv_005217</t>
  </si>
  <si>
    <t xml:space="preserve">janet71</t>
  </si>
  <si>
    <t xml:space="preserve">rv_003358</t>
  </si>
  <si>
    <t xml:space="preserve">william89</t>
  </si>
  <si>
    <t xml:space="preserve">rv_003506</t>
  </si>
  <si>
    <t xml:space="preserve">joshuahoover</t>
  </si>
  <si>
    <t xml:space="preserve">rv_003729</t>
  </si>
  <si>
    <t xml:space="preserve">dawn98</t>
  </si>
  <si>
    <t xml:space="preserve">rv_000697</t>
  </si>
  <si>
    <t xml:space="preserve">hullalice</t>
  </si>
  <si>
    <t xml:space="preserve">rv_005159</t>
  </si>
  <si>
    <t xml:space="preserve">brianmorrow</t>
  </si>
  <si>
    <t xml:space="preserve">rv_002156</t>
  </si>
  <si>
    <t xml:space="preserve">daviddavis</t>
  </si>
  <si>
    <t xml:space="preserve">rv_004587</t>
  </si>
  <si>
    <t xml:space="preserve">hernandezwhitney</t>
  </si>
  <si>
    <t xml:space="preserve">rv_001369</t>
  </si>
  <si>
    <t xml:space="preserve">raymond92</t>
  </si>
  <si>
    <t xml:space="preserve">rv_004510</t>
  </si>
  <si>
    <t xml:space="preserve">deborahturner</t>
  </si>
  <si>
    <t xml:space="preserve">rv_005568</t>
  </si>
  <si>
    <t xml:space="preserve">smithphilip</t>
  </si>
  <si>
    <t xml:space="preserve">rv_004168</t>
  </si>
  <si>
    <t xml:space="preserve">vwelch</t>
  </si>
  <si>
    <t xml:space="preserve">rv_004254</t>
  </si>
  <si>
    <t xml:space="preserve">warebrian</t>
  </si>
  <si>
    <t xml:space="preserve">rv_002171</t>
  </si>
  <si>
    <t xml:space="preserve">rv_002084</t>
  </si>
  <si>
    <t xml:space="preserve">vshaffer</t>
  </si>
  <si>
    <t xml:space="preserve">rv_004438</t>
  </si>
  <si>
    <t xml:space="preserve">dunnjoseph</t>
  </si>
  <si>
    <t xml:space="preserve">rv_002895</t>
  </si>
  <si>
    <t xml:space="preserve">sarah10</t>
  </si>
  <si>
    <t xml:space="preserve">rv_002320</t>
  </si>
  <si>
    <t xml:space="preserve">imiller</t>
  </si>
  <si>
    <t xml:space="preserve">rv_005479</t>
  </si>
  <si>
    <t xml:space="preserve">matthew51</t>
  </si>
  <si>
    <t xml:space="preserve">rv_001159</t>
  </si>
  <si>
    <t xml:space="preserve">amy51</t>
  </si>
  <si>
    <t xml:space="preserve">rv_003020</t>
  </si>
  <si>
    <t xml:space="preserve">cowanlinda</t>
  </si>
  <si>
    <t xml:space="preserve">rv_000629</t>
  </si>
  <si>
    <t xml:space="preserve">hansenemily</t>
  </si>
  <si>
    <t xml:space="preserve">rv_002644</t>
  </si>
  <si>
    <t xml:space="preserve">allen50</t>
  </si>
  <si>
    <t xml:space="preserve">rv_004263</t>
  </si>
  <si>
    <t xml:space="preserve">jeremy08</t>
  </si>
  <si>
    <t xml:space="preserve">rv_005242</t>
  </si>
  <si>
    <t xml:space="preserve">audrey53</t>
  </si>
  <si>
    <t xml:space="preserve">rv_004026</t>
  </si>
  <si>
    <t xml:space="preserve">morganmichael</t>
  </si>
  <si>
    <t xml:space="preserve">rv_000717</t>
  </si>
  <si>
    <t xml:space="preserve">petersonkayla</t>
  </si>
  <si>
    <t xml:space="preserve">rv_000720</t>
  </si>
  <si>
    <t xml:space="preserve">rv_003151</t>
  </si>
  <si>
    <t xml:space="preserve">dana94</t>
  </si>
  <si>
    <t xml:space="preserve">rv_003999</t>
  </si>
  <si>
    <t xml:space="preserve">johnguzman</t>
  </si>
  <si>
    <t xml:space="preserve">rv_002026</t>
  </si>
  <si>
    <t xml:space="preserve">angeladalton</t>
  </si>
  <si>
    <t xml:space="preserve">rv_003070</t>
  </si>
  <si>
    <t xml:space="preserve">lunashelby</t>
  </si>
  <si>
    <t xml:space="preserve">rv_000131</t>
  </si>
  <si>
    <t xml:space="preserve">gibsonolivia</t>
  </si>
  <si>
    <t xml:space="preserve">rv_005923</t>
  </si>
  <si>
    <t xml:space="preserve">qmorris</t>
  </si>
  <si>
    <t xml:space="preserve">rv_000654</t>
  </si>
  <si>
    <t xml:space="preserve">rv_000790</t>
  </si>
  <si>
    <t xml:space="preserve">angelaburns</t>
  </si>
  <si>
    <t xml:space="preserve">rv_002185</t>
  </si>
  <si>
    <t xml:space="preserve">robertssamuel</t>
  </si>
  <si>
    <t xml:space="preserve">rv_005782</t>
  </si>
  <si>
    <t xml:space="preserve">plin</t>
  </si>
  <si>
    <t xml:space="preserve">rv_001127</t>
  </si>
  <si>
    <t xml:space="preserve">ynelson</t>
  </si>
  <si>
    <t xml:space="preserve">rv_002308</t>
  </si>
  <si>
    <t xml:space="preserve">qgill</t>
  </si>
  <si>
    <t xml:space="preserve">rv_003495</t>
  </si>
  <si>
    <t xml:space="preserve">leahcrane</t>
  </si>
  <si>
    <t xml:space="preserve">rv_004838</t>
  </si>
  <si>
    <t xml:space="preserve">mariahill</t>
  </si>
  <si>
    <t xml:space="preserve">rv_005909</t>
  </si>
  <si>
    <t xml:space="preserve">rv_004208</t>
  </si>
  <si>
    <t xml:space="preserve">tmyers</t>
  </si>
  <si>
    <t xml:space="preserve">rv_000573</t>
  </si>
  <si>
    <t xml:space="preserve">thorntonapril</t>
  </si>
  <si>
    <t xml:space="preserve">rv_005853</t>
  </si>
  <si>
    <t xml:space="preserve">baileynelson</t>
  </si>
  <si>
    <t xml:space="preserve">rv_002789</t>
  </si>
  <si>
    <t xml:space="preserve">donaldburgess</t>
  </si>
  <si>
    <t xml:space="preserve">rv_002598</t>
  </si>
  <si>
    <t xml:space="preserve">cruzariel</t>
  </si>
  <si>
    <t xml:space="preserve">rv_000554</t>
  </si>
  <si>
    <t xml:space="preserve">cporter</t>
  </si>
  <si>
    <t xml:space="preserve">rv_000773</t>
  </si>
  <si>
    <t xml:space="preserve">andrearivera</t>
  </si>
  <si>
    <t xml:space="preserve">rv_001805</t>
  </si>
  <si>
    <t xml:space="preserve">austinjohnson</t>
  </si>
  <si>
    <t xml:space="preserve">rv_004591</t>
  </si>
  <si>
    <t xml:space="preserve">sharon37</t>
  </si>
  <si>
    <t xml:space="preserve">rv_000319</t>
  </si>
  <si>
    <t xml:space="preserve">rgilbert</t>
  </si>
  <si>
    <t xml:space="preserve">rv_000675</t>
  </si>
  <si>
    <t xml:space="preserve">kimberly67</t>
  </si>
  <si>
    <t xml:space="preserve">rv_004785</t>
  </si>
  <si>
    <t xml:space="preserve">rojasmarc</t>
  </si>
  <si>
    <t xml:space="preserve">rv_001706</t>
  </si>
  <si>
    <t xml:space="preserve">veronica90</t>
  </si>
  <si>
    <t xml:space="preserve">rv_000375</t>
  </si>
  <si>
    <t xml:space="preserve">trose</t>
  </si>
  <si>
    <t xml:space="preserve">rv_004744</t>
  </si>
  <si>
    <t xml:space="preserve">dianedominguez</t>
  </si>
  <si>
    <t xml:space="preserve">rv_000600</t>
  </si>
  <si>
    <t xml:space="preserve">nancy04</t>
  </si>
  <si>
    <t xml:space="preserve">rv_004012</t>
  </si>
  <si>
    <t xml:space="preserve">stuartallison</t>
  </si>
  <si>
    <t xml:space="preserve">rv_000520</t>
  </si>
  <si>
    <t xml:space="preserve">david49</t>
  </si>
  <si>
    <t xml:space="preserve">rv_001345</t>
  </si>
  <si>
    <t xml:space="preserve">shawnpowell</t>
  </si>
  <si>
    <t xml:space="preserve">rv_002955</t>
  </si>
  <si>
    <t xml:space="preserve">michael60</t>
  </si>
  <si>
    <t xml:space="preserve">rv_003040</t>
  </si>
  <si>
    <t xml:space="preserve">samuelgarcia</t>
  </si>
  <si>
    <t xml:space="preserve">rv_005065</t>
  </si>
  <si>
    <t xml:space="preserve">brandon94</t>
  </si>
  <si>
    <t xml:space="preserve">rv_005281</t>
  </si>
  <si>
    <t xml:space="preserve">stevengoodwin</t>
  </si>
  <si>
    <t xml:space="preserve">rv_000529</t>
  </si>
  <si>
    <t xml:space="preserve">shawn02</t>
  </si>
  <si>
    <t xml:space="preserve">rv_003847</t>
  </si>
  <si>
    <t xml:space="preserve">brandon32</t>
  </si>
  <si>
    <t xml:space="preserve">rv_003866</t>
  </si>
  <si>
    <t xml:space="preserve">collinsterrance</t>
  </si>
  <si>
    <t xml:space="preserve">rv_003315</t>
  </si>
  <si>
    <t xml:space="preserve">brianna41</t>
  </si>
  <si>
    <t xml:space="preserve">rv_005137</t>
  </si>
  <si>
    <t xml:space="preserve">scottmartin</t>
  </si>
  <si>
    <t xml:space="preserve">rv_002882</t>
  </si>
  <si>
    <t xml:space="preserve">courtney10</t>
  </si>
  <si>
    <t xml:space="preserve">rv_001273</t>
  </si>
  <si>
    <t xml:space="preserve">bakerjim</t>
  </si>
  <si>
    <t xml:space="preserve">rv_001239</t>
  </si>
  <si>
    <t xml:space="preserve">rv_000911</t>
  </si>
  <si>
    <t xml:space="preserve">kellyrosales</t>
  </si>
  <si>
    <t xml:space="preserve">rv_005511</t>
  </si>
  <si>
    <t xml:space="preserve">jeremy70</t>
  </si>
  <si>
    <t xml:space="preserve">rv_002526</t>
  </si>
  <si>
    <t xml:space="preserve">zfoley</t>
  </si>
  <si>
    <t xml:space="preserve">rv_002040</t>
  </si>
  <si>
    <t xml:space="preserve">lozanocameron</t>
  </si>
  <si>
    <t xml:space="preserve">rv_005521</t>
  </si>
  <si>
    <t xml:space="preserve">amiranda</t>
  </si>
  <si>
    <t xml:space="preserve">rv_004192</t>
  </si>
  <si>
    <t xml:space="preserve">floreskelsey</t>
  </si>
  <si>
    <t xml:space="preserve">rv_002987</t>
  </si>
  <si>
    <t xml:space="preserve">nirwin</t>
  </si>
  <si>
    <t xml:space="preserve">rv_003312</t>
  </si>
  <si>
    <t xml:space="preserve">hollysantos</t>
  </si>
  <si>
    <t xml:space="preserve">rv_003533</t>
  </si>
  <si>
    <t xml:space="preserve">bartlettruth</t>
  </si>
  <si>
    <t xml:space="preserve">rv_005447</t>
  </si>
  <si>
    <t xml:space="preserve">marilyn10</t>
  </si>
  <si>
    <t xml:space="preserve">rv_002102</t>
  </si>
  <si>
    <t xml:space="preserve">morrowshelby</t>
  </si>
  <si>
    <t xml:space="preserve">rv_002143</t>
  </si>
  <si>
    <t xml:space="preserve">christopherpage</t>
  </si>
  <si>
    <t xml:space="preserve">rv_005637</t>
  </si>
  <si>
    <t xml:space="preserve">parcher</t>
  </si>
  <si>
    <t xml:space="preserve">rv_005082</t>
  </si>
  <si>
    <t xml:space="preserve">waynetorres</t>
  </si>
  <si>
    <t xml:space="preserve">rv_005229</t>
  </si>
  <si>
    <t xml:space="preserve">catherinemoore</t>
  </si>
  <si>
    <t xml:space="preserve">rv_000788</t>
  </si>
  <si>
    <t xml:space="preserve">ibarnes</t>
  </si>
  <si>
    <t xml:space="preserve">rv_003535</t>
  </si>
  <si>
    <t xml:space="preserve">darlene60</t>
  </si>
  <si>
    <t xml:space="preserve">rv_004798</t>
  </si>
  <si>
    <t xml:space="preserve">hernandezmadison</t>
  </si>
  <si>
    <t xml:space="preserve">rv_005147</t>
  </si>
  <si>
    <t xml:space="preserve">nbailey</t>
  </si>
  <si>
    <t xml:space="preserve">rv_004446</t>
  </si>
  <si>
    <t xml:space="preserve">georgeburch</t>
  </si>
  <si>
    <t xml:space="preserve">rv_003164</t>
  </si>
  <si>
    <t xml:space="preserve">torresjill</t>
  </si>
  <si>
    <t xml:space="preserve">rv_005679</t>
  </si>
  <si>
    <t xml:space="preserve">shelley85</t>
  </si>
  <si>
    <t xml:space="preserve">rv_000120</t>
  </si>
  <si>
    <t xml:space="preserve">elizabeth56</t>
  </si>
  <si>
    <t xml:space="preserve">rv_003627</t>
  </si>
  <si>
    <t xml:space="preserve">daniel26</t>
  </si>
  <si>
    <t xml:space="preserve">rv_001461</t>
  </si>
  <si>
    <t xml:space="preserve">deanna81</t>
  </si>
  <si>
    <t xml:space="preserve">rv_002732</t>
  </si>
  <si>
    <t xml:space="preserve">rv_003330</t>
  </si>
  <si>
    <t xml:space="preserve">christopher38</t>
  </si>
  <si>
    <t xml:space="preserve">rv_005748</t>
  </si>
  <si>
    <t xml:space="preserve">burkejacob</t>
  </si>
  <si>
    <t xml:space="preserve">rv_003128</t>
  </si>
  <si>
    <t xml:space="preserve">kathleen47</t>
  </si>
  <si>
    <t xml:space="preserve">rv_003995</t>
  </si>
  <si>
    <t xml:space="preserve">rv_001384</t>
  </si>
  <si>
    <t xml:space="preserve">dustinhaley</t>
  </si>
  <si>
    <t xml:space="preserve">rv_000680</t>
  </si>
  <si>
    <t xml:space="preserve">joycesmith</t>
  </si>
  <si>
    <t xml:space="preserve">rv_001351</t>
  </si>
  <si>
    <t xml:space="preserve">susan77</t>
  </si>
  <si>
    <t xml:space="preserve">rv_004802</t>
  </si>
  <si>
    <t xml:space="preserve">smithjose</t>
  </si>
  <si>
    <t xml:space="preserve">rv_005054</t>
  </si>
  <si>
    <t xml:space="preserve">kristopherhanson</t>
  </si>
  <si>
    <t xml:space="preserve">rv_004428</t>
  </si>
  <si>
    <t xml:space="preserve">jmedina</t>
  </si>
  <si>
    <t xml:space="preserve">Good enough for basic transactions. Smooth experience, no complaints at all.</t>
  </si>
  <si>
    <t xml:space="preserve">rv_004571</t>
  </si>
  <si>
    <t xml:space="preserve">erika59</t>
  </si>
  <si>
    <t xml:space="preserve">rv_003044</t>
  </si>
  <si>
    <t xml:space="preserve">rv_005631</t>
  </si>
  <si>
    <t xml:space="preserve">michelle18</t>
  </si>
  <si>
    <t xml:space="preserve">rv_002110</t>
  </si>
  <si>
    <t xml:space="preserve">moralescourtney</t>
  </si>
  <si>
    <t xml:space="preserve">rv_001813</t>
  </si>
  <si>
    <t xml:space="preserve">ruizsamantha</t>
  </si>
  <si>
    <t xml:space="preserve">rv_004654</t>
  </si>
  <si>
    <t xml:space="preserve">deborah60</t>
  </si>
  <si>
    <t xml:space="preserve">rv_000252</t>
  </si>
  <si>
    <t xml:space="preserve">tyronemoran</t>
  </si>
  <si>
    <t xml:space="preserve">rv_004516</t>
  </si>
  <si>
    <t xml:space="preserve">phillipsbrian</t>
  </si>
  <si>
    <t xml:space="preserve">rv_001603</t>
  </si>
  <si>
    <t xml:space="preserve">nicholasjames</t>
  </si>
  <si>
    <t xml:space="preserve">rv_002806</t>
  </si>
  <si>
    <t xml:space="preserve">virginia36</t>
  </si>
  <si>
    <t xml:space="preserve">rv_004610</t>
  </si>
  <si>
    <t xml:space="preserve">marvin69</t>
  </si>
  <si>
    <t xml:space="preserve">rv_005936</t>
  </si>
  <si>
    <t xml:space="preserve">wilsonstephen</t>
  </si>
  <si>
    <t xml:space="preserve">rv_004954</t>
  </si>
  <si>
    <t xml:space="preserve">jessicahines</t>
  </si>
  <si>
    <t xml:space="preserve">rv_005965</t>
  </si>
  <si>
    <t xml:space="preserve">laura25</t>
  </si>
  <si>
    <t xml:space="preserve">rv_001173</t>
  </si>
  <si>
    <t xml:space="preserve">joshuastuart</t>
  </si>
  <si>
    <t xml:space="preserve">rv_005976</t>
  </si>
  <si>
    <t xml:space="preserve">vbennett</t>
  </si>
  <si>
    <t xml:space="preserve">rv_005274</t>
  </si>
  <si>
    <t xml:space="preserve">barnesluke</t>
  </si>
  <si>
    <t xml:space="preserve">rv_005036</t>
  </si>
  <si>
    <t xml:space="preserve">kimberlycooper</t>
  </si>
  <si>
    <t xml:space="preserve">rv_000443</t>
  </si>
  <si>
    <t xml:space="preserve">shannon82</t>
  </si>
  <si>
    <t xml:space="preserve">rv_005224</t>
  </si>
  <si>
    <t xml:space="preserve">angelcunningham</t>
  </si>
  <si>
    <t xml:space="preserve">rv_004574</t>
  </si>
  <si>
    <t xml:space="preserve">mendezlori</t>
  </si>
  <si>
    <t xml:space="preserve">rv_001406</t>
  </si>
  <si>
    <t xml:space="preserve">clarkrandy</t>
  </si>
  <si>
    <t xml:space="preserve">rv_002029</t>
  </si>
  <si>
    <t xml:space="preserve">hfreeman</t>
  </si>
  <si>
    <t xml:space="preserve">rv_004698</t>
  </si>
  <si>
    <t xml:space="preserve">greeralexander</t>
  </si>
  <si>
    <t xml:space="preserve">rv_003441</t>
  </si>
  <si>
    <t xml:space="preserve">todd35</t>
  </si>
  <si>
    <t xml:space="preserve">rv_005140</t>
  </si>
  <si>
    <t xml:space="preserve">uzimmerman</t>
  </si>
  <si>
    <t xml:space="preserve">rv_004632</t>
  </si>
  <si>
    <t xml:space="preserve">jessicaward</t>
  </si>
  <si>
    <t xml:space="preserve">rv_004060</t>
  </si>
  <si>
    <t xml:space="preserve">chadwilson</t>
  </si>
  <si>
    <t xml:space="preserve">rv_000572</t>
  </si>
  <si>
    <t xml:space="preserve">vsalas</t>
  </si>
  <si>
    <t xml:space="preserve">rv_004899</t>
  </si>
  <si>
    <t xml:space="preserve">estradashannon</t>
  </si>
  <si>
    <t xml:space="preserve">rv_000068</t>
  </si>
  <si>
    <t xml:space="preserve">sara74</t>
  </si>
  <si>
    <t xml:space="preserve">rv_002730</t>
  </si>
  <si>
    <t xml:space="preserve">susanguzman</t>
  </si>
  <si>
    <t xml:space="preserve">rv_001925</t>
  </si>
  <si>
    <t xml:space="preserve">franklinjames</t>
  </si>
  <si>
    <t xml:space="preserve">rv_004929</t>
  </si>
  <si>
    <t xml:space="preserve">ryanadams</t>
  </si>
  <si>
    <t xml:space="preserve">rv_002634</t>
  </si>
  <si>
    <t xml:space="preserve">rv_001575</t>
  </si>
  <si>
    <t xml:space="preserve">jerryjohnson</t>
  </si>
  <si>
    <t xml:space="preserve">rv_000938</t>
  </si>
  <si>
    <t xml:space="preserve">deborahporter</t>
  </si>
  <si>
    <t xml:space="preserve">rv_005390</t>
  </si>
  <si>
    <t xml:space="preserve">jodi31</t>
  </si>
  <si>
    <t xml:space="preserve">rv_004256</t>
  </si>
  <si>
    <t xml:space="preserve">edwardmills</t>
  </si>
  <si>
    <t xml:space="preserve">rv_002763</t>
  </si>
  <si>
    <t xml:space="preserve">martinbrian</t>
  </si>
  <si>
    <t xml:space="preserve">rv_001832</t>
  </si>
  <si>
    <t xml:space="preserve">douglasnelson</t>
  </si>
  <si>
    <t xml:space="preserve">rv_005628</t>
  </si>
  <si>
    <t xml:space="preserve">carloswerner</t>
  </si>
  <si>
    <t xml:space="preserve">rv_001889</t>
  </si>
  <si>
    <t xml:space="preserve">karenhodges</t>
  </si>
  <si>
    <t xml:space="preserve">rv_002306</t>
  </si>
  <si>
    <t xml:space="preserve">ualvarez</t>
  </si>
  <si>
    <t xml:space="preserve">rv_000415</t>
  </si>
  <si>
    <t xml:space="preserve">riveraangela</t>
  </si>
  <si>
    <t xml:space="preserve">It freezes and then crashes, had to reinstall twice. It's okay, does what it needs to do.</t>
  </si>
  <si>
    <t xml:space="preserve">rv_003093</t>
  </si>
  <si>
    <t xml:space="preserve">lisa33</t>
  </si>
  <si>
    <t xml:space="preserve">rv_005893</t>
  </si>
  <si>
    <t xml:space="preserve">owensjacob</t>
  </si>
  <si>
    <t xml:space="preserve">rv_002635</t>
  </si>
  <si>
    <t xml:space="preserve">yvonne35</t>
  </si>
  <si>
    <t xml:space="preserve">rv_004272</t>
  </si>
  <si>
    <t xml:space="preserve">jacqueline95</t>
  </si>
  <si>
    <t xml:space="preserve">rv_004666</t>
  </si>
  <si>
    <t xml:space="preserve">jack12</t>
  </si>
  <si>
    <t xml:space="preserve">rv_003150</t>
  </si>
  <si>
    <t xml:space="preserve">tyler23</t>
  </si>
  <si>
    <t xml:space="preserve">rv_003591</t>
  </si>
  <si>
    <t xml:space="preserve">davidcook</t>
  </si>
  <si>
    <t xml:space="preserve">rv_004375</t>
  </si>
  <si>
    <t xml:space="preserve">kimmichael</t>
  </si>
  <si>
    <t xml:space="preserve">rv_005452</t>
  </si>
  <si>
    <t xml:space="preserve">vflowers</t>
  </si>
  <si>
    <t xml:space="preserve">rv_000081</t>
  </si>
  <si>
    <t xml:space="preserve">stephen10</t>
  </si>
  <si>
    <t xml:space="preserve">rv_005412</t>
  </si>
  <si>
    <t xml:space="preserve">sabrina54</t>
  </si>
  <si>
    <t xml:space="preserve">rv_001509</t>
  </si>
  <si>
    <t xml:space="preserve">duncanashley</t>
  </si>
  <si>
    <t xml:space="preserve">rv_005020</t>
  </si>
  <si>
    <t xml:space="preserve">ewest</t>
  </si>
  <si>
    <t xml:space="preserve">rv_002745</t>
  </si>
  <si>
    <t xml:space="preserve">rv_003018</t>
  </si>
  <si>
    <t xml:space="preserve">amyjames</t>
  </si>
  <si>
    <t xml:space="preserve">rv_004092</t>
  </si>
  <si>
    <t xml:space="preserve">feliciasalazar</t>
  </si>
  <si>
    <t xml:space="preserve">rv_001741</t>
  </si>
  <si>
    <t xml:space="preserve">sotobelinda</t>
  </si>
  <si>
    <t xml:space="preserve">rv_001548</t>
  </si>
  <si>
    <t xml:space="preserve">yhall</t>
  </si>
  <si>
    <t xml:space="preserve">rv_000191</t>
  </si>
  <si>
    <t xml:space="preserve">blackjames</t>
  </si>
  <si>
    <t xml:space="preserve">rv_005156</t>
  </si>
  <si>
    <t xml:space="preserve">kimberlyblair</t>
  </si>
  <si>
    <t xml:space="preserve">rv_004828</t>
  </si>
  <si>
    <t xml:space="preserve">christopher06</t>
  </si>
  <si>
    <t xml:space="preserve">rv_003924</t>
  </si>
  <si>
    <t xml:space="preserve">nancyholt</t>
  </si>
  <si>
    <t xml:space="preserve">rv_000331</t>
  </si>
  <si>
    <t xml:space="preserve">amberlindsey</t>
  </si>
  <si>
    <t xml:space="preserve">rv_005429</t>
  </si>
  <si>
    <t xml:space="preserve">brittanymartin</t>
  </si>
  <si>
    <t xml:space="preserve">rv_002570</t>
  </si>
  <si>
    <t xml:space="preserve">karen35</t>
  </si>
  <si>
    <t xml:space="preserve">rv_005186</t>
  </si>
  <si>
    <t xml:space="preserve">rv_004363</t>
  </si>
  <si>
    <t xml:space="preserve">steventerry</t>
  </si>
  <si>
    <t xml:space="preserve">rv_003861</t>
  </si>
  <si>
    <t xml:space="preserve">ericsmith</t>
  </si>
  <si>
    <t xml:space="preserve">rv_004176</t>
  </si>
  <si>
    <t xml:space="preserve">ljacobs</t>
  </si>
  <si>
    <t xml:space="preserve">rv_004506</t>
  </si>
  <si>
    <t xml:space="preserve">bevans</t>
  </si>
  <si>
    <t xml:space="preserve">rv_002025</t>
  </si>
  <si>
    <t xml:space="preserve">cstevens</t>
  </si>
  <si>
    <t xml:space="preserve">rv_003068</t>
  </si>
  <si>
    <t xml:space="preserve">michellewilson</t>
  </si>
  <si>
    <t xml:space="preserve">rv_000595</t>
  </si>
  <si>
    <t xml:space="preserve">manuel01</t>
  </si>
  <si>
    <t xml:space="preserve">rv_005606</t>
  </si>
  <si>
    <t xml:space="preserve">christopherwatkins</t>
  </si>
  <si>
    <t xml:space="preserve">rv_000576</t>
  </si>
  <si>
    <t xml:space="preserve">vbarr</t>
  </si>
  <si>
    <t xml:space="preserve">rv_003644</t>
  </si>
  <si>
    <t xml:space="preserve">benjamin91</t>
  </si>
  <si>
    <t xml:space="preserve">rv_004025</t>
  </si>
  <si>
    <t xml:space="preserve">hbowers</t>
  </si>
  <si>
    <t xml:space="preserve">rv_003916</t>
  </si>
  <si>
    <t xml:space="preserve">jamiethomas</t>
  </si>
  <si>
    <t xml:space="preserve">rv_003606</t>
  </si>
  <si>
    <t xml:space="preserve">wferguson</t>
  </si>
  <si>
    <t xml:space="preserve">rv_005189</t>
  </si>
  <si>
    <t xml:space="preserve">rv_004674</t>
  </si>
  <si>
    <t xml:space="preserve">samantha61</t>
  </si>
  <si>
    <t xml:space="preserve">rv_004341</t>
  </si>
  <si>
    <t xml:space="preserve">amberdavis</t>
  </si>
  <si>
    <t xml:space="preserve">rv_003177</t>
  </si>
  <si>
    <t xml:space="preserve">josephshelton</t>
  </si>
  <si>
    <t xml:space="preserve">rv_004240</t>
  </si>
  <si>
    <t xml:space="preserve">krystalhenderson</t>
  </si>
  <si>
    <t xml:space="preserve">rv_001360</t>
  </si>
  <si>
    <t xml:space="preserve">victorgonzalez</t>
  </si>
  <si>
    <t xml:space="preserve">Battery drains so fast whenever this app is open. Average experience, nothing special.</t>
  </si>
  <si>
    <t xml:space="preserve">rv_002288</t>
  </si>
  <si>
    <t xml:space="preserve">rv_005208</t>
  </si>
  <si>
    <t xml:space="preserve">rv_001956</t>
  </si>
  <si>
    <t xml:space="preserve">brianward</t>
  </si>
  <si>
    <t xml:space="preserve">rv_000988</t>
  </si>
  <si>
    <t xml:space="preserve">garciajamie</t>
  </si>
  <si>
    <t xml:space="preserve">rv_005359</t>
  </si>
  <si>
    <t xml:space="preserve">melissalopez</t>
  </si>
  <si>
    <t xml:space="preserve">rv_003663</t>
  </si>
  <si>
    <t xml:space="preserve">rv_003266</t>
  </si>
  <si>
    <t xml:space="preserve">wmason</t>
  </si>
  <si>
    <t xml:space="preserve">rv_004818</t>
  </si>
  <si>
    <t xml:space="preserve">amywells</t>
  </si>
  <si>
    <t xml:space="preserve">rv_000033</t>
  </si>
  <si>
    <t xml:space="preserve">tasha01</t>
  </si>
  <si>
    <t xml:space="preserve">rv_005091</t>
  </si>
  <si>
    <t xml:space="preserve">rv_002163</t>
  </si>
  <si>
    <t xml:space="preserve">longbrittany</t>
  </si>
  <si>
    <t xml:space="preserve">rv_001591</t>
  </si>
  <si>
    <t xml:space="preserve">rv_005838</t>
  </si>
  <si>
    <t xml:space="preserve">derrick63</t>
  </si>
  <si>
    <t xml:space="preserve">rv_005845</t>
  </si>
  <si>
    <t xml:space="preserve">cheryl54</t>
  </si>
  <si>
    <t xml:space="preserve">rv_005554</t>
  </si>
  <si>
    <t xml:space="preserve">samantha54</t>
  </si>
  <si>
    <t xml:space="preserve">rv_005222</t>
  </si>
  <si>
    <t xml:space="preserve">rv_003187</t>
  </si>
  <si>
    <t xml:space="preserve">margaret10</t>
  </si>
  <si>
    <t xml:space="preserve">rv_005218</t>
  </si>
  <si>
    <t xml:space="preserve">williamortiz</t>
  </si>
  <si>
    <t xml:space="preserve">rv_001126</t>
  </si>
  <si>
    <t xml:space="preserve">ian66</t>
  </si>
  <si>
    <t xml:space="preserve">rv_001281</t>
  </si>
  <si>
    <t xml:space="preserve">zacharygomez</t>
  </si>
  <si>
    <t xml:space="preserve">rv_003819</t>
  </si>
  <si>
    <t xml:space="preserve">aandrews</t>
  </si>
  <si>
    <t xml:space="preserve">rv_001930</t>
  </si>
  <si>
    <t xml:space="preserve">kerrmichael</t>
  </si>
  <si>
    <t xml:space="preserve">rv_000493</t>
  </si>
  <si>
    <t xml:space="preserve">erikarush</t>
  </si>
  <si>
    <t xml:space="preserve">rv_004027</t>
  </si>
  <si>
    <t xml:space="preserve">susanhenry</t>
  </si>
  <si>
    <t xml:space="preserve">rv_003043</t>
  </si>
  <si>
    <t xml:space="preserve">mary25</t>
  </si>
  <si>
    <t xml:space="preserve">rv_000778</t>
  </si>
  <si>
    <t xml:space="preserve">bushjamie</t>
  </si>
  <si>
    <t xml:space="preserve">rv_004116</t>
  </si>
  <si>
    <t xml:space="preserve">danielleandrews</t>
  </si>
  <si>
    <t xml:space="preserve">rv_004599</t>
  </si>
  <si>
    <t xml:space="preserve">rv_004583</t>
  </si>
  <si>
    <t xml:space="preserve">kelly66</t>
  </si>
  <si>
    <t xml:space="preserve">rv_004709</t>
  </si>
  <si>
    <t xml:space="preserve">justinthompson</t>
  </si>
  <si>
    <t xml:space="preserve">rv_005914</t>
  </si>
  <si>
    <t xml:space="preserve">robinsonjennifer</t>
  </si>
  <si>
    <t xml:space="preserve">rv_002366</t>
  </si>
  <si>
    <t xml:space="preserve">changerin</t>
  </si>
  <si>
    <t xml:space="preserve">rv_000679</t>
  </si>
  <si>
    <t xml:space="preserve">nathangutierrez</t>
  </si>
  <si>
    <t xml:space="preserve">rv_005288</t>
  </si>
  <si>
    <t xml:space="preserve">mathewbennett</t>
  </si>
  <si>
    <t xml:space="preserve">rv_004261</t>
  </si>
  <si>
    <t xml:space="preserve">amydavis</t>
  </si>
  <si>
    <t xml:space="preserve">rv_000020</t>
  </si>
  <si>
    <t xml:space="preserve">ogray</t>
  </si>
  <si>
    <t xml:space="preserve">rv_001125</t>
  </si>
  <si>
    <t xml:space="preserve">natalie15</t>
  </si>
  <si>
    <t xml:space="preserve">rv_001299</t>
  </si>
  <si>
    <t xml:space="preserve">cindydixon</t>
  </si>
  <si>
    <t xml:space="preserve">rv_001192</t>
  </si>
  <si>
    <t xml:space="preserve">ybutler</t>
  </si>
  <si>
    <t xml:space="preserve">rv_001608</t>
  </si>
  <si>
    <t xml:space="preserve">roachsusan</t>
  </si>
  <si>
    <t xml:space="preserve">rv_002893</t>
  </si>
  <si>
    <t xml:space="preserve">colleen45</t>
  </si>
  <si>
    <t xml:space="preserve">rv_004298</t>
  </si>
  <si>
    <t xml:space="preserve">joseconrad</t>
  </si>
  <si>
    <t xml:space="preserve">rv_004613</t>
  </si>
  <si>
    <t xml:space="preserve">sandradavenport</t>
  </si>
  <si>
    <t xml:space="preserve">rv_004810</t>
  </si>
  <si>
    <t xml:space="preserve">weberbrian</t>
  </si>
  <si>
    <t xml:space="preserve">rv_003928</t>
  </si>
  <si>
    <t xml:space="preserve">rv_000604</t>
  </si>
  <si>
    <t xml:space="preserve">znelson</t>
  </si>
  <si>
    <t xml:space="preserve">rv_002552</t>
  </si>
  <si>
    <t xml:space="preserve">barrettjoshua</t>
  </si>
  <si>
    <t xml:space="preserve">rv_001263</t>
  </si>
  <si>
    <t xml:space="preserve">rebeccaarnold</t>
  </si>
  <si>
    <t xml:space="preserve">rv_004579</t>
  </si>
  <si>
    <t xml:space="preserve">eric81</t>
  </si>
  <si>
    <t xml:space="preserve">rv_002791</t>
  </si>
  <si>
    <t xml:space="preserve">danielmitchell</t>
  </si>
  <si>
    <t xml:space="preserve">rv_004765</t>
  </si>
  <si>
    <t xml:space="preserve">josephmeyer</t>
  </si>
  <si>
    <t xml:space="preserve">rv_000445</t>
  </si>
  <si>
    <t xml:space="preserve">bwilkerson</t>
  </si>
  <si>
    <t xml:space="preserve">rv_002541</t>
  </si>
  <si>
    <t xml:space="preserve">regina31</t>
  </si>
  <si>
    <t xml:space="preserve">rv_005685</t>
  </si>
  <si>
    <t xml:space="preserve">mbaker</t>
  </si>
  <si>
    <t xml:space="preserve">rv_003174</t>
  </si>
  <si>
    <t xml:space="preserve">leestephanie</t>
  </si>
  <si>
    <t xml:space="preserve">rv_005920</t>
  </si>
  <si>
    <t xml:space="preserve">qhendricks</t>
  </si>
  <si>
    <t xml:space="preserve">rv_001133</t>
  </si>
  <si>
    <t xml:space="preserve">cheryl27</t>
  </si>
  <si>
    <t xml:space="preserve">rv_000932</t>
  </si>
  <si>
    <t xml:space="preserve">david70</t>
  </si>
  <si>
    <t xml:space="preserve">rv_003953</t>
  </si>
  <si>
    <t xml:space="preserve">vgates</t>
  </si>
  <si>
    <t xml:space="preserve">rv_005049</t>
  </si>
  <si>
    <t xml:space="preserve">curtis81</t>
  </si>
  <si>
    <t xml:space="preserve">rv_004586</t>
  </si>
  <si>
    <t xml:space="preserve">benjaminbrown</t>
  </si>
  <si>
    <t xml:space="preserve">rv_001932</t>
  </si>
  <si>
    <t xml:space="preserve">rv_002867</t>
  </si>
  <si>
    <t xml:space="preserve">deborahsmith</t>
  </si>
  <si>
    <t xml:space="preserve">rv_004432</t>
  </si>
  <si>
    <t xml:space="preserve">sarah78</t>
  </si>
  <si>
    <t xml:space="preserve">rv_000307</t>
  </si>
  <si>
    <t xml:space="preserve">christopher60</t>
  </si>
  <si>
    <t xml:space="preserve">rv_001385</t>
  </si>
  <si>
    <t xml:space="preserve">thomassmith</t>
  </si>
  <si>
    <t xml:space="preserve">rv_001585</t>
  </si>
  <si>
    <t xml:space="preserve">mparsons</t>
  </si>
  <si>
    <t xml:space="preserve">rv_005197</t>
  </si>
  <si>
    <t xml:space="preserve">gutierrezdavid</t>
  </si>
  <si>
    <t xml:space="preserve">rv_003841</t>
  </si>
  <si>
    <t xml:space="preserve">rv_004523</t>
  </si>
  <si>
    <t xml:space="preserve">gaydustin</t>
  </si>
  <si>
    <t xml:space="preserve">rv_000323</t>
  </si>
  <si>
    <t xml:space="preserve">bruce43</t>
  </si>
  <si>
    <t xml:space="preserve">rv_002112</t>
  </si>
  <si>
    <t xml:space="preserve">zacharybooker</t>
  </si>
  <si>
    <t xml:space="preserve">rv_005312</t>
  </si>
  <si>
    <t xml:space="preserve">rv_002704</t>
  </si>
  <si>
    <t xml:space="preserve">rv_000750</t>
  </si>
  <si>
    <t xml:space="preserve">samuelcarter</t>
  </si>
  <si>
    <t xml:space="preserve">rv_000980</t>
  </si>
  <si>
    <t xml:space="preserve">amy17</t>
  </si>
  <si>
    <t xml:space="preserve">rv_004429</t>
  </si>
  <si>
    <t xml:space="preserve">catherine41</t>
  </si>
  <si>
    <t xml:space="preserve">rv_001129</t>
  </si>
  <si>
    <t xml:space="preserve">danielhorton</t>
  </si>
  <si>
    <t xml:space="preserve">rv_000049</t>
  </si>
  <si>
    <t xml:space="preserve">wrightcaleb</t>
  </si>
  <si>
    <t xml:space="preserve">rv_002074</t>
  </si>
  <si>
    <t xml:space="preserve">kristine48</t>
  </si>
  <si>
    <t xml:space="preserve">rv_000816</t>
  </si>
  <si>
    <t xml:space="preserve">jenniferpoole</t>
  </si>
  <si>
    <t xml:space="preserve">rv_005254</t>
  </si>
  <si>
    <t xml:space="preserve">samuel38</t>
  </si>
  <si>
    <t xml:space="preserve">rv_001660</t>
  </si>
  <si>
    <t xml:space="preserve">kimberly21</t>
  </si>
  <si>
    <t xml:space="preserve">rv_005651</t>
  </si>
  <si>
    <t xml:space="preserve">jennifer93</t>
  </si>
  <si>
    <t xml:space="preserve">rv_005380</t>
  </si>
  <si>
    <t xml:space="preserve">jeremy75</t>
  </si>
  <si>
    <t xml:space="preserve">rv_005291</t>
  </si>
  <si>
    <t xml:space="preserve">dyersara</t>
  </si>
  <si>
    <t xml:space="preserve">rv_003732</t>
  </si>
  <si>
    <t xml:space="preserve">aprince</t>
  </si>
  <si>
    <t xml:space="preserve">rv_003609</t>
  </si>
  <si>
    <t xml:space="preserve">mikemorgan</t>
  </si>
  <si>
    <t xml:space="preserve">rv_000521</t>
  </si>
  <si>
    <t xml:space="preserve">shawgary</t>
  </si>
  <si>
    <t xml:space="preserve">rv_005395</t>
  </si>
  <si>
    <t xml:space="preserve">pduran</t>
  </si>
  <si>
    <t xml:space="preserve">rv_004374</t>
  </si>
  <si>
    <t xml:space="preserve">garciadonald</t>
  </si>
  <si>
    <t xml:space="preserve">rv_000690</t>
  </si>
  <si>
    <t xml:space="preserve">gutierrezmegan</t>
  </si>
  <si>
    <t xml:space="preserve">rv_005084</t>
  </si>
  <si>
    <t xml:space="preserve">bduke</t>
  </si>
  <si>
    <t xml:space="preserve">rv_003333</t>
  </si>
  <si>
    <t xml:space="preserve">martinezashley</t>
  </si>
  <si>
    <t xml:space="preserve">rv_004044</t>
  </si>
  <si>
    <t xml:space="preserve">williammaldonado</t>
  </si>
  <si>
    <t xml:space="preserve">rv_001819</t>
  </si>
  <si>
    <t xml:space="preserve">bryanharris</t>
  </si>
  <si>
    <t xml:space="preserve">rv_002593</t>
  </si>
  <si>
    <t xml:space="preserve">mgonzalez</t>
  </si>
  <si>
    <t xml:space="preserve">rv_005496</t>
  </si>
  <si>
    <t xml:space="preserve">trobinson</t>
  </si>
  <si>
    <t xml:space="preserve">rv_003402</t>
  </si>
  <si>
    <t xml:space="preserve">donald38</t>
  </si>
  <si>
    <t xml:space="preserve">rv_001682</t>
  </si>
  <si>
    <t xml:space="preserve">michellejensen</t>
  </si>
  <si>
    <t xml:space="preserve">2026-05</t>
  </si>
  <si>
    <t xml:space="preserve">rv_002373</t>
  </si>
  <si>
    <t xml:space="preserve">cameronanderson</t>
  </si>
  <si>
    <t xml:space="preserve">rv_003086</t>
  </si>
  <si>
    <t xml:space="preserve">dustin51</t>
  </si>
  <si>
    <t xml:space="preserve">rv_004558</t>
  </si>
  <si>
    <t xml:space="preserve">grahamlisa</t>
  </si>
  <si>
    <t xml:space="preserve">rv_005055</t>
  </si>
  <si>
    <t xml:space="preserve">housedaniel</t>
  </si>
  <si>
    <t xml:space="preserve">rv_004863</t>
  </si>
  <si>
    <t xml:space="preserve">nrangel</t>
  </si>
  <si>
    <t xml:space="preserve">rv_003388</t>
  </si>
  <si>
    <t xml:space="preserve">eroberts</t>
  </si>
  <si>
    <t xml:space="preserve">rv_000121</t>
  </si>
  <si>
    <t xml:space="preserve">angela36</t>
  </si>
  <si>
    <t xml:space="preserve">rv_002832</t>
  </si>
  <si>
    <t xml:space="preserve">kevin73</t>
  </si>
  <si>
    <t xml:space="preserve">rv_005199</t>
  </si>
  <si>
    <t xml:space="preserve">jose20</t>
  </si>
  <si>
    <t xml:space="preserve">rv_000539</t>
  </si>
  <si>
    <t xml:space="preserve">tyronerobertson</t>
  </si>
  <si>
    <t xml:space="preserve">rv_000051</t>
  </si>
  <si>
    <t xml:space="preserve">adrianzimmerman</t>
  </si>
  <si>
    <t xml:space="preserve">rv_001478</t>
  </si>
  <si>
    <t xml:space="preserve">millscarl</t>
  </si>
  <si>
    <t xml:space="preserve">rv_001165</t>
  </si>
  <si>
    <t xml:space="preserve">owilliams</t>
  </si>
  <si>
    <t xml:space="preserve">rv_003991</t>
  </si>
  <si>
    <t xml:space="preserve">wjordan</t>
  </si>
  <si>
    <t xml:space="preserve">rv_001590</t>
  </si>
  <si>
    <t xml:space="preserve">oblack</t>
  </si>
  <si>
    <t xml:space="preserve">rv_002881</t>
  </si>
  <si>
    <t xml:space="preserve">timothy30</t>
  </si>
  <si>
    <t xml:space="preserve">rv_001438</t>
  </si>
  <si>
    <t xml:space="preserve">jenniferacosta</t>
  </si>
  <si>
    <t xml:space="preserve">rv_002845</t>
  </si>
  <si>
    <t xml:space="preserve">suarezkrystal</t>
  </si>
  <si>
    <t xml:space="preserve">rv_001140</t>
  </si>
  <si>
    <t xml:space="preserve">rreed</t>
  </si>
  <si>
    <t xml:space="preserve">rv_001531</t>
  </si>
  <si>
    <t xml:space="preserve">michael55</t>
  </si>
  <si>
    <t xml:space="preserve">rv_002269</t>
  </si>
  <si>
    <t xml:space="preserve">johnsonmatthew</t>
  </si>
  <si>
    <t xml:space="preserve">rv_002478</t>
  </si>
  <si>
    <t xml:space="preserve">latoya53</t>
  </si>
  <si>
    <t xml:space="preserve">rv_001040</t>
  </si>
  <si>
    <t xml:space="preserve">xwilliams</t>
  </si>
  <si>
    <t xml:space="preserve">rv_005953</t>
  </si>
  <si>
    <t xml:space="preserve">jamesroberts</t>
  </si>
  <si>
    <t xml:space="preserve">rv_002670</t>
  </si>
  <si>
    <t xml:space="preserve">melaniewhitney</t>
  </si>
  <si>
    <t xml:space="preserve">rv_001639</t>
  </si>
  <si>
    <t xml:space="preserve">katie15</t>
  </si>
  <si>
    <t xml:space="preserve">rv_005846</t>
  </si>
  <si>
    <t xml:space="preserve">psandoval</t>
  </si>
  <si>
    <t xml:space="preserve">rv_001205</t>
  </si>
  <si>
    <t xml:space="preserve">charles58</t>
  </si>
  <si>
    <t xml:space="preserve">rv_004499</t>
  </si>
  <si>
    <t xml:space="preserve">zbyrd</t>
  </si>
  <si>
    <t xml:space="preserve">rv_005357</t>
  </si>
  <si>
    <t xml:space="preserve">colemanjohn</t>
  </si>
  <si>
    <t xml:space="preserve">rv_005205</t>
  </si>
  <si>
    <t xml:space="preserve">nathan62</t>
  </si>
  <si>
    <t xml:space="preserve">rv_005749</t>
  </si>
  <si>
    <t xml:space="preserve">wbowers</t>
  </si>
  <si>
    <t xml:space="preserve">rv_003385</t>
  </si>
  <si>
    <t xml:space="preserve">rv_002230</t>
  </si>
  <si>
    <t xml:space="preserve">catherinegarcia</t>
  </si>
  <si>
    <t xml:space="preserve">rv_005006</t>
  </si>
  <si>
    <t xml:space="preserve">ashley79</t>
  </si>
  <si>
    <t xml:space="preserve">rv_001700</t>
  </si>
  <si>
    <t xml:space="preserve">pmurphy</t>
  </si>
  <si>
    <t xml:space="preserve">rv_002946</t>
  </si>
  <si>
    <t xml:space="preserve">riverapeggy</t>
  </si>
  <si>
    <t xml:space="preserve">rv_003639</t>
  </si>
  <si>
    <t xml:space="preserve">christopherdavis</t>
  </si>
  <si>
    <t xml:space="preserve">rv_004073</t>
  </si>
  <si>
    <t xml:space="preserve">kaylahardy</t>
  </si>
  <si>
    <t xml:space="preserve">rv_002655</t>
  </si>
  <si>
    <t xml:space="preserve">jasonmullins</t>
  </si>
  <si>
    <t xml:space="preserve">rv_005789</t>
  </si>
  <si>
    <t xml:space="preserve">kimthompson</t>
  </si>
  <si>
    <t xml:space="preserve">rv_005572</t>
  </si>
  <si>
    <t xml:space="preserve">johnsross</t>
  </si>
  <si>
    <t xml:space="preserve">rv_000427</t>
  </si>
  <si>
    <t xml:space="preserve">stanleynancy</t>
  </si>
  <si>
    <t xml:space="preserve">rv_000314</t>
  </si>
  <si>
    <t xml:space="preserve">torrestravis</t>
  </si>
  <si>
    <t xml:space="preserve">rv_000306</t>
  </si>
  <si>
    <t xml:space="preserve">zcoffey</t>
  </si>
  <si>
    <t xml:space="preserve">rv_001082</t>
  </si>
  <si>
    <t xml:space="preserve">kimberlyfreeman</t>
  </si>
  <si>
    <t xml:space="preserve">rv_000144</t>
  </si>
  <si>
    <t xml:space="preserve">sjones</t>
  </si>
  <si>
    <t xml:space="preserve">rv_002173</t>
  </si>
  <si>
    <t xml:space="preserve">rv_003873</t>
  </si>
  <si>
    <t xml:space="preserve">mark79</t>
  </si>
  <si>
    <t xml:space="preserve">rv_003941</t>
  </si>
  <si>
    <t xml:space="preserve">reedkristin</t>
  </si>
  <si>
    <t xml:space="preserve">rv_001070</t>
  </si>
  <si>
    <t xml:space="preserve">kellyruiz</t>
  </si>
  <si>
    <t xml:space="preserve">rv_003206</t>
  </si>
  <si>
    <t xml:space="preserve">gainesanthony</t>
  </si>
  <si>
    <t xml:space="preserve">rv_004493</t>
  </si>
  <si>
    <t xml:space="preserve">imoore</t>
  </si>
  <si>
    <t xml:space="preserve">rv_001625</t>
  </si>
  <si>
    <t xml:space="preserve">alison83</t>
  </si>
  <si>
    <t xml:space="preserve">rv_005913</t>
  </si>
  <si>
    <t xml:space="preserve">lisa23</t>
  </si>
  <si>
    <t xml:space="preserve">CRASHES CONSTANTLY, UNUSABLE SINCE THE UPDATE.</t>
  </si>
  <si>
    <t xml:space="preserve">rv_000830</t>
  </si>
  <si>
    <t xml:space="preserve">rv_005387</t>
  </si>
  <si>
    <t xml:space="preserve">laura40</t>
  </si>
  <si>
    <t xml:space="preserve">rv_003194</t>
  </si>
  <si>
    <t xml:space="preserve">john66</t>
  </si>
  <si>
    <t xml:space="preserve">BEST BANKING APP I'VE USED, VERY RELIABLE. GREAT APP, SUPER EASY TO SEND MONEY TO FRIENDS!</t>
  </si>
  <si>
    <t xml:space="preserve">rv_001416</t>
  </si>
  <si>
    <t xml:space="preserve">brittanybryant</t>
  </si>
  <si>
    <t xml:space="preserve">rv_002936</t>
  </si>
  <si>
    <t xml:space="preserve">millercarrie</t>
  </si>
  <si>
    <t xml:space="preserve">rv_000571</t>
  </si>
  <si>
    <t xml:space="preserve">roberthampton</t>
  </si>
  <si>
    <t xml:space="preserve">rv_005956</t>
  </si>
  <si>
    <t xml:space="preserve">alexander70</t>
  </si>
  <si>
    <t xml:space="preserve">rv_003658</t>
  </si>
  <si>
    <t xml:space="preserve">walkerandrew</t>
  </si>
  <si>
    <t xml:space="preserve">rv_003411</t>
  </si>
  <si>
    <t xml:space="preserve">schmittlinda</t>
  </si>
  <si>
    <t xml:space="preserve">rv_001987</t>
  </si>
  <si>
    <t xml:space="preserve">glasssamantha</t>
  </si>
  <si>
    <t xml:space="preserve">rv_000523</t>
  </si>
  <si>
    <t xml:space="preserve">megan90</t>
  </si>
  <si>
    <t xml:space="preserve">rv_001101</t>
  </si>
  <si>
    <t xml:space="preserve">daviddawson</t>
  </si>
  <si>
    <t xml:space="preserve">rv_000215</t>
  </si>
  <si>
    <t xml:space="preserve">kimberlyjames</t>
  </si>
  <si>
    <t xml:space="preserve">rv_002958</t>
  </si>
  <si>
    <t xml:space="preserve">adavis</t>
  </si>
  <si>
    <t xml:space="preserve">rv_001270</t>
  </si>
  <si>
    <t xml:space="preserve">haroldfry</t>
  </si>
  <si>
    <t xml:space="preserve">rv_005313</t>
  </si>
  <si>
    <t xml:space="preserve">manuel81</t>
  </si>
  <si>
    <t xml:space="preserve">rv_000618</t>
  </si>
  <si>
    <t xml:space="preserve">rv_004112</t>
  </si>
  <si>
    <t xml:space="preserve">andrea26</t>
  </si>
  <si>
    <t xml:space="preserve">rv_000309</t>
  </si>
  <si>
    <t xml:space="preserve">brenda51</t>
  </si>
  <si>
    <t xml:space="preserve">rv_002014</t>
  </si>
  <si>
    <t xml:space="preserve">anthonyrojas</t>
  </si>
  <si>
    <t xml:space="preserve">rv_003046</t>
  </si>
  <si>
    <t xml:space="preserve">montgomeryamy</t>
  </si>
  <si>
    <t xml:space="preserve">rv_000719</t>
  </si>
  <si>
    <t xml:space="preserve">walterskristen</t>
  </si>
  <si>
    <t xml:space="preserve">rv_004754</t>
  </si>
  <si>
    <t xml:space="preserve">kennethbrown</t>
  </si>
  <si>
    <t xml:space="preserve">rv_002194</t>
  </si>
  <si>
    <t xml:space="preserve">millernancy</t>
  </si>
  <si>
    <t xml:space="preserve">rv_004707</t>
  </si>
  <si>
    <t xml:space="preserve">goodmanalice</t>
  </si>
  <si>
    <t xml:space="preserve">rv_001786</t>
  </si>
  <si>
    <t xml:space="preserve">rv_003673</t>
  </si>
  <si>
    <t xml:space="preserve">angela73</t>
  </si>
  <si>
    <t xml:space="preserve">rv_005705</t>
  </si>
  <si>
    <t xml:space="preserve">briggsjacob</t>
  </si>
  <si>
    <t xml:space="preserve">rv_004131</t>
  </si>
  <si>
    <t xml:space="preserve">theresabeck</t>
  </si>
  <si>
    <t xml:space="preserve">rv_000440</t>
  </si>
  <si>
    <t xml:space="preserve">jsawyer</t>
  </si>
  <si>
    <t xml:space="preserve">rv_005850</t>
  </si>
  <si>
    <t xml:space="preserve">fostersarah</t>
  </si>
  <si>
    <t xml:space="preserve">rv_001690</t>
  </si>
  <si>
    <t xml:space="preserve">amanda69</t>
  </si>
  <si>
    <t xml:space="preserve">rv_004642</t>
  </si>
  <si>
    <t xml:space="preserve">rv_004020</t>
  </si>
  <si>
    <t xml:space="preserve">aguirrelarry</t>
  </si>
  <si>
    <t xml:space="preserve">rv_000909</t>
  </si>
  <si>
    <t xml:space="preserve">rv_001043</t>
  </si>
  <si>
    <t xml:space="preserve">allentracy</t>
  </si>
  <si>
    <t xml:space="preserve">rv_003597</t>
  </si>
  <si>
    <t xml:space="preserve">rv_000970</t>
  </si>
  <si>
    <t xml:space="preserve">whitelucas</t>
  </si>
  <si>
    <t xml:space="preserve">rv_001804</t>
  </si>
  <si>
    <t xml:space="preserve">tom73</t>
  </si>
  <si>
    <t xml:space="preserve">rv_003735</t>
  </si>
  <si>
    <t xml:space="preserve">santosmichael</t>
  </si>
  <si>
    <t xml:space="preserve">rv_004811</t>
  </si>
  <si>
    <t xml:space="preserve">rv_002714</t>
  </si>
  <si>
    <t xml:space="preserve">ihawkins</t>
  </si>
  <si>
    <t xml:space="preserve">rv_003843</t>
  </si>
  <si>
    <t xml:space="preserve">michael41</t>
  </si>
  <si>
    <t xml:space="preserve">rv_001181</t>
  </si>
  <si>
    <t xml:space="preserve">icraig</t>
  </si>
  <si>
    <t xml:space="preserve">rv_001589</t>
  </si>
  <si>
    <t xml:space="preserve">cterrell</t>
  </si>
  <si>
    <t xml:space="preserve">rv_000677</t>
  </si>
  <si>
    <t xml:space="preserve">zowens</t>
  </si>
  <si>
    <t xml:space="preserve">rv_004538</t>
  </si>
  <si>
    <t xml:space="preserve">qpayne</t>
  </si>
  <si>
    <t xml:space="preserve">rv_000346</t>
  </si>
  <si>
    <t xml:space="preserve">mcguiredanny</t>
  </si>
  <si>
    <t xml:space="preserve">rv_002160</t>
  </si>
  <si>
    <t xml:space="preserve">pknapp</t>
  </si>
  <si>
    <t xml:space="preserve">rv_000174</t>
  </si>
  <si>
    <t xml:space="preserve">tsanders</t>
  </si>
  <si>
    <t xml:space="preserve">rv_002377</t>
  </si>
  <si>
    <t xml:space="preserve">erin70</t>
  </si>
  <si>
    <t xml:space="preserve">rv_003324</t>
  </si>
  <si>
    <t xml:space="preserve">yglenn</t>
  </si>
  <si>
    <t xml:space="preserve">rv_005256</t>
  </si>
  <si>
    <t xml:space="preserve">eroman</t>
  </si>
  <si>
    <t xml:space="preserve">rv_001310</t>
  </si>
  <si>
    <t xml:space="preserve">wolferoy</t>
  </si>
  <si>
    <t xml:space="preserve">rv_001387</t>
  </si>
  <si>
    <t xml:space="preserve">kristen44</t>
  </si>
  <si>
    <t xml:space="preserve">rv_005833</t>
  </si>
  <si>
    <t xml:space="preserve">antonio63</t>
  </si>
  <si>
    <t xml:space="preserve">rv_001348</t>
  </si>
  <si>
    <t xml:space="preserve">rv_002911</t>
  </si>
  <si>
    <t xml:space="preserve">angela21</t>
  </si>
  <si>
    <t xml:space="preserve">rv_001657</t>
  </si>
  <si>
    <t xml:space="preserve">zhunter</t>
  </si>
  <si>
    <t xml:space="preserve">rv_000509</t>
  </si>
  <si>
    <t xml:space="preserve">cherylmiller</t>
  </si>
  <si>
    <t xml:space="preserve">rv_005665</t>
  </si>
  <si>
    <t xml:space="preserve">tanya66</t>
  </si>
  <si>
    <t xml:space="preserve">rv_002482</t>
  </si>
  <si>
    <t xml:space="preserve">kevinrojas</t>
  </si>
  <si>
    <t xml:space="preserve">rv_000861</t>
  </si>
  <si>
    <t xml:space="preserve">rdiaz</t>
  </si>
  <si>
    <t xml:space="preserve">rv_001794</t>
  </si>
  <si>
    <t xml:space="preserve">zmendoza</t>
  </si>
  <si>
    <t xml:space="preserve">rv_001634</t>
  </si>
  <si>
    <t xml:space="preserve">mclaughlinjared</t>
  </si>
  <si>
    <t xml:space="preserve">rv_001734</t>
  </si>
  <si>
    <t xml:space="preserve">suttonamber</t>
  </si>
  <si>
    <t xml:space="preserve">rv_005300</t>
  </si>
  <si>
    <t xml:space="preserve">josephross</t>
  </si>
  <si>
    <t xml:space="preserve">rv_004559</t>
  </si>
  <si>
    <t xml:space="preserve">robertgood</t>
  </si>
  <si>
    <t xml:space="preserve">rv_001899</t>
  </si>
  <si>
    <t xml:space="preserve">cartertara</t>
  </si>
  <si>
    <t xml:space="preserve">rv_001846</t>
  </si>
  <si>
    <t xml:space="preserve">buckleygregory</t>
  </si>
  <si>
    <t xml:space="preserve">rv_003882</t>
  </si>
  <si>
    <t xml:space="preserve">nhayes</t>
  </si>
  <si>
    <t xml:space="preserve">rv_004806</t>
  </si>
  <si>
    <t xml:space="preserve">robertsalinas</t>
  </si>
  <si>
    <t xml:space="preserve">rv_003695</t>
  </si>
  <si>
    <t xml:space="preserve">stephensharp</t>
  </si>
  <si>
    <t xml:space="preserve">rv_000176</t>
  </si>
  <si>
    <t xml:space="preserve">curtisbarton</t>
  </si>
  <si>
    <t xml:space="preserve">rv_004106</t>
  </si>
  <si>
    <t xml:space="preserve">stacydaniel</t>
  </si>
  <si>
    <t xml:space="preserve">rv_004301</t>
  </si>
  <si>
    <t xml:space="preserve">alexismiller</t>
  </si>
  <si>
    <t xml:space="preserve">rv_004180</t>
  </si>
  <si>
    <t xml:space="preserve">nataliejohnston</t>
  </si>
  <si>
    <t xml:space="preserve">rv_001318</t>
  </si>
  <si>
    <t xml:space="preserve">robert12</t>
  </si>
  <si>
    <t xml:space="preserve">rv_003770</t>
  </si>
  <si>
    <t xml:space="preserve">sara39</t>
  </si>
  <si>
    <t xml:space="preserve">rv_001240</t>
  </si>
  <si>
    <t xml:space="preserve">fmedina</t>
  </si>
  <si>
    <t xml:space="preserve">rv_003604</t>
  </si>
  <si>
    <t xml:space="preserve">ricardomurphy</t>
  </si>
  <si>
    <t xml:space="preserve">rv_005201</t>
  </si>
  <si>
    <t xml:space="preserve">wrightdavid</t>
  </si>
  <si>
    <t xml:space="preserve">rv_003089</t>
  </si>
  <si>
    <t xml:space="preserve">annacruz</t>
  </si>
  <si>
    <t xml:space="preserve">rv_005051</t>
  </si>
  <si>
    <t xml:space="preserve">ystone</t>
  </si>
  <si>
    <t xml:space="preserve">rv_004864</t>
  </si>
  <si>
    <t xml:space="preserve">peterlynch</t>
  </si>
  <si>
    <t xml:space="preserve">rv_005026</t>
  </si>
  <si>
    <t xml:space="preserve">rv_001556</t>
  </si>
  <si>
    <t xml:space="preserve">garrettnatasha</t>
  </si>
  <si>
    <t xml:space="preserve">rv_001149</t>
  </si>
  <si>
    <t xml:space="preserve">fstewart</t>
  </si>
  <si>
    <t xml:space="preserve">rv_004704</t>
  </si>
  <si>
    <t xml:space="preserve">tracyavery</t>
  </si>
  <si>
    <t xml:space="preserve">rv_005021</t>
  </si>
  <si>
    <t xml:space="preserve">amberstanton</t>
  </si>
  <si>
    <t xml:space="preserve">rv_003905</t>
  </si>
  <si>
    <t xml:space="preserve">haleystacy</t>
  </si>
  <si>
    <t xml:space="preserve">rv_001859</t>
  </si>
  <si>
    <t xml:space="preserve">vjackson</t>
  </si>
  <si>
    <t xml:space="preserve">rv_003079</t>
  </si>
  <si>
    <t xml:space="preserve">kpatterson</t>
  </si>
  <si>
    <t xml:space="preserve">rv_003032</t>
  </si>
  <si>
    <t xml:space="preserve">mcculloughrobert</t>
  </si>
  <si>
    <t xml:space="preserve">rv_002748</t>
  </si>
  <si>
    <t xml:space="preserve">jackie48</t>
  </si>
  <si>
    <t xml:space="preserve">rv_004121</t>
  </si>
  <si>
    <t xml:space="preserve">rv_004915</t>
  </si>
  <si>
    <t xml:space="preserve">kellythomas</t>
  </si>
  <si>
    <t xml:space="preserve">rv_000088</t>
  </si>
  <si>
    <t xml:space="preserve">darrell18</t>
  </si>
  <si>
    <t xml:space="preserve">rv_003612</t>
  </si>
  <si>
    <t xml:space="preserve">bradleyturner</t>
  </si>
  <si>
    <t xml:space="preserve">rv_000467</t>
  </si>
  <si>
    <t xml:space="preserve">lisa27</t>
  </si>
  <si>
    <t xml:space="preserve">rv_000161</t>
  </si>
  <si>
    <t xml:space="preserve">dmurphy</t>
  </si>
  <si>
    <t xml:space="preserve">rv_001978</t>
  </si>
  <si>
    <t xml:space="preserve">harrisonrebekah</t>
  </si>
  <si>
    <t xml:space="preserve">rv_005145</t>
  </si>
  <si>
    <t xml:space="preserve">bakerangela</t>
  </si>
  <si>
    <t xml:space="preserve">rv_003586</t>
  </si>
  <si>
    <t xml:space="preserve">arellanonatalie</t>
  </si>
  <si>
    <t xml:space="preserve">rv_002878</t>
  </si>
  <si>
    <t xml:space="preserve">melissa13</t>
  </si>
  <si>
    <t xml:space="preserve">rv_000348</t>
  </si>
  <si>
    <t xml:space="preserve">dmorgan</t>
  </si>
  <si>
    <t xml:space="preserve">rv_002952</t>
  </si>
  <si>
    <t xml:space="preserve">lindseypena</t>
  </si>
  <si>
    <t xml:space="preserve">rv_003623</t>
  </si>
  <si>
    <t xml:space="preserve">dhenderson</t>
  </si>
  <si>
    <t xml:space="preserve">rv_003114</t>
  </si>
  <si>
    <t xml:space="preserve">hailey64</t>
  </si>
  <si>
    <t xml:space="preserve">rv_000210</t>
  </si>
  <si>
    <t xml:space="preserve">rv_003262</t>
  </si>
  <si>
    <t xml:space="preserve">harrislisa</t>
  </si>
  <si>
    <t xml:space="preserve">rv_005119</t>
  </si>
  <si>
    <t xml:space="preserve">dthompson</t>
  </si>
  <si>
    <t xml:space="preserve">rv_000758</t>
  </si>
  <si>
    <t xml:space="preserve">rodriguezjohn</t>
  </si>
  <si>
    <t xml:space="preserve">rv_000907</t>
  </si>
  <si>
    <t xml:space="preserve">stephen19</t>
  </si>
  <si>
    <t xml:space="preserve">rv_000975</t>
  </si>
  <si>
    <t xml:space="preserve">sean43</t>
  </si>
  <si>
    <t xml:space="preserve">rv_000998</t>
  </si>
  <si>
    <t xml:space="preserve">christopher86</t>
  </si>
  <si>
    <t xml:space="preserve">rv_002988</t>
  </si>
  <si>
    <t xml:space="preserve">lewisandrew</t>
  </si>
  <si>
    <t xml:space="preserve">rv_005259</t>
  </si>
  <si>
    <t xml:space="preserve">iweiss</t>
  </si>
  <si>
    <t xml:space="preserve">rv_003936</t>
  </si>
  <si>
    <t xml:space="preserve">qobrien</t>
  </si>
  <si>
    <t xml:space="preserve">rv_002116</t>
  </si>
  <si>
    <t xml:space="preserve">rv_002567</t>
  </si>
  <si>
    <t xml:space="preserve">vstevenson</t>
  </si>
  <si>
    <t xml:space="preserve">rv_000685</t>
  </si>
  <si>
    <t xml:space="preserve">yjackson</t>
  </si>
  <si>
    <t xml:space="preserve">rv_000625</t>
  </si>
  <si>
    <t xml:space="preserve">melissa71</t>
  </si>
  <si>
    <t xml:space="preserve">rv_000479</t>
  </si>
  <si>
    <t xml:space="preserve">sandra84</t>
  </si>
  <si>
    <t xml:space="preserve">rv_005491</t>
  </si>
  <si>
    <t xml:space="preserve">nathan05</t>
  </si>
  <si>
    <t xml:space="preserve">rv_000808</t>
  </si>
  <si>
    <t xml:space="preserve">michelle96</t>
  </si>
  <si>
    <t xml:space="preserve">rv_002176</t>
  </si>
  <si>
    <t xml:space="preserve">tfitzgerald</t>
  </si>
  <si>
    <t xml:space="preserve">rv_002751</t>
  </si>
  <si>
    <t xml:space="preserve">linda88</t>
  </si>
  <si>
    <t xml:space="preserve">rv_005984</t>
  </si>
  <si>
    <t xml:space="preserve">william15</t>
  </si>
  <si>
    <t xml:space="preserve">rv_003894</t>
  </si>
  <si>
    <t xml:space="preserve">raymondpugh</t>
  </si>
  <si>
    <t xml:space="preserve">rv_004691</t>
  </si>
  <si>
    <t xml:space="preserve">sullivanjames</t>
  </si>
  <si>
    <t xml:space="preserve">rv_003752</t>
  </si>
  <si>
    <t xml:space="preserve">igonzalez</t>
  </si>
  <si>
    <t xml:space="preserve">rv_003968</t>
  </si>
  <si>
    <t xml:space="preserve">rv_005968</t>
  </si>
  <si>
    <t xml:space="preserve">lisaanderson</t>
  </si>
  <si>
    <t xml:space="preserve">rv_001170</t>
  </si>
  <si>
    <t xml:space="preserve">heatherthompson</t>
  </si>
  <si>
    <t xml:space="preserve">rv_005083</t>
  </si>
  <si>
    <t xml:space="preserve">poncelisa</t>
  </si>
  <si>
    <t xml:space="preserve">rv_002231</t>
  </si>
  <si>
    <t xml:space="preserve">fhahn</t>
  </si>
  <si>
    <t xml:space="preserve">rv_000682</t>
  </si>
  <si>
    <t xml:space="preserve">jerry93</t>
  </si>
  <si>
    <t xml:space="preserve">rv_005330</t>
  </si>
  <si>
    <t xml:space="preserve">hollyperkins</t>
  </si>
  <si>
    <t xml:space="preserve">rv_004876</t>
  </si>
  <si>
    <t xml:space="preserve">crystal53</t>
  </si>
  <si>
    <t xml:space="preserve">rv_004185</t>
  </si>
  <si>
    <t xml:space="preserve">ronaldsummers</t>
  </si>
  <si>
    <t xml:space="preserve">rv_001128</t>
  </si>
  <si>
    <t xml:space="preserve">pmarsh</t>
  </si>
  <si>
    <t xml:space="preserve">rv_002623</t>
  </si>
  <si>
    <t xml:space="preserve">lisalee</t>
  </si>
  <si>
    <t xml:space="preserve">rv_000295</t>
  </si>
  <si>
    <t xml:space="preserve">kimberly39</t>
  </si>
  <si>
    <t xml:space="preserve">rv_004932</t>
  </si>
  <si>
    <t xml:space="preserve">hoffmanlindsey</t>
  </si>
  <si>
    <t xml:space="preserve">rv_005787</t>
  </si>
  <si>
    <t xml:space="preserve">kelsey85</t>
  </si>
  <si>
    <t xml:space="preserve">rv_002135</t>
  </si>
  <si>
    <t xml:space="preserve">verickson</t>
  </si>
  <si>
    <t xml:space="preserve">rv_005100</t>
  </si>
  <si>
    <t xml:space="preserve">samantharoberts</t>
  </si>
  <si>
    <t xml:space="preserve">rv_004058</t>
  </si>
  <si>
    <t xml:space="preserve">carol60</t>
  </si>
  <si>
    <t xml:space="preserve">rv_005698</t>
  </si>
  <si>
    <t xml:space="preserve">rritter</t>
  </si>
  <si>
    <t xml:space="preserve">rv_002263</t>
  </si>
  <si>
    <t xml:space="preserve">robert84</t>
  </si>
  <si>
    <t xml:space="preserve">rv_004331</t>
  </si>
  <si>
    <t xml:space="preserve">stonebarbara</t>
  </si>
  <si>
    <t xml:space="preserve">rv_000687</t>
  </si>
  <si>
    <t xml:space="preserve">sabrinaweaver</t>
  </si>
  <si>
    <t xml:space="preserve">rv_003588</t>
  </si>
  <si>
    <t xml:space="preserve">kwatkins</t>
  </si>
  <si>
    <t xml:space="preserve">rv_003477</t>
  </si>
  <si>
    <t xml:space="preserve">kmills</t>
  </si>
  <si>
    <t xml:space="preserve">rv_000714</t>
  </si>
  <si>
    <t xml:space="preserve">irhodes</t>
  </si>
  <si>
    <t xml:space="preserve">rv_005667</t>
  </si>
  <si>
    <t xml:space="preserve">zhall</t>
  </si>
  <si>
    <t xml:space="preserve">rv_004775</t>
  </si>
  <si>
    <t xml:space="preserve">brianwhite</t>
  </si>
  <si>
    <t xml:space="preserve">rv_001325</t>
  </si>
  <si>
    <t xml:space="preserve">kim62</t>
  </si>
  <si>
    <t xml:space="preserve">rv_000731</t>
  </si>
  <si>
    <t xml:space="preserve">fhughes</t>
  </si>
  <si>
    <t xml:space="preserve">rv_003757</t>
  </si>
  <si>
    <t xml:space="preserve">qgay</t>
  </si>
  <si>
    <t xml:space="preserve">rv_004721</t>
  </si>
  <si>
    <t xml:space="preserve">katherinebarnett</t>
  </si>
  <si>
    <t xml:space="preserve">rv_004909</t>
  </si>
  <si>
    <t xml:space="preserve">dustin59</t>
  </si>
  <si>
    <t xml:space="preserve">rv_004776</t>
  </si>
  <si>
    <t xml:space="preserve">laurenallen</t>
  </si>
  <si>
    <t xml:space="preserve">rv_000208</t>
  </si>
  <si>
    <t xml:space="preserve">vmendoza</t>
  </si>
  <si>
    <t xml:space="preserve">rv_004748</t>
  </si>
  <si>
    <t xml:space="preserve">aaron55</t>
  </si>
  <si>
    <t xml:space="preserve">rv_005399</t>
  </si>
  <si>
    <t xml:space="preserve">rv_000845</t>
  </si>
  <si>
    <t xml:space="preserve">darlenebyrd</t>
  </si>
  <si>
    <t xml:space="preserve">rv_004113</t>
  </si>
  <si>
    <t xml:space="preserve">cwhite</t>
  </si>
  <si>
    <t xml:space="preserve">rv_000078</t>
  </si>
  <si>
    <t xml:space="preserve">barnesbrandy</t>
  </si>
  <si>
    <t xml:space="preserve">rv_002418</t>
  </si>
  <si>
    <t xml:space="preserve">hendersonjames</t>
  </si>
  <si>
    <t xml:space="preserve">rv_005775</t>
  </si>
  <si>
    <t xml:space="preserve">walterskaren</t>
  </si>
  <si>
    <t xml:space="preserve">rv_003406</t>
  </si>
  <si>
    <t xml:space="preserve">hdennis</t>
  </si>
  <si>
    <t xml:space="preserve">rv_002512</t>
  </si>
  <si>
    <t xml:space="preserve">peter26</t>
  </si>
  <si>
    <t xml:space="preserve">rv_001554</t>
  </si>
  <si>
    <t xml:space="preserve">reedmichael</t>
  </si>
  <si>
    <t xml:space="preserve">rv_001362</t>
  </si>
  <si>
    <t xml:space="preserve">maryhuff</t>
  </si>
  <si>
    <t xml:space="preserve">rv_003444</t>
  </si>
  <si>
    <t xml:space="preserve">gouldchristina</t>
  </si>
  <si>
    <t xml:space="preserve">rv_001336</t>
  </si>
  <si>
    <t xml:space="preserve">melissagalvan</t>
  </si>
  <si>
    <t xml:space="preserve">rv_000292</t>
  </si>
  <si>
    <t xml:space="preserve">victoria40</t>
  </si>
  <si>
    <t xml:space="preserve">rv_005154</t>
  </si>
  <si>
    <t xml:space="preserve">stephaniewiggins</t>
  </si>
  <si>
    <t xml:space="preserve">rv_005549</t>
  </si>
  <si>
    <t xml:space="preserve">fordwilliam</t>
  </si>
  <si>
    <t xml:space="preserve">rv_001568</t>
  </si>
  <si>
    <t xml:space="preserve">whitemary</t>
  </si>
  <si>
    <t xml:space="preserve">rv_002892</t>
  </si>
  <si>
    <t xml:space="preserve">erinhernandez</t>
  </si>
  <si>
    <t xml:space="preserve">rv_000674</t>
  </si>
  <si>
    <t xml:space="preserve">randyallen</t>
  </si>
  <si>
    <t xml:space="preserve">rv_001789</t>
  </si>
  <si>
    <t xml:space="preserve">johnsonchad</t>
  </si>
  <si>
    <t xml:space="preserve">rv_000628</t>
  </si>
  <si>
    <t xml:space="preserve">williambryant</t>
  </si>
  <si>
    <t xml:space="preserve">rv_004489</t>
  </si>
  <si>
    <t xml:space="preserve">johnsmith</t>
  </si>
  <si>
    <t xml:space="preserve">rv_001260</t>
  </si>
  <si>
    <t xml:space="preserve">patriciagonzalez</t>
  </si>
  <si>
    <t xml:space="preserve">rv_003973</t>
  </si>
  <si>
    <t xml:space="preserve">mathewstimothy</t>
  </si>
  <si>
    <t xml:space="preserve">rv_001312</t>
  </si>
  <si>
    <t xml:space="preserve">brianna91</t>
  </si>
  <si>
    <t xml:space="preserve">rv_005610</t>
  </si>
  <si>
    <t xml:space="preserve">dyerdonald</t>
  </si>
  <si>
    <t xml:space="preserve">rv_000072</t>
  </si>
  <si>
    <t xml:space="preserve">adkinsbrian</t>
  </si>
  <si>
    <t xml:space="preserve">rv_004573</t>
  </si>
  <si>
    <t xml:space="preserve">craig91</t>
  </si>
  <si>
    <t xml:space="preserve">rv_002196</t>
  </si>
  <si>
    <t xml:space="preserve">matthew23</t>
  </si>
  <si>
    <t xml:space="preserve">rv_000652</t>
  </si>
  <si>
    <t xml:space="preserve">rv_002557</t>
  </si>
  <si>
    <t xml:space="preserve">rv_002811</t>
  </si>
  <si>
    <t xml:space="preserve">hilljames</t>
  </si>
  <si>
    <t xml:space="preserve">rv_001906</t>
  </si>
  <si>
    <t xml:space="preserve">rachelparker</t>
  </si>
  <si>
    <t xml:space="preserve">rv_004791</t>
  </si>
  <si>
    <t xml:space="preserve">gonzalespatricia</t>
  </si>
  <si>
    <t xml:space="preserve">rv_000622</t>
  </si>
  <si>
    <t xml:space="preserve">christian91</t>
  </si>
  <si>
    <t xml:space="preserve">rv_001661</t>
  </si>
  <si>
    <t xml:space="preserve">jamiejohnson</t>
  </si>
  <si>
    <t xml:space="preserve">rv_002048</t>
  </si>
  <si>
    <t xml:space="preserve">garrett45</t>
  </si>
  <si>
    <t xml:space="preserve">rv_005719</t>
  </si>
  <si>
    <t xml:space="preserve">simpsonalyssa</t>
  </si>
  <si>
    <t xml:space="preserve">rv_003220</t>
  </si>
  <si>
    <t xml:space="preserve">shaffercindy</t>
  </si>
  <si>
    <t xml:space="preserve">rv_001454</t>
  </si>
  <si>
    <t xml:space="preserve">knguyen</t>
  </si>
  <si>
    <t xml:space="preserve">rv_000664</t>
  </si>
  <si>
    <t xml:space="preserve">harttammy</t>
  </si>
  <si>
    <t xml:space="preserve">rv_002309</t>
  </si>
  <si>
    <t xml:space="preserve">uhernandez</t>
  </si>
  <si>
    <t xml:space="preserve">rv_003797</t>
  </si>
  <si>
    <t xml:space="preserve">brittanyandrews</t>
  </si>
  <si>
    <t xml:space="preserve">rv_003625</t>
  </si>
  <si>
    <t xml:space="preserve">xshaw</t>
  </si>
  <si>
    <t xml:space="preserve">rv_003654</t>
  </si>
  <si>
    <t xml:space="preserve">rbrowning</t>
  </si>
  <si>
    <t xml:space="preserve">rv_001439</t>
  </si>
  <si>
    <t xml:space="preserve">christophersmith</t>
  </si>
  <si>
    <t xml:space="preserve">rv_000421</t>
  </si>
  <si>
    <t xml:space="preserve">rv_002563</t>
  </si>
  <si>
    <t xml:space="preserve">christinebrown</t>
  </si>
  <si>
    <t xml:space="preserve">rv_005556</t>
  </si>
  <si>
    <t xml:space="preserve">estradaian</t>
  </si>
  <si>
    <t xml:space="preserve">rv_004391</t>
  </si>
  <si>
    <t xml:space="preserve">msolis</t>
  </si>
  <si>
    <t xml:space="preserve">rv_000692</t>
  </si>
  <si>
    <t xml:space="preserve">williambrooks</t>
  </si>
  <si>
    <t xml:space="preserve">rv_003984</t>
  </si>
  <si>
    <t xml:space="preserve">stevenandrews</t>
  </si>
  <si>
    <t xml:space="preserve">rv_005809</t>
  </si>
  <si>
    <t xml:space="preserve">kford</t>
  </si>
  <si>
    <t xml:space="preserve">rv_000967</t>
  </si>
  <si>
    <t xml:space="preserve">sparker</t>
  </si>
  <si>
    <t xml:space="preserve">rv_005970</t>
  </si>
  <si>
    <t xml:space="preserve">daryl56</t>
  </si>
  <si>
    <t xml:space="preserve">rv_003401</t>
  </si>
  <si>
    <t xml:space="preserve">vanessa13</t>
  </si>
  <si>
    <t xml:space="preserve">rv_002159</t>
  </si>
  <si>
    <t xml:space="preserve">foxashley</t>
  </si>
  <si>
    <t xml:space="preserve">rv_003721</t>
  </si>
  <si>
    <t xml:space="preserve">kristopher29</t>
  </si>
  <si>
    <t xml:space="preserve">rv_002978</t>
  </si>
  <si>
    <t xml:space="preserve">lowerysandra</t>
  </si>
  <si>
    <t xml:space="preserve">rv_001361</t>
  </si>
  <si>
    <t xml:space="preserve">moniqueclark</t>
  </si>
  <si>
    <t xml:space="preserve">rv_001427</t>
  </si>
  <si>
    <t xml:space="preserve">robertcastro</t>
  </si>
  <si>
    <t xml:space="preserve">rv_001545</t>
  </si>
  <si>
    <t xml:space="preserve">marshallsierra</t>
  </si>
  <si>
    <t xml:space="preserve">rv_004313</t>
  </si>
  <si>
    <t xml:space="preserve">shansen</t>
  </si>
  <si>
    <t xml:space="preserve">rv_002023</t>
  </si>
  <si>
    <t xml:space="preserve">hbeard</t>
  </si>
  <si>
    <t xml:space="preserve">rv_005899</t>
  </si>
  <si>
    <t xml:space="preserve">jamesanderson</t>
  </si>
  <si>
    <t xml:space="preserve">rv_004434</t>
  </si>
  <si>
    <t xml:space="preserve">brent67</t>
  </si>
  <si>
    <t xml:space="preserve">rv_003460</t>
  </si>
  <si>
    <t xml:space="preserve">rv_002800</t>
  </si>
  <si>
    <t xml:space="preserve">saundersjoel</t>
  </si>
  <si>
    <t xml:space="preserve">rv_003804</t>
  </si>
  <si>
    <t xml:space="preserve">jonathan02</t>
  </si>
  <si>
    <t xml:space="preserve">rv_002913</t>
  </si>
  <si>
    <t xml:space="preserve">kenneththomas</t>
  </si>
  <si>
    <t xml:space="preserve">rv_004147</t>
  </si>
  <si>
    <t xml:space="preserve">burnsrebecca</t>
  </si>
  <si>
    <t xml:space="preserve">rv_004997</t>
  </si>
  <si>
    <t xml:space="preserve">rachelholmes</t>
  </si>
  <si>
    <t xml:space="preserve">rv_000246</t>
  </si>
  <si>
    <t xml:space="preserve">harrisandrea</t>
  </si>
  <si>
    <t xml:space="preserve">rv_001283</t>
  </si>
  <si>
    <t xml:space="preserve">shawdon</t>
  </si>
  <si>
    <t xml:space="preserve">rv_002857</t>
  </si>
  <si>
    <t xml:space="preserve">jessicaramirez</t>
  </si>
  <si>
    <t xml:space="preserve">rv_001610</t>
  </si>
  <si>
    <t xml:space="preserve">fjimenez</t>
  </si>
  <si>
    <t xml:space="preserve">rv_005161</t>
  </si>
  <si>
    <t xml:space="preserve">clarkbrittney</t>
  </si>
  <si>
    <t xml:space="preserve">rv_002616</t>
  </si>
  <si>
    <t xml:space="preserve">lisasmith</t>
  </si>
  <si>
    <t xml:space="preserve">rv_001787</t>
  </si>
  <si>
    <t xml:space="preserve">probinson</t>
  </si>
  <si>
    <t xml:space="preserve">rv_000589</t>
  </si>
  <si>
    <t xml:space="preserve">johnsantiago</t>
  </si>
  <si>
    <t xml:space="preserve">rv_003060</t>
  </si>
  <si>
    <t xml:space="preserve">gracebrooks</t>
  </si>
  <si>
    <t xml:space="preserve">rv_005625</t>
  </si>
  <si>
    <t xml:space="preserve">janedavis</t>
  </si>
  <si>
    <t xml:space="preserve">rv_004366</t>
  </si>
  <si>
    <t xml:space="preserve">cthompson</t>
  </si>
  <si>
    <t xml:space="preserve">rv_003179</t>
  </si>
  <si>
    <t xml:space="preserve">rv_003456</t>
  </si>
  <si>
    <t xml:space="preserve">justinjohnson</t>
  </si>
  <si>
    <t xml:space="preserve">rv_002809</t>
  </si>
  <si>
    <t xml:space="preserve">jacobbond</t>
  </si>
  <si>
    <t xml:space="preserve">rv_003594</t>
  </si>
  <si>
    <t xml:space="preserve">stevenhopkins</t>
  </si>
  <si>
    <t xml:space="preserve">rv_005724</t>
  </si>
  <si>
    <t xml:space="preserve">ryanbullock</t>
  </si>
  <si>
    <t xml:space="preserve">rv_002121</t>
  </si>
  <si>
    <t xml:space="preserve">moralesroy</t>
  </si>
  <si>
    <t xml:space="preserve">rv_003045</t>
  </si>
  <si>
    <t xml:space="preserve">fullerbrittney</t>
  </si>
  <si>
    <t xml:space="preserve">rv_004868</t>
  </si>
  <si>
    <t xml:space="preserve">randywoods</t>
  </si>
  <si>
    <t xml:space="preserve">rv_003279</t>
  </si>
  <si>
    <t xml:space="preserve">tayloramy</t>
  </si>
  <si>
    <t xml:space="preserve">rv_005689</t>
  </si>
  <si>
    <t xml:space="preserve">jeffreygreen</t>
  </si>
  <si>
    <t xml:space="preserve">rv_002843</t>
  </si>
  <si>
    <t xml:space="preserve">nlawson</t>
  </si>
  <si>
    <t xml:space="preserve">rv_000976</t>
  </si>
  <si>
    <t xml:space="preserve">heatherbell</t>
  </si>
  <si>
    <t xml:space="preserve">rv_003526</t>
  </si>
  <si>
    <t xml:space="preserve">qneal</t>
  </si>
  <si>
    <t xml:space="preserve">rv_001774</t>
  </si>
  <si>
    <t xml:space="preserve">maysdiane</t>
  </si>
  <si>
    <t xml:space="preserve">rv_001862</t>
  </si>
  <si>
    <t xml:space="preserve">christophervincent</t>
  </si>
  <si>
    <t xml:space="preserve">rv_005783</t>
  </si>
  <si>
    <t xml:space="preserve">wyattdanny</t>
  </si>
  <si>
    <t xml:space="preserve">rv_001238</t>
  </si>
  <si>
    <t xml:space="preserve">susan08</t>
  </si>
  <si>
    <t xml:space="preserve">rv_005515</t>
  </si>
  <si>
    <t xml:space="preserve">wileyaudrey</t>
  </si>
  <si>
    <t xml:space="preserve">rv_004010</t>
  </si>
  <si>
    <t xml:space="preserve">andrew90</t>
  </si>
  <si>
    <t xml:space="preserve">rv_002307</t>
  </si>
  <si>
    <t xml:space="preserve">kathleenwagner</t>
  </si>
  <si>
    <t xml:space="preserve">rv_002914</t>
  </si>
  <si>
    <t xml:space="preserve">osanchez</t>
  </si>
  <si>
    <t xml:space="preserve">rv_004959</t>
  </si>
  <si>
    <t xml:space="preserve">arianarandolph</t>
  </si>
  <si>
    <t xml:space="preserve">rv_003025</t>
  </si>
  <si>
    <t xml:space="preserve">jeffreygibson</t>
  </si>
  <si>
    <t xml:space="preserve">rv_000952</t>
  </si>
  <si>
    <t xml:space="preserve">robin05</t>
  </si>
  <si>
    <t xml:space="preserve">rv_002620</t>
  </si>
  <si>
    <t xml:space="preserve">janegonzalez</t>
  </si>
  <si>
    <t xml:space="preserve">rv_001006</t>
  </si>
  <si>
    <t xml:space="preserve">rsheppard</t>
  </si>
  <si>
    <t xml:space="preserve">rv_001481</t>
  </si>
  <si>
    <t xml:space="preserve">hbarrett</t>
  </si>
  <si>
    <t xml:space="preserve">rv_005175</t>
  </si>
  <si>
    <t xml:space="preserve">kimberly12</t>
  </si>
  <si>
    <t xml:space="preserve">rv_000286</t>
  </si>
  <si>
    <t xml:space="preserve">elizabeth74</t>
  </si>
  <si>
    <t xml:space="preserve">rv_003716</t>
  </si>
  <si>
    <t xml:space="preserve">katherinepeterson</t>
  </si>
  <si>
    <t xml:space="preserve">rv_001581</t>
  </si>
  <si>
    <t xml:space="preserve">stephanie33</t>
  </si>
  <si>
    <t xml:space="preserve">rv_002408</t>
  </si>
  <si>
    <t xml:space="preserve">watkinsmary</t>
  </si>
  <si>
    <t xml:space="preserve">rv_000074</t>
  </si>
  <si>
    <t xml:space="preserve">brianromero</t>
  </si>
  <si>
    <t xml:space="preserve">rv_000670</t>
  </si>
  <si>
    <t xml:space="preserve">timothybooth</t>
  </si>
  <si>
    <t xml:space="preserve">rv_004095</t>
  </si>
  <si>
    <t xml:space="preserve">drewwalsh</t>
  </si>
  <si>
    <t xml:space="preserve">2026-06</t>
  </si>
  <si>
    <t xml:space="preserve">rv_005392</t>
  </si>
  <si>
    <t xml:space="preserve">imitchell</t>
  </si>
  <si>
    <t xml:space="preserve">rv_000639</t>
  </si>
  <si>
    <t xml:space="preserve">desireebailey</t>
  </si>
  <si>
    <t xml:space="preserve">rv_003899</t>
  </si>
  <si>
    <t xml:space="preserve">heatherosborn</t>
  </si>
  <si>
    <t xml:space="preserve">rv_000624</t>
  </si>
  <si>
    <t xml:space="preserve">ashleyhernandez</t>
  </si>
  <si>
    <t xml:space="preserve">rv_004663</t>
  </si>
  <si>
    <t xml:space="preserve">melissa18</t>
  </si>
  <si>
    <t xml:space="preserve">rv_001072</t>
  </si>
  <si>
    <t xml:space="preserve">destiny35</t>
  </si>
  <si>
    <t xml:space="preserve">rv_005340</t>
  </si>
  <si>
    <t xml:space="preserve">dvega</t>
  </si>
  <si>
    <t xml:space="preserve">rv_000263</t>
  </si>
  <si>
    <t xml:space="preserve">xhall</t>
  </si>
  <si>
    <t xml:space="preserve">rv_004851</t>
  </si>
  <si>
    <t xml:space="preserve">yvonne06</t>
  </si>
  <si>
    <t xml:space="preserve">rv_005907</t>
  </si>
  <si>
    <t xml:space="preserve">jchase</t>
  </si>
  <si>
    <t xml:space="preserve">rv_000168</t>
  </si>
  <si>
    <t xml:space="preserve">howelljohn</t>
  </si>
  <si>
    <t xml:space="preserve">rv_005037</t>
  </si>
  <si>
    <t xml:space="preserve">joseph28</t>
  </si>
  <si>
    <t xml:space="preserve">rv_000234</t>
  </si>
  <si>
    <t xml:space="preserve">barbara27</t>
  </si>
  <si>
    <t xml:space="preserve">rv_005014</t>
  </si>
  <si>
    <t xml:space="preserve">nicole59</t>
  </si>
  <si>
    <t xml:space="preserve">rv_001720</t>
  </si>
  <si>
    <t xml:space="preserve">taylorlinda</t>
  </si>
  <si>
    <t xml:space="preserve">rv_004972</t>
  </si>
  <si>
    <t xml:space="preserve">nicholas33</t>
  </si>
  <si>
    <t xml:space="preserve">rv_002453</t>
  </si>
  <si>
    <t xml:space="preserve">lwells</t>
  </si>
  <si>
    <t xml:space="preserve">rv_004813</t>
  </si>
  <si>
    <t xml:space="preserve">bartonkimberly</t>
  </si>
  <si>
    <t xml:space="preserve">rv_002268</t>
  </si>
  <si>
    <t xml:space="preserve">trowe</t>
  </si>
  <si>
    <t xml:space="preserve">rv_005157</t>
  </si>
  <si>
    <t xml:space="preserve">elizabeth14</t>
  </si>
  <si>
    <t xml:space="preserve">rv_005262</t>
  </si>
  <si>
    <t xml:space="preserve">cody81</t>
  </si>
  <si>
    <t xml:space="preserve">rv_001745</t>
  </si>
  <si>
    <t xml:space="preserve">christinahill</t>
  </si>
  <si>
    <t xml:space="preserve">rv_004790</t>
  </si>
  <si>
    <t xml:space="preserve">millerjames</t>
  </si>
  <si>
    <t xml:space="preserve">rv_000481</t>
  </si>
  <si>
    <t xml:space="preserve">amymorris</t>
  </si>
  <si>
    <t xml:space="preserve">rv_002370</t>
  </si>
  <si>
    <t xml:space="preserve">adrianjoyce</t>
  </si>
  <si>
    <t xml:space="preserve">rv_002582</t>
  </si>
  <si>
    <t xml:space="preserve">josephharrington</t>
  </si>
  <si>
    <t xml:space="preserve">rv_002525</t>
  </si>
  <si>
    <t xml:space="preserve">vjames</t>
  </si>
  <si>
    <t xml:space="preserve">rv_004821</t>
  </si>
  <si>
    <t xml:space="preserve">john12</t>
  </si>
  <si>
    <t xml:space="preserve">rv_003700</t>
  </si>
  <si>
    <t xml:space="preserve">laurakaufman</t>
  </si>
  <si>
    <t xml:space="preserve">rv_004336</t>
  </si>
  <si>
    <t xml:space="preserve">perezdawn</t>
  </si>
  <si>
    <t xml:space="preserve">rv_005226</t>
  </si>
  <si>
    <t xml:space="preserve">sean69</t>
  </si>
  <si>
    <t xml:space="preserve">rv_000288</t>
  </si>
  <si>
    <t xml:space="preserve">danielle64</t>
  </si>
  <si>
    <t xml:space="preserve">rv_003810</t>
  </si>
  <si>
    <t xml:space="preserve">cynthia19</t>
  </si>
  <si>
    <t xml:space="preserve">rv_002336</t>
  </si>
  <si>
    <t xml:space="preserve">washingtonrick</t>
  </si>
  <si>
    <t xml:space="preserve">rv_002253</t>
  </si>
  <si>
    <t xml:space="preserve">edwardmolina</t>
  </si>
  <si>
    <t xml:space="preserve">rv_005432</t>
  </si>
  <si>
    <t xml:space="preserve">rv_000488</t>
  </si>
  <si>
    <t xml:space="preserve">william20</t>
  </si>
  <si>
    <t xml:space="preserve">rv_005653</t>
  </si>
  <si>
    <t xml:space="preserve">gleach</t>
  </si>
  <si>
    <t xml:space="preserve">rv_005534</t>
  </si>
  <si>
    <t xml:space="preserve">veronicadavies</t>
  </si>
  <si>
    <t xml:space="preserve">rv_000693</t>
  </si>
  <si>
    <t xml:space="preserve">bhopkins</t>
  </si>
  <si>
    <t xml:space="preserve">rv_000102</t>
  </si>
  <si>
    <t xml:space="preserve">sarayoung</t>
  </si>
  <si>
    <t xml:space="preserve">rv_001158</t>
  </si>
  <si>
    <t xml:space="preserve">aaronkelly</t>
  </si>
  <si>
    <t xml:space="preserve">rv_003731</t>
  </si>
  <si>
    <t xml:space="preserve">monicaolson</t>
  </si>
  <si>
    <t xml:space="preserve">rv_002082</t>
  </si>
  <si>
    <t xml:space="preserve">tyler13</t>
  </si>
  <si>
    <t xml:space="preserve">rv_005752</t>
  </si>
  <si>
    <t xml:space="preserve">garybowman</t>
  </si>
  <si>
    <t xml:space="preserve">rv_004087</t>
  </si>
  <si>
    <t xml:space="preserve">vincentkathleen</t>
  </si>
  <si>
    <t xml:space="preserve">rv_001627</t>
  </si>
  <si>
    <t xml:space="preserve">webbhaley</t>
  </si>
  <si>
    <t xml:space="preserve">rv_000358</t>
  </si>
  <si>
    <t xml:space="preserve">dale83</t>
  </si>
  <si>
    <t xml:space="preserve">rv_000337</t>
  </si>
  <si>
    <t xml:space="preserve">hayesjeffrey</t>
  </si>
  <si>
    <t xml:space="preserve">rv_005299</t>
  </si>
  <si>
    <t xml:space="preserve">aaronponce</t>
  </si>
  <si>
    <t xml:space="preserve">rv_001473</t>
  </si>
  <si>
    <t xml:space="preserve">kimberly35</t>
  </si>
  <si>
    <t xml:space="preserve">rv_005635</t>
  </si>
  <si>
    <t xml:space="preserve">derekdougherty</t>
  </si>
  <si>
    <t xml:space="preserve">rv_003092</t>
  </si>
  <si>
    <t xml:space="preserve">bfleming</t>
  </si>
  <si>
    <t xml:space="preserve">rv_002698</t>
  </si>
  <si>
    <t xml:space="preserve">bairddebra</t>
  </si>
  <si>
    <t xml:space="preserve">rv_004453</t>
  </si>
  <si>
    <t xml:space="preserve">ryan96</t>
  </si>
  <si>
    <t xml:space="preserve">rv_004823</t>
  </si>
  <si>
    <t xml:space="preserve">aimeebrewer</t>
  </si>
  <si>
    <t xml:space="preserve">rv_003505</t>
  </si>
  <si>
    <t xml:space="preserve">michaelsmith</t>
  </si>
  <si>
    <t xml:space="preserve">rv_002556</t>
  </si>
  <si>
    <t xml:space="preserve">tina62</t>
  </si>
  <si>
    <t xml:space="preserve">rv_000165</t>
  </si>
  <si>
    <t xml:space="preserve">cookemichael</t>
  </si>
  <si>
    <t xml:space="preserve">rv_003746</t>
  </si>
  <si>
    <t xml:space="preserve">rv_003859</t>
  </si>
  <si>
    <t xml:space="preserve">robinwilliams</t>
  </si>
  <si>
    <t xml:space="preserve">rv_004963</t>
  </si>
  <si>
    <t xml:space="preserve">shawndavis</t>
  </si>
  <si>
    <t xml:space="preserve">rv_003013</t>
  </si>
  <si>
    <t xml:space="preserve">dbanks</t>
  </si>
  <si>
    <t xml:space="preserve">rv_002577</t>
  </si>
  <si>
    <t xml:space="preserve">davidthompson</t>
  </si>
  <si>
    <t xml:space="preserve">rv_000653</t>
  </si>
  <si>
    <t xml:space="preserve">lisadennis</t>
  </si>
  <si>
    <t xml:space="preserve">rv_005954</t>
  </si>
  <si>
    <t xml:space="preserve">rv_000317</t>
  </si>
  <si>
    <t xml:space="preserve">umatthews</t>
  </si>
  <si>
    <t xml:space="preserve">rv_001562</t>
  </si>
  <si>
    <t xml:space="preserve">shane23</t>
  </si>
  <si>
    <t xml:space="preserve">rv_004055</t>
  </si>
  <si>
    <t xml:space="preserve">jamie46</t>
  </si>
  <si>
    <t xml:space="preserve">rv_005934</t>
  </si>
  <si>
    <t xml:space="preserve">eberry</t>
  </si>
  <si>
    <t xml:space="preserve">rv_001218</t>
  </si>
  <si>
    <t xml:space="preserve">lukemiller</t>
  </si>
  <si>
    <t xml:space="preserve">rv_005849</t>
  </si>
  <si>
    <t xml:space="preserve">connerkevin</t>
  </si>
  <si>
    <t xml:space="preserve">rv_002469</t>
  </si>
  <si>
    <t xml:space="preserve">matthewleonard</t>
  </si>
  <si>
    <t xml:space="preserve">rv_005987</t>
  </si>
  <si>
    <t xml:space="preserve">garciabrandi</t>
  </si>
  <si>
    <t xml:space="preserve">rv_001773</t>
  </si>
  <si>
    <t xml:space="preserve">rv_005276</t>
  </si>
  <si>
    <t xml:space="preserve">omarmiller</t>
  </si>
  <si>
    <t xml:space="preserve">rv_004212</t>
  </si>
  <si>
    <t xml:space="preserve">suzanne15</t>
  </si>
  <si>
    <t xml:space="preserve">rv_005092</t>
  </si>
  <si>
    <t xml:space="preserve">lpeters</t>
  </si>
  <si>
    <t xml:space="preserve">rv_001864</t>
  </si>
  <si>
    <t xml:space="preserve">rhood</t>
  </si>
  <si>
    <t xml:space="preserve">rv_004669</t>
  </si>
  <si>
    <t xml:space="preserve">barbaraaguilar</t>
  </si>
  <si>
    <t xml:space="preserve">rv_005124</t>
  </si>
  <si>
    <t xml:space="preserve">joycekeith</t>
  </si>
  <si>
    <t xml:space="preserve">rv_002713</t>
  </si>
  <si>
    <t xml:space="preserve">richardhaynes</t>
  </si>
  <si>
    <t xml:space="preserve">rv_003759</t>
  </si>
  <si>
    <t xml:space="preserve">markwebb</t>
  </si>
  <si>
    <t xml:space="preserve">rv_000128</t>
  </si>
  <si>
    <t xml:space="preserve">clarence34</t>
  </si>
  <si>
    <t xml:space="preserve">rv_005283</t>
  </si>
  <si>
    <t xml:space="preserve">bradley53</t>
  </si>
  <si>
    <t xml:space="preserve">rv_004342</t>
  </si>
  <si>
    <t xml:space="preserve">rv_001858</t>
  </si>
  <si>
    <t xml:space="preserve">derek77</t>
  </si>
  <si>
    <t xml:space="preserve">rv_002851</t>
  </si>
  <si>
    <t xml:space="preserve">josephgibbs</t>
  </si>
  <si>
    <t xml:space="preserve">rv_005985</t>
  </si>
  <si>
    <t xml:space="preserve">mollystephens</t>
  </si>
  <si>
    <t xml:space="preserve">rv_002351</t>
  </si>
  <si>
    <t xml:space="preserve">natalie39</t>
  </si>
  <si>
    <t xml:space="preserve">rv_000833</t>
  </si>
  <si>
    <t xml:space="preserve">erik41</t>
  </si>
  <si>
    <t xml:space="preserve">rv_004209</t>
  </si>
  <si>
    <t xml:space="preserve">jeremy79</t>
  </si>
  <si>
    <t xml:space="preserve">rv_005927</t>
  </si>
  <si>
    <t xml:space="preserve">rmoore</t>
  </si>
  <si>
    <t xml:space="preserve">rv_002227</t>
  </si>
  <si>
    <t xml:space="preserve">laura29</t>
  </si>
  <si>
    <t xml:space="preserve">rv_005958</t>
  </si>
  <si>
    <t xml:space="preserve">rcannon</t>
  </si>
  <si>
    <t xml:space="preserve">rv_005713</t>
  </si>
  <si>
    <t xml:space="preserve">johnmerritt</t>
  </si>
  <si>
    <t xml:space="preserve">rv_005401</t>
  </si>
  <si>
    <t xml:space="preserve">crivers</t>
  </si>
  <si>
    <t xml:space="preserve">rv_004947</t>
  </si>
  <si>
    <t xml:space="preserve">christopher91</t>
  </si>
  <si>
    <t xml:space="preserve">rv_005297</t>
  </si>
  <si>
    <t xml:space="preserve">ernestmahoney</t>
  </si>
  <si>
    <t xml:space="preserve">rv_002691</t>
  </si>
  <si>
    <t xml:space="preserve">scottolson</t>
  </si>
  <si>
    <t xml:space="preserve">rv_001677</t>
  </si>
  <si>
    <t xml:space="preserve">tjensen</t>
  </si>
  <si>
    <t xml:space="preserve">rv_001530</t>
  </si>
  <si>
    <t xml:space="preserve">rodriguezrobert</t>
  </si>
  <si>
    <t xml:space="preserve">rv_005490</t>
  </si>
  <si>
    <t xml:space="preserve">danielspencer</t>
  </si>
  <si>
    <t xml:space="preserve">rv_004293</t>
  </si>
  <si>
    <t xml:space="preserve">turnerpatrick</t>
  </si>
  <si>
    <t xml:space="preserve">rv_005220</t>
  </si>
  <si>
    <t xml:space="preserve">martinnovak</t>
  </si>
  <si>
    <t xml:space="preserve">rv_000233</t>
  </si>
  <si>
    <t xml:space="preserve">keyemily</t>
  </si>
  <si>
    <t xml:space="preserve">rv_000599</t>
  </si>
  <si>
    <t xml:space="preserve">lfrench</t>
  </si>
  <si>
    <t xml:space="preserve">rv_003997</t>
  </si>
  <si>
    <t xml:space="preserve">briana19</t>
  </si>
  <si>
    <t xml:space="preserve">rv_005545</t>
  </si>
  <si>
    <t xml:space="preserve">rachel51</t>
  </si>
  <si>
    <t xml:space="preserve">rv_003328</t>
  </si>
  <si>
    <t xml:space="preserve">francisco67</t>
  </si>
  <si>
    <t xml:space="preserve">rv_004835</t>
  </si>
  <si>
    <t xml:space="preserve">robert44</t>
  </si>
  <si>
    <t xml:space="preserve">rv_003942</t>
  </si>
  <si>
    <t xml:space="preserve">hberry</t>
  </si>
  <si>
    <t xml:space="preserve">rv_003171</t>
  </si>
  <si>
    <t xml:space="preserve">donnathomas</t>
  </si>
  <si>
    <t xml:space="preserve">rv_000383</t>
  </si>
  <si>
    <t xml:space="preserve">stevenschristian</t>
  </si>
  <si>
    <t xml:space="preserve">rv_004578</t>
  </si>
  <si>
    <t xml:space="preserve">dillon79</t>
  </si>
  <si>
    <t xml:space="preserve">rv_004401</t>
  </si>
  <si>
    <t xml:space="preserve">peter93</t>
  </si>
  <si>
    <t xml:space="preserve">rv_002510</t>
  </si>
  <si>
    <t xml:space="preserve">mclaughlinkeith</t>
  </si>
  <si>
    <t xml:space="preserve">rv_002080</t>
  </si>
  <si>
    <t xml:space="preserve">joelduncan</t>
  </si>
  <si>
    <t xml:space="preserve">rv_003109</t>
  </si>
  <si>
    <t xml:space="preserve">fperez</t>
  </si>
  <si>
    <t xml:space="preserve">rv_004072</t>
  </si>
  <si>
    <t xml:space="preserve">scotthammond</t>
  </si>
  <si>
    <t xml:space="preserve">rv_000416</t>
  </si>
  <si>
    <t xml:space="preserve">umitchell</t>
  </si>
  <si>
    <t xml:space="preserve">rv_004361</t>
  </si>
  <si>
    <t xml:space="preserve">brittneyleonard</t>
  </si>
  <si>
    <t xml:space="preserve">rv_005855</t>
  </si>
  <si>
    <t xml:space="preserve">dustinwilliams</t>
  </si>
  <si>
    <t xml:space="preserve">rv_004751</t>
  </si>
  <si>
    <t xml:space="preserve">contrerasjames</t>
  </si>
  <si>
    <t xml:space="preserve">rv_004898</t>
  </si>
  <si>
    <t xml:space="preserve">christina10</t>
  </si>
  <si>
    <t xml:space="preserve">rv_004148</t>
  </si>
  <si>
    <t xml:space="preserve">banksjackie</t>
  </si>
  <si>
    <t xml:space="preserve">rv_001605</t>
  </si>
  <si>
    <t xml:space="preserve">fernandothomas</t>
  </si>
  <si>
    <t xml:space="preserve">rv_001586</t>
  </si>
  <si>
    <t xml:space="preserve">zcortez</t>
  </si>
  <si>
    <t xml:space="preserve">rv_001947</t>
  </si>
  <si>
    <t xml:space="preserve">stephanie71</t>
  </si>
  <si>
    <t xml:space="preserve">rv_005284</t>
  </si>
  <si>
    <t xml:space="preserve">greenkrystal</t>
  </si>
  <si>
    <t xml:space="preserve">rv_000856</t>
  </si>
  <si>
    <t xml:space="preserve">dphillips</t>
  </si>
  <si>
    <t xml:space="preserve">rv_001405</t>
  </si>
  <si>
    <t xml:space="preserve">jessicastanley</t>
  </si>
  <si>
    <t xml:space="preserve">rv_004730</t>
  </si>
  <si>
    <t xml:space="preserve">michael38</t>
  </si>
  <si>
    <t xml:space="preserve">rv_004761</t>
  </si>
  <si>
    <t xml:space="preserve">patelgabrielle</t>
  </si>
  <si>
    <t xml:space="preserve">rv_004861</t>
  </si>
  <si>
    <t xml:space="preserve">fwalsh</t>
  </si>
  <si>
    <t xml:space="preserve">rv_005591</t>
  </si>
  <si>
    <t xml:space="preserve">snydertricia</t>
  </si>
  <si>
    <t xml:space="preserve">rv_001117</t>
  </si>
  <si>
    <t xml:space="preserve">stacychan</t>
  </si>
  <si>
    <t xml:space="preserve">rv_005735</t>
  </si>
  <si>
    <t xml:space="preserve">lisa78</t>
  </si>
  <si>
    <t xml:space="preserve">rv_003104</t>
  </si>
  <si>
    <t xml:space="preserve">troy06</t>
  </si>
  <si>
    <t xml:space="preserve">rv_002554</t>
  </si>
  <si>
    <t xml:space="preserve">katrina71</t>
  </si>
  <si>
    <t xml:space="preserve">rv_004410</t>
  </si>
  <si>
    <t xml:space="preserve">melissa78</t>
  </si>
  <si>
    <t xml:space="preserve">rv_004900</t>
  </si>
  <si>
    <t xml:space="preserve">obrienbrandon</t>
  </si>
  <si>
    <t xml:space="preserve">rv_002865</t>
  </si>
  <si>
    <t xml:space="preserve">crawfordstephen</t>
  </si>
  <si>
    <t xml:space="preserve">rv_004276</t>
  </si>
  <si>
    <t xml:space="preserve">mmoore</t>
  </si>
  <si>
    <t xml:space="preserve">rv_004996</t>
  </si>
  <si>
    <t xml:space="preserve">fvalencia</t>
  </si>
  <si>
    <t xml:space="preserve">rv_004064</t>
  </si>
  <si>
    <t xml:space="preserve">justin94</t>
  </si>
  <si>
    <t xml:space="preserve">rv_001694</t>
  </si>
  <si>
    <t xml:space="preserve">vbradley</t>
  </si>
  <si>
    <t xml:space="preserve">rv_005636</t>
  </si>
  <si>
    <t xml:space="preserve">kingjoshua</t>
  </si>
  <si>
    <t xml:space="preserve">rv_004281</t>
  </si>
  <si>
    <t xml:space="preserve">hughesdaniel</t>
  </si>
  <si>
    <t xml:space="preserve">rv_000016</t>
  </si>
  <si>
    <t xml:space="preserve">xreid</t>
  </si>
  <si>
    <t xml:space="preserve">rv_003520</t>
  </si>
  <si>
    <t xml:space="preserve">vincent13</t>
  </si>
  <si>
    <t xml:space="preserve">rv_001373</t>
  </si>
  <si>
    <t xml:space="preserve">astewart</t>
  </si>
  <si>
    <t xml:space="preserve">rv_002509</t>
  </si>
  <si>
    <t xml:space="preserve">kstevens</t>
  </si>
  <si>
    <t xml:space="preserve">rv_005301</t>
  </si>
  <si>
    <t xml:space="preserve">christinabeard</t>
  </si>
  <si>
    <t xml:space="preserve">rv_004964</t>
  </si>
  <si>
    <t xml:space="preserve">stephanieedwards</t>
  </si>
  <si>
    <t xml:space="preserve">rv_003124</t>
  </si>
  <si>
    <t xml:space="preserve">heatherjones</t>
  </si>
  <si>
    <t xml:space="preserve">rv_001045</t>
  </si>
  <si>
    <t xml:space="preserve">max41</t>
  </si>
  <si>
    <t xml:space="preserve">rv_003540</t>
  </si>
  <si>
    <t xml:space="preserve">janicethompson</t>
  </si>
  <si>
    <t xml:space="preserve">rv_005435</t>
  </si>
  <si>
    <t xml:space="preserve">garymartinez</t>
  </si>
  <si>
    <t xml:space="preserve">rv_005663</t>
  </si>
  <si>
    <t xml:space="preserve">sheilabarnes</t>
  </si>
  <si>
    <t xml:space="preserve">rv_001902</t>
  </si>
  <si>
    <t xml:space="preserve">marystone</t>
  </si>
  <si>
    <t xml:space="preserve">rv_003632</t>
  </si>
  <si>
    <t xml:space="preserve">martineztracy</t>
  </si>
  <si>
    <t xml:space="preserve">rv_003135</t>
  </si>
  <si>
    <t xml:space="preserve">allenpatricia</t>
  </si>
  <si>
    <t xml:space="preserve">rv_002538</t>
  </si>
  <si>
    <t xml:space="preserve">myerskyle</t>
  </si>
  <si>
    <t xml:space="preserve">rv_003835</t>
  </si>
  <si>
    <t xml:space="preserve">hlawrence</t>
  </si>
  <si>
    <t xml:space="preserve">rv_001024</t>
  </si>
  <si>
    <t xml:space="preserve">earmstrong</t>
  </si>
  <si>
    <t xml:space="preserve">rv_000146</t>
  </si>
  <si>
    <t xml:space="preserve">taylorjesse</t>
  </si>
  <si>
    <t xml:space="preserve">rv_004002</t>
  </si>
  <si>
    <t xml:space="preserve">davisrichard</t>
  </si>
  <si>
    <t xml:space="preserve">rv_000838</t>
  </si>
  <si>
    <t xml:space="preserve">brittneystone</t>
  </si>
  <si>
    <t xml:space="preserve">rv_005935</t>
  </si>
  <si>
    <t xml:space="preserve">rv_000934</t>
  </si>
  <si>
    <t xml:space="preserve">ycrawford</t>
  </si>
  <si>
    <t xml:space="preserve">rv_002608</t>
  </si>
  <si>
    <t xml:space="preserve">stonejacob</t>
  </si>
  <si>
    <t xml:space="preserve">rv_002766</t>
  </si>
  <si>
    <t xml:space="preserve">timothyrobertson</t>
  </si>
  <si>
    <t xml:space="preserve">rv_005573</t>
  </si>
  <si>
    <t xml:space="preserve">caleb84</t>
  </si>
  <si>
    <t xml:space="preserve">rv_002966</t>
  </si>
  <si>
    <t xml:space="preserve">rv_002349</t>
  </si>
  <si>
    <t xml:space="preserve">turnerrandall</t>
  </si>
  <si>
    <t xml:space="preserve">rv_000190</t>
  </si>
  <si>
    <t xml:space="preserve">matthew94</t>
  </si>
  <si>
    <t xml:space="preserve">rv_004885</t>
  </si>
  <si>
    <t xml:space="preserve">dmoore</t>
  </si>
  <si>
    <t xml:space="preserve">rv_000705</t>
  </si>
  <si>
    <t xml:space="preserve">christopherbruce</t>
  </si>
  <si>
    <t xml:space="preserve">rv_002705</t>
  </si>
  <si>
    <t xml:space="preserve">hrichardson</t>
  </si>
  <si>
    <t xml:space="preserve">rv_005227</t>
  </si>
  <si>
    <t xml:space="preserve">tyler31</t>
  </si>
  <si>
    <t xml:space="preserve">rv_005702</t>
  </si>
  <si>
    <t xml:space="preserve">christiancooper</t>
  </si>
  <si>
    <t xml:space="preserve">rv_004412</t>
  </si>
  <si>
    <t xml:space="preserve">taylordavis</t>
  </si>
  <si>
    <t xml:space="preserve">rv_005141</t>
  </si>
  <si>
    <t xml:space="preserve">bethanygrant</t>
  </si>
  <si>
    <t xml:space="preserve">rv_003655</t>
  </si>
  <si>
    <t xml:space="preserve">joseph63</t>
  </si>
  <si>
    <t xml:space="preserve">rv_002996</t>
  </si>
  <si>
    <t xml:space="preserve">michaelbarnes</t>
  </si>
  <si>
    <t xml:space="preserve">rv_005333</t>
  </si>
  <si>
    <t xml:space="preserve">murphybrianna</t>
  </si>
  <si>
    <t xml:space="preserve">rv_000394</t>
  </si>
  <si>
    <t xml:space="preserve">thomasjames</t>
  </si>
  <si>
    <t xml:space="preserve">rv_005974</t>
  </si>
  <si>
    <t xml:space="preserve">debbiejackson</t>
  </si>
  <si>
    <t xml:space="preserve">rv_002834</t>
  </si>
  <si>
    <t xml:space="preserve">patricia85</t>
  </si>
  <si>
    <t xml:space="preserve">rv_000515</t>
  </si>
  <si>
    <t xml:space="preserve">katrinaanderson</t>
  </si>
  <si>
    <t xml:space="preserve">rv_005289</t>
  </si>
  <si>
    <t xml:space="preserve">maxwellsteve</t>
  </si>
  <si>
    <t xml:space="preserve">rv_004054</t>
  </si>
  <si>
    <t xml:space="preserve">nicole69</t>
  </si>
  <si>
    <t xml:space="preserve">rv_004091</t>
  </si>
  <si>
    <t xml:space="preserve">vcole</t>
  </si>
  <si>
    <t xml:space="preserve">rv_005029</t>
  </si>
  <si>
    <t xml:space="preserve">troybrady</t>
  </si>
  <si>
    <t xml:space="preserve">rv_005597</t>
  </si>
  <si>
    <t xml:space="preserve">duncandawn</t>
  </si>
  <si>
    <t xml:space="preserve">rv_005910</t>
  </si>
  <si>
    <t xml:space="preserve">darlene30</t>
  </si>
  <si>
    <t xml:space="preserve">rv_004053</t>
  </si>
  <si>
    <t xml:space="preserve">donaldsanchez</t>
  </si>
  <si>
    <t xml:space="preserve">rv_004985</t>
  </si>
  <si>
    <t xml:space="preserve">curtislee</t>
  </si>
  <si>
    <t xml:space="preserve">rv_001905</t>
  </si>
  <si>
    <t xml:space="preserve">kellis</t>
  </si>
  <si>
    <t xml:space="preserve">rv_002073</t>
  </si>
  <si>
    <t xml:space="preserve">eriktaylor</t>
  </si>
  <si>
    <t xml:space="preserve">rv_004874</t>
  </si>
  <si>
    <t xml:space="preserve">sarah42</t>
  </si>
  <si>
    <t xml:space="preserve">rv_004210</t>
  </si>
  <si>
    <t xml:space="preserve">kreynolds</t>
  </si>
  <si>
    <t xml:space="preserve">rv_002187</t>
  </si>
  <si>
    <t xml:space="preserve">mckenzie86</t>
  </si>
  <si>
    <t xml:space="preserve">rv_005770</t>
  </si>
  <si>
    <t xml:space="preserve">wleblanc</t>
  </si>
  <si>
    <t xml:space="preserve">rv_000268</t>
  </si>
  <si>
    <t xml:space="preserve">molly71</t>
  </si>
  <si>
    <t xml:space="preserve">rv_003027</t>
  </si>
  <si>
    <t xml:space="preserve">belllaura</t>
  </si>
  <si>
    <t xml:space="preserve">rv_002497</t>
  </si>
  <si>
    <t xml:space="preserve">gibsonmiguel</t>
  </si>
  <si>
    <t xml:space="preserve">rv_001991</t>
  </si>
  <si>
    <t xml:space="preserve">olewis</t>
  </si>
  <si>
    <t xml:space="preserve">rv_003325</t>
  </si>
  <si>
    <t xml:space="preserve">aguirreangela</t>
  </si>
  <si>
    <t xml:space="preserve">rv_003635</t>
  </si>
  <si>
    <t xml:space="preserve">guy56</t>
  </si>
  <si>
    <t xml:space="preserve">rv_003828</t>
  </si>
  <si>
    <t xml:space="preserve">dominiqueharris</t>
  </si>
  <si>
    <t xml:space="preserve">rv_004720</t>
  </si>
  <si>
    <t xml:space="preserve">allenjustin</t>
  </si>
  <si>
    <t xml:space="preserve">rv_004153</t>
  </si>
  <si>
    <t xml:space="preserve">navarroandrew</t>
  </si>
  <si>
    <t xml:space="preserve">rv_005421</t>
  </si>
  <si>
    <t xml:space="preserve">nicoleduran</t>
  </si>
  <si>
    <t xml:space="preserve">rv_003078</t>
  </si>
  <si>
    <t xml:space="preserve">lisa91</t>
  </si>
  <si>
    <t xml:space="preserve">rv_003793</t>
  </si>
  <si>
    <t xml:space="preserve">dbrown</t>
  </si>
  <si>
    <t xml:space="preserve">rv_003602</t>
  </si>
  <si>
    <t xml:space="preserve">wmccarthy</t>
  </si>
  <si>
    <t xml:space="preserve">rv_004000</t>
  </si>
  <si>
    <t xml:space="preserve">maryjohnson</t>
  </si>
  <si>
    <t xml:space="preserve">rv_001595</t>
  </si>
  <si>
    <t xml:space="preserve">cgallegos</t>
  </si>
  <si>
    <t xml:space="preserve">rv_002776</t>
  </si>
  <si>
    <t xml:space="preserve">jason96</t>
  </si>
  <si>
    <t xml:space="preserve">rv_000877</t>
  </si>
  <si>
    <t xml:space="preserve">wiseanthony</t>
  </si>
  <si>
    <t xml:space="preserve">rv_002107</t>
  </si>
  <si>
    <t xml:space="preserve">wneal</t>
  </si>
  <si>
    <t xml:space="preserve">rv_004188</t>
  </si>
  <si>
    <t xml:space="preserve">brownmax</t>
  </si>
  <si>
    <t xml:space="preserve">rv_003987</t>
  </si>
  <si>
    <t xml:space="preserve">castroangelica</t>
  </si>
  <si>
    <t xml:space="preserve">rv_002220</t>
  </si>
  <si>
    <t xml:space="preserve">adamsdeborah</t>
  </si>
  <si>
    <t xml:space="preserve">rv_002455</t>
  </si>
  <si>
    <t xml:space="preserve">clarkpatricia</t>
  </si>
  <si>
    <t xml:space="preserve">rv_005801</t>
  </si>
  <si>
    <t xml:space="preserve">lhoward</t>
  </si>
  <si>
    <t xml:space="preserve">rv_001737</t>
  </si>
  <si>
    <t xml:space="preserve">vberry</t>
  </si>
  <si>
    <t xml:space="preserve">rv_004130</t>
  </si>
  <si>
    <t xml:space="preserve">rgraves</t>
  </si>
  <si>
    <t xml:space="preserve">rv_001479</t>
  </si>
  <si>
    <t xml:space="preserve">gregoryjohnson</t>
  </si>
  <si>
    <t xml:space="preserve">rv_003878</t>
  </si>
  <si>
    <t xml:space="preserve">thomasaustin</t>
  </si>
  <si>
    <t xml:space="preserve">rv_002874</t>
  </si>
  <si>
    <t xml:space="preserve">hinesdeanna</t>
  </si>
  <si>
    <t xml:space="preserve">rv_005351</t>
  </si>
  <si>
    <t xml:space="preserve">murphyryan</t>
  </si>
  <si>
    <t xml:space="preserve">rv_003476</t>
  </si>
  <si>
    <t xml:space="preserve">christopherpowell</t>
  </si>
  <si>
    <t xml:space="preserve">rv_000710</t>
  </si>
  <si>
    <t xml:space="preserve">sarahedwards</t>
  </si>
  <si>
    <t xml:space="preserve">rv_000189</t>
  </si>
  <si>
    <t xml:space="preserve">hunter35</t>
  </si>
  <si>
    <t xml:space="preserve">rv_000611</t>
  </si>
  <si>
    <t xml:space="preserve">greenjoe</t>
  </si>
  <si>
    <t xml:space="preserve">rv_003256</t>
  </si>
  <si>
    <t xml:space="preserve">rv_005745</t>
  </si>
  <si>
    <t xml:space="preserve">gonzalezjames</t>
  </si>
  <si>
    <t xml:space="preserve">rv_001199</t>
  </si>
  <si>
    <t xml:space="preserve">pattersonangela</t>
  </si>
  <si>
    <t xml:space="preserve">rv_001497</t>
  </si>
  <si>
    <t xml:space="preserve">umahoney</t>
  </si>
  <si>
    <t xml:space="preserve">rv_003291</t>
  </si>
  <si>
    <t xml:space="preserve">bdominguez</t>
  </si>
  <si>
    <t xml:space="preserve">rv_004257</t>
  </si>
  <si>
    <t xml:space="preserve">christopherward</t>
  </si>
  <si>
    <t xml:space="preserve">rv_001850</t>
  </si>
  <si>
    <t xml:space="preserve">nguyencorey</t>
  </si>
  <si>
    <t xml:space="preserve">rv_002096</t>
  </si>
  <si>
    <t xml:space="preserve">miaprice</t>
  </si>
  <si>
    <t xml:space="preserve">rv_003789</t>
  </si>
  <si>
    <t xml:space="preserve">ldavid</t>
  </si>
  <si>
    <t xml:space="preserve">rv_005759</t>
  </si>
  <si>
    <t xml:space="preserve">teresa76</t>
  </si>
  <si>
    <t xml:space="preserve">rv_005056</t>
  </si>
  <si>
    <t xml:space="preserve">kgeorge</t>
  </si>
  <si>
    <t xml:space="preserve">rv_002536</t>
  </si>
  <si>
    <t xml:space="preserve">gregory08</t>
  </si>
  <si>
    <t xml:space="preserve">rv_001561</t>
  </si>
  <si>
    <t xml:space="preserve">mwaller</t>
  </si>
  <si>
    <t xml:space="preserve">rv_005578</t>
  </si>
  <si>
    <t xml:space="preserve">johnsonrick</t>
  </si>
  <si>
    <t xml:space="preserve">rv_005615</t>
  </si>
  <si>
    <t xml:space="preserve">jenniferpierce</t>
  </si>
  <si>
    <t xml:space="preserve">rv_000114</t>
  </si>
  <si>
    <t xml:space="preserve">rodriguezryan</t>
  </si>
  <si>
    <t xml:space="preserve">rv_004302</t>
  </si>
  <si>
    <t xml:space="preserve">spencertanner</t>
  </si>
  <si>
    <t xml:space="preserve">rv_004411</t>
  </si>
  <si>
    <t xml:space="preserve">shughes</t>
  </si>
  <si>
    <t xml:space="preserve">rv_001985</t>
  </si>
  <si>
    <t xml:space="preserve">ricejennifer</t>
  </si>
  <si>
    <t xml:space="preserve">rv_004183</t>
  </si>
  <si>
    <t xml:space="preserve">franciscoreid</t>
  </si>
  <si>
    <t xml:space="preserve">rv_001951</t>
  </si>
  <si>
    <t xml:space="preserve">qcunningham</t>
  </si>
  <si>
    <t xml:space="preserve">rv_005928</t>
  </si>
  <si>
    <t xml:space="preserve">vfuller</t>
  </si>
  <si>
    <t xml:space="preserve">rv_003963</t>
  </si>
  <si>
    <t xml:space="preserve">clarencedawson</t>
  </si>
  <si>
    <t xml:space="preserve">rv_001983</t>
  </si>
  <si>
    <t xml:space="preserve">michael89</t>
  </si>
  <si>
    <t xml:space="preserve">rv_000703</t>
  </si>
  <si>
    <t xml:space="preserve">davisnicholas</t>
  </si>
  <si>
    <t xml:space="preserve">rv_000240</t>
  </si>
  <si>
    <t xml:space="preserve">jcervantes</t>
  </si>
  <si>
    <t xml:space="preserve">rv_000853</t>
  </si>
  <si>
    <t xml:space="preserve">wrightcarolyn</t>
  </si>
  <si>
    <t xml:space="preserve">rv_000027</t>
  </si>
  <si>
    <t xml:space="preserve">zhurst</t>
  </si>
  <si>
    <t xml:space="preserve">2026-07</t>
  </si>
  <si>
    <t xml:space="preserve">rv_004733</t>
  </si>
  <si>
    <t xml:space="preserve">jessedelacruz</t>
  </si>
  <si>
    <t xml:space="preserve">rv_002060</t>
  </si>
  <si>
    <t xml:space="preserve">nicoleburton</t>
  </si>
  <si>
    <t xml:space="preserve">rv_000617</t>
  </si>
  <si>
    <t xml:space="preserve">christina32</t>
  </si>
  <si>
    <t xml:space="preserve">rv_003349</t>
  </si>
  <si>
    <t xml:space="preserve">hunterdaniel</t>
  </si>
  <si>
    <t xml:space="preserve">rv_003368</t>
  </si>
  <si>
    <t xml:space="preserve">seanrosario</t>
  </si>
  <si>
    <t xml:space="preserve">rv_001518</t>
  </si>
  <si>
    <t xml:space="preserve">markwolfe</t>
  </si>
  <si>
    <t xml:space="preserve">rv_002248</t>
  </si>
  <si>
    <t xml:space="preserve">rv_005961</t>
  </si>
  <si>
    <t xml:space="preserve">raywalters</t>
  </si>
  <si>
    <t xml:space="preserve">rv_002106</t>
  </si>
  <si>
    <t xml:space="preserve">robert85</t>
  </si>
  <si>
    <t xml:space="preserve">rv_005686</t>
  </si>
  <si>
    <t xml:space="preserve">linda24</t>
  </si>
  <si>
    <t xml:space="preserve">rv_001754</t>
  </si>
  <si>
    <t xml:space="preserve">kbarber</t>
  </si>
  <si>
    <t xml:space="preserve">rv_004643</t>
  </si>
  <si>
    <t xml:space="preserve">martinmatthew</t>
  </si>
  <si>
    <t xml:space="preserve">rv_000871</t>
  </si>
  <si>
    <t xml:space="preserve">sanchezsandy</t>
  </si>
  <si>
    <t xml:space="preserve">rv_002954</t>
  </si>
  <si>
    <t xml:space="preserve">seth25</t>
  </si>
  <si>
    <t xml:space="preserve">rv_004824</t>
  </si>
  <si>
    <t xml:space="preserve">rickey20</t>
  </si>
  <si>
    <t xml:space="preserve">rv_001853</t>
  </si>
  <si>
    <t xml:space="preserve">zamoradustin</t>
  </si>
  <si>
    <t xml:space="preserve">rv_004611</t>
  </si>
  <si>
    <t xml:space="preserve">wellsnatalie</t>
  </si>
  <si>
    <t xml:space="preserve">rv_003599</t>
  </si>
  <si>
    <t xml:space="preserve">adam25</t>
  </si>
  <si>
    <t xml:space="preserve">rv_000480</t>
  </si>
  <si>
    <t xml:space="preserve">acostachristian</t>
  </si>
  <si>
    <t xml:space="preserve">rv_004525</t>
  </si>
  <si>
    <t xml:space="preserve">andrew65</t>
  </si>
  <si>
    <t xml:space="preserve">Good enough for basic transactions. Love the new update, much faster than before.</t>
  </si>
  <si>
    <t xml:space="preserve">rv_000835</t>
  </si>
  <si>
    <t xml:space="preserve">sanderskevin</t>
  </si>
  <si>
    <t xml:space="preserve">rv_002897</t>
  </si>
  <si>
    <t xml:space="preserve">petergriffith</t>
  </si>
  <si>
    <t xml:space="preserve">rv_000546</t>
  </si>
  <si>
    <t xml:space="preserve">kathryn50</t>
  </si>
  <si>
    <t xml:space="preserve">rv_002432</t>
  </si>
  <si>
    <t xml:space="preserve">justinrobinson</t>
  </si>
  <si>
    <t xml:space="preserve">rv_005758</t>
  </si>
  <si>
    <t xml:space="preserve">rodneymiller</t>
  </si>
  <si>
    <t xml:space="preserve">rv_001200</t>
  </si>
  <si>
    <t xml:space="preserve">eugenesingleton</t>
  </si>
  <si>
    <t xml:space="preserve">rv_000373</t>
  </si>
  <si>
    <t xml:space="preserve">wnelson</t>
  </si>
  <si>
    <t xml:space="preserve">It's okay, does what it needs to do. Really convenient for paying bills every month.</t>
  </si>
  <si>
    <t xml:space="preserve">rv_004865</t>
  </si>
  <si>
    <t xml:space="preserve">dennis01</t>
  </si>
  <si>
    <t xml:space="preserve">rv_001487</t>
  </si>
  <si>
    <t xml:space="preserve">colonjoseph</t>
  </si>
  <si>
    <t xml:space="preserve">rv_004770</t>
  </si>
  <si>
    <t xml:space="preserve">gonzalezkenneth</t>
  </si>
  <si>
    <t xml:space="preserve">rv_000043</t>
  </si>
  <si>
    <t xml:space="preserve">spenceamanda</t>
  </si>
  <si>
    <t xml:space="preserve">rv_005488</t>
  </si>
  <si>
    <t xml:space="preserve">rv_004029</t>
  </si>
  <si>
    <t xml:space="preserve">qcochran</t>
  </si>
  <si>
    <t xml:space="preserve">rv_001268</t>
  </si>
  <si>
    <t xml:space="preserve">melaniedrake</t>
  </si>
  <si>
    <t xml:space="preserve">It's okay, does what it needs to do. Great app, super easy to send money to friends!</t>
  </si>
  <si>
    <t xml:space="preserve">rv_003543</t>
  </si>
  <si>
    <t xml:space="preserve">edwardsmichaela</t>
  </si>
  <si>
    <t xml:space="preserve">rv_002856</t>
  </si>
  <si>
    <t xml:space="preserve">tracie05</t>
  </si>
  <si>
    <t xml:space="preserve">rv_001848</t>
  </si>
  <si>
    <t xml:space="preserve">jenniferwatkins</t>
  </si>
  <si>
    <t xml:space="preserve">rv_001667</t>
  </si>
  <si>
    <t xml:space="preserve">james44</t>
  </si>
  <si>
    <t xml:space="preserve">rv_004305</t>
  </si>
  <si>
    <t xml:space="preserve">sandersnicholas</t>
  </si>
  <si>
    <t xml:space="preserve">rv_004513</t>
  </si>
  <si>
    <t xml:space="preserve">xmarquez</t>
  </si>
  <si>
    <t xml:space="preserve">rv_001241</t>
  </si>
  <si>
    <t xml:space="preserve">jason53</t>
  </si>
  <si>
    <t xml:space="preserve">rv_003278</t>
  </si>
  <si>
    <t xml:space="preserve">vgreen</t>
  </si>
  <si>
    <t xml:space="preserve">rv_000846</t>
  </si>
  <si>
    <t xml:space="preserve">morenoalan</t>
  </si>
  <si>
    <t xml:space="preserve">rv_001910</t>
  </si>
  <si>
    <t xml:space="preserve">ian22</t>
  </si>
  <si>
    <t xml:space="preserve">rv_003798</t>
  </si>
  <si>
    <t xml:space="preserve">gonzalesmark</t>
  </si>
  <si>
    <t xml:space="preserve">rv_004214</t>
  </si>
  <si>
    <t xml:space="preserve">aprilsnyder</t>
  </si>
  <si>
    <t xml:space="preserve">rv_004076</t>
  </si>
  <si>
    <t xml:space="preserve">steven06</t>
  </si>
  <si>
    <t xml:space="preserve">rv_005010</t>
  </si>
  <si>
    <t xml:space="preserve">patriciajohnson</t>
  </si>
  <si>
    <t xml:space="preserve">rv_003082</t>
  </si>
  <si>
    <t xml:space="preserve">brenda49</t>
  </si>
  <si>
    <t xml:space="preserve">rv_002539</t>
  </si>
  <si>
    <t xml:space="preserve">georgebrandon</t>
  </si>
  <si>
    <t xml:space="preserve">rv_003730</t>
  </si>
  <si>
    <t xml:space="preserve">alexandra67</t>
  </si>
  <si>
    <t xml:space="preserve">rv_002614</t>
  </si>
  <si>
    <t xml:space="preserve">lisa43</t>
  </si>
  <si>
    <t xml:space="preserve">rv_001970</t>
  </si>
  <si>
    <t xml:space="preserve">don79</t>
  </si>
  <si>
    <t xml:space="preserve">rv_005584</t>
  </si>
  <si>
    <t xml:space="preserve">wendymason</t>
  </si>
  <si>
    <t xml:space="preserve">rv_003085</t>
  </si>
  <si>
    <t xml:space="preserve">charlessandoval</t>
  </si>
  <si>
    <t xml:space="preserve">rv_005641</t>
  </si>
  <si>
    <t xml:space="preserve">jillnavarro</t>
  </si>
  <si>
    <t xml:space="preserve">rv_001863</t>
  </si>
  <si>
    <t xml:space="preserve">natkins</t>
  </si>
  <si>
    <t xml:space="preserve">rv_005285</t>
  </si>
  <si>
    <t xml:space="preserve">brodriguez</t>
  </si>
  <si>
    <t xml:space="preserve">rv_003598</t>
  </si>
  <si>
    <t xml:space="preserve">gailsingleton</t>
  </si>
  <si>
    <t xml:space="preserve">rv_003922</t>
  </si>
  <si>
    <t xml:space="preserve">nancy06</t>
  </si>
  <si>
    <t xml:space="preserve">rv_002223</t>
  </si>
  <si>
    <t xml:space="preserve">keithlee</t>
  </si>
  <si>
    <t xml:space="preserve">rv_002179</t>
  </si>
  <si>
    <t xml:space="preserve">rv_005506</t>
  </si>
  <si>
    <t xml:space="preserve">sherry01</t>
  </si>
  <si>
    <t xml:space="preserve">rv_001257</t>
  </si>
  <si>
    <t xml:space="preserve">wford</t>
  </si>
  <si>
    <t xml:space="preserve">rv_000511</t>
  </si>
  <si>
    <t xml:space="preserve">khammond</t>
  </si>
  <si>
    <t xml:space="preserve">rv_003445</t>
  </si>
  <si>
    <t xml:space="preserve">david80</t>
  </si>
  <si>
    <t xml:space="preserve">rv_004133</t>
  </si>
  <si>
    <t xml:space="preserve">taylorparker</t>
  </si>
  <si>
    <t xml:space="preserve">rv_002933</t>
  </si>
  <si>
    <t xml:space="preserve">denise66</t>
  </si>
  <si>
    <t xml:space="preserve">rv_002191</t>
  </si>
  <si>
    <t xml:space="preserve">michael91</t>
  </si>
  <si>
    <t xml:space="preserve">rv_002124</t>
  </si>
  <si>
    <t xml:space="preserve">fwilcox</t>
  </si>
  <si>
    <t xml:space="preserve">rv_000818</t>
  </si>
  <si>
    <t xml:space="preserve">courtney67</t>
  </si>
  <si>
    <t xml:space="preserve">rv_005102</t>
  </si>
  <si>
    <t xml:space="preserve">jasminemorton</t>
  </si>
  <si>
    <t xml:space="preserve">rv_000780</t>
  </si>
  <si>
    <t xml:space="preserve">michaelgonzalez</t>
  </si>
  <si>
    <t xml:space="preserve">rv_001683</t>
  </si>
  <si>
    <t xml:space="preserve">philip55</t>
  </si>
  <si>
    <t xml:space="preserve">rv_002400</t>
  </si>
  <si>
    <t xml:space="preserve">hansenkenneth</t>
  </si>
  <si>
    <t xml:space="preserve">rv_003320</t>
  </si>
  <si>
    <t xml:space="preserve">rv_002069</t>
  </si>
  <si>
    <t xml:space="preserve">richardwilson</t>
  </si>
  <si>
    <t xml:space="preserve">rv_002234</t>
  </si>
  <si>
    <t xml:space="preserve">greggvillarreal</t>
  </si>
  <si>
    <t xml:space="preserve">rv_001062</t>
  </si>
  <si>
    <t xml:space="preserve">trujilloleah</t>
  </si>
  <si>
    <t xml:space="preserve">rv_003218</t>
  </si>
  <si>
    <t xml:space="preserve">rtaylor</t>
  </si>
  <si>
    <t xml:space="preserve">rv_001886</t>
  </si>
  <si>
    <t xml:space="preserve">gregory81</t>
  </si>
  <si>
    <t xml:space="preserve">rv_002088</t>
  </si>
  <si>
    <t xml:space="preserve">henrynicholas</t>
  </si>
  <si>
    <t xml:space="preserve">rv_005608</t>
  </si>
  <si>
    <t xml:space="preserve">hallmegan</t>
  </si>
  <si>
    <t xml:space="preserve">rv_004136</t>
  </si>
  <si>
    <t xml:space="preserve">sarah99</t>
  </si>
  <si>
    <t xml:space="preserve">rv_001532</t>
  </si>
  <si>
    <t xml:space="preserve">carrillogary</t>
  </si>
  <si>
    <t xml:space="preserve">rv_002086</t>
  </si>
  <si>
    <t xml:space="preserve">thompsontara</t>
  </si>
  <si>
    <t xml:space="preserve">rv_000859</t>
  </si>
  <si>
    <t xml:space="preserve">hatfieldsarah</t>
  </si>
  <si>
    <t xml:space="preserve">Average experience, nothing special. Really convenient for paying bills every month.</t>
  </si>
  <si>
    <t xml:space="preserve">rv_000011</t>
  </si>
  <si>
    <t xml:space="preserve">dudleynicholas</t>
  </si>
  <si>
    <t xml:space="preserve">rv_000034</t>
  </si>
  <si>
    <t xml:space="preserve">kayla51</t>
  </si>
  <si>
    <t xml:space="preserve">rv_001816</t>
  </si>
  <si>
    <t xml:space="preserve">lori17</t>
  </si>
  <si>
    <t xml:space="preserve">rv_001430</t>
  </si>
  <si>
    <t xml:space="preserve">christian38</t>
  </si>
  <si>
    <t xml:space="preserve">rv_001825</t>
  </si>
  <si>
    <t xml:space="preserve">xjackson</t>
  </si>
  <si>
    <t xml:space="preserve">rv_001457</t>
  </si>
  <si>
    <t xml:space="preserve">jbarker</t>
  </si>
  <si>
    <t xml:space="preserve">rv_004229</t>
  </si>
  <si>
    <t xml:space="preserve">nchristensen</t>
  </si>
  <si>
    <t xml:space="preserve">rv_000957</t>
  </si>
  <si>
    <t xml:space="preserve">nsmith</t>
  </si>
  <si>
    <t xml:space="preserve">rv_001237</t>
  </si>
  <si>
    <t xml:space="preserve">susan24</t>
  </si>
  <si>
    <t xml:space="preserve">rv_005144</t>
  </si>
  <si>
    <t xml:space="preserve">kelleyglen</t>
  </si>
  <si>
    <t xml:space="preserve">rv_001166</t>
  </si>
  <si>
    <t xml:space="preserve">bartonshannon</t>
  </si>
  <si>
    <t xml:space="preserve">rv_000376</t>
  </si>
  <si>
    <t xml:space="preserve">walkertracey</t>
  </si>
  <si>
    <t xml:space="preserve">rv_004840</t>
  </si>
  <si>
    <t xml:space="preserve">nunezmatthew</t>
  </si>
  <si>
    <t xml:space="preserve">rv_002091</t>
  </si>
  <si>
    <t xml:space="preserve">michaelbaldwin</t>
  </si>
  <si>
    <t xml:space="preserve">rv_003558</t>
  </si>
  <si>
    <t xml:space="preserve">danastevens</t>
  </si>
  <si>
    <t xml:space="preserve">rv_005338</t>
  </si>
  <si>
    <t xml:space="preserve">csmall</t>
  </si>
  <si>
    <t xml:space="preserve">rv_002479</t>
  </si>
  <si>
    <t xml:space="preserve">scarrillo</t>
  </si>
  <si>
    <t xml:space="preserve">rv_001860</t>
  </si>
  <si>
    <t xml:space="preserve">oliviamunoz</t>
  </si>
  <si>
    <t xml:space="preserve">rv_002494</t>
  </si>
  <si>
    <t xml:space="preserve">rv_002131</t>
  </si>
  <si>
    <t xml:space="preserve">christinesolomon</t>
  </si>
  <si>
    <t xml:space="preserve">rv_001963</t>
  </si>
  <si>
    <t xml:space="preserve">nathan76</t>
  </si>
  <si>
    <t xml:space="preserve">rv_002615</t>
  </si>
  <si>
    <t xml:space="preserve">ahale</t>
  </si>
  <si>
    <t xml:space="preserve">rv_000390</t>
  </si>
  <si>
    <t xml:space="preserve">fosterkyle</t>
  </si>
  <si>
    <t xml:space="preserve">rv_000570</t>
  </si>
  <si>
    <t xml:space="preserve">rv_003553</t>
  </si>
  <si>
    <t xml:space="preserve">petersonashley</t>
  </si>
  <si>
    <t xml:space="preserve">rv_005463</t>
  </si>
  <si>
    <t xml:space="preserve">russellkelley</t>
  </si>
  <si>
    <t xml:space="preserve">rv_004895</t>
  </si>
  <si>
    <t xml:space="preserve">vdeleon</t>
  </si>
  <si>
    <t xml:space="preserve">rv_004938</t>
  </si>
  <si>
    <t xml:space="preserve">melissa40</t>
  </si>
  <si>
    <t xml:space="preserve">rv_005697</t>
  </si>
  <si>
    <t xml:space="preserve">tammy65</t>
  </si>
  <si>
    <t xml:space="preserve">rv_005990</t>
  </si>
  <si>
    <t xml:space="preserve">marynunez</t>
  </si>
  <si>
    <t xml:space="preserve">rv_003387</t>
  </si>
  <si>
    <t xml:space="preserve">stephanie67</t>
  </si>
  <si>
    <t xml:space="preserve">rv_002633</t>
  </si>
  <si>
    <t xml:space="preserve">sarah75</t>
  </si>
  <si>
    <t xml:space="preserve">rv_000437</t>
  </si>
  <si>
    <t xml:space="preserve">ashaw</t>
  </si>
  <si>
    <t xml:space="preserve">rv_005660</t>
  </si>
  <si>
    <t xml:space="preserve">john84</t>
  </si>
  <si>
    <t xml:space="preserve">rv_002752</t>
  </si>
  <si>
    <t xml:space="preserve">iwoods</t>
  </si>
  <si>
    <t xml:space="preserve">rv_004814</t>
  </si>
  <si>
    <t xml:space="preserve">rv_000096</t>
  </si>
  <si>
    <t xml:space="preserve">landryhannah</t>
  </si>
  <si>
    <t xml:space="preserve">rv_004274</t>
  </si>
  <si>
    <t xml:space="preserve">hermanjulie</t>
  </si>
  <si>
    <t xml:space="preserve">rv_005671</t>
  </si>
  <si>
    <t xml:space="preserve">alexanderryan</t>
  </si>
  <si>
    <t xml:space="preserve">rv_002802</t>
  </si>
  <si>
    <t xml:space="preserve">scastillo</t>
  </si>
  <si>
    <t xml:space="preserve">rv_001873</t>
  </si>
  <si>
    <t xml:space="preserve">steelerichard</t>
  </si>
  <si>
    <t xml:space="preserve">rv_002875</t>
  </si>
  <si>
    <t xml:space="preserve">andersonkayla</t>
  </si>
  <si>
    <t xml:space="preserve">rv_003545</t>
  </si>
  <si>
    <t xml:space="preserve">cookemily</t>
  </si>
  <si>
    <t xml:space="preserve">rv_000560</t>
  </si>
  <si>
    <t xml:space="preserve">terickson</t>
  </si>
  <si>
    <t xml:space="preserve">rv_004452</t>
  </si>
  <si>
    <t xml:space="preserve">joshuasmith</t>
  </si>
  <si>
    <t xml:space="preserve">rv_005310</t>
  </si>
  <si>
    <t xml:space="preserve">rv_002492</t>
  </si>
  <si>
    <t xml:space="preserve">jacksonemily</t>
  </si>
  <si>
    <t xml:space="preserve">rv_002944</t>
  </si>
  <si>
    <t xml:space="preserve">uporter</t>
  </si>
  <si>
    <t xml:space="preserve">rv_001262</t>
  </si>
  <si>
    <t xml:space="preserve">hessbeth</t>
  </si>
  <si>
    <t xml:space="preserve">rv_001540</t>
  </si>
  <si>
    <t xml:space="preserve">jodylewis</t>
  </si>
  <si>
    <t xml:space="preserve">rv_000308</t>
  </si>
  <si>
    <t xml:space="preserve">amanda75</t>
  </si>
  <si>
    <t xml:space="preserve">rv_003439</t>
  </si>
  <si>
    <t xml:space="preserve">robert76</t>
  </si>
  <si>
    <t xml:space="preserve">rv_002862</t>
  </si>
  <si>
    <t xml:space="preserve">james62</t>
  </si>
  <si>
    <t xml:space="preserve">rv_005064</t>
  </si>
  <si>
    <t xml:space="preserve">allenronald</t>
  </si>
  <si>
    <t xml:space="preserve">rv_002919</t>
  </si>
  <si>
    <t xml:space="preserve">anthonydiaz</t>
  </si>
  <si>
    <t xml:space="preserve">rv_002877</t>
  </si>
  <si>
    <t xml:space="preserve">rosariodaniel</t>
  </si>
  <si>
    <t xml:space="preserve">rv_001663</t>
  </si>
  <si>
    <t xml:space="preserve">rv_005472</t>
  </si>
  <si>
    <t xml:space="preserve">bmosley</t>
  </si>
  <si>
    <t xml:space="preserve">rv_005843</t>
  </si>
  <si>
    <t xml:space="preserve">rv_001155</t>
  </si>
  <si>
    <t xml:space="preserve">ann99</t>
  </si>
  <si>
    <t xml:space="preserve">rv_002208</t>
  </si>
  <si>
    <t xml:space="preserve">christophercarrillo</t>
  </si>
  <si>
    <t xml:space="preserve">rv_003584</t>
  </si>
  <si>
    <t xml:space="preserve">johnnybrooks</t>
  </si>
  <si>
    <t xml:space="preserve">rv_000499</t>
  </si>
  <si>
    <t xml:space="preserve">nlewis</t>
  </si>
  <si>
    <t xml:space="preserve">rv_001197</t>
  </si>
  <si>
    <t xml:space="preserve">shane12</t>
  </si>
  <si>
    <t xml:space="preserve">rv_003129</t>
  </si>
  <si>
    <t xml:space="preserve">melaniegarcia</t>
  </si>
  <si>
    <t xml:space="preserve">rv_002619</t>
  </si>
  <si>
    <t xml:space="preserve">REALLY CONVENIENT FOR PAYING BILLS EVERY MONTH. CLEAN DESIGN AND WORKS EXACTLY AS EXPECTED.</t>
  </si>
  <si>
    <t xml:space="preserve">rv_000609</t>
  </si>
  <si>
    <t xml:space="preserve">christopher12</t>
  </si>
  <si>
    <t xml:space="preserve">rv_002114</t>
  </si>
  <si>
    <t xml:space="preserve">shannon24</t>
  </si>
  <si>
    <t xml:space="preserve">rv_005410</t>
  </si>
  <si>
    <t xml:space="preserve">willie16</t>
  </si>
  <si>
    <t xml:space="preserve">rv_005163</t>
  </si>
  <si>
    <t xml:space="preserve">rv_005979</t>
  </si>
  <si>
    <t xml:space="preserve">dianawolf</t>
  </si>
  <si>
    <t xml:space="preserve">rv_002238</t>
  </si>
  <si>
    <t xml:space="preserve">kayla84</t>
  </si>
  <si>
    <t xml:space="preserve">rv_001491</t>
  </si>
  <si>
    <t xml:space="preserve">hlopez</t>
  </si>
  <si>
    <t xml:space="preserve">rv_002926</t>
  </si>
  <si>
    <t xml:space="preserve">alexwall</t>
  </si>
  <si>
    <t xml:space="preserve">rv_005108</t>
  </si>
  <si>
    <t xml:space="preserve">tmoore</t>
  </si>
  <si>
    <t xml:space="preserve">rv_000195</t>
  </si>
  <si>
    <t xml:space="preserve">phillipsrichard</t>
  </si>
  <si>
    <t xml:space="preserve">rv_002132</t>
  </si>
  <si>
    <t xml:space="preserve">brandi71</t>
  </si>
  <si>
    <t xml:space="preserve">rv_003832</t>
  </si>
  <si>
    <t xml:space="preserve">wallacejulie</t>
  </si>
  <si>
    <t xml:space="preserve">rv_004564</t>
  </si>
  <si>
    <t xml:space="preserve">cherylmartin</t>
  </si>
  <si>
    <t xml:space="preserve">rv_004998</t>
  </si>
  <si>
    <t xml:space="preserve">michellesmith</t>
  </si>
  <si>
    <t xml:space="preserve">rv_001535</t>
  </si>
  <si>
    <t xml:space="preserve">jamesbrooks</t>
  </si>
  <si>
    <t xml:space="preserve">rv_002117</t>
  </si>
  <si>
    <t xml:space="preserve">phillipbennett</t>
  </si>
  <si>
    <t xml:space="preserve">rv_003374</t>
  </si>
  <si>
    <t xml:space="preserve">catherineflynn</t>
  </si>
  <si>
    <t xml:space="preserve">rv_001621</t>
  </si>
  <si>
    <t xml:space="preserve">sarah14</t>
  </si>
  <si>
    <t xml:space="preserve">rv_001090</t>
  </si>
  <si>
    <t xml:space="preserve">katherine83</t>
  </si>
  <si>
    <t xml:space="preserve">rv_000974</t>
  </si>
  <si>
    <t xml:space="preserve">daisymccarty</t>
  </si>
  <si>
    <t xml:space="preserve">rv_001529</t>
  </si>
  <si>
    <t xml:space="preserve">rv_000381</t>
  </si>
  <si>
    <t xml:space="preserve">vincentwhitaker</t>
  </si>
  <si>
    <t xml:space="preserve">rv_003935</t>
  </si>
  <si>
    <t xml:space="preserve">kcastro</t>
  </si>
  <si>
    <t xml:space="preserve">rv_004128</t>
  </si>
  <si>
    <t xml:space="preserve">frankwilson</t>
  </si>
  <si>
    <t xml:space="preserve">CUSTOMER SUPPORT FIXED MY ISSUE QUICKLY, THANKS! CUSTOMER SUPPORT FIXED MY ISSUE QUICKLY, THANKS!</t>
  </si>
  <si>
    <t xml:space="preserve">rv_003688</t>
  </si>
  <si>
    <t xml:space="preserve">ojenkins</t>
  </si>
  <si>
    <t xml:space="preserve">rv_004335</t>
  </si>
  <si>
    <t xml:space="preserve">barbarabrady</t>
  </si>
  <si>
    <t xml:space="preserve">rv_003195</t>
  </si>
  <si>
    <t xml:space="preserve">grasmussen</t>
  </si>
  <si>
    <t xml:space="preserve">rv_003314</t>
  </si>
  <si>
    <t xml:space="preserve">rhuff</t>
  </si>
  <si>
    <t xml:space="preserve">rv_001004</t>
  </si>
  <si>
    <t xml:space="preserve">larellano</t>
  </si>
  <si>
    <t xml:space="preserve">rv_002213</t>
  </si>
  <si>
    <t xml:space="preserve">kennethgallegos</t>
  </si>
  <si>
    <t xml:space="preserve">rv_005848</t>
  </si>
  <si>
    <t xml:space="preserve">kylescott</t>
  </si>
  <si>
    <t xml:space="preserve">rv_004668</t>
  </si>
  <si>
    <t xml:space="preserve">katrina51</t>
  </si>
  <si>
    <t xml:space="preserve">rv_005755</t>
  </si>
  <si>
    <t xml:space="preserve">aaroncox</t>
  </si>
  <si>
    <t xml:space="preserve">rv_001623</t>
  </si>
  <si>
    <t xml:space="preserve">ebridges</t>
  </si>
  <si>
    <t xml:space="preserve">rv_003304</t>
  </si>
  <si>
    <t xml:space="preserve">priscilla37</t>
  </si>
  <si>
    <t xml:space="preserve">rv_002612</t>
  </si>
  <si>
    <t xml:space="preserve">ugoodwin</t>
  </si>
  <si>
    <t xml:space="preserve">rv_001640</t>
  </si>
  <si>
    <t xml:space="preserve">randy99</t>
  </si>
  <si>
    <t xml:space="preserve">rv_001068</t>
  </si>
  <si>
    <t xml:space="preserve">qknox</t>
  </si>
  <si>
    <t xml:space="preserve">rv_004464</t>
  </si>
  <si>
    <t xml:space="preserve">rv_001719</t>
  </si>
  <si>
    <t xml:space="preserve">iproctor</t>
  </si>
  <si>
    <t xml:space="preserve">rv_000302</t>
  </si>
  <si>
    <t xml:space="preserve">alyssa42</t>
  </si>
  <si>
    <t xml:space="preserve">rv_004119</t>
  </si>
  <si>
    <t xml:space="preserve">wstewart</t>
  </si>
  <si>
    <t xml:space="preserve">rv_005680</t>
  </si>
  <si>
    <t xml:space="preserve">emily18</t>
  </si>
  <si>
    <t xml:space="preserve">rv_002243</t>
  </si>
  <si>
    <t xml:space="preserve">colonbobby</t>
  </si>
  <si>
    <t xml:space="preserve">rv_005125</t>
  </si>
  <si>
    <t xml:space="preserve">oconnorlauren</t>
  </si>
  <si>
    <t xml:space="preserve">rv_004694</t>
  </si>
  <si>
    <t xml:space="preserve">halljohn</t>
  </si>
  <si>
    <t xml:space="preserve">rv_005422</t>
  </si>
  <si>
    <t xml:space="preserve">torrestricia</t>
  </si>
  <si>
    <t xml:space="preserve">rv_003409</t>
  </si>
  <si>
    <t xml:space="preserve">wallaceryan</t>
  </si>
  <si>
    <t xml:space="preserve">IT FREEZES AND THEN CRASHES, HAD TO REINSTALL TWICE.</t>
  </si>
  <si>
    <t xml:space="preserve">rv_002109</t>
  </si>
  <si>
    <t xml:space="preserve">igibbs</t>
  </si>
  <si>
    <t xml:space="preserve">rv_005727</t>
  </si>
  <si>
    <t xml:space="preserve">dawnmartin</t>
  </si>
  <si>
    <t xml:space="preserve">rv_004145</t>
  </si>
  <si>
    <t xml:space="preserve">xfrey</t>
  </si>
  <si>
    <t xml:space="preserve">rv_003910</t>
  </si>
  <si>
    <t xml:space="preserve">brownrobert</t>
  </si>
  <si>
    <t xml:space="preserve">rv_004924</t>
  </si>
  <si>
    <t xml:space="preserve">hufftina</t>
  </si>
  <si>
    <t xml:space="preserve">rv_000044</t>
  </si>
  <si>
    <t xml:space="preserve">davidalvarez</t>
  </si>
  <si>
    <t xml:space="preserve">rv_000476</t>
  </si>
  <si>
    <t xml:space="preserve">lloydsamuel</t>
  </si>
  <si>
    <t xml:space="preserve">rv_005999</t>
  </si>
  <si>
    <t xml:space="preserve">haroldlee</t>
  </si>
  <si>
    <t xml:space="preserve">rv_002841</t>
  </si>
  <si>
    <t xml:space="preserve">martinkaren</t>
  </si>
  <si>
    <t xml:space="preserve">rv_003845</t>
  </si>
  <si>
    <t xml:space="preserve">jerome16</t>
  </si>
  <si>
    <t xml:space="preserve">rv_000104</t>
  </si>
  <si>
    <t xml:space="preserve">vjohnson</t>
  </si>
  <si>
    <t xml:space="preserve">rv_001035</t>
  </si>
  <si>
    <t xml:space="preserve">lori82</t>
  </si>
  <si>
    <t xml:space="preserve">rv_001390</t>
  </si>
  <si>
    <t xml:space="preserve">colematthew</t>
  </si>
  <si>
    <t xml:space="preserve">rv_003572</t>
  </si>
  <si>
    <t xml:space="preserve">rv_001292</t>
  </si>
  <si>
    <t xml:space="preserve">macdonalddylan</t>
  </si>
  <si>
    <t xml:space="preserve">rv_004528</t>
  </si>
  <si>
    <t xml:space="preserve">stephensonkatherine</t>
  </si>
  <si>
    <t xml:space="preserve">rv_000880</t>
  </si>
  <si>
    <t xml:space="preserve">xgibson</t>
  </si>
  <si>
    <t xml:space="preserve">rv_000414</t>
  </si>
  <si>
    <t xml:space="preserve">mccormickdeborah</t>
  </si>
  <si>
    <t xml:space="preserve">rv_002244</t>
  </si>
  <si>
    <t xml:space="preserve">jacksondavid</t>
  </si>
  <si>
    <t xml:space="preserve">rv_001762</t>
  </si>
  <si>
    <t xml:space="preserve">ureyes</t>
  </si>
  <si>
    <t xml:space="preserve">rv_000384</t>
  </si>
  <si>
    <t xml:space="preserve">barbara96</t>
  </si>
  <si>
    <t xml:space="preserve">rv_001196</t>
  </si>
  <si>
    <t xml:space="preserve">kimberlybrandt</t>
  </si>
  <si>
    <t xml:space="preserve">rv_002412</t>
  </si>
  <si>
    <t xml:space="preserve">brownlarry</t>
  </si>
  <si>
    <t xml:space="preserve">rv_001306</t>
  </si>
  <si>
    <t xml:space="preserve">richamanda</t>
  </si>
  <si>
    <t xml:space="preserve">rv_004949</t>
  </si>
  <si>
    <t xml:space="preserve">monicaavery</t>
  </si>
  <si>
    <t xml:space="preserve">rv_000167</t>
  </si>
  <si>
    <t xml:space="preserve">herringjames</t>
  </si>
  <si>
    <t xml:space="preserve">rv_002027</t>
  </si>
  <si>
    <t xml:space="preserve">nicole27</t>
  </si>
  <si>
    <t xml:space="preserve">rv_004221</t>
  </si>
  <si>
    <t xml:space="preserve">robert35</t>
  </si>
  <si>
    <t xml:space="preserve">rv_002002</t>
  </si>
  <si>
    <t xml:space="preserve">qkim</t>
  </si>
  <si>
    <t xml:space="preserve">rv_002653</t>
  </si>
  <si>
    <t xml:space="preserve">peggyfriedman</t>
  </si>
  <si>
    <t xml:space="preserve">rv_003740</t>
  </si>
  <si>
    <t xml:space="preserve">william48</t>
  </si>
  <si>
    <t xml:space="preserve">rv_001434</t>
  </si>
  <si>
    <t xml:space="preserve">rwilliamson</t>
  </si>
  <si>
    <t xml:space="preserve">rv_004059</t>
  </si>
  <si>
    <t xml:space="preserve">rv_003389</t>
  </si>
  <si>
    <t xml:space="preserve">rv_004052</t>
  </si>
  <si>
    <t xml:space="preserve">samantha60</t>
  </si>
  <si>
    <t xml:space="preserve">rv_000075</t>
  </si>
  <si>
    <t xml:space="preserve">caseyjones</t>
  </si>
  <si>
    <t xml:space="preserve">rv_001689</t>
  </si>
  <si>
    <t xml:space="preserve">nguyendebra</t>
  </si>
  <si>
    <t xml:space="preserve">PAYMENT GOT STUCK PROCESSING FOR OVER AN HOUR.</t>
  </si>
  <si>
    <t xml:space="preserve">rv_000155</t>
  </si>
  <si>
    <t xml:space="preserve">rv_000882</t>
  </si>
  <si>
    <t xml:space="preserve">eric19</t>
  </si>
  <si>
    <t xml:space="preserve">rv_003227</t>
  </si>
  <si>
    <t xml:space="preserve">reynoldsdaisy</t>
  </si>
  <si>
    <t xml:space="preserve">rv_005235</t>
  </si>
  <si>
    <t xml:space="preserve">richard61</t>
  </si>
  <si>
    <t xml:space="preserve">rv_000898</t>
  </si>
  <si>
    <t xml:space="preserve">brittany73</t>
  </si>
  <si>
    <t xml:space="preserve">rv_005185</t>
  </si>
  <si>
    <t xml:space="preserve">frankjeremy</t>
  </si>
  <si>
    <t xml:space="preserve">rv_003901</t>
  </si>
  <si>
    <t xml:space="preserve">cynthiatrevino</t>
  </si>
  <si>
    <t xml:space="preserve">rv_004565</t>
  </si>
  <si>
    <t xml:space="preserve">carlywatkins</t>
  </si>
  <si>
    <t xml:space="preserve">rv_000105</t>
  </si>
  <si>
    <t xml:space="preserve">kimberly63</t>
  </si>
  <si>
    <t xml:space="preserve">rv_000765</t>
  </si>
  <si>
    <t xml:space="preserve">phillipssamantha</t>
  </si>
  <si>
    <t xml:space="preserve">rv_005263</t>
  </si>
  <si>
    <t xml:space="preserve">mikemiles</t>
  </si>
  <si>
    <t xml:space="preserve">rv_001687</t>
  </si>
  <si>
    <t xml:space="preserve">cassandra28</t>
  </si>
  <si>
    <t xml:space="preserve">rv_003720</t>
  </si>
  <si>
    <t xml:space="preserve">nicoleelliott</t>
  </si>
  <si>
    <t xml:space="preserve">rv_001198</t>
  </si>
  <si>
    <t xml:space="preserve">jillwilson</t>
  </si>
  <si>
    <t xml:space="preserve">rv_000769</t>
  </si>
  <si>
    <t xml:space="preserve">kimheather</t>
  </si>
  <si>
    <t xml:space="preserve">rv_003837</t>
  </si>
  <si>
    <t xml:space="preserve">martinjason</t>
  </si>
  <si>
    <t xml:space="preserve">rv_001019</t>
  </si>
  <si>
    <t xml:space="preserve">jrodriguez</t>
  </si>
  <si>
    <t xml:space="preserve">rv_003919</t>
  </si>
  <si>
    <t xml:space="preserve">donnaevans</t>
  </si>
  <si>
    <t xml:space="preserve">rv_002485</t>
  </si>
  <si>
    <t xml:space="preserve">mark09</t>
  </si>
  <si>
    <t xml:space="preserve">rv_001377</t>
  </si>
  <si>
    <t xml:space="preserve">thomas95</t>
  </si>
  <si>
    <t xml:space="preserve">rv_001871</t>
  </si>
  <si>
    <t xml:space="preserve">simmonsphillip</t>
  </si>
  <si>
    <t xml:space="preserve">rv_000362</t>
  </si>
  <si>
    <t xml:space="preserve">xbruce</t>
  </si>
  <si>
    <t xml:space="preserve">rv_004834</t>
  </si>
  <si>
    <t xml:space="preserve">barnettterry</t>
  </si>
  <si>
    <t xml:space="preserve">rv_004862</t>
  </si>
  <si>
    <t xml:space="preserve">rv_003787</t>
  </si>
  <si>
    <t xml:space="preserve">ggates</t>
  </si>
  <si>
    <t xml:space="preserve">rv_002703</t>
  </si>
  <si>
    <t xml:space="preserve">stricklandmichelle</t>
  </si>
  <si>
    <t xml:space="preserve">rv_004041</t>
  </si>
  <si>
    <t xml:space="preserve">williamskevin</t>
  </si>
  <si>
    <t xml:space="preserve">rv_002337</t>
  </si>
  <si>
    <t xml:space="preserve">robinsmith</t>
  </si>
  <si>
    <t xml:space="preserve">rv_001225</t>
  </si>
  <si>
    <t xml:space="preserve">millerbrian</t>
  </si>
  <si>
    <t xml:space="preserve">rv_003246</t>
  </si>
  <si>
    <t xml:space="preserve">barbarapennington</t>
  </si>
  <si>
    <t xml:space="preserve">rv_003664</t>
  </si>
  <si>
    <t xml:space="preserve">sclark</t>
  </si>
  <si>
    <t xml:space="preserve">EXTREMELY LAGGY AFTER THE RECENT UPDATE. GOOD ENOUGH FOR BASIC TRANSACTIONS.</t>
  </si>
  <si>
    <t xml:space="preserve">rv_002272</t>
  </si>
  <si>
    <t xml:space="preserve">rv_003062</t>
  </si>
  <si>
    <t xml:space="preserve">kentberger</t>
  </si>
  <si>
    <t xml:space="preserve">rv_005308</t>
  </si>
  <si>
    <t xml:space="preserve">michaelcampos</t>
  </si>
  <si>
    <t xml:space="preserve">rv_002945</t>
  </si>
  <si>
    <t xml:space="preserve">iswanson</t>
  </si>
  <si>
    <t xml:space="preserve">rv_002723</t>
  </si>
  <si>
    <t xml:space="preserve">rodneylandry</t>
  </si>
  <si>
    <t xml:space="preserve">rv_002662</t>
  </si>
  <si>
    <t xml:space="preserve">schneidernicholas</t>
  </si>
  <si>
    <t xml:space="preserve">rv_002195</t>
  </si>
  <si>
    <t xml:space="preserve">lee77</t>
  </si>
  <si>
    <t xml:space="preserve">rv_002477</t>
  </si>
  <si>
    <t xml:space="preserve">dsharp</t>
  </si>
  <si>
    <t xml:space="preserve">rv_001684</t>
  </si>
  <si>
    <t xml:space="preserve">efreeman</t>
  </si>
  <si>
    <t xml:space="preserve">rv_004977</t>
  </si>
  <si>
    <t xml:space="preserve">dudleycody</t>
  </si>
  <si>
    <t xml:space="preserve">rv_004150</t>
  </si>
  <si>
    <t xml:space="preserve">nelsonwanda</t>
  </si>
  <si>
    <t xml:space="preserve">rv_003628</t>
  </si>
  <si>
    <t xml:space="preserve">fberg</t>
  </si>
  <si>
    <t xml:space="preserve">rv_001959</t>
  </si>
  <si>
    <t xml:space="preserve">kathygeorge</t>
  </si>
  <si>
    <t xml:space="preserve">rv_001567</t>
  </si>
  <si>
    <t xml:space="preserve">lonniegrant</t>
  </si>
  <si>
    <t xml:space="preserve">rv_001002</t>
  </si>
  <si>
    <t xml:space="preserve">hernandezheather</t>
  </si>
  <si>
    <t xml:space="preserve">rv_001027</t>
  </si>
  <si>
    <t xml:space="preserve">brandonalvarez</t>
  </si>
  <si>
    <t xml:space="preserve">rv_002559</t>
  </si>
  <si>
    <t xml:space="preserve">oreyes</t>
  </si>
  <si>
    <t xml:space="preserve">rv_003412</t>
  </si>
  <si>
    <t xml:space="preserve">jessicamurphy</t>
  </si>
  <si>
    <t xml:space="preserve">rv_003123</t>
  </si>
  <si>
    <t xml:space="preserve">donnamoss</t>
  </si>
  <si>
    <t xml:space="preserve">rv_001480</t>
  </si>
  <si>
    <t xml:space="preserve">washingtoncorey</t>
  </si>
  <si>
    <t xml:space="preserve">rv_001450</t>
  </si>
  <si>
    <t xml:space="preserve">sharon20</t>
  </si>
  <si>
    <t xml:space="preserve">rv_002839</t>
  </si>
  <si>
    <t xml:space="preserve">bauerheather</t>
  </si>
  <si>
    <t xml:space="preserve">rv_000022</t>
  </si>
  <si>
    <t xml:space="preserve">perezantonio</t>
  </si>
  <si>
    <t xml:space="preserve">rv_001944</t>
  </si>
  <si>
    <t xml:space="preserve">angela04</t>
  </si>
  <si>
    <t xml:space="preserve">rv_001893</t>
  </si>
  <si>
    <t xml:space="preserve">harrisonamanda</t>
  </si>
  <si>
    <t xml:space="preserve">rv_004749</t>
  </si>
  <si>
    <t xml:space="preserve">khawkins</t>
  </si>
  <si>
    <t xml:space="preserve">rv_001322</t>
  </si>
  <si>
    <t xml:space="preserve">jarnold</t>
  </si>
  <si>
    <t xml:space="preserve">rv_004292</t>
  </si>
  <si>
    <t xml:space="preserve">vincentstacey</t>
  </si>
  <si>
    <t xml:space="preserve">rv_004167</t>
  </si>
  <si>
    <t xml:space="preserve">brandisheppard</t>
  </si>
  <si>
    <t xml:space="preserve">rv_000408</t>
  </si>
  <si>
    <t xml:space="preserve">susanhayes</t>
  </si>
  <si>
    <t xml:space="preserve">rv_002518</t>
  </si>
  <si>
    <t xml:space="preserve">wolfejennifer</t>
  </si>
  <si>
    <t xml:space="preserve">rv_002750</t>
  </si>
  <si>
    <t xml:space="preserve">stacey62</t>
  </si>
  <si>
    <t xml:space="preserve">Product Health by App Version</t>
  </si>
  <si>
    <t xml:space="preserve">Release Date</t>
  </si>
  <si>
    <t xml:space="preserve">Review Count</t>
  </si>
  <si>
    <t xml:space="preserve">Avg Rating</t>
  </si>
  <si>
    <t xml:space="preserve">Avg Sentiment</t>
  </si>
  <si>
    <t xml:space="preserve">Crash</t>
  </si>
  <si>
    <t xml:space="preserve">Login</t>
  </si>
  <si>
    <t xml:space="preserve">Payment</t>
  </si>
  <si>
    <t xml:space="preserve">UI</t>
  </si>
  <si>
    <t xml:space="preserve">Performance</t>
  </si>
  <si>
    <t xml:space="preserve">% Negative Reviews</t>
  </si>
  <si>
    <t xml:space="preserve">Pre- vs Post-Release Impact (±14 days around each release)</t>
  </si>
  <si>
    <t xml:space="preserve">Pre Count</t>
  </si>
  <si>
    <t xml:space="preserve">Pre Avg Rating</t>
  </si>
  <si>
    <t xml:space="preserve">Pre Avg Sentiment</t>
  </si>
  <si>
    <t xml:space="preserve">Post Count</t>
  </si>
  <si>
    <t xml:space="preserve">Post Avg Rating</t>
  </si>
  <si>
    <t xml:space="preserve">Post Avg Sentiment</t>
  </si>
  <si>
    <t xml:space="preserve">Rating Delta</t>
  </si>
  <si>
    <t xml:space="preserve">Sentiment Delta</t>
  </si>
  <si>
    <t xml:space="preserve">PayFlow — Product Health KPI Summary</t>
  </si>
  <si>
    <t xml:space="preserve">Metric</t>
  </si>
  <si>
    <t xml:space="preserve">Value</t>
  </si>
  <si>
    <t xml:space="preserve">Total Reviews Analyzed</t>
  </si>
  <si>
    <t xml:space="preserve">Overall Avg Rating</t>
  </si>
  <si>
    <t xml:space="preserve">Overall Avg Sentiment Score</t>
  </si>
  <si>
    <t xml:space="preserve">% Positive Reviews</t>
  </si>
  <si>
    <t xml:space="preserve">Most Common Issue Category</t>
  </si>
  <si>
    <t xml:space="preserve">Version With Worst Rating Delta (Release Impact)</t>
  </si>
  <si>
    <t xml:space="preserve">Issue Category Totals (helper)</t>
  </si>
  <si>
    <t xml:space="preserve">Category</t>
  </si>
  <si>
    <t xml:space="preserve">Count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</si>
</sst>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00"/>
    <numFmt numFmtId="167" formatCode="General"/>
    <numFmt numFmtId="168" formatCode="0.00"/>
    <numFmt numFmtId="169" formatCode="0.0%"/>
    <numFmt numFmtId="170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n">
        <v>5</v>
      </c>
      <c r="D2" s="2" t="s">
        <v>15</v>
      </c>
      <c r="E2" s="2" t="s">
        <v>16</v>
      </c>
      <c r="F2" s="3" t="n">
        <v>45663.0756944444</v>
      </c>
      <c r="G2" s="2" t="s">
        <v>17</v>
      </c>
      <c r="H2" s="4" t="n">
        <v>0</v>
      </c>
      <c r="I2" s="2" t="s">
        <v>18</v>
      </c>
      <c r="J2" s="2" t="s">
        <v>19</v>
      </c>
      <c r="K2" s="2" t="n">
        <v>5</v>
      </c>
      <c r="L2" s="2" t="n">
        <v>0</v>
      </c>
      <c r="M2" s="2" t="n">
        <v>1</v>
      </c>
    </row>
    <row r="3" customFormat="false" ht="15" hidden="false" customHeight="false" outlineLevel="0" collapsed="false">
      <c r="A3" s="2" t="s">
        <v>20</v>
      </c>
      <c r="B3" s="2" t="s">
        <v>21</v>
      </c>
      <c r="C3" s="2" t="n">
        <v>4</v>
      </c>
      <c r="D3" s="2" t="s">
        <v>22</v>
      </c>
      <c r="E3" s="2" t="s">
        <v>16</v>
      </c>
      <c r="F3" s="3" t="n">
        <v>45663.2118055556</v>
      </c>
      <c r="G3" s="2" t="s">
        <v>17</v>
      </c>
      <c r="H3" s="4" t="n">
        <v>0.2023</v>
      </c>
      <c r="I3" s="2" t="s">
        <v>23</v>
      </c>
      <c r="J3" s="2" t="s">
        <v>19</v>
      </c>
      <c r="K3" s="2" t="n">
        <v>7</v>
      </c>
      <c r="L3" s="2" t="n">
        <v>0</v>
      </c>
      <c r="M3" s="2" t="n">
        <v>1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n">
        <v>5</v>
      </c>
      <c r="D4" s="2" t="s">
        <v>26</v>
      </c>
      <c r="E4" s="2" t="s">
        <v>16</v>
      </c>
      <c r="F4" s="3" t="n">
        <v>45663.3458333333</v>
      </c>
      <c r="G4" s="2" t="s">
        <v>17</v>
      </c>
      <c r="H4" s="4" t="n">
        <v>0.8848</v>
      </c>
      <c r="I4" s="2" t="s">
        <v>23</v>
      </c>
      <c r="J4" s="2" t="s">
        <v>19</v>
      </c>
      <c r="K4" s="2" t="n">
        <v>0</v>
      </c>
      <c r="L4" s="2" t="n">
        <v>0</v>
      </c>
      <c r="M4" s="2" t="n">
        <v>1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n">
        <v>5</v>
      </c>
      <c r="D5" s="2" t="s">
        <v>29</v>
      </c>
      <c r="E5" s="2" t="s">
        <v>16</v>
      </c>
      <c r="F5" s="3" t="n">
        <v>45663.3944444444</v>
      </c>
      <c r="G5" s="2" t="s">
        <v>17</v>
      </c>
      <c r="H5" s="4" t="n">
        <v>0.6369</v>
      </c>
      <c r="I5" s="2" t="s">
        <v>23</v>
      </c>
      <c r="J5" s="2" t="s">
        <v>19</v>
      </c>
      <c r="K5" s="2" t="n">
        <v>1</v>
      </c>
      <c r="L5" s="2" t="n">
        <v>0</v>
      </c>
      <c r="M5" s="2" t="n">
        <v>1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n">
        <v>2</v>
      </c>
      <c r="D6" s="2" t="s">
        <v>32</v>
      </c>
      <c r="E6" s="2" t="s">
        <v>16</v>
      </c>
      <c r="F6" s="3" t="n">
        <v>45663.4048611111</v>
      </c>
      <c r="G6" s="2" t="s">
        <v>17</v>
      </c>
      <c r="H6" s="4" t="n">
        <v>0.2023</v>
      </c>
      <c r="I6" s="2" t="s">
        <v>23</v>
      </c>
      <c r="J6" s="2" t="s">
        <v>33</v>
      </c>
      <c r="K6" s="2" t="n">
        <v>1</v>
      </c>
      <c r="L6" s="2" t="n">
        <v>0</v>
      </c>
      <c r="M6" s="2" t="n">
        <v>1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n">
        <v>3</v>
      </c>
      <c r="D7" s="2" t="s">
        <v>36</v>
      </c>
      <c r="E7" s="2" t="s">
        <v>16</v>
      </c>
      <c r="F7" s="3" t="n">
        <v>45663.4194444444</v>
      </c>
      <c r="G7" s="2" t="s">
        <v>17</v>
      </c>
      <c r="H7" s="4" t="n">
        <v>0.4404</v>
      </c>
      <c r="I7" s="2" t="s">
        <v>23</v>
      </c>
      <c r="J7" s="2" t="s">
        <v>37</v>
      </c>
      <c r="K7" s="2" t="n">
        <v>3</v>
      </c>
      <c r="L7" s="2" t="n">
        <v>0</v>
      </c>
      <c r="M7" s="2" t="n">
        <v>1</v>
      </c>
    </row>
    <row r="8" customFormat="false" ht="15" hidden="false" customHeight="false" outlineLevel="0" collapsed="false">
      <c r="A8" s="2" t="s">
        <v>38</v>
      </c>
      <c r="B8" s="2" t="s">
        <v>39</v>
      </c>
      <c r="C8" s="2" t="n">
        <v>5</v>
      </c>
      <c r="D8" s="2" t="s">
        <v>40</v>
      </c>
      <c r="E8" s="2" t="s">
        <v>16</v>
      </c>
      <c r="F8" s="3" t="n">
        <v>45663.4569444444</v>
      </c>
      <c r="G8" s="2" t="s">
        <v>17</v>
      </c>
      <c r="H8" s="4" t="n">
        <v>0.4019</v>
      </c>
      <c r="I8" s="2" t="s">
        <v>23</v>
      </c>
      <c r="J8" s="2" t="s">
        <v>33</v>
      </c>
      <c r="K8" s="2" t="n">
        <v>0</v>
      </c>
      <c r="L8" s="2" t="n">
        <v>1</v>
      </c>
      <c r="M8" s="2" t="n">
        <v>1</v>
      </c>
    </row>
    <row r="9" customFormat="false" ht="15" hidden="false" customHeight="false" outlineLevel="0" collapsed="false">
      <c r="A9" s="2" t="s">
        <v>41</v>
      </c>
      <c r="B9" s="2" t="s">
        <v>42</v>
      </c>
      <c r="C9" s="2" t="n">
        <v>4</v>
      </c>
      <c r="D9" s="2" t="s">
        <v>36</v>
      </c>
      <c r="E9" s="2" t="s">
        <v>16</v>
      </c>
      <c r="F9" s="3" t="n">
        <v>45663.7333333333</v>
      </c>
      <c r="G9" s="2" t="s">
        <v>17</v>
      </c>
      <c r="H9" s="4" t="n">
        <v>0.4404</v>
      </c>
      <c r="I9" s="2" t="s">
        <v>23</v>
      </c>
      <c r="J9" s="2" t="s">
        <v>37</v>
      </c>
      <c r="K9" s="2" t="n">
        <v>0</v>
      </c>
      <c r="L9" s="2" t="n">
        <v>0</v>
      </c>
      <c r="M9" s="2" t="n">
        <v>1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n">
        <v>4</v>
      </c>
      <c r="D10" s="2" t="s">
        <v>15</v>
      </c>
      <c r="E10" s="2" t="s">
        <v>16</v>
      </c>
      <c r="F10" s="3" t="n">
        <v>45663.8055555556</v>
      </c>
      <c r="G10" s="2" t="s">
        <v>17</v>
      </c>
      <c r="H10" s="4" t="n">
        <v>0</v>
      </c>
      <c r="I10" s="2" t="s">
        <v>18</v>
      </c>
      <c r="J10" s="2" t="s">
        <v>19</v>
      </c>
      <c r="K10" s="2" t="n">
        <v>19</v>
      </c>
      <c r="L10" s="2" t="n">
        <v>0</v>
      </c>
      <c r="M10" s="2" t="n">
        <v>1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n">
        <v>5</v>
      </c>
      <c r="D11" s="2" t="s">
        <v>47</v>
      </c>
      <c r="E11" s="2" t="s">
        <v>16</v>
      </c>
      <c r="F11" s="3" t="n">
        <v>45663.9409722222</v>
      </c>
      <c r="G11" s="2" t="s">
        <v>17</v>
      </c>
      <c r="H11" s="4" t="n">
        <v>0.3089</v>
      </c>
      <c r="I11" s="2" t="s">
        <v>23</v>
      </c>
      <c r="J11" s="2" t="s">
        <v>19</v>
      </c>
      <c r="K11" s="2" t="n">
        <v>7</v>
      </c>
      <c r="L11" s="2" t="n">
        <v>0</v>
      </c>
      <c r="M11" s="2" t="n">
        <v>1</v>
      </c>
    </row>
    <row r="12" customFormat="false" ht="15" hidden="false" customHeight="false" outlineLevel="0" collapsed="false">
      <c r="A12" s="2" t="s">
        <v>48</v>
      </c>
      <c r="B12" s="2" t="s">
        <v>49</v>
      </c>
      <c r="C12" s="2" t="n">
        <v>4</v>
      </c>
      <c r="D12" s="2" t="s">
        <v>15</v>
      </c>
      <c r="E12" s="2" t="s">
        <v>16</v>
      </c>
      <c r="F12" s="3" t="n">
        <v>45663.9659722222</v>
      </c>
      <c r="G12" s="2" t="s">
        <v>17</v>
      </c>
      <c r="H12" s="4" t="n">
        <v>0</v>
      </c>
      <c r="I12" s="2" t="s">
        <v>18</v>
      </c>
      <c r="J12" s="2" t="s">
        <v>19</v>
      </c>
      <c r="K12" s="2" t="n">
        <v>7</v>
      </c>
      <c r="L12" s="2" t="n">
        <v>0</v>
      </c>
      <c r="M12" s="2" t="n">
        <v>1</v>
      </c>
    </row>
    <row r="13" customFormat="false" ht="15" hidden="false" customHeight="false" outlineLevel="0" collapsed="false">
      <c r="A13" s="2" t="s">
        <v>50</v>
      </c>
      <c r="B13" s="2" t="s">
        <v>51</v>
      </c>
      <c r="C13" s="2" t="n">
        <v>5</v>
      </c>
      <c r="D13" s="2" t="s">
        <v>52</v>
      </c>
      <c r="E13" s="2" t="s">
        <v>16</v>
      </c>
      <c r="F13" s="3" t="n">
        <v>45664.0493055556</v>
      </c>
      <c r="G13" s="2" t="s">
        <v>17</v>
      </c>
      <c r="H13" s="4" t="n">
        <v>0.6369</v>
      </c>
      <c r="I13" s="2" t="s">
        <v>23</v>
      </c>
      <c r="J13" s="2" t="s">
        <v>19</v>
      </c>
      <c r="K13" s="2" t="n">
        <v>1</v>
      </c>
      <c r="L13" s="2" t="n">
        <v>0</v>
      </c>
      <c r="M13" s="2" t="n">
        <v>1</v>
      </c>
    </row>
    <row r="14" customFormat="false" ht="15" hidden="false" customHeight="false" outlineLevel="0" collapsed="false">
      <c r="A14" s="2" t="s">
        <v>53</v>
      </c>
      <c r="B14" s="2" t="s">
        <v>54</v>
      </c>
      <c r="C14" s="2" t="n">
        <v>4</v>
      </c>
      <c r="D14" s="2" t="s">
        <v>55</v>
      </c>
      <c r="E14" s="2" t="s">
        <v>16</v>
      </c>
      <c r="F14" s="3" t="n">
        <v>45664.4048611111</v>
      </c>
      <c r="G14" s="2" t="s">
        <v>17</v>
      </c>
      <c r="H14" s="4" t="n">
        <v>0.9531</v>
      </c>
      <c r="I14" s="2" t="s">
        <v>23</v>
      </c>
      <c r="J14" s="2" t="s">
        <v>37</v>
      </c>
      <c r="K14" s="2" t="n">
        <v>6</v>
      </c>
      <c r="L14" s="2" t="n">
        <v>0</v>
      </c>
      <c r="M14" s="2" t="n">
        <v>1</v>
      </c>
    </row>
    <row r="15" customFormat="false" ht="15" hidden="false" customHeight="false" outlineLevel="0" collapsed="false">
      <c r="A15" s="2" t="s">
        <v>56</v>
      </c>
      <c r="B15" s="2" t="s">
        <v>57</v>
      </c>
      <c r="C15" s="2" t="n">
        <v>1</v>
      </c>
      <c r="D15" s="2" t="s">
        <v>58</v>
      </c>
      <c r="E15" s="2" t="s">
        <v>16</v>
      </c>
      <c r="F15" s="3" t="n">
        <v>45664.6194444444</v>
      </c>
      <c r="G15" s="2" t="s">
        <v>17</v>
      </c>
      <c r="H15" s="4" t="n">
        <v>0</v>
      </c>
      <c r="I15" s="2" t="s">
        <v>18</v>
      </c>
      <c r="J15" s="2" t="s">
        <v>59</v>
      </c>
      <c r="K15" s="2" t="n">
        <v>1</v>
      </c>
      <c r="L15" s="2" t="n">
        <v>0</v>
      </c>
      <c r="M15" s="2" t="n">
        <v>1</v>
      </c>
    </row>
    <row r="16" customFormat="false" ht="15" hidden="false" customHeight="false" outlineLevel="0" collapsed="false">
      <c r="A16" s="2" t="s">
        <v>60</v>
      </c>
      <c r="B16" s="2" t="s">
        <v>61</v>
      </c>
      <c r="C16" s="2" t="n">
        <v>5</v>
      </c>
      <c r="D16" s="2" t="s">
        <v>62</v>
      </c>
      <c r="E16" s="2" t="s">
        <v>16</v>
      </c>
      <c r="F16" s="3" t="n">
        <v>45664.7076388889</v>
      </c>
      <c r="G16" s="2" t="s">
        <v>17</v>
      </c>
      <c r="H16" s="4" t="n">
        <v>0.7088</v>
      </c>
      <c r="I16" s="2" t="s">
        <v>23</v>
      </c>
      <c r="J16" s="2" t="s">
        <v>19</v>
      </c>
      <c r="K16" s="2" t="n">
        <v>6</v>
      </c>
      <c r="L16" s="2" t="n">
        <v>0</v>
      </c>
      <c r="M16" s="2" t="n">
        <v>1</v>
      </c>
    </row>
    <row r="17" customFormat="false" ht="15" hidden="false" customHeight="false" outlineLevel="0" collapsed="false">
      <c r="A17" s="2" t="s">
        <v>63</v>
      </c>
      <c r="B17" s="2" t="s">
        <v>64</v>
      </c>
      <c r="C17" s="2" t="n">
        <v>3</v>
      </c>
      <c r="D17" s="2" t="s">
        <v>36</v>
      </c>
      <c r="E17" s="2" t="s">
        <v>16</v>
      </c>
      <c r="F17" s="3" t="n">
        <v>45664.7159722222</v>
      </c>
      <c r="G17" s="2" t="s">
        <v>17</v>
      </c>
      <c r="H17" s="4" t="n">
        <v>0.4404</v>
      </c>
      <c r="I17" s="2" t="s">
        <v>23</v>
      </c>
      <c r="J17" s="2" t="s">
        <v>37</v>
      </c>
      <c r="K17" s="2" t="n">
        <v>6</v>
      </c>
      <c r="L17" s="2" t="n">
        <v>0</v>
      </c>
      <c r="M17" s="2" t="n">
        <v>1</v>
      </c>
    </row>
    <row r="18" customFormat="false" ht="15" hidden="false" customHeight="false" outlineLevel="0" collapsed="false">
      <c r="A18" s="2" t="s">
        <v>65</v>
      </c>
      <c r="B18" s="2" t="s">
        <v>66</v>
      </c>
      <c r="C18" s="2" t="n">
        <v>5</v>
      </c>
      <c r="D18" s="2" t="s">
        <v>67</v>
      </c>
      <c r="E18" s="2" t="s">
        <v>16</v>
      </c>
      <c r="F18" s="3" t="n">
        <v>45664.8180555556</v>
      </c>
      <c r="G18" s="2" t="s">
        <v>17</v>
      </c>
      <c r="H18" s="4" t="n">
        <v>0.8953</v>
      </c>
      <c r="I18" s="2" t="s">
        <v>23</v>
      </c>
      <c r="J18" s="2" t="s">
        <v>19</v>
      </c>
      <c r="K18" s="2" t="n">
        <v>2</v>
      </c>
      <c r="L18" s="2" t="n">
        <v>1</v>
      </c>
      <c r="M18" s="2" t="n">
        <v>1</v>
      </c>
    </row>
    <row r="19" customFormat="false" ht="15" hidden="false" customHeight="false" outlineLevel="0" collapsed="false">
      <c r="A19" s="2" t="s">
        <v>68</v>
      </c>
      <c r="B19" s="2" t="s">
        <v>69</v>
      </c>
      <c r="C19" s="2" t="n">
        <v>4</v>
      </c>
      <c r="D19" s="2" t="s">
        <v>22</v>
      </c>
      <c r="E19" s="2" t="s">
        <v>16</v>
      </c>
      <c r="F19" s="3" t="n">
        <v>45664.9256944444</v>
      </c>
      <c r="G19" s="2" t="s">
        <v>17</v>
      </c>
      <c r="H19" s="4" t="n">
        <v>0.2023</v>
      </c>
      <c r="I19" s="2" t="s">
        <v>23</v>
      </c>
      <c r="J19" s="2" t="s">
        <v>19</v>
      </c>
      <c r="K19" s="2" t="n">
        <v>3</v>
      </c>
      <c r="L19" s="2" t="n">
        <v>0</v>
      </c>
      <c r="M19" s="2" t="n">
        <v>1</v>
      </c>
    </row>
    <row r="20" customFormat="false" ht="15" hidden="false" customHeight="false" outlineLevel="0" collapsed="false">
      <c r="A20" s="2" t="s">
        <v>70</v>
      </c>
      <c r="B20" s="2" t="s">
        <v>71</v>
      </c>
      <c r="C20" s="2" t="n">
        <v>5</v>
      </c>
      <c r="D20" s="2" t="s">
        <v>15</v>
      </c>
      <c r="E20" s="2" t="s">
        <v>16</v>
      </c>
      <c r="F20" s="3" t="n">
        <v>45665.00625</v>
      </c>
      <c r="G20" s="2" t="s">
        <v>17</v>
      </c>
      <c r="H20" s="4" t="n">
        <v>0</v>
      </c>
      <c r="I20" s="2" t="s">
        <v>18</v>
      </c>
      <c r="J20" s="2" t="s">
        <v>19</v>
      </c>
      <c r="K20" s="2" t="n">
        <v>1</v>
      </c>
      <c r="L20" s="2" t="n">
        <v>0</v>
      </c>
      <c r="M20" s="2" t="n">
        <v>1</v>
      </c>
    </row>
    <row r="21" customFormat="false" ht="15" hidden="false" customHeight="false" outlineLevel="0" collapsed="false">
      <c r="A21" s="2" t="s">
        <v>72</v>
      </c>
      <c r="B21" s="2" t="s">
        <v>73</v>
      </c>
      <c r="C21" s="2" t="n">
        <v>5</v>
      </c>
      <c r="D21" s="2" t="s">
        <v>47</v>
      </c>
      <c r="E21" s="2" t="s">
        <v>16</v>
      </c>
      <c r="F21" s="3" t="n">
        <v>45665.06875</v>
      </c>
      <c r="G21" s="2" t="s">
        <v>17</v>
      </c>
      <c r="H21" s="4" t="n">
        <v>0.3089</v>
      </c>
      <c r="I21" s="2" t="s">
        <v>23</v>
      </c>
      <c r="J21" s="2" t="s">
        <v>19</v>
      </c>
      <c r="K21" s="2" t="n">
        <v>1</v>
      </c>
      <c r="L21" s="2" t="n">
        <v>0</v>
      </c>
      <c r="M21" s="2" t="n">
        <v>1</v>
      </c>
    </row>
    <row r="22" customFormat="false" ht="15" hidden="false" customHeight="false" outlineLevel="0" collapsed="false">
      <c r="A22" s="2" t="s">
        <v>74</v>
      </c>
      <c r="B22" s="2" t="s">
        <v>75</v>
      </c>
      <c r="C22" s="2" t="n">
        <v>5</v>
      </c>
      <c r="D22" s="2" t="s">
        <v>76</v>
      </c>
      <c r="E22" s="2" t="s">
        <v>16</v>
      </c>
      <c r="F22" s="3" t="n">
        <v>45665.3881944444</v>
      </c>
      <c r="G22" s="2" t="s">
        <v>17</v>
      </c>
      <c r="H22" s="4" t="n">
        <v>0.607</v>
      </c>
      <c r="I22" s="2" t="s">
        <v>23</v>
      </c>
      <c r="J22" s="2" t="s">
        <v>33</v>
      </c>
      <c r="K22" s="2" t="n">
        <v>12</v>
      </c>
      <c r="L22" s="2" t="n">
        <v>0</v>
      </c>
      <c r="M22" s="2" t="n">
        <v>1</v>
      </c>
    </row>
    <row r="23" customFormat="false" ht="15" hidden="false" customHeight="false" outlineLevel="0" collapsed="false">
      <c r="A23" s="2" t="s">
        <v>77</v>
      </c>
      <c r="B23" s="2" t="s">
        <v>78</v>
      </c>
      <c r="C23" s="2" t="n">
        <v>5</v>
      </c>
      <c r="D23" s="2" t="s">
        <v>47</v>
      </c>
      <c r="E23" s="2" t="s">
        <v>16</v>
      </c>
      <c r="F23" s="3" t="n">
        <v>45665.4756944445</v>
      </c>
      <c r="G23" s="2" t="s">
        <v>17</v>
      </c>
      <c r="H23" s="4" t="n">
        <v>0.3089</v>
      </c>
      <c r="I23" s="2" t="s">
        <v>23</v>
      </c>
      <c r="J23" s="2" t="s">
        <v>19</v>
      </c>
      <c r="K23" s="2" t="n">
        <v>4</v>
      </c>
      <c r="L23" s="2" t="n">
        <v>0</v>
      </c>
      <c r="M23" s="2" t="n">
        <v>1</v>
      </c>
    </row>
    <row r="24" customFormat="false" ht="15" hidden="false" customHeight="false" outlineLevel="0" collapsed="false">
      <c r="A24" s="2" t="s">
        <v>79</v>
      </c>
      <c r="B24" s="2" t="s">
        <v>80</v>
      </c>
      <c r="C24" s="2" t="n">
        <v>4</v>
      </c>
      <c r="D24" s="2" t="s">
        <v>40</v>
      </c>
      <c r="E24" s="2" t="s">
        <v>16</v>
      </c>
      <c r="F24" s="3" t="n">
        <v>45665.6104166667</v>
      </c>
      <c r="G24" s="2" t="s">
        <v>17</v>
      </c>
      <c r="H24" s="4" t="n">
        <v>0.4019</v>
      </c>
      <c r="I24" s="2" t="s">
        <v>23</v>
      </c>
      <c r="J24" s="2" t="s">
        <v>33</v>
      </c>
      <c r="K24" s="2" t="n">
        <v>0</v>
      </c>
      <c r="L24" s="2" t="n">
        <v>0</v>
      </c>
      <c r="M24" s="2" t="n">
        <v>1</v>
      </c>
    </row>
    <row r="25" customFormat="false" ht="15" hidden="false" customHeight="false" outlineLevel="0" collapsed="false">
      <c r="A25" s="2" t="s">
        <v>81</v>
      </c>
      <c r="B25" s="2" t="s">
        <v>82</v>
      </c>
      <c r="C25" s="2" t="n">
        <v>2</v>
      </c>
      <c r="D25" s="2" t="s">
        <v>83</v>
      </c>
      <c r="E25" s="2" t="s">
        <v>16</v>
      </c>
      <c r="F25" s="3" t="n">
        <v>45665.6305555556</v>
      </c>
      <c r="G25" s="2" t="s">
        <v>17</v>
      </c>
      <c r="H25" s="4" t="n">
        <v>-0.6166</v>
      </c>
      <c r="I25" s="2" t="s">
        <v>84</v>
      </c>
      <c r="J25" s="2" t="s">
        <v>59</v>
      </c>
      <c r="K25" s="2" t="n">
        <v>4</v>
      </c>
      <c r="L25" s="2" t="n">
        <v>1</v>
      </c>
      <c r="M25" s="2" t="n">
        <v>1</v>
      </c>
    </row>
    <row r="26" customFormat="false" ht="15" hidden="false" customHeight="false" outlineLevel="0" collapsed="false">
      <c r="A26" s="2" t="s">
        <v>85</v>
      </c>
      <c r="B26" s="2" t="s">
        <v>86</v>
      </c>
      <c r="C26" s="2" t="n">
        <v>3</v>
      </c>
      <c r="D26" s="2" t="s">
        <v>87</v>
      </c>
      <c r="E26" s="2" t="s">
        <v>16</v>
      </c>
      <c r="F26" s="3" t="n">
        <v>45665.6555555556</v>
      </c>
      <c r="G26" s="2" t="s">
        <v>17</v>
      </c>
      <c r="H26" s="4" t="n">
        <v>0</v>
      </c>
      <c r="I26" s="2" t="s">
        <v>18</v>
      </c>
      <c r="J26" s="2" t="s">
        <v>19</v>
      </c>
      <c r="K26" s="2" t="n">
        <v>1</v>
      </c>
      <c r="L26" s="2" t="n">
        <v>0</v>
      </c>
      <c r="M26" s="2" t="n">
        <v>1</v>
      </c>
    </row>
    <row r="27" customFormat="false" ht="15" hidden="false" customHeight="false" outlineLevel="0" collapsed="false">
      <c r="A27" s="2" t="s">
        <v>88</v>
      </c>
      <c r="B27" s="2" t="s">
        <v>89</v>
      </c>
      <c r="C27" s="2" t="n">
        <v>5</v>
      </c>
      <c r="D27" s="2" t="s">
        <v>90</v>
      </c>
      <c r="E27" s="2" t="s">
        <v>16</v>
      </c>
      <c r="F27" s="3" t="n">
        <v>45665.7659722222</v>
      </c>
      <c r="G27" s="2" t="s">
        <v>17</v>
      </c>
      <c r="H27" s="4" t="n">
        <v>0.6249</v>
      </c>
      <c r="I27" s="2" t="s">
        <v>23</v>
      </c>
      <c r="J27" s="2" t="s">
        <v>37</v>
      </c>
      <c r="K27" s="2" t="n">
        <v>7</v>
      </c>
      <c r="L27" s="2" t="n">
        <v>0</v>
      </c>
      <c r="M27" s="2" t="n">
        <v>1</v>
      </c>
    </row>
    <row r="28" customFormat="false" ht="15" hidden="false" customHeight="false" outlineLevel="0" collapsed="false">
      <c r="A28" s="2" t="s">
        <v>91</v>
      </c>
      <c r="B28" s="2" t="s">
        <v>92</v>
      </c>
      <c r="C28" s="2" t="n">
        <v>5</v>
      </c>
      <c r="D28" s="2" t="s">
        <v>93</v>
      </c>
      <c r="E28" s="2" t="s">
        <v>16</v>
      </c>
      <c r="F28" s="3" t="n">
        <v>45666.05</v>
      </c>
      <c r="G28" s="2" t="s">
        <v>17</v>
      </c>
      <c r="H28" s="4" t="n">
        <v>0.8008</v>
      </c>
      <c r="I28" s="2" t="s">
        <v>23</v>
      </c>
      <c r="J28" s="2" t="s">
        <v>33</v>
      </c>
      <c r="K28" s="2" t="n">
        <v>2</v>
      </c>
      <c r="L28" s="2" t="n">
        <v>0</v>
      </c>
      <c r="M28" s="2" t="n">
        <v>1</v>
      </c>
    </row>
    <row r="29" customFormat="false" ht="15" hidden="false" customHeight="false" outlineLevel="0" collapsed="false">
      <c r="A29" s="2" t="s">
        <v>94</v>
      </c>
      <c r="B29" s="2" t="s">
        <v>95</v>
      </c>
      <c r="C29" s="2" t="n">
        <v>4</v>
      </c>
      <c r="D29" s="2" t="s">
        <v>96</v>
      </c>
      <c r="E29" s="2" t="s">
        <v>16</v>
      </c>
      <c r="F29" s="3" t="n">
        <v>45666.5763888889</v>
      </c>
      <c r="G29" s="2" t="s">
        <v>17</v>
      </c>
      <c r="H29" s="4" t="n">
        <v>0.6369</v>
      </c>
      <c r="I29" s="2" t="s">
        <v>23</v>
      </c>
      <c r="J29" s="2" t="s">
        <v>19</v>
      </c>
      <c r="K29" s="2" t="n">
        <v>1</v>
      </c>
      <c r="L29" s="2" t="n">
        <v>0</v>
      </c>
      <c r="M29" s="2" t="n">
        <v>1</v>
      </c>
    </row>
    <row r="30" customFormat="false" ht="15" hidden="false" customHeight="false" outlineLevel="0" collapsed="false">
      <c r="A30" s="2" t="s">
        <v>97</v>
      </c>
      <c r="B30" s="2" t="s">
        <v>98</v>
      </c>
      <c r="C30" s="2" t="n">
        <v>4</v>
      </c>
      <c r="D30" s="2" t="s">
        <v>99</v>
      </c>
      <c r="E30" s="2" t="s">
        <v>16</v>
      </c>
      <c r="F30" s="3" t="n">
        <v>45666.6840277778</v>
      </c>
      <c r="G30" s="2" t="s">
        <v>17</v>
      </c>
      <c r="H30" s="4" t="n">
        <v>-0.3089</v>
      </c>
      <c r="I30" s="2" t="s">
        <v>84</v>
      </c>
      <c r="J30" s="2" t="s">
        <v>19</v>
      </c>
      <c r="K30" s="2" t="n">
        <v>10</v>
      </c>
      <c r="L30" s="2" t="n">
        <v>0</v>
      </c>
      <c r="M30" s="2" t="n">
        <v>1</v>
      </c>
    </row>
    <row r="31" customFormat="false" ht="15" hidden="false" customHeight="false" outlineLevel="0" collapsed="false">
      <c r="A31" s="2" t="s">
        <v>100</v>
      </c>
      <c r="B31" s="2" t="s">
        <v>101</v>
      </c>
      <c r="C31" s="2" t="n">
        <v>4</v>
      </c>
      <c r="D31" s="2" t="s">
        <v>15</v>
      </c>
      <c r="E31" s="2" t="s">
        <v>16</v>
      </c>
      <c r="F31" s="3" t="n">
        <v>45666.6895833333</v>
      </c>
      <c r="G31" s="2" t="s">
        <v>17</v>
      </c>
      <c r="H31" s="4" t="n">
        <v>0</v>
      </c>
      <c r="I31" s="2" t="s">
        <v>18</v>
      </c>
      <c r="J31" s="2" t="s">
        <v>19</v>
      </c>
      <c r="K31" s="2" t="n">
        <v>2</v>
      </c>
      <c r="L31" s="2" t="n">
        <v>0</v>
      </c>
      <c r="M31" s="2" t="n">
        <v>1</v>
      </c>
    </row>
    <row r="32" customFormat="false" ht="15" hidden="false" customHeight="false" outlineLevel="0" collapsed="false">
      <c r="A32" s="2" t="s">
        <v>102</v>
      </c>
      <c r="B32" s="2" t="s">
        <v>103</v>
      </c>
      <c r="C32" s="2" t="n">
        <v>4</v>
      </c>
      <c r="D32" s="2" t="s">
        <v>104</v>
      </c>
      <c r="E32" s="2" t="s">
        <v>16</v>
      </c>
      <c r="F32" s="3" t="n">
        <v>45666.7069444444</v>
      </c>
      <c r="G32" s="2" t="s">
        <v>17</v>
      </c>
      <c r="H32" s="4" t="n">
        <v>0.8481</v>
      </c>
      <c r="I32" s="2" t="s">
        <v>23</v>
      </c>
      <c r="J32" s="2" t="s">
        <v>37</v>
      </c>
      <c r="K32" s="2" t="n">
        <v>2</v>
      </c>
      <c r="L32" s="2" t="n">
        <v>0</v>
      </c>
      <c r="M32" s="2" t="n">
        <v>1</v>
      </c>
    </row>
    <row r="33" customFormat="false" ht="15" hidden="false" customHeight="false" outlineLevel="0" collapsed="false">
      <c r="A33" s="2" t="s">
        <v>105</v>
      </c>
      <c r="B33" s="2" t="s">
        <v>106</v>
      </c>
      <c r="C33" s="2" t="n">
        <v>4</v>
      </c>
      <c r="D33" s="2" t="s">
        <v>62</v>
      </c>
      <c r="E33" s="2" t="s">
        <v>16</v>
      </c>
      <c r="F33" s="3" t="n">
        <v>45666.7111111111</v>
      </c>
      <c r="G33" s="2" t="s">
        <v>17</v>
      </c>
      <c r="H33" s="4" t="n">
        <v>0.7088</v>
      </c>
      <c r="I33" s="2" t="s">
        <v>23</v>
      </c>
      <c r="J33" s="2" t="s">
        <v>19</v>
      </c>
      <c r="K33" s="2" t="n">
        <v>2</v>
      </c>
      <c r="L33" s="2" t="n">
        <v>0</v>
      </c>
      <c r="M33" s="2" t="n">
        <v>1</v>
      </c>
    </row>
    <row r="34" customFormat="false" ht="15" hidden="false" customHeight="false" outlineLevel="0" collapsed="false">
      <c r="A34" s="2" t="s">
        <v>107</v>
      </c>
      <c r="B34" s="2" t="s">
        <v>108</v>
      </c>
      <c r="C34" s="2" t="n">
        <v>1</v>
      </c>
      <c r="D34" s="2" t="s">
        <v>109</v>
      </c>
      <c r="E34" s="2" t="s">
        <v>16</v>
      </c>
      <c r="F34" s="3" t="n">
        <v>45666.7576388889</v>
      </c>
      <c r="G34" s="2" t="s">
        <v>17</v>
      </c>
      <c r="H34" s="4" t="n">
        <v>0</v>
      </c>
      <c r="I34" s="2" t="s">
        <v>18</v>
      </c>
      <c r="J34" s="2" t="s">
        <v>110</v>
      </c>
      <c r="K34" s="2" t="n">
        <v>3</v>
      </c>
      <c r="L34" s="2" t="n">
        <v>0</v>
      </c>
      <c r="M34" s="2" t="n">
        <v>1</v>
      </c>
    </row>
    <row r="35" customFormat="false" ht="15" hidden="false" customHeight="false" outlineLevel="0" collapsed="false">
      <c r="A35" s="2" t="s">
        <v>111</v>
      </c>
      <c r="B35" s="2" t="s">
        <v>112</v>
      </c>
      <c r="C35" s="2" t="n">
        <v>3</v>
      </c>
      <c r="D35" s="2" t="s">
        <v>113</v>
      </c>
      <c r="E35" s="2" t="s">
        <v>16</v>
      </c>
      <c r="F35" s="3" t="n">
        <v>45666.7618055556</v>
      </c>
      <c r="G35" s="2" t="s">
        <v>17</v>
      </c>
      <c r="H35" s="4" t="n">
        <v>-0.431</v>
      </c>
      <c r="I35" s="2" t="s">
        <v>84</v>
      </c>
      <c r="J35" s="2" t="s">
        <v>19</v>
      </c>
      <c r="K35" s="2" t="n">
        <v>0</v>
      </c>
      <c r="L35" s="2" t="n">
        <v>0</v>
      </c>
      <c r="M35" s="2" t="n">
        <v>1</v>
      </c>
    </row>
    <row r="36" customFormat="false" ht="15" hidden="false" customHeight="false" outlineLevel="0" collapsed="false">
      <c r="A36" s="2" t="s">
        <v>114</v>
      </c>
      <c r="B36" s="2" t="s">
        <v>115</v>
      </c>
      <c r="C36" s="2" t="n">
        <v>5</v>
      </c>
      <c r="D36" s="2" t="s">
        <v>116</v>
      </c>
      <c r="E36" s="2" t="s">
        <v>16</v>
      </c>
      <c r="F36" s="3" t="n">
        <v>45666.8215277778</v>
      </c>
      <c r="G36" s="2" t="s">
        <v>17</v>
      </c>
      <c r="H36" s="4" t="n">
        <v>0.9359</v>
      </c>
      <c r="I36" s="2" t="s">
        <v>23</v>
      </c>
      <c r="J36" s="2" t="s">
        <v>37</v>
      </c>
      <c r="K36" s="2" t="n">
        <v>5</v>
      </c>
      <c r="L36" s="2" t="n">
        <v>0</v>
      </c>
      <c r="M36" s="2" t="n">
        <v>1</v>
      </c>
    </row>
    <row r="37" customFormat="false" ht="15" hidden="false" customHeight="false" outlineLevel="0" collapsed="false">
      <c r="A37" s="2" t="s">
        <v>117</v>
      </c>
      <c r="B37" s="2" t="s">
        <v>118</v>
      </c>
      <c r="C37" s="2" t="n">
        <v>3</v>
      </c>
      <c r="D37" s="2" t="s">
        <v>99</v>
      </c>
      <c r="E37" s="2" t="s">
        <v>16</v>
      </c>
      <c r="F37" s="3" t="n">
        <v>45666.93125</v>
      </c>
      <c r="G37" s="2" t="s">
        <v>17</v>
      </c>
      <c r="H37" s="4" t="n">
        <v>-0.3089</v>
      </c>
      <c r="I37" s="2" t="s">
        <v>84</v>
      </c>
      <c r="J37" s="2" t="s">
        <v>19</v>
      </c>
      <c r="K37" s="2" t="n">
        <v>1</v>
      </c>
      <c r="L37" s="2" t="n">
        <v>0</v>
      </c>
      <c r="M37" s="2" t="n">
        <v>1</v>
      </c>
    </row>
    <row r="38" customFormat="false" ht="15" hidden="false" customHeight="false" outlineLevel="0" collapsed="false">
      <c r="A38" s="2" t="s">
        <v>119</v>
      </c>
      <c r="B38" s="2" t="s">
        <v>120</v>
      </c>
      <c r="C38" s="2" t="n">
        <v>4</v>
      </c>
      <c r="D38" s="2" t="s">
        <v>121</v>
      </c>
      <c r="E38" s="2" t="s">
        <v>16</v>
      </c>
      <c r="F38" s="3" t="n">
        <v>45667.2138888889</v>
      </c>
      <c r="G38" s="2" t="s">
        <v>17</v>
      </c>
      <c r="H38" s="4" t="n">
        <v>0.607</v>
      </c>
      <c r="I38" s="2" t="s">
        <v>23</v>
      </c>
      <c r="J38" s="2" t="s">
        <v>33</v>
      </c>
      <c r="K38" s="2" t="n">
        <v>3</v>
      </c>
      <c r="L38" s="2" t="n">
        <v>0</v>
      </c>
      <c r="M38" s="2" t="n">
        <v>1</v>
      </c>
    </row>
    <row r="39" customFormat="false" ht="15" hidden="false" customHeight="false" outlineLevel="0" collapsed="false">
      <c r="A39" s="2" t="s">
        <v>122</v>
      </c>
      <c r="B39" s="2" t="s">
        <v>123</v>
      </c>
      <c r="C39" s="2" t="n">
        <v>1</v>
      </c>
      <c r="D39" s="2" t="s">
        <v>124</v>
      </c>
      <c r="E39" s="2" t="s">
        <v>16</v>
      </c>
      <c r="F39" s="3" t="n">
        <v>45667.3895833333</v>
      </c>
      <c r="G39" s="2" t="s">
        <v>17</v>
      </c>
      <c r="H39" s="4" t="n">
        <v>-0.0129</v>
      </c>
      <c r="I39" s="2" t="s">
        <v>18</v>
      </c>
      <c r="J39" s="2" t="s">
        <v>59</v>
      </c>
      <c r="K39" s="2" t="n">
        <v>10</v>
      </c>
      <c r="L39" s="2" t="n">
        <v>1</v>
      </c>
      <c r="M39" s="2" t="n">
        <v>1</v>
      </c>
    </row>
    <row r="40" customFormat="false" ht="15" hidden="false" customHeight="false" outlineLevel="0" collapsed="false">
      <c r="A40" s="2" t="s">
        <v>125</v>
      </c>
      <c r="B40" s="2" t="s">
        <v>126</v>
      </c>
      <c r="C40" s="2" t="n">
        <v>4</v>
      </c>
      <c r="D40" s="2" t="s">
        <v>127</v>
      </c>
      <c r="E40" s="2" t="s">
        <v>16</v>
      </c>
      <c r="F40" s="3" t="n">
        <v>45667.4159722222</v>
      </c>
      <c r="G40" s="2" t="s">
        <v>17</v>
      </c>
      <c r="H40" s="4" t="n">
        <v>0.9359</v>
      </c>
      <c r="I40" s="2" t="s">
        <v>23</v>
      </c>
      <c r="J40" s="2" t="s">
        <v>37</v>
      </c>
      <c r="K40" s="2" t="n">
        <v>4</v>
      </c>
      <c r="L40" s="2" t="n">
        <v>0</v>
      </c>
      <c r="M40" s="2" t="n">
        <v>1</v>
      </c>
    </row>
    <row r="41" customFormat="false" ht="15" hidden="false" customHeight="false" outlineLevel="0" collapsed="false">
      <c r="A41" s="2" t="s">
        <v>128</v>
      </c>
      <c r="B41" s="2" t="s">
        <v>129</v>
      </c>
      <c r="C41" s="2" t="n">
        <v>5</v>
      </c>
      <c r="D41" s="2" t="s">
        <v>130</v>
      </c>
      <c r="E41" s="2" t="s">
        <v>16</v>
      </c>
      <c r="F41" s="3" t="n">
        <v>45667.5951388889</v>
      </c>
      <c r="G41" s="2" t="s">
        <v>17</v>
      </c>
      <c r="H41" s="4" t="n">
        <v>0.6369</v>
      </c>
      <c r="I41" s="2" t="s">
        <v>23</v>
      </c>
      <c r="J41" s="2" t="s">
        <v>19</v>
      </c>
      <c r="K41" s="2" t="n">
        <v>0</v>
      </c>
      <c r="L41" s="2" t="n">
        <v>0</v>
      </c>
      <c r="M41" s="2" t="n">
        <v>1</v>
      </c>
    </row>
    <row r="42" customFormat="false" ht="15" hidden="false" customHeight="false" outlineLevel="0" collapsed="false">
      <c r="A42" s="2" t="s">
        <v>131</v>
      </c>
      <c r="B42" s="2" t="s">
        <v>132</v>
      </c>
      <c r="C42" s="2" t="n">
        <v>3</v>
      </c>
      <c r="D42" s="2" t="s">
        <v>133</v>
      </c>
      <c r="E42" s="2" t="s">
        <v>16</v>
      </c>
      <c r="F42" s="3" t="n">
        <v>45667.5958333333</v>
      </c>
      <c r="G42" s="2" t="s">
        <v>17</v>
      </c>
      <c r="H42" s="4" t="n">
        <v>-0.5719</v>
      </c>
      <c r="I42" s="2" t="s">
        <v>84</v>
      </c>
      <c r="J42" s="2" t="s">
        <v>33</v>
      </c>
      <c r="K42" s="2" t="n">
        <v>0</v>
      </c>
      <c r="L42" s="2" t="n">
        <v>0</v>
      </c>
      <c r="M42" s="2" t="n">
        <v>1</v>
      </c>
    </row>
    <row r="43" customFormat="false" ht="15" hidden="false" customHeight="false" outlineLevel="0" collapsed="false">
      <c r="A43" s="2" t="s">
        <v>134</v>
      </c>
      <c r="B43" s="2" t="s">
        <v>135</v>
      </c>
      <c r="C43" s="2" t="n">
        <v>5</v>
      </c>
      <c r="D43" s="2" t="s">
        <v>90</v>
      </c>
      <c r="E43" s="2" t="s">
        <v>16</v>
      </c>
      <c r="F43" s="3" t="n">
        <v>45667.6805555556</v>
      </c>
      <c r="G43" s="2" t="s">
        <v>17</v>
      </c>
      <c r="H43" s="4" t="n">
        <v>0.6249</v>
      </c>
      <c r="I43" s="2" t="s">
        <v>23</v>
      </c>
      <c r="J43" s="2" t="s">
        <v>37</v>
      </c>
      <c r="K43" s="2" t="n">
        <v>5</v>
      </c>
      <c r="L43" s="2" t="n">
        <v>0</v>
      </c>
      <c r="M43" s="2" t="n">
        <v>1</v>
      </c>
    </row>
    <row r="44" customFormat="false" ht="15" hidden="false" customHeight="false" outlineLevel="0" collapsed="false">
      <c r="A44" s="2" t="s">
        <v>136</v>
      </c>
      <c r="B44" s="2" t="s">
        <v>137</v>
      </c>
      <c r="C44" s="2" t="n">
        <v>4</v>
      </c>
      <c r="D44" s="2" t="s">
        <v>96</v>
      </c>
      <c r="E44" s="2" t="s">
        <v>16</v>
      </c>
      <c r="F44" s="3" t="n">
        <v>45667.7590277778</v>
      </c>
      <c r="G44" s="2" t="s">
        <v>17</v>
      </c>
      <c r="H44" s="4" t="n">
        <v>0.6369</v>
      </c>
      <c r="I44" s="2" t="s">
        <v>23</v>
      </c>
      <c r="J44" s="2" t="s">
        <v>19</v>
      </c>
      <c r="K44" s="2" t="n">
        <v>4</v>
      </c>
      <c r="L44" s="2" t="n">
        <v>0</v>
      </c>
      <c r="M44" s="2" t="n">
        <v>1</v>
      </c>
    </row>
    <row r="45" customFormat="false" ht="15" hidden="false" customHeight="false" outlineLevel="0" collapsed="false">
      <c r="A45" s="2" t="s">
        <v>138</v>
      </c>
      <c r="B45" s="2" t="s">
        <v>139</v>
      </c>
      <c r="C45" s="2" t="n">
        <v>4</v>
      </c>
      <c r="D45" s="2" t="s">
        <v>127</v>
      </c>
      <c r="E45" s="2" t="s">
        <v>16</v>
      </c>
      <c r="F45" s="3" t="n">
        <v>45667.8138888889</v>
      </c>
      <c r="G45" s="2" t="s">
        <v>17</v>
      </c>
      <c r="H45" s="4" t="n">
        <v>0.9359</v>
      </c>
      <c r="I45" s="2" t="s">
        <v>23</v>
      </c>
      <c r="J45" s="2" t="s">
        <v>37</v>
      </c>
      <c r="K45" s="2" t="n">
        <v>6</v>
      </c>
      <c r="L45" s="2" t="n">
        <v>0</v>
      </c>
      <c r="M45" s="2" t="n">
        <v>1</v>
      </c>
    </row>
    <row r="46" customFormat="false" ht="15" hidden="false" customHeight="false" outlineLevel="0" collapsed="false">
      <c r="A46" s="2" t="s">
        <v>140</v>
      </c>
      <c r="B46" s="2" t="s">
        <v>141</v>
      </c>
      <c r="C46" s="2" t="n">
        <v>3</v>
      </c>
      <c r="D46" s="2" t="s">
        <v>22</v>
      </c>
      <c r="E46" s="2" t="s">
        <v>16</v>
      </c>
      <c r="F46" s="3" t="n">
        <v>45667.8152777778</v>
      </c>
      <c r="G46" s="2" t="s">
        <v>17</v>
      </c>
      <c r="H46" s="4" t="n">
        <v>0.2023</v>
      </c>
      <c r="I46" s="2" t="s">
        <v>23</v>
      </c>
      <c r="J46" s="2" t="s">
        <v>19</v>
      </c>
      <c r="K46" s="2" t="n">
        <v>3</v>
      </c>
      <c r="L46" s="2" t="n">
        <v>0</v>
      </c>
      <c r="M46" s="2" t="n">
        <v>1</v>
      </c>
    </row>
    <row r="47" customFormat="false" ht="15" hidden="false" customHeight="false" outlineLevel="0" collapsed="false">
      <c r="A47" s="2" t="s">
        <v>142</v>
      </c>
      <c r="B47" s="2" t="s">
        <v>143</v>
      </c>
      <c r="C47" s="2" t="n">
        <v>5</v>
      </c>
      <c r="D47" s="2" t="s">
        <v>90</v>
      </c>
      <c r="E47" s="2" t="s">
        <v>16</v>
      </c>
      <c r="F47" s="3" t="n">
        <v>45667.8895833333</v>
      </c>
      <c r="G47" s="2" t="s">
        <v>17</v>
      </c>
      <c r="H47" s="4" t="n">
        <v>0.6249</v>
      </c>
      <c r="I47" s="2" t="s">
        <v>23</v>
      </c>
      <c r="J47" s="2" t="s">
        <v>37</v>
      </c>
      <c r="K47" s="2" t="n">
        <v>1</v>
      </c>
      <c r="L47" s="2" t="n">
        <v>0</v>
      </c>
      <c r="M47" s="2" t="n">
        <v>1</v>
      </c>
    </row>
    <row r="48" customFormat="false" ht="15" hidden="false" customHeight="false" outlineLevel="0" collapsed="false">
      <c r="A48" s="2" t="s">
        <v>144</v>
      </c>
      <c r="B48" s="2" t="s">
        <v>145</v>
      </c>
      <c r="C48" s="2" t="n">
        <v>5</v>
      </c>
      <c r="D48" s="2" t="s">
        <v>26</v>
      </c>
      <c r="E48" s="2" t="s">
        <v>16</v>
      </c>
      <c r="F48" s="3" t="n">
        <v>45667.9194444444</v>
      </c>
      <c r="G48" s="2" t="s">
        <v>17</v>
      </c>
      <c r="H48" s="4" t="n">
        <v>0.8848</v>
      </c>
      <c r="I48" s="2" t="s">
        <v>23</v>
      </c>
      <c r="J48" s="2" t="s">
        <v>19</v>
      </c>
      <c r="K48" s="2" t="n">
        <v>1</v>
      </c>
      <c r="L48" s="2" t="n">
        <v>0</v>
      </c>
      <c r="M48" s="2" t="n">
        <v>1</v>
      </c>
    </row>
    <row r="49" customFormat="false" ht="15" hidden="false" customHeight="false" outlineLevel="0" collapsed="false">
      <c r="A49" s="2" t="s">
        <v>146</v>
      </c>
      <c r="B49" s="2" t="s">
        <v>147</v>
      </c>
      <c r="C49" s="2" t="n">
        <v>4</v>
      </c>
      <c r="D49" s="2" t="s">
        <v>47</v>
      </c>
      <c r="E49" s="2" t="s">
        <v>16</v>
      </c>
      <c r="F49" s="3" t="n">
        <v>45667.9340277778</v>
      </c>
      <c r="G49" s="2" t="s">
        <v>17</v>
      </c>
      <c r="H49" s="4" t="n">
        <v>0.3089</v>
      </c>
      <c r="I49" s="2" t="s">
        <v>23</v>
      </c>
      <c r="J49" s="2" t="s">
        <v>19</v>
      </c>
      <c r="K49" s="2" t="n">
        <v>3</v>
      </c>
      <c r="L49" s="2" t="n">
        <v>0</v>
      </c>
      <c r="M49" s="2" t="n">
        <v>1</v>
      </c>
    </row>
    <row r="50" customFormat="false" ht="15" hidden="false" customHeight="false" outlineLevel="0" collapsed="false">
      <c r="A50" s="2" t="s">
        <v>148</v>
      </c>
      <c r="B50" s="2" t="s">
        <v>149</v>
      </c>
      <c r="C50" s="2" t="n">
        <v>4</v>
      </c>
      <c r="D50" s="2" t="s">
        <v>90</v>
      </c>
      <c r="E50" s="2" t="s">
        <v>16</v>
      </c>
      <c r="F50" s="3" t="n">
        <v>45668.0368055556</v>
      </c>
      <c r="G50" s="2" t="s">
        <v>17</v>
      </c>
      <c r="H50" s="4" t="n">
        <v>0.6249</v>
      </c>
      <c r="I50" s="2" t="s">
        <v>23</v>
      </c>
      <c r="J50" s="2" t="s">
        <v>37</v>
      </c>
      <c r="K50" s="2" t="n">
        <v>1</v>
      </c>
      <c r="L50" s="2" t="n">
        <v>0</v>
      </c>
      <c r="M50" s="2" t="n">
        <v>1</v>
      </c>
    </row>
    <row r="51" customFormat="false" ht="15" hidden="false" customHeight="false" outlineLevel="0" collapsed="false">
      <c r="A51" s="2" t="s">
        <v>150</v>
      </c>
      <c r="B51" s="2" t="s">
        <v>151</v>
      </c>
      <c r="C51" s="2" t="n">
        <v>4</v>
      </c>
      <c r="D51" s="2" t="s">
        <v>152</v>
      </c>
      <c r="E51" s="2" t="s">
        <v>16</v>
      </c>
      <c r="F51" s="3" t="n">
        <v>45668.1125</v>
      </c>
      <c r="G51" s="2" t="s">
        <v>17</v>
      </c>
      <c r="H51" s="4" t="n">
        <v>0.8313</v>
      </c>
      <c r="I51" s="2" t="s">
        <v>23</v>
      </c>
      <c r="J51" s="2" t="s">
        <v>37</v>
      </c>
      <c r="K51" s="2" t="n">
        <v>1</v>
      </c>
      <c r="L51" s="2" t="n">
        <v>0</v>
      </c>
      <c r="M51" s="2" t="n">
        <v>1</v>
      </c>
    </row>
    <row r="52" customFormat="false" ht="15" hidden="false" customHeight="false" outlineLevel="0" collapsed="false">
      <c r="A52" s="2" t="s">
        <v>153</v>
      </c>
      <c r="B52" s="2" t="s">
        <v>154</v>
      </c>
      <c r="C52" s="2" t="n">
        <v>5</v>
      </c>
      <c r="D52" s="2" t="s">
        <v>96</v>
      </c>
      <c r="E52" s="2" t="s">
        <v>16</v>
      </c>
      <c r="F52" s="3" t="n">
        <v>45668.2180555556</v>
      </c>
      <c r="G52" s="2" t="s">
        <v>17</v>
      </c>
      <c r="H52" s="4" t="n">
        <v>0.6369</v>
      </c>
      <c r="I52" s="2" t="s">
        <v>23</v>
      </c>
      <c r="J52" s="2" t="s">
        <v>19</v>
      </c>
      <c r="K52" s="2" t="n">
        <v>0</v>
      </c>
      <c r="L52" s="2" t="n">
        <v>0</v>
      </c>
      <c r="M52" s="2" t="n">
        <v>1</v>
      </c>
    </row>
    <row r="53" customFormat="false" ht="15" hidden="false" customHeight="false" outlineLevel="0" collapsed="false">
      <c r="A53" s="2" t="s">
        <v>155</v>
      </c>
      <c r="B53" s="2" t="s">
        <v>156</v>
      </c>
      <c r="C53" s="2" t="n">
        <v>5</v>
      </c>
      <c r="D53" s="2" t="s">
        <v>15</v>
      </c>
      <c r="E53" s="2" t="s">
        <v>16</v>
      </c>
      <c r="F53" s="3" t="n">
        <v>45668.4180555556</v>
      </c>
      <c r="G53" s="2" t="s">
        <v>17</v>
      </c>
      <c r="H53" s="4" t="n">
        <v>0</v>
      </c>
      <c r="I53" s="2" t="s">
        <v>18</v>
      </c>
      <c r="J53" s="2" t="s">
        <v>19</v>
      </c>
      <c r="K53" s="2" t="n">
        <v>0</v>
      </c>
      <c r="L53" s="2" t="n">
        <v>0</v>
      </c>
      <c r="M53" s="2" t="n">
        <v>1</v>
      </c>
    </row>
    <row r="54" customFormat="false" ht="15" hidden="false" customHeight="false" outlineLevel="0" collapsed="false">
      <c r="A54" s="2" t="s">
        <v>157</v>
      </c>
      <c r="B54" s="2" t="s">
        <v>158</v>
      </c>
      <c r="C54" s="2" t="n">
        <v>4</v>
      </c>
      <c r="D54" s="2" t="s">
        <v>52</v>
      </c>
      <c r="E54" s="2" t="s">
        <v>16</v>
      </c>
      <c r="F54" s="3" t="n">
        <v>45668.4368055556</v>
      </c>
      <c r="G54" s="2" t="s">
        <v>17</v>
      </c>
      <c r="H54" s="4" t="n">
        <v>0.6369</v>
      </c>
      <c r="I54" s="2" t="s">
        <v>23</v>
      </c>
      <c r="J54" s="2" t="s">
        <v>19</v>
      </c>
      <c r="K54" s="2" t="n">
        <v>10</v>
      </c>
      <c r="L54" s="2" t="n">
        <v>0</v>
      </c>
      <c r="M54" s="2" t="n">
        <v>1</v>
      </c>
    </row>
    <row r="55" customFormat="false" ht="15" hidden="false" customHeight="false" outlineLevel="0" collapsed="false">
      <c r="A55" s="2" t="s">
        <v>159</v>
      </c>
      <c r="B55" s="2" t="s">
        <v>160</v>
      </c>
      <c r="C55" s="2" t="n">
        <v>5</v>
      </c>
      <c r="D55" s="2" t="s">
        <v>161</v>
      </c>
      <c r="E55" s="2" t="s">
        <v>16</v>
      </c>
      <c r="F55" s="3" t="n">
        <v>45668.4972222222</v>
      </c>
      <c r="G55" s="2" t="s">
        <v>17</v>
      </c>
      <c r="H55" s="4" t="n">
        <v>0.9606</v>
      </c>
      <c r="I55" s="2" t="s">
        <v>23</v>
      </c>
      <c r="J55" s="2" t="s">
        <v>37</v>
      </c>
      <c r="K55" s="2" t="n">
        <v>3</v>
      </c>
      <c r="L55" s="2" t="n">
        <v>0</v>
      </c>
      <c r="M55" s="2" t="n">
        <v>1</v>
      </c>
    </row>
    <row r="56" customFormat="false" ht="15" hidden="false" customHeight="false" outlineLevel="0" collapsed="false">
      <c r="A56" s="2" t="s">
        <v>162</v>
      </c>
      <c r="B56" s="2" t="s">
        <v>163</v>
      </c>
      <c r="C56" s="2" t="n">
        <v>1</v>
      </c>
      <c r="D56" s="2" t="s">
        <v>164</v>
      </c>
      <c r="E56" s="2" t="s">
        <v>16</v>
      </c>
      <c r="F56" s="3" t="n">
        <v>45668.5430555556</v>
      </c>
      <c r="G56" s="2" t="s">
        <v>17</v>
      </c>
      <c r="H56" s="4" t="n">
        <v>0.25</v>
      </c>
      <c r="I56" s="2" t="s">
        <v>23</v>
      </c>
      <c r="J56" s="2" t="s">
        <v>165</v>
      </c>
      <c r="K56" s="2" t="n">
        <v>3</v>
      </c>
      <c r="L56" s="2" t="n">
        <v>0</v>
      </c>
      <c r="M56" s="2" t="n">
        <v>1</v>
      </c>
    </row>
    <row r="57" customFormat="false" ht="15" hidden="false" customHeight="false" outlineLevel="0" collapsed="false">
      <c r="A57" s="2" t="s">
        <v>166</v>
      </c>
      <c r="B57" s="2" t="s">
        <v>167</v>
      </c>
      <c r="C57" s="2" t="n">
        <v>2</v>
      </c>
      <c r="D57" s="2" t="s">
        <v>168</v>
      </c>
      <c r="E57" s="2" t="s">
        <v>16</v>
      </c>
      <c r="F57" s="3" t="n">
        <v>45668.5673611111</v>
      </c>
      <c r="G57" s="2" t="s">
        <v>17</v>
      </c>
      <c r="H57" s="4" t="n">
        <v>-0.1027</v>
      </c>
      <c r="I57" s="2" t="s">
        <v>84</v>
      </c>
      <c r="J57" s="2" t="s">
        <v>33</v>
      </c>
      <c r="K57" s="2" t="n">
        <v>6</v>
      </c>
      <c r="L57" s="2" t="n">
        <v>1</v>
      </c>
      <c r="M57" s="2" t="n">
        <v>1</v>
      </c>
    </row>
    <row r="58" customFormat="false" ht="15" hidden="false" customHeight="false" outlineLevel="0" collapsed="false">
      <c r="A58" s="2" t="s">
        <v>169</v>
      </c>
      <c r="B58" s="2" t="s">
        <v>170</v>
      </c>
      <c r="C58" s="2" t="n">
        <v>5</v>
      </c>
      <c r="D58" s="2" t="s">
        <v>127</v>
      </c>
      <c r="E58" s="2" t="s">
        <v>16</v>
      </c>
      <c r="F58" s="3" t="n">
        <v>45668.5888888889</v>
      </c>
      <c r="G58" s="2" t="s">
        <v>17</v>
      </c>
      <c r="H58" s="4" t="n">
        <v>0.9359</v>
      </c>
      <c r="I58" s="2" t="s">
        <v>23</v>
      </c>
      <c r="J58" s="2" t="s">
        <v>37</v>
      </c>
      <c r="K58" s="2" t="n">
        <v>0</v>
      </c>
      <c r="L58" s="2" t="n">
        <v>0</v>
      </c>
      <c r="M58" s="2" t="n">
        <v>1</v>
      </c>
    </row>
    <row r="59" customFormat="false" ht="15" hidden="false" customHeight="false" outlineLevel="0" collapsed="false">
      <c r="A59" s="2" t="s">
        <v>171</v>
      </c>
      <c r="B59" s="2" t="s">
        <v>172</v>
      </c>
      <c r="C59" s="2" t="n">
        <v>4</v>
      </c>
      <c r="D59" s="2" t="s">
        <v>47</v>
      </c>
      <c r="E59" s="2" t="s">
        <v>16</v>
      </c>
      <c r="F59" s="3" t="n">
        <v>45668.6236111111</v>
      </c>
      <c r="G59" s="2" t="s">
        <v>17</v>
      </c>
      <c r="H59" s="4" t="n">
        <v>0.3089</v>
      </c>
      <c r="I59" s="2" t="s">
        <v>23</v>
      </c>
      <c r="J59" s="2" t="s">
        <v>19</v>
      </c>
      <c r="K59" s="2" t="n">
        <v>2</v>
      </c>
      <c r="L59" s="2" t="n">
        <v>0</v>
      </c>
      <c r="M59" s="2" t="n">
        <v>1</v>
      </c>
    </row>
    <row r="60" customFormat="false" ht="15" hidden="false" customHeight="false" outlineLevel="0" collapsed="false">
      <c r="A60" s="2" t="s">
        <v>173</v>
      </c>
      <c r="B60" s="2" t="s">
        <v>174</v>
      </c>
      <c r="C60" s="2" t="n">
        <v>5</v>
      </c>
      <c r="D60" s="2" t="s">
        <v>96</v>
      </c>
      <c r="E60" s="2" t="s">
        <v>16</v>
      </c>
      <c r="F60" s="3" t="n">
        <v>45668.6298611111</v>
      </c>
      <c r="G60" s="2" t="s">
        <v>17</v>
      </c>
      <c r="H60" s="4" t="n">
        <v>0.6369</v>
      </c>
      <c r="I60" s="2" t="s">
        <v>23</v>
      </c>
      <c r="J60" s="2" t="s">
        <v>19</v>
      </c>
      <c r="K60" s="2" t="n">
        <v>2</v>
      </c>
      <c r="L60" s="2" t="n">
        <v>0</v>
      </c>
      <c r="M60" s="2" t="n">
        <v>1</v>
      </c>
    </row>
    <row r="61" customFormat="false" ht="15" hidden="false" customHeight="false" outlineLevel="0" collapsed="false">
      <c r="A61" s="2" t="s">
        <v>175</v>
      </c>
      <c r="B61" s="2" t="s">
        <v>176</v>
      </c>
      <c r="C61" s="2" t="n">
        <v>5</v>
      </c>
      <c r="D61" s="2" t="s">
        <v>40</v>
      </c>
      <c r="E61" s="2" t="s">
        <v>16</v>
      </c>
      <c r="F61" s="3" t="n">
        <v>45668.6319444445</v>
      </c>
      <c r="G61" s="2" t="s">
        <v>17</v>
      </c>
      <c r="H61" s="4" t="n">
        <v>0.4019</v>
      </c>
      <c r="I61" s="2" t="s">
        <v>23</v>
      </c>
      <c r="J61" s="2" t="s">
        <v>33</v>
      </c>
      <c r="K61" s="2" t="n">
        <v>6</v>
      </c>
      <c r="L61" s="2" t="n">
        <v>0</v>
      </c>
      <c r="M61" s="2" t="n">
        <v>1</v>
      </c>
    </row>
    <row r="62" customFormat="false" ht="15" hidden="false" customHeight="false" outlineLevel="0" collapsed="false">
      <c r="A62" s="2" t="s">
        <v>177</v>
      </c>
      <c r="B62" s="2" t="s">
        <v>178</v>
      </c>
      <c r="C62" s="2" t="n">
        <v>1</v>
      </c>
      <c r="D62" s="2" t="s">
        <v>179</v>
      </c>
      <c r="E62" s="2" t="s">
        <v>16</v>
      </c>
      <c r="F62" s="3" t="n">
        <v>45668.8576388889</v>
      </c>
      <c r="G62" s="2" t="s">
        <v>17</v>
      </c>
      <c r="H62" s="4" t="n">
        <v>-0.0258</v>
      </c>
      <c r="I62" s="2" t="s">
        <v>18</v>
      </c>
      <c r="J62" s="2" t="s">
        <v>59</v>
      </c>
      <c r="K62" s="2" t="n">
        <v>6</v>
      </c>
      <c r="L62" s="2" t="n">
        <v>1</v>
      </c>
      <c r="M62" s="2" t="n">
        <v>1</v>
      </c>
    </row>
    <row r="63" customFormat="false" ht="15" hidden="false" customHeight="false" outlineLevel="0" collapsed="false">
      <c r="A63" s="2" t="s">
        <v>180</v>
      </c>
      <c r="B63" s="2" t="s">
        <v>181</v>
      </c>
      <c r="C63" s="2" t="n">
        <v>5</v>
      </c>
      <c r="D63" s="2" t="s">
        <v>127</v>
      </c>
      <c r="E63" s="2" t="s">
        <v>16</v>
      </c>
      <c r="F63" s="3" t="n">
        <v>45669.1548611111</v>
      </c>
      <c r="G63" s="2" t="s">
        <v>17</v>
      </c>
      <c r="H63" s="4" t="n">
        <v>0.9359</v>
      </c>
      <c r="I63" s="2" t="s">
        <v>23</v>
      </c>
      <c r="J63" s="2" t="s">
        <v>37</v>
      </c>
      <c r="K63" s="2" t="n">
        <v>14</v>
      </c>
      <c r="L63" s="2" t="n">
        <v>0</v>
      </c>
      <c r="M63" s="2" t="n">
        <v>1</v>
      </c>
    </row>
    <row r="64" customFormat="false" ht="15" hidden="false" customHeight="false" outlineLevel="0" collapsed="false">
      <c r="A64" s="2" t="s">
        <v>182</v>
      </c>
      <c r="B64" s="2" t="s">
        <v>183</v>
      </c>
      <c r="C64" s="2" t="n">
        <v>4</v>
      </c>
      <c r="D64" s="2" t="s">
        <v>40</v>
      </c>
      <c r="E64" s="2" t="s">
        <v>16</v>
      </c>
      <c r="F64" s="3" t="n">
        <v>45669.2444444444</v>
      </c>
      <c r="G64" s="2" t="s">
        <v>17</v>
      </c>
      <c r="H64" s="4" t="n">
        <v>0.4019</v>
      </c>
      <c r="I64" s="2" t="s">
        <v>23</v>
      </c>
      <c r="J64" s="2" t="s">
        <v>33</v>
      </c>
      <c r="K64" s="2" t="n">
        <v>2</v>
      </c>
      <c r="L64" s="2" t="n">
        <v>0</v>
      </c>
      <c r="M64" s="2" t="n">
        <v>1</v>
      </c>
    </row>
    <row r="65" customFormat="false" ht="15" hidden="false" customHeight="false" outlineLevel="0" collapsed="false">
      <c r="A65" s="2" t="s">
        <v>184</v>
      </c>
      <c r="B65" s="2" t="s">
        <v>185</v>
      </c>
      <c r="C65" s="2" t="n">
        <v>5</v>
      </c>
      <c r="D65" s="2" t="s">
        <v>186</v>
      </c>
      <c r="E65" s="2" t="s">
        <v>16</v>
      </c>
      <c r="F65" s="3" t="n">
        <v>45669.3305555556</v>
      </c>
      <c r="G65" s="2" t="s">
        <v>17</v>
      </c>
      <c r="H65" s="4" t="n">
        <v>0.8777</v>
      </c>
      <c r="I65" s="2" t="s">
        <v>23</v>
      </c>
      <c r="J65" s="2" t="s">
        <v>19</v>
      </c>
      <c r="K65" s="2" t="n">
        <v>2</v>
      </c>
      <c r="L65" s="2" t="n">
        <v>0</v>
      </c>
      <c r="M65" s="2" t="n">
        <v>1</v>
      </c>
    </row>
    <row r="66" customFormat="false" ht="15" hidden="false" customHeight="false" outlineLevel="0" collapsed="false">
      <c r="A66" s="2" t="s">
        <v>187</v>
      </c>
      <c r="B66" s="2" t="s">
        <v>188</v>
      </c>
      <c r="C66" s="2" t="n">
        <v>5</v>
      </c>
      <c r="D66" s="2" t="s">
        <v>90</v>
      </c>
      <c r="E66" s="2" t="s">
        <v>16</v>
      </c>
      <c r="F66" s="3" t="n">
        <v>45669.4152777778</v>
      </c>
      <c r="G66" s="2" t="s">
        <v>17</v>
      </c>
      <c r="H66" s="4" t="n">
        <v>0.6249</v>
      </c>
      <c r="I66" s="2" t="s">
        <v>23</v>
      </c>
      <c r="J66" s="2" t="s">
        <v>37</v>
      </c>
      <c r="K66" s="2" t="n">
        <v>0</v>
      </c>
      <c r="L66" s="2" t="n">
        <v>0</v>
      </c>
      <c r="M66" s="2" t="n">
        <v>1</v>
      </c>
    </row>
    <row r="67" customFormat="false" ht="15" hidden="false" customHeight="false" outlineLevel="0" collapsed="false">
      <c r="A67" s="2" t="s">
        <v>189</v>
      </c>
      <c r="B67" s="2" t="s">
        <v>190</v>
      </c>
      <c r="C67" s="2" t="n">
        <v>1</v>
      </c>
      <c r="D67" s="2" t="s">
        <v>191</v>
      </c>
      <c r="E67" s="2" t="s">
        <v>16</v>
      </c>
      <c r="F67" s="3" t="n">
        <v>45669.4583333333</v>
      </c>
      <c r="G67" s="2" t="s">
        <v>17</v>
      </c>
      <c r="H67" s="4" t="n">
        <v>-0.6171</v>
      </c>
      <c r="I67" s="2" t="s">
        <v>84</v>
      </c>
      <c r="J67" s="2" t="s">
        <v>37</v>
      </c>
      <c r="K67" s="2" t="n">
        <v>5</v>
      </c>
      <c r="L67" s="2" t="n">
        <v>1</v>
      </c>
      <c r="M67" s="2" t="n">
        <v>1</v>
      </c>
    </row>
    <row r="68" customFormat="false" ht="15" hidden="false" customHeight="false" outlineLevel="0" collapsed="false">
      <c r="A68" s="2" t="s">
        <v>192</v>
      </c>
      <c r="B68" s="2" t="s">
        <v>193</v>
      </c>
      <c r="C68" s="2" t="n">
        <v>3</v>
      </c>
      <c r="D68" s="2" t="s">
        <v>194</v>
      </c>
      <c r="E68" s="2" t="s">
        <v>16</v>
      </c>
      <c r="F68" s="3" t="n">
        <v>45669.4756944445</v>
      </c>
      <c r="G68" s="2" t="s">
        <v>17</v>
      </c>
      <c r="H68" s="4" t="n">
        <v>0.2263</v>
      </c>
      <c r="I68" s="2" t="s">
        <v>23</v>
      </c>
      <c r="J68" s="2" t="s">
        <v>19</v>
      </c>
      <c r="K68" s="2" t="n">
        <v>18</v>
      </c>
      <c r="L68" s="2" t="n">
        <v>0</v>
      </c>
      <c r="M68" s="2" t="n">
        <v>1</v>
      </c>
    </row>
    <row r="69" customFormat="false" ht="15" hidden="false" customHeight="false" outlineLevel="0" collapsed="false">
      <c r="A69" s="2" t="s">
        <v>195</v>
      </c>
      <c r="B69" s="2" t="s">
        <v>196</v>
      </c>
      <c r="C69" s="2" t="n">
        <v>5</v>
      </c>
      <c r="D69" s="2" t="s">
        <v>47</v>
      </c>
      <c r="E69" s="2" t="s">
        <v>16</v>
      </c>
      <c r="F69" s="3" t="n">
        <v>45669.5236111111</v>
      </c>
      <c r="G69" s="2" t="s">
        <v>17</v>
      </c>
      <c r="H69" s="4" t="n">
        <v>0.3089</v>
      </c>
      <c r="I69" s="2" t="s">
        <v>23</v>
      </c>
      <c r="J69" s="2" t="s">
        <v>19</v>
      </c>
      <c r="K69" s="2" t="n">
        <v>1</v>
      </c>
      <c r="L69" s="2" t="n">
        <v>0</v>
      </c>
      <c r="M69" s="2" t="n">
        <v>1</v>
      </c>
    </row>
    <row r="70" customFormat="false" ht="15" hidden="false" customHeight="false" outlineLevel="0" collapsed="false">
      <c r="A70" s="2" t="s">
        <v>197</v>
      </c>
      <c r="B70" s="2" t="s">
        <v>198</v>
      </c>
      <c r="C70" s="2" t="n">
        <v>1</v>
      </c>
      <c r="D70" s="2" t="s">
        <v>199</v>
      </c>
      <c r="E70" s="2" t="s">
        <v>16</v>
      </c>
      <c r="F70" s="3" t="n">
        <v>45669.625</v>
      </c>
      <c r="G70" s="2" t="s">
        <v>17</v>
      </c>
      <c r="H70" s="4" t="n">
        <v>-0.7424</v>
      </c>
      <c r="I70" s="2" t="s">
        <v>84</v>
      </c>
      <c r="J70" s="2" t="s">
        <v>59</v>
      </c>
      <c r="K70" s="2" t="n">
        <v>2</v>
      </c>
      <c r="L70" s="2" t="n">
        <v>1</v>
      </c>
      <c r="M70" s="2" t="n">
        <v>1</v>
      </c>
    </row>
    <row r="71" customFormat="false" ht="15" hidden="false" customHeight="false" outlineLevel="0" collapsed="false">
      <c r="A71" s="2" t="s">
        <v>200</v>
      </c>
      <c r="B71" s="2" t="s">
        <v>201</v>
      </c>
      <c r="C71" s="2" t="n">
        <v>5</v>
      </c>
      <c r="D71" s="2" t="s">
        <v>47</v>
      </c>
      <c r="E71" s="2" t="s">
        <v>16</v>
      </c>
      <c r="F71" s="3" t="n">
        <v>45669.6541666667</v>
      </c>
      <c r="G71" s="2" t="s">
        <v>17</v>
      </c>
      <c r="H71" s="4" t="n">
        <v>0.3089</v>
      </c>
      <c r="I71" s="2" t="s">
        <v>23</v>
      </c>
      <c r="J71" s="2" t="s">
        <v>19</v>
      </c>
      <c r="K71" s="2" t="n">
        <v>6</v>
      </c>
      <c r="L71" s="2" t="n">
        <v>0</v>
      </c>
      <c r="M71" s="2" t="n">
        <v>1</v>
      </c>
    </row>
    <row r="72" customFormat="false" ht="15" hidden="false" customHeight="false" outlineLevel="0" collapsed="false">
      <c r="A72" s="2" t="s">
        <v>202</v>
      </c>
      <c r="B72" s="2" t="s">
        <v>203</v>
      </c>
      <c r="C72" s="2" t="n">
        <v>4</v>
      </c>
      <c r="D72" s="2" t="s">
        <v>204</v>
      </c>
      <c r="E72" s="2" t="s">
        <v>16</v>
      </c>
      <c r="F72" s="3" t="n">
        <v>45669.6611111111</v>
      </c>
      <c r="G72" s="2" t="s">
        <v>17</v>
      </c>
      <c r="H72" s="4" t="n">
        <v>0.7712</v>
      </c>
      <c r="I72" s="2" t="s">
        <v>23</v>
      </c>
      <c r="J72" s="2" t="s">
        <v>19</v>
      </c>
      <c r="K72" s="2" t="n">
        <v>1</v>
      </c>
      <c r="L72" s="2" t="n">
        <v>0</v>
      </c>
      <c r="M72" s="2" t="n">
        <v>1</v>
      </c>
    </row>
    <row r="73" customFormat="false" ht="15" hidden="false" customHeight="false" outlineLevel="0" collapsed="false">
      <c r="A73" s="2" t="s">
        <v>205</v>
      </c>
      <c r="B73" s="2" t="s">
        <v>206</v>
      </c>
      <c r="C73" s="2" t="n">
        <v>1</v>
      </c>
      <c r="D73" s="2" t="s">
        <v>207</v>
      </c>
      <c r="E73" s="2" t="s">
        <v>16</v>
      </c>
      <c r="F73" s="3" t="n">
        <v>45669.7055555556</v>
      </c>
      <c r="G73" s="2" t="s">
        <v>17</v>
      </c>
      <c r="H73" s="4" t="n">
        <v>-0.5719</v>
      </c>
      <c r="I73" s="2" t="s">
        <v>84</v>
      </c>
      <c r="J73" s="2" t="s">
        <v>33</v>
      </c>
      <c r="K73" s="2" t="n">
        <v>1</v>
      </c>
      <c r="L73" s="2" t="n">
        <v>1</v>
      </c>
      <c r="M73" s="2" t="n">
        <v>1</v>
      </c>
    </row>
    <row r="74" customFormat="false" ht="15" hidden="false" customHeight="false" outlineLevel="0" collapsed="false">
      <c r="A74" s="2" t="s">
        <v>208</v>
      </c>
      <c r="B74" s="2" t="s">
        <v>209</v>
      </c>
      <c r="C74" s="2" t="n">
        <v>5</v>
      </c>
      <c r="D74" s="2" t="s">
        <v>210</v>
      </c>
      <c r="E74" s="2" t="s">
        <v>16</v>
      </c>
      <c r="F74" s="3" t="n">
        <v>45669.7270833333</v>
      </c>
      <c r="G74" s="2" t="s">
        <v>17</v>
      </c>
      <c r="H74" s="4" t="n">
        <v>0.5448</v>
      </c>
      <c r="I74" s="2" t="s">
        <v>23</v>
      </c>
      <c r="J74" s="2" t="s">
        <v>19</v>
      </c>
      <c r="K74" s="2" t="n">
        <v>1</v>
      </c>
      <c r="L74" s="2" t="n">
        <v>0</v>
      </c>
      <c r="M74" s="2" t="n">
        <v>1</v>
      </c>
    </row>
    <row r="75" customFormat="false" ht="15" hidden="false" customHeight="false" outlineLevel="0" collapsed="false">
      <c r="A75" s="2" t="s">
        <v>211</v>
      </c>
      <c r="B75" s="2" t="s">
        <v>212</v>
      </c>
      <c r="C75" s="2" t="n">
        <v>5</v>
      </c>
      <c r="D75" s="2" t="s">
        <v>213</v>
      </c>
      <c r="E75" s="2" t="s">
        <v>16</v>
      </c>
      <c r="F75" s="3" t="n">
        <v>45670.0868055556</v>
      </c>
      <c r="G75" s="2" t="s">
        <v>17</v>
      </c>
      <c r="H75" s="4" t="n">
        <v>0.8651</v>
      </c>
      <c r="I75" s="2" t="s">
        <v>23</v>
      </c>
      <c r="J75" s="2" t="s">
        <v>19</v>
      </c>
      <c r="K75" s="2" t="n">
        <v>4</v>
      </c>
      <c r="L75" s="2" t="n">
        <v>0</v>
      </c>
      <c r="M75" s="2" t="n">
        <v>1</v>
      </c>
    </row>
    <row r="76" customFormat="false" ht="15" hidden="false" customHeight="false" outlineLevel="0" collapsed="false">
      <c r="A76" s="2" t="s">
        <v>214</v>
      </c>
      <c r="B76" s="2" t="s">
        <v>215</v>
      </c>
      <c r="C76" s="2" t="n">
        <v>3</v>
      </c>
      <c r="D76" s="2" t="s">
        <v>99</v>
      </c>
      <c r="E76" s="2" t="s">
        <v>16</v>
      </c>
      <c r="F76" s="3" t="n">
        <v>45670.1048611111</v>
      </c>
      <c r="G76" s="2" t="s">
        <v>17</v>
      </c>
      <c r="H76" s="4" t="n">
        <v>-0.3089</v>
      </c>
      <c r="I76" s="2" t="s">
        <v>84</v>
      </c>
      <c r="J76" s="2" t="s">
        <v>19</v>
      </c>
      <c r="K76" s="2" t="n">
        <v>1</v>
      </c>
      <c r="L76" s="2" t="n">
        <v>0</v>
      </c>
      <c r="M76" s="2" t="n">
        <v>1</v>
      </c>
    </row>
    <row r="77" customFormat="false" ht="15" hidden="false" customHeight="false" outlineLevel="0" collapsed="false">
      <c r="A77" s="2" t="s">
        <v>216</v>
      </c>
      <c r="B77" s="2" t="s">
        <v>217</v>
      </c>
      <c r="C77" s="2" t="n">
        <v>5</v>
      </c>
      <c r="D77" s="2" t="s">
        <v>90</v>
      </c>
      <c r="E77" s="2" t="s">
        <v>16</v>
      </c>
      <c r="F77" s="3" t="n">
        <v>45670.1430555556</v>
      </c>
      <c r="G77" s="2" t="s">
        <v>17</v>
      </c>
      <c r="H77" s="4" t="n">
        <v>0.6249</v>
      </c>
      <c r="I77" s="2" t="s">
        <v>23</v>
      </c>
      <c r="J77" s="2" t="s">
        <v>37</v>
      </c>
      <c r="K77" s="2" t="n">
        <v>1</v>
      </c>
      <c r="L77" s="2" t="n">
        <v>0</v>
      </c>
      <c r="M77" s="2" t="n">
        <v>1</v>
      </c>
    </row>
    <row r="78" customFormat="false" ht="15" hidden="false" customHeight="false" outlineLevel="0" collapsed="false">
      <c r="A78" s="2" t="s">
        <v>218</v>
      </c>
      <c r="B78" s="2" t="s">
        <v>219</v>
      </c>
      <c r="C78" s="2" t="n">
        <v>5</v>
      </c>
      <c r="D78" s="2" t="s">
        <v>40</v>
      </c>
      <c r="E78" s="2" t="s">
        <v>16</v>
      </c>
      <c r="F78" s="3" t="n">
        <v>45670.2381944444</v>
      </c>
      <c r="G78" s="2" t="s">
        <v>17</v>
      </c>
      <c r="H78" s="4" t="n">
        <v>0.4019</v>
      </c>
      <c r="I78" s="2" t="s">
        <v>23</v>
      </c>
      <c r="J78" s="2" t="s">
        <v>33</v>
      </c>
      <c r="K78" s="2" t="n">
        <v>0</v>
      </c>
      <c r="L78" s="2" t="n">
        <v>0</v>
      </c>
      <c r="M78" s="2" t="n">
        <v>1</v>
      </c>
    </row>
    <row r="79" customFormat="false" ht="15" hidden="false" customHeight="false" outlineLevel="0" collapsed="false">
      <c r="A79" s="2" t="s">
        <v>220</v>
      </c>
      <c r="B79" s="2" t="s">
        <v>221</v>
      </c>
      <c r="C79" s="2" t="n">
        <v>4</v>
      </c>
      <c r="D79" s="2" t="s">
        <v>222</v>
      </c>
      <c r="E79" s="2" t="s">
        <v>16</v>
      </c>
      <c r="F79" s="3" t="n">
        <v>45670.3222222222</v>
      </c>
      <c r="G79" s="2" t="s">
        <v>17</v>
      </c>
      <c r="H79" s="4" t="n">
        <v>0.9647</v>
      </c>
      <c r="I79" s="2" t="s">
        <v>23</v>
      </c>
      <c r="J79" s="2" t="s">
        <v>37</v>
      </c>
      <c r="K79" s="2" t="n">
        <v>3</v>
      </c>
      <c r="L79" s="2" t="n">
        <v>0</v>
      </c>
      <c r="M79" s="2" t="n">
        <v>1</v>
      </c>
    </row>
    <row r="80" customFormat="false" ht="15" hidden="false" customHeight="false" outlineLevel="0" collapsed="false">
      <c r="A80" s="2" t="s">
        <v>223</v>
      </c>
      <c r="B80" s="2" t="s">
        <v>224</v>
      </c>
      <c r="C80" s="2" t="n">
        <v>5</v>
      </c>
      <c r="D80" s="2" t="s">
        <v>47</v>
      </c>
      <c r="E80" s="2" t="s">
        <v>16</v>
      </c>
      <c r="F80" s="3" t="n">
        <v>45670.5263888889</v>
      </c>
      <c r="G80" s="2" t="s">
        <v>17</v>
      </c>
      <c r="H80" s="4" t="n">
        <v>0.3089</v>
      </c>
      <c r="I80" s="2" t="s">
        <v>23</v>
      </c>
      <c r="J80" s="2" t="s">
        <v>19</v>
      </c>
      <c r="K80" s="2" t="n">
        <v>2</v>
      </c>
      <c r="L80" s="2" t="n">
        <v>0</v>
      </c>
      <c r="M80" s="2" t="n">
        <v>1</v>
      </c>
    </row>
    <row r="81" customFormat="false" ht="15" hidden="false" customHeight="false" outlineLevel="0" collapsed="false">
      <c r="A81" s="2" t="s">
        <v>225</v>
      </c>
      <c r="B81" s="2" t="s">
        <v>226</v>
      </c>
      <c r="C81" s="2" t="n">
        <v>2</v>
      </c>
      <c r="D81" s="2" t="s">
        <v>168</v>
      </c>
      <c r="E81" s="2" t="s">
        <v>16</v>
      </c>
      <c r="F81" s="3" t="n">
        <v>45670.5541666667</v>
      </c>
      <c r="G81" s="2" t="s">
        <v>17</v>
      </c>
      <c r="H81" s="4" t="n">
        <v>-0.1027</v>
      </c>
      <c r="I81" s="2" t="s">
        <v>84</v>
      </c>
      <c r="J81" s="2" t="s">
        <v>33</v>
      </c>
      <c r="K81" s="2" t="n">
        <v>3</v>
      </c>
      <c r="L81" s="2" t="n">
        <v>0</v>
      </c>
      <c r="M81" s="2" t="n">
        <v>1</v>
      </c>
    </row>
    <row r="82" customFormat="false" ht="15" hidden="false" customHeight="false" outlineLevel="0" collapsed="false">
      <c r="A82" s="2" t="s">
        <v>227</v>
      </c>
      <c r="B82" s="2" t="s">
        <v>228</v>
      </c>
      <c r="C82" s="2" t="n">
        <v>3</v>
      </c>
      <c r="D82" s="2" t="s">
        <v>22</v>
      </c>
      <c r="E82" s="2" t="s">
        <v>16</v>
      </c>
      <c r="F82" s="3" t="n">
        <v>45670.6458333333</v>
      </c>
      <c r="G82" s="2" t="s">
        <v>17</v>
      </c>
      <c r="H82" s="4" t="n">
        <v>0.2023</v>
      </c>
      <c r="I82" s="2" t="s">
        <v>23</v>
      </c>
      <c r="J82" s="2" t="s">
        <v>19</v>
      </c>
      <c r="K82" s="2" t="n">
        <v>4</v>
      </c>
      <c r="L82" s="2" t="n">
        <v>0</v>
      </c>
      <c r="M82" s="2" t="n">
        <v>1</v>
      </c>
    </row>
    <row r="83" customFormat="false" ht="15" hidden="false" customHeight="false" outlineLevel="0" collapsed="false">
      <c r="A83" s="2" t="s">
        <v>229</v>
      </c>
      <c r="B83" s="2" t="s">
        <v>230</v>
      </c>
      <c r="C83" s="2" t="n">
        <v>1</v>
      </c>
      <c r="D83" s="2" t="s">
        <v>231</v>
      </c>
      <c r="E83" s="2" t="s">
        <v>16</v>
      </c>
      <c r="F83" s="3" t="n">
        <v>45670.7729166667</v>
      </c>
      <c r="G83" s="2" t="s">
        <v>17</v>
      </c>
      <c r="H83" s="4" t="n">
        <v>-0.3593</v>
      </c>
      <c r="I83" s="2" t="s">
        <v>84</v>
      </c>
      <c r="J83" s="2" t="s">
        <v>33</v>
      </c>
      <c r="K83" s="2" t="n">
        <v>2</v>
      </c>
      <c r="L83" s="2" t="n">
        <v>1</v>
      </c>
      <c r="M83" s="2" t="n">
        <v>1</v>
      </c>
    </row>
    <row r="84" customFormat="false" ht="15" hidden="false" customHeight="false" outlineLevel="0" collapsed="false">
      <c r="A84" s="2" t="s">
        <v>232</v>
      </c>
      <c r="B84" s="2" t="s">
        <v>233</v>
      </c>
      <c r="C84" s="2" t="n">
        <v>1</v>
      </c>
      <c r="D84" s="2" t="s">
        <v>234</v>
      </c>
      <c r="E84" s="2" t="s">
        <v>16</v>
      </c>
      <c r="F84" s="3" t="n">
        <v>45670.7805555556</v>
      </c>
      <c r="G84" s="2" t="s">
        <v>17</v>
      </c>
      <c r="H84" s="4" t="n">
        <v>0</v>
      </c>
      <c r="I84" s="2" t="s">
        <v>18</v>
      </c>
      <c r="J84" s="2" t="s">
        <v>165</v>
      </c>
      <c r="K84" s="2" t="n">
        <v>3</v>
      </c>
      <c r="L84" s="2" t="n">
        <v>0</v>
      </c>
      <c r="M84" s="2" t="n">
        <v>1</v>
      </c>
    </row>
    <row r="85" customFormat="false" ht="15" hidden="false" customHeight="false" outlineLevel="0" collapsed="false">
      <c r="A85" s="2" t="s">
        <v>235</v>
      </c>
      <c r="B85" s="2" t="s">
        <v>236</v>
      </c>
      <c r="C85" s="2" t="n">
        <v>4</v>
      </c>
      <c r="D85" s="2" t="s">
        <v>90</v>
      </c>
      <c r="E85" s="2" t="s">
        <v>16</v>
      </c>
      <c r="F85" s="3" t="n">
        <v>45670.8354166667</v>
      </c>
      <c r="G85" s="2" t="s">
        <v>17</v>
      </c>
      <c r="H85" s="4" t="n">
        <v>0.6249</v>
      </c>
      <c r="I85" s="2" t="s">
        <v>23</v>
      </c>
      <c r="J85" s="2" t="s">
        <v>37</v>
      </c>
      <c r="K85" s="2" t="n">
        <v>1</v>
      </c>
      <c r="L85" s="2" t="n">
        <v>0</v>
      </c>
      <c r="M85" s="2" t="n">
        <v>1</v>
      </c>
    </row>
    <row r="86" customFormat="false" ht="15" hidden="false" customHeight="false" outlineLevel="0" collapsed="false">
      <c r="A86" s="2" t="s">
        <v>237</v>
      </c>
      <c r="B86" s="2" t="s">
        <v>238</v>
      </c>
      <c r="C86" s="2" t="n">
        <v>4</v>
      </c>
      <c r="D86" s="2" t="s">
        <v>127</v>
      </c>
      <c r="E86" s="2" t="s">
        <v>16</v>
      </c>
      <c r="F86" s="3" t="n">
        <v>45670.8465277778</v>
      </c>
      <c r="G86" s="2" t="s">
        <v>17</v>
      </c>
      <c r="H86" s="4" t="n">
        <v>0.9359</v>
      </c>
      <c r="I86" s="2" t="s">
        <v>23</v>
      </c>
      <c r="J86" s="2" t="s">
        <v>37</v>
      </c>
      <c r="K86" s="2" t="n">
        <v>2</v>
      </c>
      <c r="L86" s="2" t="n">
        <v>0</v>
      </c>
      <c r="M86" s="2" t="n">
        <v>1</v>
      </c>
    </row>
    <row r="87" customFormat="false" ht="15" hidden="false" customHeight="false" outlineLevel="0" collapsed="false">
      <c r="A87" s="2" t="s">
        <v>239</v>
      </c>
      <c r="B87" s="2" t="s">
        <v>240</v>
      </c>
      <c r="C87" s="2" t="n">
        <v>5</v>
      </c>
      <c r="D87" s="2" t="s">
        <v>76</v>
      </c>
      <c r="E87" s="2" t="s">
        <v>16</v>
      </c>
      <c r="F87" s="3" t="n">
        <v>45670.8479166667</v>
      </c>
      <c r="G87" s="2" t="s">
        <v>17</v>
      </c>
      <c r="H87" s="4" t="n">
        <v>0.607</v>
      </c>
      <c r="I87" s="2" t="s">
        <v>23</v>
      </c>
      <c r="J87" s="2" t="s">
        <v>33</v>
      </c>
      <c r="K87" s="2" t="n">
        <v>1</v>
      </c>
      <c r="L87" s="2" t="n">
        <v>0</v>
      </c>
      <c r="M87" s="2" t="n">
        <v>1</v>
      </c>
    </row>
    <row r="88" customFormat="false" ht="15" hidden="false" customHeight="false" outlineLevel="0" collapsed="false">
      <c r="A88" s="2" t="s">
        <v>241</v>
      </c>
      <c r="B88" s="2" t="s">
        <v>242</v>
      </c>
      <c r="C88" s="2" t="n">
        <v>4</v>
      </c>
      <c r="D88" s="2" t="s">
        <v>15</v>
      </c>
      <c r="E88" s="2" t="s">
        <v>16</v>
      </c>
      <c r="F88" s="3" t="n">
        <v>45670.8659722222</v>
      </c>
      <c r="G88" s="2" t="s">
        <v>17</v>
      </c>
      <c r="H88" s="4" t="n">
        <v>0</v>
      </c>
      <c r="I88" s="2" t="s">
        <v>18</v>
      </c>
      <c r="J88" s="2" t="s">
        <v>19</v>
      </c>
      <c r="K88" s="2" t="n">
        <v>1</v>
      </c>
      <c r="L88" s="2" t="n">
        <v>0</v>
      </c>
      <c r="M88" s="2" t="n">
        <v>1</v>
      </c>
    </row>
    <row r="89" customFormat="false" ht="15" hidden="false" customHeight="false" outlineLevel="0" collapsed="false">
      <c r="A89" s="2" t="s">
        <v>243</v>
      </c>
      <c r="B89" s="2" t="s">
        <v>244</v>
      </c>
      <c r="C89" s="2" t="n">
        <v>5</v>
      </c>
      <c r="D89" s="2" t="s">
        <v>62</v>
      </c>
      <c r="E89" s="2" t="s">
        <v>16</v>
      </c>
      <c r="F89" s="3" t="n">
        <v>45670.8944444444</v>
      </c>
      <c r="G89" s="2" t="s">
        <v>17</v>
      </c>
      <c r="H89" s="4" t="n">
        <v>0.7088</v>
      </c>
      <c r="I89" s="2" t="s">
        <v>23</v>
      </c>
      <c r="J89" s="2" t="s">
        <v>19</v>
      </c>
      <c r="K89" s="2" t="n">
        <v>1</v>
      </c>
      <c r="L89" s="2" t="n">
        <v>0</v>
      </c>
      <c r="M89" s="2" t="n">
        <v>1</v>
      </c>
    </row>
    <row r="90" customFormat="false" ht="15" hidden="false" customHeight="false" outlineLevel="0" collapsed="false">
      <c r="A90" s="2" t="s">
        <v>245</v>
      </c>
      <c r="B90" s="2" t="s">
        <v>246</v>
      </c>
      <c r="C90" s="2" t="n">
        <v>5</v>
      </c>
      <c r="D90" s="2" t="s">
        <v>62</v>
      </c>
      <c r="E90" s="2" t="s">
        <v>16</v>
      </c>
      <c r="F90" s="3" t="n">
        <v>45670.9354166667</v>
      </c>
      <c r="G90" s="2" t="s">
        <v>17</v>
      </c>
      <c r="H90" s="4" t="n">
        <v>0.7088</v>
      </c>
      <c r="I90" s="2" t="s">
        <v>23</v>
      </c>
      <c r="J90" s="2" t="s">
        <v>19</v>
      </c>
      <c r="K90" s="2" t="n">
        <v>28</v>
      </c>
      <c r="L90" s="2" t="n">
        <v>0</v>
      </c>
      <c r="M90" s="2" t="n">
        <v>1</v>
      </c>
    </row>
    <row r="91" customFormat="false" ht="15" hidden="false" customHeight="false" outlineLevel="0" collapsed="false">
      <c r="A91" s="2" t="s">
        <v>247</v>
      </c>
      <c r="B91" s="2" t="s">
        <v>248</v>
      </c>
      <c r="C91" s="2" t="n">
        <v>4</v>
      </c>
      <c r="D91" s="2" t="s">
        <v>62</v>
      </c>
      <c r="E91" s="2" t="s">
        <v>16</v>
      </c>
      <c r="F91" s="3" t="n">
        <v>45671.0618055556</v>
      </c>
      <c r="G91" s="2" t="s">
        <v>17</v>
      </c>
      <c r="H91" s="4" t="n">
        <v>0.7088</v>
      </c>
      <c r="I91" s="2" t="s">
        <v>23</v>
      </c>
      <c r="J91" s="2" t="s">
        <v>19</v>
      </c>
      <c r="K91" s="2" t="n">
        <v>3</v>
      </c>
      <c r="L91" s="2" t="n">
        <v>0</v>
      </c>
      <c r="M91" s="2" t="n">
        <v>1</v>
      </c>
    </row>
    <row r="92" customFormat="false" ht="15" hidden="false" customHeight="false" outlineLevel="0" collapsed="false">
      <c r="A92" s="2" t="s">
        <v>249</v>
      </c>
      <c r="B92" s="2" t="s">
        <v>250</v>
      </c>
      <c r="C92" s="2" t="n">
        <v>5</v>
      </c>
      <c r="D92" s="2" t="s">
        <v>251</v>
      </c>
      <c r="E92" s="2" t="s">
        <v>16</v>
      </c>
      <c r="F92" s="3" t="n">
        <v>45671.0868055556</v>
      </c>
      <c r="G92" s="2" t="s">
        <v>17</v>
      </c>
      <c r="H92" s="4" t="n">
        <v>0.8651</v>
      </c>
      <c r="I92" s="2" t="s">
        <v>23</v>
      </c>
      <c r="J92" s="2" t="s">
        <v>19</v>
      </c>
      <c r="K92" s="2" t="n">
        <v>3</v>
      </c>
      <c r="L92" s="2" t="n">
        <v>0</v>
      </c>
      <c r="M92" s="2" t="n">
        <v>1</v>
      </c>
    </row>
    <row r="93" customFormat="false" ht="15" hidden="false" customHeight="false" outlineLevel="0" collapsed="false">
      <c r="A93" s="2" t="s">
        <v>252</v>
      </c>
      <c r="B93" s="2" t="s">
        <v>253</v>
      </c>
      <c r="C93" s="2" t="n">
        <v>5</v>
      </c>
      <c r="D93" s="2" t="s">
        <v>62</v>
      </c>
      <c r="E93" s="2" t="s">
        <v>16</v>
      </c>
      <c r="F93" s="3" t="n">
        <v>45671.1152777778</v>
      </c>
      <c r="G93" s="2" t="s">
        <v>17</v>
      </c>
      <c r="H93" s="4" t="n">
        <v>0.7088</v>
      </c>
      <c r="I93" s="2" t="s">
        <v>23</v>
      </c>
      <c r="J93" s="2" t="s">
        <v>19</v>
      </c>
      <c r="K93" s="2" t="n">
        <v>2</v>
      </c>
      <c r="L93" s="2" t="n">
        <v>0</v>
      </c>
      <c r="M93" s="2" t="n">
        <v>1</v>
      </c>
    </row>
    <row r="94" customFormat="false" ht="15" hidden="false" customHeight="false" outlineLevel="0" collapsed="false">
      <c r="A94" s="2" t="s">
        <v>254</v>
      </c>
      <c r="B94" s="2" t="s">
        <v>255</v>
      </c>
      <c r="C94" s="2" t="n">
        <v>4</v>
      </c>
      <c r="D94" s="2" t="s">
        <v>40</v>
      </c>
      <c r="E94" s="2" t="s">
        <v>16</v>
      </c>
      <c r="F94" s="3" t="n">
        <v>45671.1819444444</v>
      </c>
      <c r="G94" s="2" t="s">
        <v>17</v>
      </c>
      <c r="H94" s="4" t="n">
        <v>0.4019</v>
      </c>
      <c r="I94" s="2" t="s">
        <v>23</v>
      </c>
      <c r="J94" s="2" t="s">
        <v>33</v>
      </c>
      <c r="K94" s="2" t="n">
        <v>0</v>
      </c>
      <c r="L94" s="2" t="n">
        <v>0</v>
      </c>
      <c r="M94" s="2" t="n">
        <v>1</v>
      </c>
    </row>
    <row r="95" customFormat="false" ht="15" hidden="false" customHeight="false" outlineLevel="0" collapsed="false">
      <c r="A95" s="2" t="s">
        <v>256</v>
      </c>
      <c r="B95" s="2" t="s">
        <v>257</v>
      </c>
      <c r="C95" s="2" t="n">
        <v>5</v>
      </c>
      <c r="D95" s="2" t="s">
        <v>47</v>
      </c>
      <c r="E95" s="2" t="s">
        <v>16</v>
      </c>
      <c r="F95" s="3" t="n">
        <v>45671.3402777778</v>
      </c>
      <c r="G95" s="2" t="s">
        <v>17</v>
      </c>
      <c r="H95" s="4" t="n">
        <v>0.3089</v>
      </c>
      <c r="I95" s="2" t="s">
        <v>23</v>
      </c>
      <c r="J95" s="2" t="s">
        <v>19</v>
      </c>
      <c r="K95" s="2" t="n">
        <v>7</v>
      </c>
      <c r="L95" s="2" t="n">
        <v>0</v>
      </c>
      <c r="M95" s="2" t="n">
        <v>1</v>
      </c>
    </row>
    <row r="96" customFormat="false" ht="15" hidden="false" customHeight="false" outlineLevel="0" collapsed="false">
      <c r="A96" s="2" t="s">
        <v>258</v>
      </c>
      <c r="B96" s="2" t="s">
        <v>259</v>
      </c>
      <c r="C96" s="2" t="n">
        <v>5</v>
      </c>
      <c r="D96" s="2" t="s">
        <v>96</v>
      </c>
      <c r="E96" s="2" t="s">
        <v>16</v>
      </c>
      <c r="F96" s="3" t="n">
        <v>45671.7006944444</v>
      </c>
      <c r="G96" s="2" t="s">
        <v>17</v>
      </c>
      <c r="H96" s="4" t="n">
        <v>0.6369</v>
      </c>
      <c r="I96" s="2" t="s">
        <v>23</v>
      </c>
      <c r="J96" s="2" t="s">
        <v>19</v>
      </c>
      <c r="K96" s="2" t="n">
        <v>4</v>
      </c>
      <c r="L96" s="2" t="n">
        <v>0</v>
      </c>
      <c r="M96" s="2" t="n">
        <v>1</v>
      </c>
    </row>
    <row r="97" customFormat="false" ht="15" hidden="false" customHeight="false" outlineLevel="0" collapsed="false">
      <c r="A97" s="2" t="s">
        <v>260</v>
      </c>
      <c r="B97" s="2" t="s">
        <v>261</v>
      </c>
      <c r="C97" s="2" t="n">
        <v>4</v>
      </c>
      <c r="D97" s="2" t="s">
        <v>90</v>
      </c>
      <c r="E97" s="2" t="s">
        <v>16</v>
      </c>
      <c r="F97" s="3" t="n">
        <v>45671.8104166667</v>
      </c>
      <c r="G97" s="2" t="s">
        <v>17</v>
      </c>
      <c r="H97" s="4" t="n">
        <v>0.6249</v>
      </c>
      <c r="I97" s="2" t="s">
        <v>23</v>
      </c>
      <c r="J97" s="2" t="s">
        <v>37</v>
      </c>
      <c r="K97" s="2" t="n">
        <v>0</v>
      </c>
      <c r="L97" s="2" t="n">
        <v>0</v>
      </c>
      <c r="M97" s="2" t="n">
        <v>1</v>
      </c>
    </row>
    <row r="98" customFormat="false" ht="15" hidden="false" customHeight="false" outlineLevel="0" collapsed="false">
      <c r="A98" s="2" t="s">
        <v>262</v>
      </c>
      <c r="B98" s="2" t="s">
        <v>263</v>
      </c>
      <c r="C98" s="2" t="n">
        <v>4</v>
      </c>
      <c r="D98" s="2" t="s">
        <v>90</v>
      </c>
      <c r="E98" s="2" t="s">
        <v>16</v>
      </c>
      <c r="F98" s="3" t="n">
        <v>45671.8270833333</v>
      </c>
      <c r="G98" s="2" t="s">
        <v>17</v>
      </c>
      <c r="H98" s="4" t="n">
        <v>0.6249</v>
      </c>
      <c r="I98" s="2" t="s">
        <v>23</v>
      </c>
      <c r="J98" s="2" t="s">
        <v>37</v>
      </c>
      <c r="K98" s="2" t="n">
        <v>5</v>
      </c>
      <c r="L98" s="2" t="n">
        <v>0</v>
      </c>
      <c r="M98" s="2" t="n">
        <v>1</v>
      </c>
    </row>
    <row r="99" customFormat="false" ht="15" hidden="false" customHeight="false" outlineLevel="0" collapsed="false">
      <c r="A99" s="2" t="s">
        <v>264</v>
      </c>
      <c r="B99" s="2" t="s">
        <v>265</v>
      </c>
      <c r="C99" s="2" t="n">
        <v>4</v>
      </c>
      <c r="D99" s="2" t="s">
        <v>266</v>
      </c>
      <c r="E99" s="2" t="s">
        <v>16</v>
      </c>
      <c r="F99" s="3" t="n">
        <v>45671.8493055556</v>
      </c>
      <c r="G99" s="2" t="s">
        <v>17</v>
      </c>
      <c r="H99" s="4" t="n">
        <v>0.7184</v>
      </c>
      <c r="I99" s="2" t="s">
        <v>23</v>
      </c>
      <c r="J99" s="2" t="s">
        <v>19</v>
      </c>
      <c r="K99" s="2" t="n">
        <v>0</v>
      </c>
      <c r="L99" s="2" t="n">
        <v>0</v>
      </c>
      <c r="M99" s="2" t="n">
        <v>1</v>
      </c>
    </row>
    <row r="100" customFormat="false" ht="15" hidden="false" customHeight="false" outlineLevel="0" collapsed="false">
      <c r="A100" s="2" t="s">
        <v>267</v>
      </c>
      <c r="B100" s="2" t="s">
        <v>268</v>
      </c>
      <c r="C100" s="2" t="n">
        <v>5</v>
      </c>
      <c r="D100" s="2" t="s">
        <v>269</v>
      </c>
      <c r="E100" s="2" t="s">
        <v>16</v>
      </c>
      <c r="F100" s="3" t="n">
        <v>45671.9180555556</v>
      </c>
      <c r="G100" s="2" t="s">
        <v>17</v>
      </c>
      <c r="H100" s="4" t="n">
        <v>0.8748</v>
      </c>
      <c r="I100" s="2" t="s">
        <v>23</v>
      </c>
      <c r="J100" s="2" t="s">
        <v>37</v>
      </c>
      <c r="K100" s="2" t="n">
        <v>1</v>
      </c>
      <c r="L100" s="2" t="n">
        <v>0</v>
      </c>
      <c r="M100" s="2" t="n">
        <v>1</v>
      </c>
    </row>
    <row r="101" customFormat="false" ht="15" hidden="false" customHeight="false" outlineLevel="0" collapsed="false">
      <c r="A101" s="2" t="s">
        <v>270</v>
      </c>
      <c r="B101" s="2" t="s">
        <v>271</v>
      </c>
      <c r="C101" s="2" t="n">
        <v>5</v>
      </c>
      <c r="D101" s="2" t="s">
        <v>127</v>
      </c>
      <c r="E101" s="2" t="s">
        <v>16</v>
      </c>
      <c r="F101" s="3" t="n">
        <v>45671.93125</v>
      </c>
      <c r="G101" s="2" t="s">
        <v>17</v>
      </c>
      <c r="H101" s="4" t="n">
        <v>0.9359</v>
      </c>
      <c r="I101" s="2" t="s">
        <v>23</v>
      </c>
      <c r="J101" s="2" t="s">
        <v>37</v>
      </c>
      <c r="K101" s="2" t="n">
        <v>0</v>
      </c>
      <c r="L101" s="2" t="n">
        <v>0</v>
      </c>
      <c r="M101" s="2" t="n">
        <v>1</v>
      </c>
    </row>
    <row r="102" customFormat="false" ht="15" hidden="false" customHeight="false" outlineLevel="0" collapsed="false">
      <c r="A102" s="2" t="s">
        <v>272</v>
      </c>
      <c r="B102" s="2" t="s">
        <v>273</v>
      </c>
      <c r="C102" s="2" t="n">
        <v>3</v>
      </c>
      <c r="D102" s="2" t="s">
        <v>109</v>
      </c>
      <c r="E102" s="2" t="s">
        <v>16</v>
      </c>
      <c r="F102" s="3" t="n">
        <v>45671.9708333333</v>
      </c>
      <c r="G102" s="2" t="s">
        <v>17</v>
      </c>
      <c r="H102" s="4" t="n">
        <v>0</v>
      </c>
      <c r="I102" s="2" t="s">
        <v>18</v>
      </c>
      <c r="J102" s="2" t="s">
        <v>110</v>
      </c>
      <c r="K102" s="2" t="n">
        <v>1</v>
      </c>
      <c r="L102" s="2" t="n">
        <v>0</v>
      </c>
      <c r="M102" s="2" t="n">
        <v>1</v>
      </c>
    </row>
    <row r="103" customFormat="false" ht="15" hidden="false" customHeight="false" outlineLevel="0" collapsed="false">
      <c r="A103" s="2" t="s">
        <v>274</v>
      </c>
      <c r="B103" s="2" t="s">
        <v>275</v>
      </c>
      <c r="C103" s="2" t="n">
        <v>3</v>
      </c>
      <c r="D103" s="2" t="s">
        <v>99</v>
      </c>
      <c r="E103" s="2" t="s">
        <v>16</v>
      </c>
      <c r="F103" s="3" t="n">
        <v>45672.2326388889</v>
      </c>
      <c r="G103" s="2" t="s">
        <v>17</v>
      </c>
      <c r="H103" s="4" t="n">
        <v>-0.3089</v>
      </c>
      <c r="I103" s="2" t="s">
        <v>84</v>
      </c>
      <c r="J103" s="2" t="s">
        <v>19</v>
      </c>
      <c r="K103" s="2" t="n">
        <v>0</v>
      </c>
      <c r="L103" s="2" t="n">
        <v>0</v>
      </c>
      <c r="M103" s="2" t="n">
        <v>1</v>
      </c>
    </row>
    <row r="104" customFormat="false" ht="15" hidden="false" customHeight="false" outlineLevel="0" collapsed="false">
      <c r="A104" s="2" t="s">
        <v>276</v>
      </c>
      <c r="B104" s="2" t="s">
        <v>277</v>
      </c>
      <c r="C104" s="2" t="n">
        <v>5</v>
      </c>
      <c r="D104" s="2" t="s">
        <v>90</v>
      </c>
      <c r="E104" s="2" t="s">
        <v>16</v>
      </c>
      <c r="F104" s="3" t="n">
        <v>45672.3340277778</v>
      </c>
      <c r="G104" s="2" t="s">
        <v>17</v>
      </c>
      <c r="H104" s="4" t="n">
        <v>0.6249</v>
      </c>
      <c r="I104" s="2" t="s">
        <v>23</v>
      </c>
      <c r="J104" s="2" t="s">
        <v>37</v>
      </c>
      <c r="K104" s="2" t="n">
        <v>0</v>
      </c>
      <c r="L104" s="2" t="n">
        <v>0</v>
      </c>
      <c r="M104" s="2" t="n">
        <v>1</v>
      </c>
    </row>
    <row r="105" customFormat="false" ht="15" hidden="false" customHeight="false" outlineLevel="0" collapsed="false">
      <c r="A105" s="2" t="s">
        <v>278</v>
      </c>
      <c r="B105" s="2" t="s">
        <v>279</v>
      </c>
      <c r="C105" s="2" t="n">
        <v>5</v>
      </c>
      <c r="D105" s="2" t="s">
        <v>62</v>
      </c>
      <c r="E105" s="2" t="s">
        <v>16</v>
      </c>
      <c r="F105" s="3" t="n">
        <v>45672.4138888889</v>
      </c>
      <c r="G105" s="2" t="s">
        <v>17</v>
      </c>
      <c r="H105" s="4" t="n">
        <v>0.7088</v>
      </c>
      <c r="I105" s="2" t="s">
        <v>23</v>
      </c>
      <c r="J105" s="2" t="s">
        <v>19</v>
      </c>
      <c r="K105" s="2" t="n">
        <v>1</v>
      </c>
      <c r="L105" s="2" t="n">
        <v>0</v>
      </c>
      <c r="M105" s="2" t="n">
        <v>1</v>
      </c>
    </row>
    <row r="106" customFormat="false" ht="15" hidden="false" customHeight="false" outlineLevel="0" collapsed="false">
      <c r="A106" s="2" t="s">
        <v>280</v>
      </c>
      <c r="B106" s="2" t="s">
        <v>281</v>
      </c>
      <c r="C106" s="2" t="n">
        <v>5</v>
      </c>
      <c r="D106" s="2" t="s">
        <v>282</v>
      </c>
      <c r="E106" s="2" t="s">
        <v>16</v>
      </c>
      <c r="F106" s="3" t="n">
        <v>45672.4166666667</v>
      </c>
      <c r="G106" s="2" t="s">
        <v>17</v>
      </c>
      <c r="H106" s="4" t="n">
        <v>0.7992</v>
      </c>
      <c r="I106" s="2" t="s">
        <v>23</v>
      </c>
      <c r="J106" s="2" t="s">
        <v>19</v>
      </c>
      <c r="K106" s="2" t="n">
        <v>0</v>
      </c>
      <c r="L106" s="2" t="n">
        <v>0</v>
      </c>
      <c r="M106" s="2" t="n">
        <v>1</v>
      </c>
    </row>
    <row r="107" customFormat="false" ht="15" hidden="false" customHeight="false" outlineLevel="0" collapsed="false">
      <c r="A107" s="2" t="s">
        <v>283</v>
      </c>
      <c r="B107" s="2" t="s">
        <v>284</v>
      </c>
      <c r="C107" s="2" t="n">
        <v>4</v>
      </c>
      <c r="D107" s="2" t="s">
        <v>99</v>
      </c>
      <c r="E107" s="2" t="s">
        <v>16</v>
      </c>
      <c r="F107" s="3" t="n">
        <v>45672.4395833333</v>
      </c>
      <c r="G107" s="2" t="s">
        <v>17</v>
      </c>
      <c r="H107" s="4" t="n">
        <v>-0.3089</v>
      </c>
      <c r="I107" s="2" t="s">
        <v>84</v>
      </c>
      <c r="J107" s="2" t="s">
        <v>19</v>
      </c>
      <c r="K107" s="2" t="n">
        <v>6</v>
      </c>
      <c r="L107" s="2" t="n">
        <v>0</v>
      </c>
      <c r="M107" s="2" t="n">
        <v>1</v>
      </c>
    </row>
    <row r="108" customFormat="false" ht="15" hidden="false" customHeight="false" outlineLevel="0" collapsed="false">
      <c r="A108" s="2" t="s">
        <v>285</v>
      </c>
      <c r="B108" s="2" t="s">
        <v>286</v>
      </c>
      <c r="C108" s="2" t="n">
        <v>5</v>
      </c>
      <c r="D108" s="2" t="s">
        <v>282</v>
      </c>
      <c r="E108" s="2" t="s">
        <v>16</v>
      </c>
      <c r="F108" s="3" t="n">
        <v>45672.5430555556</v>
      </c>
      <c r="G108" s="2" t="s">
        <v>17</v>
      </c>
      <c r="H108" s="4" t="n">
        <v>0.7992</v>
      </c>
      <c r="I108" s="2" t="s">
        <v>23</v>
      </c>
      <c r="J108" s="2" t="s">
        <v>19</v>
      </c>
      <c r="K108" s="2" t="n">
        <v>1</v>
      </c>
      <c r="L108" s="2" t="n">
        <v>0</v>
      </c>
      <c r="M108" s="2" t="n">
        <v>1</v>
      </c>
    </row>
    <row r="109" customFormat="false" ht="15" hidden="false" customHeight="false" outlineLevel="0" collapsed="false">
      <c r="A109" s="2" t="s">
        <v>287</v>
      </c>
      <c r="B109" s="2" t="s">
        <v>288</v>
      </c>
      <c r="C109" s="2" t="n">
        <v>5</v>
      </c>
      <c r="D109" s="2" t="s">
        <v>90</v>
      </c>
      <c r="E109" s="2" t="s">
        <v>16</v>
      </c>
      <c r="F109" s="3" t="n">
        <v>45672.6305555556</v>
      </c>
      <c r="G109" s="2" t="s">
        <v>17</v>
      </c>
      <c r="H109" s="4" t="n">
        <v>0.6249</v>
      </c>
      <c r="I109" s="2" t="s">
        <v>23</v>
      </c>
      <c r="J109" s="2" t="s">
        <v>37</v>
      </c>
      <c r="K109" s="2" t="n">
        <v>7</v>
      </c>
      <c r="L109" s="2" t="n">
        <v>0</v>
      </c>
      <c r="M109" s="2" t="n">
        <v>1</v>
      </c>
    </row>
    <row r="110" customFormat="false" ht="15" hidden="false" customHeight="false" outlineLevel="0" collapsed="false">
      <c r="A110" s="2" t="s">
        <v>289</v>
      </c>
      <c r="B110" s="2" t="s">
        <v>290</v>
      </c>
      <c r="C110" s="2" t="n">
        <v>3</v>
      </c>
      <c r="D110" s="2" t="s">
        <v>99</v>
      </c>
      <c r="E110" s="2" t="s">
        <v>16</v>
      </c>
      <c r="F110" s="3" t="n">
        <v>45672.8069444444</v>
      </c>
      <c r="G110" s="2" t="s">
        <v>17</v>
      </c>
      <c r="H110" s="4" t="n">
        <v>-0.3089</v>
      </c>
      <c r="I110" s="2" t="s">
        <v>84</v>
      </c>
      <c r="J110" s="2" t="s">
        <v>19</v>
      </c>
      <c r="K110" s="2" t="n">
        <v>6</v>
      </c>
      <c r="L110" s="2" t="n">
        <v>0</v>
      </c>
      <c r="M110" s="2" t="n">
        <v>1</v>
      </c>
    </row>
    <row r="111" customFormat="false" ht="15" hidden="false" customHeight="false" outlineLevel="0" collapsed="false">
      <c r="A111" s="2" t="s">
        <v>291</v>
      </c>
      <c r="B111" s="2" t="s">
        <v>292</v>
      </c>
      <c r="C111" s="2" t="n">
        <v>5</v>
      </c>
      <c r="D111" s="2" t="s">
        <v>96</v>
      </c>
      <c r="E111" s="2" t="s">
        <v>16</v>
      </c>
      <c r="F111" s="3" t="n">
        <v>45673.1465277778</v>
      </c>
      <c r="G111" s="2" t="s">
        <v>17</v>
      </c>
      <c r="H111" s="4" t="n">
        <v>0.6369</v>
      </c>
      <c r="I111" s="2" t="s">
        <v>23</v>
      </c>
      <c r="J111" s="2" t="s">
        <v>19</v>
      </c>
      <c r="K111" s="2" t="n">
        <v>2</v>
      </c>
      <c r="L111" s="2" t="n">
        <v>0</v>
      </c>
      <c r="M111" s="2" t="n">
        <v>1</v>
      </c>
    </row>
    <row r="112" customFormat="false" ht="15" hidden="false" customHeight="false" outlineLevel="0" collapsed="false">
      <c r="A112" s="2" t="s">
        <v>293</v>
      </c>
      <c r="B112" s="2" t="s">
        <v>294</v>
      </c>
      <c r="C112" s="2" t="n">
        <v>2</v>
      </c>
      <c r="D112" s="2" t="s">
        <v>295</v>
      </c>
      <c r="E112" s="2" t="s">
        <v>16</v>
      </c>
      <c r="F112" s="3" t="n">
        <v>45673.1597222222</v>
      </c>
      <c r="G112" s="2" t="s">
        <v>17</v>
      </c>
      <c r="H112" s="4" t="n">
        <v>-0.5023</v>
      </c>
      <c r="I112" s="2" t="s">
        <v>84</v>
      </c>
      <c r="J112" s="2" t="s">
        <v>33</v>
      </c>
      <c r="K112" s="2" t="n">
        <v>0</v>
      </c>
      <c r="L112" s="2" t="n">
        <v>1</v>
      </c>
      <c r="M112" s="2" t="n">
        <v>1</v>
      </c>
    </row>
    <row r="113" customFormat="false" ht="15" hidden="false" customHeight="false" outlineLevel="0" collapsed="false">
      <c r="A113" s="2" t="s">
        <v>296</v>
      </c>
      <c r="B113" s="2" t="s">
        <v>297</v>
      </c>
      <c r="C113" s="2" t="n">
        <v>4</v>
      </c>
      <c r="D113" s="2" t="s">
        <v>298</v>
      </c>
      <c r="E113" s="2" t="s">
        <v>16</v>
      </c>
      <c r="F113" s="3" t="n">
        <v>45673.2048611111</v>
      </c>
      <c r="G113" s="2" t="s">
        <v>17</v>
      </c>
      <c r="H113" s="4" t="n">
        <v>0</v>
      </c>
      <c r="I113" s="2" t="s">
        <v>18</v>
      </c>
      <c r="J113" s="2" t="s">
        <v>19</v>
      </c>
      <c r="K113" s="2" t="n">
        <v>1</v>
      </c>
      <c r="L113" s="2" t="n">
        <v>0</v>
      </c>
      <c r="M113" s="2" t="n">
        <v>1</v>
      </c>
    </row>
    <row r="114" customFormat="false" ht="15" hidden="false" customHeight="false" outlineLevel="0" collapsed="false">
      <c r="A114" s="2" t="s">
        <v>299</v>
      </c>
      <c r="B114" s="2" t="s">
        <v>300</v>
      </c>
      <c r="C114" s="2" t="n">
        <v>3</v>
      </c>
      <c r="D114" s="2" t="s">
        <v>301</v>
      </c>
      <c r="E114" s="2" t="s">
        <v>16</v>
      </c>
      <c r="F114" s="3" t="n">
        <v>45673.2583333333</v>
      </c>
      <c r="G114" s="2" t="s">
        <v>17</v>
      </c>
      <c r="H114" s="4" t="n">
        <v>0.2263</v>
      </c>
      <c r="I114" s="2" t="s">
        <v>23</v>
      </c>
      <c r="J114" s="2" t="s">
        <v>19</v>
      </c>
      <c r="K114" s="2" t="n">
        <v>5</v>
      </c>
      <c r="L114" s="2" t="n">
        <v>0</v>
      </c>
      <c r="M114" s="2" t="n">
        <v>1</v>
      </c>
    </row>
    <row r="115" customFormat="false" ht="15" hidden="false" customHeight="false" outlineLevel="0" collapsed="false">
      <c r="A115" s="2" t="s">
        <v>302</v>
      </c>
      <c r="B115" s="2" t="s">
        <v>303</v>
      </c>
      <c r="C115" s="2" t="n">
        <v>5</v>
      </c>
      <c r="D115" s="2" t="s">
        <v>304</v>
      </c>
      <c r="E115" s="2" t="s">
        <v>16</v>
      </c>
      <c r="F115" s="3" t="n">
        <v>45673.3027777778</v>
      </c>
      <c r="G115" s="2" t="s">
        <v>17</v>
      </c>
      <c r="H115" s="4" t="n">
        <v>0.6249</v>
      </c>
      <c r="I115" s="2" t="s">
        <v>23</v>
      </c>
      <c r="J115" s="2" t="s">
        <v>37</v>
      </c>
      <c r="K115" s="2" t="n">
        <v>1</v>
      </c>
      <c r="L115" s="2" t="n">
        <v>0</v>
      </c>
      <c r="M115" s="2" t="n">
        <v>1</v>
      </c>
    </row>
    <row r="116" customFormat="false" ht="15" hidden="false" customHeight="false" outlineLevel="0" collapsed="false">
      <c r="A116" s="2" t="s">
        <v>305</v>
      </c>
      <c r="B116" s="2" t="s">
        <v>306</v>
      </c>
      <c r="C116" s="2" t="n">
        <v>4</v>
      </c>
      <c r="D116" s="2" t="s">
        <v>15</v>
      </c>
      <c r="E116" s="2" t="s">
        <v>16</v>
      </c>
      <c r="F116" s="3" t="n">
        <v>45673.3388888889</v>
      </c>
      <c r="G116" s="2" t="s">
        <v>17</v>
      </c>
      <c r="H116" s="4" t="n">
        <v>0</v>
      </c>
      <c r="I116" s="2" t="s">
        <v>18</v>
      </c>
      <c r="J116" s="2" t="s">
        <v>19</v>
      </c>
      <c r="K116" s="2" t="n">
        <v>0</v>
      </c>
      <c r="L116" s="2" t="n">
        <v>0</v>
      </c>
      <c r="M116" s="2" t="n">
        <v>1</v>
      </c>
    </row>
    <row r="117" customFormat="false" ht="15" hidden="false" customHeight="false" outlineLevel="0" collapsed="false">
      <c r="A117" s="2" t="s">
        <v>307</v>
      </c>
      <c r="B117" s="2" t="s">
        <v>308</v>
      </c>
      <c r="C117" s="2" t="n">
        <v>5</v>
      </c>
      <c r="D117" s="2" t="s">
        <v>40</v>
      </c>
      <c r="E117" s="2" t="s">
        <v>16</v>
      </c>
      <c r="F117" s="3" t="n">
        <v>45673.4284722222</v>
      </c>
      <c r="G117" s="2" t="s">
        <v>17</v>
      </c>
      <c r="H117" s="4" t="n">
        <v>0.4019</v>
      </c>
      <c r="I117" s="2" t="s">
        <v>23</v>
      </c>
      <c r="J117" s="2" t="s">
        <v>33</v>
      </c>
      <c r="K117" s="2" t="n">
        <v>8</v>
      </c>
      <c r="L117" s="2" t="n">
        <v>0</v>
      </c>
      <c r="M117" s="2" t="n">
        <v>1</v>
      </c>
    </row>
    <row r="118" customFormat="false" ht="15" hidden="false" customHeight="false" outlineLevel="0" collapsed="false">
      <c r="A118" s="2" t="s">
        <v>309</v>
      </c>
      <c r="B118" s="2" t="s">
        <v>310</v>
      </c>
      <c r="C118" s="2" t="n">
        <v>4</v>
      </c>
      <c r="D118" s="2" t="s">
        <v>99</v>
      </c>
      <c r="E118" s="2" t="s">
        <v>16</v>
      </c>
      <c r="F118" s="3" t="n">
        <v>45673.6305555556</v>
      </c>
      <c r="G118" s="2" t="s">
        <v>17</v>
      </c>
      <c r="H118" s="4" t="n">
        <v>-0.3089</v>
      </c>
      <c r="I118" s="2" t="s">
        <v>84</v>
      </c>
      <c r="J118" s="2" t="s">
        <v>19</v>
      </c>
      <c r="K118" s="2" t="n">
        <v>7</v>
      </c>
      <c r="L118" s="2" t="n">
        <v>0</v>
      </c>
      <c r="M118" s="2" t="n">
        <v>1</v>
      </c>
    </row>
    <row r="119" customFormat="false" ht="15" hidden="false" customHeight="false" outlineLevel="0" collapsed="false">
      <c r="A119" s="2" t="s">
        <v>311</v>
      </c>
      <c r="B119" s="2" t="s">
        <v>312</v>
      </c>
      <c r="C119" s="2" t="n">
        <v>4</v>
      </c>
      <c r="D119" s="2" t="s">
        <v>87</v>
      </c>
      <c r="E119" s="2" t="s">
        <v>16</v>
      </c>
      <c r="F119" s="3" t="n">
        <v>45673.8444444445</v>
      </c>
      <c r="G119" s="2" t="s">
        <v>17</v>
      </c>
      <c r="H119" s="4" t="n">
        <v>0</v>
      </c>
      <c r="I119" s="2" t="s">
        <v>18</v>
      </c>
      <c r="J119" s="2" t="s">
        <v>19</v>
      </c>
      <c r="K119" s="2" t="n">
        <v>0</v>
      </c>
      <c r="L119" s="2" t="n">
        <v>0</v>
      </c>
      <c r="M119" s="2" t="n">
        <v>1</v>
      </c>
    </row>
    <row r="120" customFormat="false" ht="15" hidden="false" customHeight="false" outlineLevel="0" collapsed="false">
      <c r="A120" s="2" t="s">
        <v>313</v>
      </c>
      <c r="B120" s="2" t="s">
        <v>314</v>
      </c>
      <c r="C120" s="2" t="n">
        <v>5</v>
      </c>
      <c r="D120" s="2" t="s">
        <v>90</v>
      </c>
      <c r="E120" s="2" t="s">
        <v>16</v>
      </c>
      <c r="F120" s="3" t="n">
        <v>45674</v>
      </c>
      <c r="G120" s="2" t="s">
        <v>17</v>
      </c>
      <c r="H120" s="4" t="n">
        <v>0.6249</v>
      </c>
      <c r="I120" s="2" t="s">
        <v>23</v>
      </c>
      <c r="J120" s="2" t="s">
        <v>37</v>
      </c>
      <c r="K120" s="2" t="n">
        <v>3</v>
      </c>
      <c r="L120" s="2" t="n">
        <v>0</v>
      </c>
      <c r="M120" s="2" t="n">
        <v>1</v>
      </c>
    </row>
    <row r="121" customFormat="false" ht="15" hidden="false" customHeight="false" outlineLevel="0" collapsed="false">
      <c r="A121" s="2" t="s">
        <v>315</v>
      </c>
      <c r="B121" s="2" t="s">
        <v>316</v>
      </c>
      <c r="C121" s="2" t="n">
        <v>5</v>
      </c>
      <c r="D121" s="2" t="s">
        <v>121</v>
      </c>
      <c r="E121" s="2" t="s">
        <v>16</v>
      </c>
      <c r="F121" s="3" t="n">
        <v>45674.1048611111</v>
      </c>
      <c r="G121" s="2" t="s">
        <v>17</v>
      </c>
      <c r="H121" s="4" t="n">
        <v>0.607</v>
      </c>
      <c r="I121" s="2" t="s">
        <v>23</v>
      </c>
      <c r="J121" s="2" t="s">
        <v>33</v>
      </c>
      <c r="K121" s="2" t="n">
        <v>0</v>
      </c>
      <c r="L121" s="2" t="n">
        <v>0</v>
      </c>
      <c r="M121" s="2" t="n">
        <v>1</v>
      </c>
    </row>
    <row r="122" customFormat="false" ht="15" hidden="false" customHeight="false" outlineLevel="0" collapsed="false">
      <c r="A122" s="2" t="s">
        <v>317</v>
      </c>
      <c r="B122" s="2" t="s">
        <v>318</v>
      </c>
      <c r="C122" s="2" t="n">
        <v>1</v>
      </c>
      <c r="D122" s="2" t="s">
        <v>231</v>
      </c>
      <c r="E122" s="2" t="s">
        <v>16</v>
      </c>
      <c r="F122" s="3" t="n">
        <v>45674.2791666667</v>
      </c>
      <c r="G122" s="2" t="s">
        <v>17</v>
      </c>
      <c r="H122" s="4" t="n">
        <v>-0.3593</v>
      </c>
      <c r="I122" s="2" t="s">
        <v>84</v>
      </c>
      <c r="J122" s="2" t="s">
        <v>33</v>
      </c>
      <c r="K122" s="2" t="n">
        <v>3</v>
      </c>
      <c r="L122" s="2" t="n">
        <v>0</v>
      </c>
      <c r="M122" s="2" t="n">
        <v>1</v>
      </c>
    </row>
    <row r="123" customFormat="false" ht="15" hidden="false" customHeight="false" outlineLevel="0" collapsed="false">
      <c r="A123" s="2" t="s">
        <v>319</v>
      </c>
      <c r="B123" s="2" t="s">
        <v>320</v>
      </c>
      <c r="C123" s="2" t="n">
        <v>4</v>
      </c>
      <c r="D123" s="2" t="s">
        <v>47</v>
      </c>
      <c r="E123" s="2" t="s">
        <v>16</v>
      </c>
      <c r="F123" s="3" t="n">
        <v>45674.3423611111</v>
      </c>
      <c r="G123" s="2" t="s">
        <v>17</v>
      </c>
      <c r="H123" s="4" t="n">
        <v>0.3089</v>
      </c>
      <c r="I123" s="2" t="s">
        <v>23</v>
      </c>
      <c r="J123" s="2" t="s">
        <v>19</v>
      </c>
      <c r="K123" s="2" t="n">
        <v>0</v>
      </c>
      <c r="L123" s="2" t="n">
        <v>0</v>
      </c>
      <c r="M123" s="2" t="n">
        <v>1</v>
      </c>
    </row>
    <row r="124" customFormat="false" ht="15" hidden="false" customHeight="false" outlineLevel="0" collapsed="false">
      <c r="A124" s="2" t="s">
        <v>321</v>
      </c>
      <c r="B124" s="2" t="s">
        <v>322</v>
      </c>
      <c r="C124" s="2" t="n">
        <v>4</v>
      </c>
      <c r="D124" s="2" t="s">
        <v>96</v>
      </c>
      <c r="E124" s="2" t="s">
        <v>16</v>
      </c>
      <c r="F124" s="3" t="n">
        <v>45674.3618055556</v>
      </c>
      <c r="G124" s="2" t="s">
        <v>17</v>
      </c>
      <c r="H124" s="4" t="n">
        <v>0.6369</v>
      </c>
      <c r="I124" s="2" t="s">
        <v>23</v>
      </c>
      <c r="J124" s="2" t="s">
        <v>19</v>
      </c>
      <c r="K124" s="2" t="n">
        <v>6</v>
      </c>
      <c r="L124" s="2" t="n">
        <v>0</v>
      </c>
      <c r="M124" s="2" t="n">
        <v>1</v>
      </c>
    </row>
    <row r="125" customFormat="false" ht="15" hidden="false" customHeight="false" outlineLevel="0" collapsed="false">
      <c r="A125" s="2" t="s">
        <v>323</v>
      </c>
      <c r="B125" s="2" t="s">
        <v>324</v>
      </c>
      <c r="C125" s="2" t="n">
        <v>5</v>
      </c>
      <c r="D125" s="2" t="s">
        <v>325</v>
      </c>
      <c r="E125" s="2" t="s">
        <v>16</v>
      </c>
      <c r="F125" s="3" t="n">
        <v>45674.3833333333</v>
      </c>
      <c r="G125" s="2" t="s">
        <v>17</v>
      </c>
      <c r="H125" s="4" t="n">
        <v>0.9612</v>
      </c>
      <c r="I125" s="2" t="s">
        <v>23</v>
      </c>
      <c r="J125" s="2" t="s">
        <v>37</v>
      </c>
      <c r="K125" s="2" t="n">
        <v>4</v>
      </c>
      <c r="L125" s="2" t="n">
        <v>0</v>
      </c>
      <c r="M125" s="2" t="n">
        <v>1</v>
      </c>
    </row>
    <row r="126" customFormat="false" ht="15" hidden="false" customHeight="false" outlineLevel="0" collapsed="false">
      <c r="A126" s="2" t="s">
        <v>326</v>
      </c>
      <c r="B126" s="2" t="s">
        <v>327</v>
      </c>
      <c r="C126" s="2" t="n">
        <v>4</v>
      </c>
      <c r="D126" s="2" t="s">
        <v>96</v>
      </c>
      <c r="E126" s="2" t="s">
        <v>16</v>
      </c>
      <c r="F126" s="3" t="n">
        <v>45674.3847222222</v>
      </c>
      <c r="G126" s="2" t="s">
        <v>17</v>
      </c>
      <c r="H126" s="4" t="n">
        <v>0.6369</v>
      </c>
      <c r="I126" s="2" t="s">
        <v>23</v>
      </c>
      <c r="J126" s="2" t="s">
        <v>19</v>
      </c>
      <c r="K126" s="2" t="n">
        <v>7</v>
      </c>
      <c r="L126" s="2" t="n">
        <v>0</v>
      </c>
      <c r="M126" s="2" t="n">
        <v>1</v>
      </c>
    </row>
    <row r="127" customFormat="false" ht="15" hidden="false" customHeight="false" outlineLevel="0" collapsed="false">
      <c r="A127" s="2" t="s">
        <v>328</v>
      </c>
      <c r="B127" s="2" t="s">
        <v>329</v>
      </c>
      <c r="C127" s="2" t="n">
        <v>5</v>
      </c>
      <c r="D127" s="2" t="s">
        <v>90</v>
      </c>
      <c r="E127" s="2" t="s">
        <v>16</v>
      </c>
      <c r="F127" s="3" t="n">
        <v>45674.5368055556</v>
      </c>
      <c r="G127" s="2" t="s">
        <v>17</v>
      </c>
      <c r="H127" s="4" t="n">
        <v>0.6249</v>
      </c>
      <c r="I127" s="2" t="s">
        <v>23</v>
      </c>
      <c r="J127" s="2" t="s">
        <v>37</v>
      </c>
      <c r="K127" s="2" t="n">
        <v>7</v>
      </c>
      <c r="L127" s="2" t="n">
        <v>0</v>
      </c>
      <c r="M127" s="2" t="n">
        <v>1</v>
      </c>
    </row>
    <row r="128" customFormat="false" ht="15" hidden="false" customHeight="false" outlineLevel="0" collapsed="false">
      <c r="A128" s="2" t="s">
        <v>330</v>
      </c>
      <c r="B128" s="2" t="s">
        <v>331</v>
      </c>
      <c r="C128" s="2" t="n">
        <v>4</v>
      </c>
      <c r="D128" s="2" t="s">
        <v>15</v>
      </c>
      <c r="E128" s="2" t="s">
        <v>16</v>
      </c>
      <c r="F128" s="3" t="n">
        <v>45674.7902777778</v>
      </c>
      <c r="G128" s="2" t="s">
        <v>17</v>
      </c>
      <c r="H128" s="4" t="n">
        <v>0</v>
      </c>
      <c r="I128" s="2" t="s">
        <v>18</v>
      </c>
      <c r="J128" s="2" t="s">
        <v>19</v>
      </c>
      <c r="K128" s="2" t="n">
        <v>1</v>
      </c>
      <c r="L128" s="2" t="n">
        <v>0</v>
      </c>
      <c r="M128" s="2" t="n">
        <v>1</v>
      </c>
    </row>
    <row r="129" customFormat="false" ht="15" hidden="false" customHeight="false" outlineLevel="0" collapsed="false">
      <c r="A129" s="2" t="s">
        <v>332</v>
      </c>
      <c r="B129" s="2" t="s">
        <v>333</v>
      </c>
      <c r="C129" s="2" t="n">
        <v>3</v>
      </c>
      <c r="D129" s="2" t="s">
        <v>99</v>
      </c>
      <c r="E129" s="2" t="s">
        <v>16</v>
      </c>
      <c r="F129" s="3" t="n">
        <v>45674.8222222222</v>
      </c>
      <c r="G129" s="2" t="s">
        <v>17</v>
      </c>
      <c r="H129" s="4" t="n">
        <v>-0.3089</v>
      </c>
      <c r="I129" s="2" t="s">
        <v>84</v>
      </c>
      <c r="J129" s="2" t="s">
        <v>19</v>
      </c>
      <c r="K129" s="2" t="n">
        <v>1</v>
      </c>
      <c r="L129" s="2" t="n">
        <v>0</v>
      </c>
      <c r="M129" s="2" t="n">
        <v>1</v>
      </c>
    </row>
    <row r="130" customFormat="false" ht="15" hidden="false" customHeight="false" outlineLevel="0" collapsed="false">
      <c r="A130" s="2" t="s">
        <v>334</v>
      </c>
      <c r="B130" s="2" t="s">
        <v>335</v>
      </c>
      <c r="C130" s="2" t="n">
        <v>4</v>
      </c>
      <c r="D130" s="2" t="s">
        <v>336</v>
      </c>
      <c r="E130" s="2" t="s">
        <v>16</v>
      </c>
      <c r="F130" s="3" t="n">
        <v>45674.8361111111</v>
      </c>
      <c r="G130" s="2" t="s">
        <v>17</v>
      </c>
      <c r="H130" s="4" t="n">
        <v>0.7088</v>
      </c>
      <c r="I130" s="2" t="s">
        <v>23</v>
      </c>
      <c r="J130" s="2" t="s">
        <v>19</v>
      </c>
      <c r="K130" s="2" t="n">
        <v>4</v>
      </c>
      <c r="L130" s="2" t="n">
        <v>0</v>
      </c>
      <c r="M130" s="2" t="n">
        <v>1</v>
      </c>
    </row>
    <row r="131" customFormat="false" ht="15" hidden="false" customHeight="false" outlineLevel="0" collapsed="false">
      <c r="A131" s="2" t="s">
        <v>337</v>
      </c>
      <c r="B131" s="2" t="s">
        <v>338</v>
      </c>
      <c r="C131" s="2" t="n">
        <v>4</v>
      </c>
      <c r="D131" s="2" t="s">
        <v>127</v>
      </c>
      <c r="E131" s="2" t="s">
        <v>16</v>
      </c>
      <c r="F131" s="3" t="n">
        <v>45674.8673611111</v>
      </c>
      <c r="G131" s="2" t="s">
        <v>17</v>
      </c>
      <c r="H131" s="4" t="n">
        <v>0.9359</v>
      </c>
      <c r="I131" s="2" t="s">
        <v>23</v>
      </c>
      <c r="J131" s="2" t="s">
        <v>37</v>
      </c>
      <c r="K131" s="2" t="n">
        <v>1</v>
      </c>
      <c r="L131" s="2" t="n">
        <v>0</v>
      </c>
      <c r="M131" s="2" t="n">
        <v>1</v>
      </c>
    </row>
    <row r="132" customFormat="false" ht="15" hidden="false" customHeight="false" outlineLevel="0" collapsed="false">
      <c r="A132" s="2" t="s">
        <v>339</v>
      </c>
      <c r="B132" s="2" t="s">
        <v>340</v>
      </c>
      <c r="C132" s="2" t="n">
        <v>5</v>
      </c>
      <c r="D132" s="2" t="s">
        <v>127</v>
      </c>
      <c r="E132" s="2" t="s">
        <v>16</v>
      </c>
      <c r="F132" s="3" t="n">
        <v>45674.9152777778</v>
      </c>
      <c r="G132" s="2" t="s">
        <v>17</v>
      </c>
      <c r="H132" s="4" t="n">
        <v>0.9359</v>
      </c>
      <c r="I132" s="2" t="s">
        <v>23</v>
      </c>
      <c r="J132" s="2" t="s">
        <v>37</v>
      </c>
      <c r="K132" s="2" t="n">
        <v>1</v>
      </c>
      <c r="L132" s="2" t="n">
        <v>0</v>
      </c>
      <c r="M132" s="2" t="n">
        <v>1</v>
      </c>
    </row>
    <row r="133" customFormat="false" ht="15" hidden="false" customHeight="false" outlineLevel="0" collapsed="false">
      <c r="A133" s="2" t="s">
        <v>341</v>
      </c>
      <c r="B133" s="2" t="s">
        <v>342</v>
      </c>
      <c r="C133" s="2" t="n">
        <v>5</v>
      </c>
      <c r="D133" s="2" t="s">
        <v>47</v>
      </c>
      <c r="E133" s="2" t="s">
        <v>16</v>
      </c>
      <c r="F133" s="3" t="n">
        <v>45675.1381944444</v>
      </c>
      <c r="G133" s="2" t="s">
        <v>17</v>
      </c>
      <c r="H133" s="4" t="n">
        <v>0.3089</v>
      </c>
      <c r="I133" s="2" t="s">
        <v>23</v>
      </c>
      <c r="J133" s="2" t="s">
        <v>19</v>
      </c>
      <c r="K133" s="2" t="n">
        <v>0</v>
      </c>
      <c r="L133" s="2" t="n">
        <v>0</v>
      </c>
      <c r="M133" s="2" t="n">
        <v>1</v>
      </c>
    </row>
    <row r="134" customFormat="false" ht="15" hidden="false" customHeight="false" outlineLevel="0" collapsed="false">
      <c r="A134" s="2" t="s">
        <v>343</v>
      </c>
      <c r="B134" s="2" t="s">
        <v>344</v>
      </c>
      <c r="C134" s="2" t="n">
        <v>4</v>
      </c>
      <c r="D134" s="2" t="s">
        <v>301</v>
      </c>
      <c r="E134" s="2" t="s">
        <v>16</v>
      </c>
      <c r="F134" s="3" t="n">
        <v>45675.1430555556</v>
      </c>
      <c r="G134" s="2" t="s">
        <v>17</v>
      </c>
      <c r="H134" s="4" t="n">
        <v>0.2263</v>
      </c>
      <c r="I134" s="2" t="s">
        <v>23</v>
      </c>
      <c r="J134" s="2" t="s">
        <v>19</v>
      </c>
      <c r="K134" s="2" t="n">
        <v>1</v>
      </c>
      <c r="L134" s="2" t="n">
        <v>0</v>
      </c>
      <c r="M134" s="2" t="n">
        <v>1</v>
      </c>
    </row>
    <row r="135" customFormat="false" ht="15" hidden="false" customHeight="false" outlineLevel="0" collapsed="false">
      <c r="A135" s="2" t="s">
        <v>345</v>
      </c>
      <c r="B135" s="2" t="s">
        <v>346</v>
      </c>
      <c r="C135" s="2" t="n">
        <v>4</v>
      </c>
      <c r="D135" s="2" t="s">
        <v>96</v>
      </c>
      <c r="E135" s="2" t="s">
        <v>16</v>
      </c>
      <c r="F135" s="3" t="n">
        <v>45675.2569444445</v>
      </c>
      <c r="G135" s="2" t="s">
        <v>17</v>
      </c>
      <c r="H135" s="4" t="n">
        <v>0.6369</v>
      </c>
      <c r="I135" s="2" t="s">
        <v>23</v>
      </c>
      <c r="J135" s="2" t="s">
        <v>19</v>
      </c>
      <c r="K135" s="2" t="n">
        <v>0</v>
      </c>
      <c r="L135" s="2" t="n">
        <v>0</v>
      </c>
      <c r="M135" s="2" t="n">
        <v>1</v>
      </c>
    </row>
    <row r="136" customFormat="false" ht="15" hidden="false" customHeight="false" outlineLevel="0" collapsed="false">
      <c r="A136" s="2" t="s">
        <v>347</v>
      </c>
      <c r="B136" s="2" t="s">
        <v>348</v>
      </c>
      <c r="C136" s="2" t="n">
        <v>5</v>
      </c>
      <c r="D136" s="2" t="s">
        <v>104</v>
      </c>
      <c r="E136" s="2" t="s">
        <v>16</v>
      </c>
      <c r="F136" s="3" t="n">
        <v>45675.30625</v>
      </c>
      <c r="G136" s="2" t="s">
        <v>17</v>
      </c>
      <c r="H136" s="4" t="n">
        <v>0.8481</v>
      </c>
      <c r="I136" s="2" t="s">
        <v>23</v>
      </c>
      <c r="J136" s="2" t="s">
        <v>37</v>
      </c>
      <c r="K136" s="2" t="n">
        <v>3</v>
      </c>
      <c r="L136" s="2" t="n">
        <v>0</v>
      </c>
      <c r="M136" s="2" t="n">
        <v>1</v>
      </c>
    </row>
    <row r="137" customFormat="false" ht="15" hidden="false" customHeight="false" outlineLevel="0" collapsed="false">
      <c r="A137" s="2" t="s">
        <v>349</v>
      </c>
      <c r="B137" s="2" t="s">
        <v>350</v>
      </c>
      <c r="C137" s="2" t="n">
        <v>5</v>
      </c>
      <c r="D137" s="2" t="s">
        <v>52</v>
      </c>
      <c r="E137" s="2" t="s">
        <v>16</v>
      </c>
      <c r="F137" s="3" t="n">
        <v>45675.3270833333</v>
      </c>
      <c r="G137" s="2" t="s">
        <v>17</v>
      </c>
      <c r="H137" s="4" t="n">
        <v>0.6369</v>
      </c>
      <c r="I137" s="2" t="s">
        <v>23</v>
      </c>
      <c r="J137" s="2" t="s">
        <v>19</v>
      </c>
      <c r="K137" s="2" t="n">
        <v>3</v>
      </c>
      <c r="L137" s="2" t="n">
        <v>0</v>
      </c>
      <c r="M137" s="2" t="n">
        <v>1</v>
      </c>
    </row>
    <row r="138" customFormat="false" ht="15" hidden="false" customHeight="false" outlineLevel="0" collapsed="false">
      <c r="A138" s="2" t="s">
        <v>351</v>
      </c>
      <c r="B138" s="2" t="s">
        <v>352</v>
      </c>
      <c r="C138" s="2" t="n">
        <v>1</v>
      </c>
      <c r="D138" s="2" t="s">
        <v>179</v>
      </c>
      <c r="E138" s="2" t="s">
        <v>16</v>
      </c>
      <c r="F138" s="3" t="n">
        <v>45675.4395833333</v>
      </c>
      <c r="G138" s="2" t="s">
        <v>17</v>
      </c>
      <c r="H138" s="4" t="n">
        <v>-0.0258</v>
      </c>
      <c r="I138" s="2" t="s">
        <v>18</v>
      </c>
      <c r="J138" s="2" t="s">
        <v>59</v>
      </c>
      <c r="K138" s="2" t="n">
        <v>3</v>
      </c>
      <c r="L138" s="2" t="n">
        <v>0</v>
      </c>
      <c r="M138" s="2" t="n">
        <v>1</v>
      </c>
    </row>
    <row r="139" customFormat="false" ht="15" hidden="false" customHeight="false" outlineLevel="0" collapsed="false">
      <c r="A139" s="2" t="s">
        <v>353</v>
      </c>
      <c r="B139" s="2" t="s">
        <v>354</v>
      </c>
      <c r="C139" s="2" t="n">
        <v>5</v>
      </c>
      <c r="D139" s="2" t="s">
        <v>127</v>
      </c>
      <c r="E139" s="2" t="s">
        <v>16</v>
      </c>
      <c r="F139" s="3" t="n">
        <v>45675.4541666667</v>
      </c>
      <c r="G139" s="2" t="s">
        <v>17</v>
      </c>
      <c r="H139" s="4" t="n">
        <v>0.9359</v>
      </c>
      <c r="I139" s="2" t="s">
        <v>23</v>
      </c>
      <c r="J139" s="2" t="s">
        <v>37</v>
      </c>
      <c r="K139" s="2" t="n">
        <v>1</v>
      </c>
      <c r="L139" s="2" t="n">
        <v>0</v>
      </c>
      <c r="M139" s="2" t="n">
        <v>1</v>
      </c>
    </row>
    <row r="140" customFormat="false" ht="15" hidden="false" customHeight="false" outlineLevel="0" collapsed="false">
      <c r="A140" s="2" t="s">
        <v>355</v>
      </c>
      <c r="B140" s="2" t="s">
        <v>356</v>
      </c>
      <c r="C140" s="2" t="n">
        <v>2</v>
      </c>
      <c r="D140" s="2" t="s">
        <v>357</v>
      </c>
      <c r="E140" s="2" t="s">
        <v>16</v>
      </c>
      <c r="F140" s="3" t="n">
        <v>45676.0423611111</v>
      </c>
      <c r="G140" s="2" t="s">
        <v>17</v>
      </c>
      <c r="H140" s="4" t="n">
        <v>0</v>
      </c>
      <c r="I140" s="2" t="s">
        <v>18</v>
      </c>
      <c r="J140" s="2" t="s">
        <v>165</v>
      </c>
      <c r="K140" s="2" t="n">
        <v>3</v>
      </c>
      <c r="L140" s="2" t="n">
        <v>1</v>
      </c>
      <c r="M140" s="2" t="n">
        <v>1</v>
      </c>
    </row>
    <row r="141" customFormat="false" ht="15" hidden="false" customHeight="false" outlineLevel="0" collapsed="false">
      <c r="A141" s="2" t="s">
        <v>358</v>
      </c>
      <c r="B141" s="2" t="s">
        <v>359</v>
      </c>
      <c r="C141" s="2" t="n">
        <v>3</v>
      </c>
      <c r="D141" s="2" t="s">
        <v>83</v>
      </c>
      <c r="E141" s="2" t="s">
        <v>16</v>
      </c>
      <c r="F141" s="3" t="n">
        <v>45676.0791666667</v>
      </c>
      <c r="G141" s="2" t="s">
        <v>17</v>
      </c>
      <c r="H141" s="4" t="n">
        <v>-0.6166</v>
      </c>
      <c r="I141" s="2" t="s">
        <v>84</v>
      </c>
      <c r="J141" s="2" t="s">
        <v>59</v>
      </c>
      <c r="K141" s="2" t="n">
        <v>0</v>
      </c>
      <c r="L141" s="2" t="n">
        <v>0</v>
      </c>
      <c r="M141" s="2" t="n">
        <v>1</v>
      </c>
    </row>
    <row r="142" customFormat="false" ht="15" hidden="false" customHeight="false" outlineLevel="0" collapsed="false">
      <c r="A142" s="2" t="s">
        <v>360</v>
      </c>
      <c r="B142" s="2" t="s">
        <v>361</v>
      </c>
      <c r="C142" s="2" t="n">
        <v>4</v>
      </c>
      <c r="D142" s="2" t="s">
        <v>87</v>
      </c>
      <c r="E142" s="2" t="s">
        <v>16</v>
      </c>
      <c r="F142" s="3" t="n">
        <v>45676.1208333333</v>
      </c>
      <c r="G142" s="2" t="s">
        <v>17</v>
      </c>
      <c r="H142" s="4" t="n">
        <v>0</v>
      </c>
      <c r="I142" s="2" t="s">
        <v>18</v>
      </c>
      <c r="J142" s="2" t="s">
        <v>19</v>
      </c>
      <c r="K142" s="2" t="n">
        <v>4</v>
      </c>
      <c r="L142" s="2" t="n">
        <v>0</v>
      </c>
      <c r="M142" s="2" t="n">
        <v>1</v>
      </c>
    </row>
    <row r="143" customFormat="false" ht="15" hidden="false" customHeight="false" outlineLevel="0" collapsed="false">
      <c r="A143" s="2" t="s">
        <v>362</v>
      </c>
      <c r="B143" s="2" t="s">
        <v>363</v>
      </c>
      <c r="C143" s="2" t="n">
        <v>5</v>
      </c>
      <c r="D143" s="2" t="s">
        <v>52</v>
      </c>
      <c r="E143" s="2" t="s">
        <v>16</v>
      </c>
      <c r="F143" s="3" t="n">
        <v>45676.1645833333</v>
      </c>
      <c r="G143" s="2" t="s">
        <v>17</v>
      </c>
      <c r="H143" s="4" t="n">
        <v>0.6369</v>
      </c>
      <c r="I143" s="2" t="s">
        <v>23</v>
      </c>
      <c r="J143" s="2" t="s">
        <v>19</v>
      </c>
      <c r="K143" s="2" t="n">
        <v>1</v>
      </c>
      <c r="L143" s="2" t="n">
        <v>0</v>
      </c>
      <c r="M143" s="2" t="n">
        <v>1</v>
      </c>
    </row>
    <row r="144" customFormat="false" ht="15" hidden="false" customHeight="false" outlineLevel="0" collapsed="false">
      <c r="A144" s="2" t="s">
        <v>364</v>
      </c>
      <c r="B144" s="2" t="s">
        <v>365</v>
      </c>
      <c r="C144" s="2" t="n">
        <v>5</v>
      </c>
      <c r="D144" s="2" t="s">
        <v>47</v>
      </c>
      <c r="E144" s="2" t="s">
        <v>16</v>
      </c>
      <c r="F144" s="3" t="n">
        <v>45676.1680555556</v>
      </c>
      <c r="G144" s="2" t="s">
        <v>17</v>
      </c>
      <c r="H144" s="4" t="n">
        <v>0.3089</v>
      </c>
      <c r="I144" s="2" t="s">
        <v>23</v>
      </c>
      <c r="J144" s="2" t="s">
        <v>19</v>
      </c>
      <c r="K144" s="2" t="n">
        <v>1</v>
      </c>
      <c r="L144" s="2" t="n">
        <v>0</v>
      </c>
      <c r="M144" s="2" t="n">
        <v>1</v>
      </c>
    </row>
    <row r="145" customFormat="false" ht="15" hidden="false" customHeight="false" outlineLevel="0" collapsed="false">
      <c r="A145" s="2" t="s">
        <v>366</v>
      </c>
      <c r="B145" s="2" t="s">
        <v>367</v>
      </c>
      <c r="C145" s="2" t="n">
        <v>1</v>
      </c>
      <c r="D145" s="2" t="s">
        <v>133</v>
      </c>
      <c r="E145" s="2" t="s">
        <v>16</v>
      </c>
      <c r="F145" s="3" t="n">
        <v>45676.4888888889</v>
      </c>
      <c r="G145" s="2" t="s">
        <v>17</v>
      </c>
      <c r="H145" s="4" t="n">
        <v>-0.5719</v>
      </c>
      <c r="I145" s="2" t="s">
        <v>84</v>
      </c>
      <c r="J145" s="2" t="s">
        <v>33</v>
      </c>
      <c r="K145" s="2" t="n">
        <v>1</v>
      </c>
      <c r="L145" s="2" t="n">
        <v>1</v>
      </c>
      <c r="M145" s="2" t="n">
        <v>1</v>
      </c>
    </row>
    <row r="146" customFormat="false" ht="15" hidden="false" customHeight="false" outlineLevel="0" collapsed="false">
      <c r="A146" s="2" t="s">
        <v>368</v>
      </c>
      <c r="B146" s="2" t="s">
        <v>369</v>
      </c>
      <c r="C146" s="2" t="n">
        <v>4</v>
      </c>
      <c r="D146" s="2" t="s">
        <v>222</v>
      </c>
      <c r="E146" s="2" t="s">
        <v>16</v>
      </c>
      <c r="F146" s="3" t="n">
        <v>45676.5902777778</v>
      </c>
      <c r="G146" s="2" t="s">
        <v>17</v>
      </c>
      <c r="H146" s="4" t="n">
        <v>0.9647</v>
      </c>
      <c r="I146" s="2" t="s">
        <v>23</v>
      </c>
      <c r="J146" s="2" t="s">
        <v>37</v>
      </c>
      <c r="K146" s="2" t="n">
        <v>1</v>
      </c>
      <c r="L146" s="2" t="n">
        <v>0</v>
      </c>
      <c r="M146" s="2" t="n">
        <v>1</v>
      </c>
    </row>
    <row r="147" customFormat="false" ht="15" hidden="false" customHeight="false" outlineLevel="0" collapsed="false">
      <c r="A147" s="2" t="s">
        <v>370</v>
      </c>
      <c r="B147" s="2" t="s">
        <v>371</v>
      </c>
      <c r="C147" s="2" t="n">
        <v>5</v>
      </c>
      <c r="D147" s="2" t="s">
        <v>62</v>
      </c>
      <c r="E147" s="2" t="s">
        <v>16</v>
      </c>
      <c r="F147" s="3" t="n">
        <v>45676.6277777778</v>
      </c>
      <c r="G147" s="2" t="s">
        <v>17</v>
      </c>
      <c r="H147" s="4" t="n">
        <v>0.7088</v>
      </c>
      <c r="I147" s="2" t="s">
        <v>23</v>
      </c>
      <c r="J147" s="2" t="s">
        <v>19</v>
      </c>
      <c r="K147" s="2" t="n">
        <v>0</v>
      </c>
      <c r="L147" s="2" t="n">
        <v>0</v>
      </c>
      <c r="M147" s="2" t="n">
        <v>1</v>
      </c>
    </row>
    <row r="148" customFormat="false" ht="15" hidden="false" customHeight="false" outlineLevel="0" collapsed="false">
      <c r="A148" s="2" t="s">
        <v>372</v>
      </c>
      <c r="B148" s="2" t="s">
        <v>373</v>
      </c>
      <c r="C148" s="2" t="n">
        <v>5</v>
      </c>
      <c r="D148" s="2" t="s">
        <v>374</v>
      </c>
      <c r="E148" s="2" t="s">
        <v>16</v>
      </c>
      <c r="F148" s="3" t="n">
        <v>45676.7472222222</v>
      </c>
      <c r="G148" s="2" t="s">
        <v>17</v>
      </c>
      <c r="H148" s="4" t="n">
        <v>0.6369</v>
      </c>
      <c r="I148" s="2" t="s">
        <v>23</v>
      </c>
      <c r="J148" s="2" t="s">
        <v>19</v>
      </c>
      <c r="K148" s="2" t="n">
        <v>1</v>
      </c>
      <c r="L148" s="2" t="n">
        <v>0</v>
      </c>
      <c r="M148" s="2" t="n">
        <v>1</v>
      </c>
    </row>
    <row r="149" customFormat="false" ht="15" hidden="false" customHeight="false" outlineLevel="0" collapsed="false">
      <c r="A149" s="2" t="s">
        <v>375</v>
      </c>
      <c r="B149" s="2" t="s">
        <v>376</v>
      </c>
      <c r="C149" s="2" t="n">
        <v>3</v>
      </c>
      <c r="D149" s="2" t="s">
        <v>301</v>
      </c>
      <c r="E149" s="2" t="s">
        <v>16</v>
      </c>
      <c r="F149" s="3" t="n">
        <v>45676.8506944445</v>
      </c>
      <c r="G149" s="2" t="s">
        <v>17</v>
      </c>
      <c r="H149" s="4" t="n">
        <v>0.2263</v>
      </c>
      <c r="I149" s="2" t="s">
        <v>23</v>
      </c>
      <c r="J149" s="2" t="s">
        <v>19</v>
      </c>
      <c r="K149" s="2" t="n">
        <v>21</v>
      </c>
      <c r="L149" s="2" t="n">
        <v>0</v>
      </c>
      <c r="M149" s="2" t="n">
        <v>1</v>
      </c>
    </row>
    <row r="150" customFormat="false" ht="15" hidden="false" customHeight="false" outlineLevel="0" collapsed="false">
      <c r="A150" s="2" t="s">
        <v>377</v>
      </c>
      <c r="B150" s="2" t="s">
        <v>378</v>
      </c>
      <c r="C150" s="2" t="n">
        <v>2</v>
      </c>
      <c r="D150" s="2" t="s">
        <v>234</v>
      </c>
      <c r="E150" s="2" t="s">
        <v>16</v>
      </c>
      <c r="F150" s="3" t="n">
        <v>45676.8854166667</v>
      </c>
      <c r="G150" s="2" t="s">
        <v>17</v>
      </c>
      <c r="H150" s="4" t="n">
        <v>0</v>
      </c>
      <c r="I150" s="2" t="s">
        <v>18</v>
      </c>
      <c r="J150" s="2" t="s">
        <v>165</v>
      </c>
      <c r="K150" s="2" t="n">
        <v>0</v>
      </c>
      <c r="L150" s="2" t="n">
        <v>0</v>
      </c>
      <c r="M150" s="2" t="n">
        <v>1</v>
      </c>
    </row>
    <row r="151" customFormat="false" ht="15" hidden="false" customHeight="false" outlineLevel="0" collapsed="false">
      <c r="A151" s="2" t="s">
        <v>379</v>
      </c>
      <c r="B151" s="2" t="s">
        <v>380</v>
      </c>
      <c r="C151" s="2" t="n">
        <v>5</v>
      </c>
      <c r="D151" s="2" t="s">
        <v>15</v>
      </c>
      <c r="E151" s="2" t="s">
        <v>16</v>
      </c>
      <c r="F151" s="3" t="n">
        <v>45676.9104166667</v>
      </c>
      <c r="G151" s="2" t="s">
        <v>17</v>
      </c>
      <c r="H151" s="4" t="n">
        <v>0</v>
      </c>
      <c r="I151" s="2" t="s">
        <v>18</v>
      </c>
      <c r="J151" s="2" t="s">
        <v>19</v>
      </c>
      <c r="K151" s="2" t="n">
        <v>0</v>
      </c>
      <c r="L151" s="2" t="n">
        <v>1</v>
      </c>
      <c r="M151" s="2" t="n">
        <v>1</v>
      </c>
    </row>
    <row r="152" customFormat="false" ht="15" hidden="false" customHeight="false" outlineLevel="0" collapsed="false">
      <c r="A152" s="2" t="s">
        <v>381</v>
      </c>
      <c r="B152" s="2" t="s">
        <v>382</v>
      </c>
      <c r="C152" s="2" t="n">
        <v>3</v>
      </c>
      <c r="D152" s="2" t="s">
        <v>87</v>
      </c>
      <c r="E152" s="2" t="s">
        <v>16</v>
      </c>
      <c r="F152" s="3" t="n">
        <v>45676.9305555556</v>
      </c>
      <c r="G152" s="2" t="s">
        <v>17</v>
      </c>
      <c r="H152" s="4" t="n">
        <v>0</v>
      </c>
      <c r="I152" s="2" t="s">
        <v>18</v>
      </c>
      <c r="J152" s="2" t="s">
        <v>19</v>
      </c>
      <c r="K152" s="2" t="n">
        <v>3</v>
      </c>
      <c r="L152" s="2" t="n">
        <v>0</v>
      </c>
      <c r="M152" s="2" t="n">
        <v>1</v>
      </c>
    </row>
    <row r="153" customFormat="false" ht="15" hidden="false" customHeight="false" outlineLevel="0" collapsed="false">
      <c r="A153" s="2" t="s">
        <v>383</v>
      </c>
      <c r="B153" s="2" t="s">
        <v>384</v>
      </c>
      <c r="C153" s="2" t="n">
        <v>5</v>
      </c>
      <c r="D153" s="2" t="s">
        <v>269</v>
      </c>
      <c r="E153" s="2" t="s">
        <v>16</v>
      </c>
      <c r="F153" s="3" t="n">
        <v>45677.2875</v>
      </c>
      <c r="G153" s="2" t="s">
        <v>17</v>
      </c>
      <c r="H153" s="4" t="n">
        <v>0.8748</v>
      </c>
      <c r="I153" s="2" t="s">
        <v>23</v>
      </c>
      <c r="J153" s="2" t="s">
        <v>37</v>
      </c>
      <c r="K153" s="2" t="n">
        <v>7</v>
      </c>
      <c r="L153" s="2" t="n">
        <v>0</v>
      </c>
      <c r="M153" s="2" t="n">
        <v>1</v>
      </c>
    </row>
    <row r="154" customFormat="false" ht="15" hidden="false" customHeight="false" outlineLevel="0" collapsed="false">
      <c r="A154" s="2" t="s">
        <v>385</v>
      </c>
      <c r="B154" s="2" t="s">
        <v>386</v>
      </c>
      <c r="C154" s="2" t="n">
        <v>4</v>
      </c>
      <c r="D154" s="2" t="s">
        <v>47</v>
      </c>
      <c r="E154" s="2" t="s">
        <v>16</v>
      </c>
      <c r="F154" s="3" t="n">
        <v>45677.3944444444</v>
      </c>
      <c r="G154" s="2" t="s">
        <v>17</v>
      </c>
      <c r="H154" s="4" t="n">
        <v>0.3089</v>
      </c>
      <c r="I154" s="2" t="s">
        <v>23</v>
      </c>
      <c r="J154" s="2" t="s">
        <v>19</v>
      </c>
      <c r="K154" s="2" t="n">
        <v>11</v>
      </c>
      <c r="L154" s="2" t="n">
        <v>0</v>
      </c>
      <c r="M154" s="2" t="n">
        <v>1</v>
      </c>
    </row>
    <row r="155" customFormat="false" ht="15" hidden="false" customHeight="false" outlineLevel="0" collapsed="false">
      <c r="A155" s="2" t="s">
        <v>387</v>
      </c>
      <c r="B155" s="2" t="s">
        <v>388</v>
      </c>
      <c r="C155" s="2" t="n">
        <v>4</v>
      </c>
      <c r="D155" s="2" t="s">
        <v>389</v>
      </c>
      <c r="E155" s="2" t="s">
        <v>16</v>
      </c>
      <c r="F155" s="3" t="n">
        <v>45677.4152777778</v>
      </c>
      <c r="G155" s="2" t="s">
        <v>17</v>
      </c>
      <c r="H155" s="4" t="n">
        <v>0.8519</v>
      </c>
      <c r="I155" s="2" t="s">
        <v>23</v>
      </c>
      <c r="J155" s="2" t="s">
        <v>37</v>
      </c>
      <c r="K155" s="2" t="n">
        <v>2</v>
      </c>
      <c r="L155" s="2" t="n">
        <v>0</v>
      </c>
      <c r="M155" s="2" t="n">
        <v>1</v>
      </c>
    </row>
    <row r="156" customFormat="false" ht="15" hidden="false" customHeight="false" outlineLevel="0" collapsed="false">
      <c r="A156" s="2" t="s">
        <v>390</v>
      </c>
      <c r="B156" s="2" t="s">
        <v>391</v>
      </c>
      <c r="C156" s="2" t="n">
        <v>4</v>
      </c>
      <c r="D156" s="2" t="s">
        <v>392</v>
      </c>
      <c r="E156" s="2" t="s">
        <v>16</v>
      </c>
      <c r="F156" s="3" t="n">
        <v>45677.525</v>
      </c>
      <c r="G156" s="2" t="s">
        <v>17</v>
      </c>
      <c r="H156" s="4" t="n">
        <v>0.7549</v>
      </c>
      <c r="I156" s="2" t="s">
        <v>23</v>
      </c>
      <c r="J156" s="2" t="s">
        <v>19</v>
      </c>
      <c r="K156" s="2" t="n">
        <v>13</v>
      </c>
      <c r="L156" s="2" t="n">
        <v>0</v>
      </c>
      <c r="M156" s="2" t="n">
        <v>1</v>
      </c>
    </row>
    <row r="157" customFormat="false" ht="15" hidden="false" customHeight="false" outlineLevel="0" collapsed="false">
      <c r="A157" s="2" t="s">
        <v>393</v>
      </c>
      <c r="B157" s="2" t="s">
        <v>394</v>
      </c>
      <c r="C157" s="2" t="n">
        <v>5</v>
      </c>
      <c r="D157" s="2" t="s">
        <v>47</v>
      </c>
      <c r="E157" s="2" t="s">
        <v>16</v>
      </c>
      <c r="F157" s="3" t="n">
        <v>45677.6319444445</v>
      </c>
      <c r="G157" s="2" t="s">
        <v>17</v>
      </c>
      <c r="H157" s="4" t="n">
        <v>0.3089</v>
      </c>
      <c r="I157" s="2" t="s">
        <v>23</v>
      </c>
      <c r="J157" s="2" t="s">
        <v>19</v>
      </c>
      <c r="K157" s="2" t="n">
        <v>4</v>
      </c>
      <c r="L157" s="2" t="n">
        <v>0</v>
      </c>
      <c r="M157" s="2" t="n">
        <v>1</v>
      </c>
    </row>
    <row r="158" customFormat="false" ht="15" hidden="false" customHeight="false" outlineLevel="0" collapsed="false">
      <c r="A158" s="2" t="s">
        <v>395</v>
      </c>
      <c r="B158" s="2" t="s">
        <v>396</v>
      </c>
      <c r="C158" s="2" t="n">
        <v>2</v>
      </c>
      <c r="D158" s="2" t="s">
        <v>397</v>
      </c>
      <c r="E158" s="2" t="s">
        <v>16</v>
      </c>
      <c r="F158" s="3" t="n">
        <v>45677.7625</v>
      </c>
      <c r="G158" s="2" t="s">
        <v>17</v>
      </c>
      <c r="H158" s="4" t="n">
        <v>0</v>
      </c>
      <c r="I158" s="2" t="s">
        <v>18</v>
      </c>
      <c r="J158" s="2" t="s">
        <v>110</v>
      </c>
      <c r="K158" s="2" t="n">
        <v>4</v>
      </c>
      <c r="L158" s="2" t="n">
        <v>1</v>
      </c>
      <c r="M158" s="2" t="n">
        <v>1</v>
      </c>
    </row>
    <row r="159" customFormat="false" ht="15" hidden="false" customHeight="false" outlineLevel="0" collapsed="false">
      <c r="A159" s="2" t="s">
        <v>398</v>
      </c>
      <c r="B159" s="2" t="s">
        <v>399</v>
      </c>
      <c r="C159" s="2" t="n">
        <v>5</v>
      </c>
      <c r="D159" s="2" t="s">
        <v>52</v>
      </c>
      <c r="E159" s="2" t="s">
        <v>16</v>
      </c>
      <c r="F159" s="3" t="n">
        <v>45677.8916666667</v>
      </c>
      <c r="G159" s="2" t="s">
        <v>17</v>
      </c>
      <c r="H159" s="4" t="n">
        <v>0.6369</v>
      </c>
      <c r="I159" s="2" t="s">
        <v>23</v>
      </c>
      <c r="J159" s="2" t="s">
        <v>19</v>
      </c>
      <c r="K159" s="2" t="n">
        <v>5</v>
      </c>
      <c r="L159" s="2" t="n">
        <v>0</v>
      </c>
      <c r="M159" s="2" t="n">
        <v>1</v>
      </c>
    </row>
    <row r="160" customFormat="false" ht="15" hidden="false" customHeight="false" outlineLevel="0" collapsed="false">
      <c r="A160" s="2" t="s">
        <v>400</v>
      </c>
      <c r="B160" s="2" t="s">
        <v>401</v>
      </c>
      <c r="C160" s="2" t="n">
        <v>2</v>
      </c>
      <c r="D160" s="2" t="s">
        <v>402</v>
      </c>
      <c r="E160" s="2" t="s">
        <v>16</v>
      </c>
      <c r="F160" s="3" t="n">
        <v>45677.8972222222</v>
      </c>
      <c r="G160" s="2" t="s">
        <v>17</v>
      </c>
      <c r="H160" s="4" t="n">
        <v>0</v>
      </c>
      <c r="I160" s="2" t="s">
        <v>18</v>
      </c>
      <c r="J160" s="2" t="s">
        <v>59</v>
      </c>
      <c r="K160" s="2" t="n">
        <v>6</v>
      </c>
      <c r="L160" s="2" t="n">
        <v>0</v>
      </c>
      <c r="M160" s="2" t="n">
        <v>1</v>
      </c>
    </row>
    <row r="161" customFormat="false" ht="15" hidden="false" customHeight="false" outlineLevel="0" collapsed="false">
      <c r="A161" s="2" t="s">
        <v>403</v>
      </c>
      <c r="B161" s="2" t="s">
        <v>404</v>
      </c>
      <c r="C161" s="2" t="n">
        <v>5</v>
      </c>
      <c r="D161" s="2" t="s">
        <v>62</v>
      </c>
      <c r="E161" s="2" t="s">
        <v>16</v>
      </c>
      <c r="F161" s="3" t="n">
        <v>45678.0902777778</v>
      </c>
      <c r="G161" s="2" t="s">
        <v>17</v>
      </c>
      <c r="H161" s="4" t="n">
        <v>0.7088</v>
      </c>
      <c r="I161" s="2" t="s">
        <v>23</v>
      </c>
      <c r="J161" s="2" t="s">
        <v>19</v>
      </c>
      <c r="K161" s="2" t="n">
        <v>2</v>
      </c>
      <c r="L161" s="2" t="n">
        <v>0</v>
      </c>
      <c r="M161" s="2" t="n">
        <v>0</v>
      </c>
    </row>
    <row r="162" customFormat="false" ht="15" hidden="false" customHeight="false" outlineLevel="0" collapsed="false">
      <c r="A162" s="2" t="s">
        <v>405</v>
      </c>
      <c r="B162" s="2" t="s">
        <v>406</v>
      </c>
      <c r="C162" s="2" t="n">
        <v>4</v>
      </c>
      <c r="D162" s="2" t="s">
        <v>407</v>
      </c>
      <c r="E162" s="2" t="s">
        <v>16</v>
      </c>
      <c r="F162" s="3" t="n">
        <v>45678.1506944444</v>
      </c>
      <c r="G162" s="2" t="s">
        <v>17</v>
      </c>
      <c r="H162" s="4" t="n">
        <v>0.7783</v>
      </c>
      <c r="I162" s="2" t="s">
        <v>23</v>
      </c>
      <c r="J162" s="2" t="s">
        <v>37</v>
      </c>
      <c r="K162" s="2" t="n">
        <v>10</v>
      </c>
      <c r="L162" s="2" t="n">
        <v>0</v>
      </c>
      <c r="M162" s="2" t="n">
        <v>0</v>
      </c>
    </row>
    <row r="163" customFormat="false" ht="15" hidden="false" customHeight="false" outlineLevel="0" collapsed="false">
      <c r="A163" s="2" t="s">
        <v>408</v>
      </c>
      <c r="B163" s="2" t="s">
        <v>409</v>
      </c>
      <c r="C163" s="2" t="n">
        <v>5</v>
      </c>
      <c r="D163" s="2" t="s">
        <v>90</v>
      </c>
      <c r="E163" s="2" t="s">
        <v>16</v>
      </c>
      <c r="F163" s="3" t="n">
        <v>45678.2909722222</v>
      </c>
      <c r="G163" s="2" t="s">
        <v>17</v>
      </c>
      <c r="H163" s="4" t="n">
        <v>0.6249</v>
      </c>
      <c r="I163" s="2" t="s">
        <v>23</v>
      </c>
      <c r="J163" s="2" t="s">
        <v>37</v>
      </c>
      <c r="K163" s="2" t="n">
        <v>7</v>
      </c>
      <c r="L163" s="2" t="n">
        <v>0</v>
      </c>
      <c r="M163" s="2" t="n">
        <v>0</v>
      </c>
    </row>
    <row r="164" customFormat="false" ht="15" hidden="false" customHeight="false" outlineLevel="0" collapsed="false">
      <c r="A164" s="2" t="s">
        <v>410</v>
      </c>
      <c r="B164" s="2" t="s">
        <v>411</v>
      </c>
      <c r="C164" s="2" t="n">
        <v>3</v>
      </c>
      <c r="D164" s="2" t="s">
        <v>22</v>
      </c>
      <c r="E164" s="2" t="s">
        <v>16</v>
      </c>
      <c r="F164" s="3" t="n">
        <v>45678.4506944444</v>
      </c>
      <c r="G164" s="2" t="s">
        <v>17</v>
      </c>
      <c r="H164" s="4" t="n">
        <v>0.2023</v>
      </c>
      <c r="I164" s="2" t="s">
        <v>23</v>
      </c>
      <c r="J164" s="2" t="s">
        <v>19</v>
      </c>
      <c r="K164" s="2" t="n">
        <v>4</v>
      </c>
      <c r="L164" s="2" t="n">
        <v>0</v>
      </c>
      <c r="M164" s="2" t="n">
        <v>0</v>
      </c>
    </row>
    <row r="165" customFormat="false" ht="15" hidden="false" customHeight="false" outlineLevel="0" collapsed="false">
      <c r="A165" s="2" t="s">
        <v>412</v>
      </c>
      <c r="B165" s="2" t="s">
        <v>413</v>
      </c>
      <c r="C165" s="2" t="n">
        <v>5</v>
      </c>
      <c r="D165" s="2" t="s">
        <v>40</v>
      </c>
      <c r="E165" s="2" t="s">
        <v>16</v>
      </c>
      <c r="F165" s="3" t="n">
        <v>45678.5027777778</v>
      </c>
      <c r="G165" s="2" t="s">
        <v>17</v>
      </c>
      <c r="H165" s="4" t="n">
        <v>0.4019</v>
      </c>
      <c r="I165" s="2" t="s">
        <v>23</v>
      </c>
      <c r="J165" s="2" t="s">
        <v>33</v>
      </c>
      <c r="K165" s="2" t="n">
        <v>1</v>
      </c>
      <c r="L165" s="2" t="n">
        <v>0</v>
      </c>
      <c r="M165" s="2" t="n">
        <v>0</v>
      </c>
    </row>
    <row r="166" customFormat="false" ht="15" hidden="false" customHeight="false" outlineLevel="0" collapsed="false">
      <c r="A166" s="2" t="s">
        <v>414</v>
      </c>
      <c r="B166" s="2" t="s">
        <v>415</v>
      </c>
      <c r="C166" s="2" t="n">
        <v>4</v>
      </c>
      <c r="D166" s="2" t="s">
        <v>52</v>
      </c>
      <c r="E166" s="2" t="s">
        <v>16</v>
      </c>
      <c r="F166" s="3" t="n">
        <v>45678.5034722222</v>
      </c>
      <c r="G166" s="2" t="s">
        <v>17</v>
      </c>
      <c r="H166" s="4" t="n">
        <v>0.6369</v>
      </c>
      <c r="I166" s="2" t="s">
        <v>23</v>
      </c>
      <c r="J166" s="2" t="s">
        <v>19</v>
      </c>
      <c r="K166" s="2" t="n">
        <v>2</v>
      </c>
      <c r="L166" s="2" t="n">
        <v>0</v>
      </c>
      <c r="M166" s="2" t="n">
        <v>0</v>
      </c>
    </row>
    <row r="167" customFormat="false" ht="15" hidden="false" customHeight="false" outlineLevel="0" collapsed="false">
      <c r="A167" s="2" t="s">
        <v>416</v>
      </c>
      <c r="B167" s="2" t="s">
        <v>417</v>
      </c>
      <c r="C167" s="2" t="n">
        <v>3</v>
      </c>
      <c r="D167" s="2" t="s">
        <v>87</v>
      </c>
      <c r="E167" s="2" t="s">
        <v>16</v>
      </c>
      <c r="F167" s="3" t="n">
        <v>45678.6333333333</v>
      </c>
      <c r="G167" s="2" t="s">
        <v>17</v>
      </c>
      <c r="H167" s="4" t="n">
        <v>0</v>
      </c>
      <c r="I167" s="2" t="s">
        <v>18</v>
      </c>
      <c r="J167" s="2" t="s">
        <v>19</v>
      </c>
      <c r="K167" s="2" t="n">
        <v>5</v>
      </c>
      <c r="L167" s="2" t="n">
        <v>0</v>
      </c>
      <c r="M167" s="2" t="n">
        <v>0</v>
      </c>
    </row>
    <row r="168" customFormat="false" ht="15" hidden="false" customHeight="false" outlineLevel="0" collapsed="false">
      <c r="A168" s="2" t="s">
        <v>418</v>
      </c>
      <c r="B168" s="2" t="s">
        <v>419</v>
      </c>
      <c r="C168" s="2" t="n">
        <v>5</v>
      </c>
      <c r="D168" s="2" t="s">
        <v>420</v>
      </c>
      <c r="E168" s="2" t="s">
        <v>16</v>
      </c>
      <c r="F168" s="3" t="n">
        <v>45678.6604166667</v>
      </c>
      <c r="G168" s="2" t="s">
        <v>17</v>
      </c>
      <c r="H168" s="4" t="n">
        <v>0.7845</v>
      </c>
      <c r="I168" s="2" t="s">
        <v>23</v>
      </c>
      <c r="J168" s="2" t="s">
        <v>33</v>
      </c>
      <c r="K168" s="2" t="n">
        <v>1</v>
      </c>
      <c r="L168" s="2" t="n">
        <v>0</v>
      </c>
      <c r="M168" s="2" t="n">
        <v>0</v>
      </c>
    </row>
    <row r="169" customFormat="false" ht="15" hidden="false" customHeight="false" outlineLevel="0" collapsed="false">
      <c r="A169" s="2" t="s">
        <v>421</v>
      </c>
      <c r="B169" s="2" t="s">
        <v>422</v>
      </c>
      <c r="C169" s="2" t="n">
        <v>5</v>
      </c>
      <c r="D169" s="2" t="s">
        <v>52</v>
      </c>
      <c r="E169" s="2" t="s">
        <v>16</v>
      </c>
      <c r="F169" s="3" t="n">
        <v>45678.7013888889</v>
      </c>
      <c r="G169" s="2" t="s">
        <v>17</v>
      </c>
      <c r="H169" s="4" t="n">
        <v>0.6369</v>
      </c>
      <c r="I169" s="2" t="s">
        <v>23</v>
      </c>
      <c r="J169" s="2" t="s">
        <v>19</v>
      </c>
      <c r="K169" s="2" t="n">
        <v>2</v>
      </c>
      <c r="L169" s="2" t="n">
        <v>0</v>
      </c>
      <c r="M169" s="2" t="n">
        <v>0</v>
      </c>
    </row>
    <row r="170" customFormat="false" ht="15" hidden="false" customHeight="false" outlineLevel="0" collapsed="false">
      <c r="A170" s="2" t="s">
        <v>423</v>
      </c>
      <c r="B170" s="2" t="s">
        <v>424</v>
      </c>
      <c r="C170" s="2" t="n">
        <v>4</v>
      </c>
      <c r="D170" s="2" t="s">
        <v>36</v>
      </c>
      <c r="E170" s="2" t="s">
        <v>16</v>
      </c>
      <c r="F170" s="3" t="n">
        <v>45678.9625</v>
      </c>
      <c r="G170" s="2" t="s">
        <v>17</v>
      </c>
      <c r="H170" s="4" t="n">
        <v>0.4404</v>
      </c>
      <c r="I170" s="2" t="s">
        <v>23</v>
      </c>
      <c r="J170" s="2" t="s">
        <v>37</v>
      </c>
      <c r="K170" s="2" t="n">
        <v>1</v>
      </c>
      <c r="L170" s="2" t="n">
        <v>0</v>
      </c>
      <c r="M170" s="2" t="n">
        <v>0</v>
      </c>
    </row>
    <row r="171" customFormat="false" ht="15" hidden="false" customHeight="false" outlineLevel="0" collapsed="false">
      <c r="A171" s="2" t="s">
        <v>425</v>
      </c>
      <c r="B171" s="2" t="s">
        <v>426</v>
      </c>
      <c r="C171" s="2" t="n">
        <v>4</v>
      </c>
      <c r="D171" s="2" t="s">
        <v>52</v>
      </c>
      <c r="E171" s="2" t="s">
        <v>16</v>
      </c>
      <c r="F171" s="3" t="n">
        <v>45678.96875</v>
      </c>
      <c r="G171" s="2" t="s">
        <v>17</v>
      </c>
      <c r="H171" s="4" t="n">
        <v>0.6369</v>
      </c>
      <c r="I171" s="2" t="s">
        <v>23</v>
      </c>
      <c r="J171" s="2" t="s">
        <v>19</v>
      </c>
      <c r="K171" s="2" t="n">
        <v>1</v>
      </c>
      <c r="L171" s="2" t="n">
        <v>0</v>
      </c>
      <c r="M171" s="2" t="n">
        <v>0</v>
      </c>
    </row>
    <row r="172" customFormat="false" ht="15" hidden="false" customHeight="false" outlineLevel="0" collapsed="false">
      <c r="A172" s="2" t="s">
        <v>427</v>
      </c>
      <c r="B172" s="2" t="s">
        <v>428</v>
      </c>
      <c r="C172" s="2" t="n">
        <v>5</v>
      </c>
      <c r="D172" s="2" t="s">
        <v>40</v>
      </c>
      <c r="E172" s="2" t="s">
        <v>16</v>
      </c>
      <c r="F172" s="3" t="n">
        <v>45679.1645833333</v>
      </c>
      <c r="G172" s="2" t="s">
        <v>17</v>
      </c>
      <c r="H172" s="4" t="n">
        <v>0.4019</v>
      </c>
      <c r="I172" s="2" t="s">
        <v>23</v>
      </c>
      <c r="J172" s="2" t="s">
        <v>33</v>
      </c>
      <c r="K172" s="2" t="n">
        <v>3</v>
      </c>
      <c r="L172" s="2" t="n">
        <v>1</v>
      </c>
      <c r="M172" s="2" t="n">
        <v>0</v>
      </c>
    </row>
    <row r="173" customFormat="false" ht="15" hidden="false" customHeight="false" outlineLevel="0" collapsed="false">
      <c r="A173" s="2" t="s">
        <v>429</v>
      </c>
      <c r="B173" s="2" t="s">
        <v>430</v>
      </c>
      <c r="C173" s="2" t="n">
        <v>3</v>
      </c>
      <c r="D173" s="2" t="s">
        <v>301</v>
      </c>
      <c r="E173" s="2" t="s">
        <v>16</v>
      </c>
      <c r="F173" s="3" t="n">
        <v>45679.1659722222</v>
      </c>
      <c r="G173" s="2" t="s">
        <v>17</v>
      </c>
      <c r="H173" s="4" t="n">
        <v>0.2263</v>
      </c>
      <c r="I173" s="2" t="s">
        <v>23</v>
      </c>
      <c r="J173" s="2" t="s">
        <v>19</v>
      </c>
      <c r="K173" s="2" t="n">
        <v>0</v>
      </c>
      <c r="L173" s="2" t="n">
        <v>0</v>
      </c>
      <c r="M173" s="2" t="n">
        <v>0</v>
      </c>
    </row>
    <row r="174" customFormat="false" ht="15" hidden="false" customHeight="false" outlineLevel="0" collapsed="false">
      <c r="A174" s="2" t="s">
        <v>431</v>
      </c>
      <c r="B174" s="2" t="s">
        <v>432</v>
      </c>
      <c r="C174" s="2" t="n">
        <v>5</v>
      </c>
      <c r="D174" s="2" t="s">
        <v>52</v>
      </c>
      <c r="E174" s="2" t="s">
        <v>16</v>
      </c>
      <c r="F174" s="3" t="n">
        <v>45679.1736111111</v>
      </c>
      <c r="G174" s="2" t="s">
        <v>17</v>
      </c>
      <c r="H174" s="4" t="n">
        <v>0.6369</v>
      </c>
      <c r="I174" s="2" t="s">
        <v>23</v>
      </c>
      <c r="J174" s="2" t="s">
        <v>19</v>
      </c>
      <c r="K174" s="2" t="n">
        <v>2</v>
      </c>
      <c r="L174" s="2" t="n">
        <v>0</v>
      </c>
      <c r="M174" s="2" t="n">
        <v>0</v>
      </c>
    </row>
    <row r="175" customFormat="false" ht="15" hidden="false" customHeight="false" outlineLevel="0" collapsed="false">
      <c r="A175" s="2" t="s">
        <v>433</v>
      </c>
      <c r="B175" s="2" t="s">
        <v>434</v>
      </c>
      <c r="C175" s="2" t="n">
        <v>4</v>
      </c>
      <c r="D175" s="2" t="s">
        <v>435</v>
      </c>
      <c r="E175" s="2" t="s">
        <v>16</v>
      </c>
      <c r="F175" s="3" t="n">
        <v>45679.1798611111</v>
      </c>
      <c r="G175" s="2" t="s">
        <v>17</v>
      </c>
      <c r="H175" s="4" t="n">
        <v>0.7269</v>
      </c>
      <c r="I175" s="2" t="s">
        <v>23</v>
      </c>
      <c r="J175" s="2" t="s">
        <v>19</v>
      </c>
      <c r="K175" s="2" t="n">
        <v>0</v>
      </c>
      <c r="L175" s="2" t="n">
        <v>0</v>
      </c>
      <c r="M175" s="2" t="n">
        <v>0</v>
      </c>
    </row>
    <row r="176" customFormat="false" ht="15" hidden="false" customHeight="false" outlineLevel="0" collapsed="false">
      <c r="A176" s="2" t="s">
        <v>436</v>
      </c>
      <c r="B176" s="2" t="s">
        <v>437</v>
      </c>
      <c r="C176" s="2" t="n">
        <v>5</v>
      </c>
      <c r="D176" s="2" t="s">
        <v>52</v>
      </c>
      <c r="E176" s="2" t="s">
        <v>16</v>
      </c>
      <c r="F176" s="3" t="n">
        <v>45679.3652777778</v>
      </c>
      <c r="G176" s="2" t="s">
        <v>17</v>
      </c>
      <c r="H176" s="4" t="n">
        <v>0.6369</v>
      </c>
      <c r="I176" s="2" t="s">
        <v>23</v>
      </c>
      <c r="J176" s="2" t="s">
        <v>19</v>
      </c>
      <c r="K176" s="2" t="n">
        <v>0</v>
      </c>
      <c r="L176" s="2" t="n">
        <v>0</v>
      </c>
      <c r="M176" s="2" t="n">
        <v>0</v>
      </c>
    </row>
    <row r="177" customFormat="false" ht="15" hidden="false" customHeight="false" outlineLevel="0" collapsed="false">
      <c r="A177" s="2" t="s">
        <v>438</v>
      </c>
      <c r="B177" s="2" t="s">
        <v>439</v>
      </c>
      <c r="C177" s="2" t="n">
        <v>3</v>
      </c>
      <c r="D177" s="2" t="s">
        <v>440</v>
      </c>
      <c r="E177" s="2" t="s">
        <v>16</v>
      </c>
      <c r="F177" s="3" t="n">
        <v>45679.3701388889</v>
      </c>
      <c r="G177" s="2" t="s">
        <v>17</v>
      </c>
      <c r="H177" s="4" t="n">
        <v>0.4109</v>
      </c>
      <c r="I177" s="2" t="s">
        <v>23</v>
      </c>
      <c r="J177" s="2" t="s">
        <v>19</v>
      </c>
      <c r="K177" s="2" t="n">
        <v>2</v>
      </c>
      <c r="L177" s="2" t="n">
        <v>0</v>
      </c>
      <c r="M177" s="2" t="n">
        <v>0</v>
      </c>
    </row>
    <row r="178" customFormat="false" ht="15" hidden="false" customHeight="false" outlineLevel="0" collapsed="false">
      <c r="A178" s="2" t="s">
        <v>441</v>
      </c>
      <c r="B178" s="2" t="s">
        <v>442</v>
      </c>
      <c r="C178" s="2" t="n">
        <v>5</v>
      </c>
      <c r="D178" s="2" t="s">
        <v>96</v>
      </c>
      <c r="E178" s="2" t="s">
        <v>16</v>
      </c>
      <c r="F178" s="3" t="n">
        <v>45679.4145833333</v>
      </c>
      <c r="G178" s="2" t="s">
        <v>17</v>
      </c>
      <c r="H178" s="4" t="n">
        <v>0.6369</v>
      </c>
      <c r="I178" s="2" t="s">
        <v>23</v>
      </c>
      <c r="J178" s="2" t="s">
        <v>19</v>
      </c>
      <c r="K178" s="2" t="n">
        <v>3</v>
      </c>
      <c r="L178" s="2" t="n">
        <v>0</v>
      </c>
      <c r="M178" s="2" t="n">
        <v>0</v>
      </c>
    </row>
    <row r="179" customFormat="false" ht="15" hidden="false" customHeight="false" outlineLevel="0" collapsed="false">
      <c r="A179" s="2" t="s">
        <v>443</v>
      </c>
      <c r="B179" s="2" t="s">
        <v>444</v>
      </c>
      <c r="C179" s="2" t="n">
        <v>1</v>
      </c>
      <c r="D179" s="2" t="s">
        <v>83</v>
      </c>
      <c r="E179" s="2" t="s">
        <v>16</v>
      </c>
      <c r="F179" s="3" t="n">
        <v>45679.6284722222</v>
      </c>
      <c r="G179" s="2" t="s">
        <v>17</v>
      </c>
      <c r="H179" s="4" t="n">
        <v>-0.6166</v>
      </c>
      <c r="I179" s="2" t="s">
        <v>84</v>
      </c>
      <c r="J179" s="2" t="s">
        <v>59</v>
      </c>
      <c r="K179" s="2" t="n">
        <v>12</v>
      </c>
      <c r="L179" s="2" t="n">
        <v>0</v>
      </c>
      <c r="M179" s="2" t="n">
        <v>0</v>
      </c>
    </row>
    <row r="180" customFormat="false" ht="15" hidden="false" customHeight="false" outlineLevel="0" collapsed="false">
      <c r="A180" s="2" t="s">
        <v>445</v>
      </c>
      <c r="B180" s="2" t="s">
        <v>446</v>
      </c>
      <c r="C180" s="2" t="n">
        <v>3</v>
      </c>
      <c r="D180" s="2" t="s">
        <v>22</v>
      </c>
      <c r="E180" s="2" t="s">
        <v>16</v>
      </c>
      <c r="F180" s="3" t="n">
        <v>45679.6722222222</v>
      </c>
      <c r="G180" s="2" t="s">
        <v>17</v>
      </c>
      <c r="H180" s="4" t="n">
        <v>0.2023</v>
      </c>
      <c r="I180" s="2" t="s">
        <v>23</v>
      </c>
      <c r="J180" s="2" t="s">
        <v>19</v>
      </c>
      <c r="K180" s="2" t="n">
        <v>1</v>
      </c>
      <c r="L180" s="2" t="n">
        <v>0</v>
      </c>
      <c r="M180" s="2" t="n">
        <v>0</v>
      </c>
    </row>
    <row r="181" customFormat="false" ht="15" hidden="false" customHeight="false" outlineLevel="0" collapsed="false">
      <c r="A181" s="2" t="s">
        <v>447</v>
      </c>
      <c r="B181" s="2" t="s">
        <v>448</v>
      </c>
      <c r="C181" s="2" t="n">
        <v>3</v>
      </c>
      <c r="D181" s="2" t="s">
        <v>87</v>
      </c>
      <c r="E181" s="2" t="s">
        <v>16</v>
      </c>
      <c r="F181" s="3" t="n">
        <v>45679.925</v>
      </c>
      <c r="G181" s="2" t="s">
        <v>17</v>
      </c>
      <c r="H181" s="4" t="n">
        <v>0</v>
      </c>
      <c r="I181" s="2" t="s">
        <v>18</v>
      </c>
      <c r="J181" s="2" t="s">
        <v>19</v>
      </c>
      <c r="K181" s="2" t="n">
        <v>5</v>
      </c>
      <c r="L181" s="2" t="n">
        <v>0</v>
      </c>
      <c r="M181" s="2" t="n">
        <v>0</v>
      </c>
    </row>
    <row r="182" customFormat="false" ht="15" hidden="false" customHeight="false" outlineLevel="0" collapsed="false">
      <c r="A182" s="2" t="s">
        <v>449</v>
      </c>
      <c r="B182" s="2" t="s">
        <v>450</v>
      </c>
      <c r="C182" s="2" t="n">
        <v>5</v>
      </c>
      <c r="D182" s="2" t="s">
        <v>62</v>
      </c>
      <c r="E182" s="2" t="s">
        <v>16</v>
      </c>
      <c r="F182" s="3" t="n">
        <v>45679.9930555556</v>
      </c>
      <c r="G182" s="2" t="s">
        <v>17</v>
      </c>
      <c r="H182" s="4" t="n">
        <v>0.7088</v>
      </c>
      <c r="I182" s="2" t="s">
        <v>23</v>
      </c>
      <c r="J182" s="2" t="s">
        <v>19</v>
      </c>
      <c r="K182" s="2" t="n">
        <v>4</v>
      </c>
      <c r="L182" s="2" t="n">
        <v>0</v>
      </c>
      <c r="M182" s="2" t="n">
        <v>0</v>
      </c>
    </row>
    <row r="183" customFormat="false" ht="15" hidden="false" customHeight="false" outlineLevel="0" collapsed="false">
      <c r="A183" s="2" t="s">
        <v>451</v>
      </c>
      <c r="B183" s="2" t="s">
        <v>452</v>
      </c>
      <c r="C183" s="2" t="n">
        <v>4</v>
      </c>
      <c r="D183" s="2" t="s">
        <v>40</v>
      </c>
      <c r="E183" s="2" t="s">
        <v>16</v>
      </c>
      <c r="F183" s="3" t="n">
        <v>45680.0583333333</v>
      </c>
      <c r="G183" s="2" t="s">
        <v>17</v>
      </c>
      <c r="H183" s="4" t="n">
        <v>0.4019</v>
      </c>
      <c r="I183" s="2" t="s">
        <v>23</v>
      </c>
      <c r="J183" s="2" t="s">
        <v>33</v>
      </c>
      <c r="K183" s="2" t="n">
        <v>4</v>
      </c>
      <c r="L183" s="2" t="n">
        <v>0</v>
      </c>
      <c r="M183" s="2" t="n">
        <v>0</v>
      </c>
    </row>
    <row r="184" customFormat="false" ht="15" hidden="false" customHeight="false" outlineLevel="0" collapsed="false">
      <c r="A184" s="2" t="s">
        <v>453</v>
      </c>
      <c r="B184" s="2" t="s">
        <v>454</v>
      </c>
      <c r="C184" s="2" t="n">
        <v>2</v>
      </c>
      <c r="D184" s="2" t="s">
        <v>455</v>
      </c>
      <c r="E184" s="2" t="s">
        <v>16</v>
      </c>
      <c r="F184" s="3" t="n">
        <v>45680.0895833333</v>
      </c>
      <c r="G184" s="2" t="s">
        <v>17</v>
      </c>
      <c r="H184" s="4" t="n">
        <v>-0.2263</v>
      </c>
      <c r="I184" s="2" t="s">
        <v>84</v>
      </c>
      <c r="J184" s="2" t="s">
        <v>165</v>
      </c>
      <c r="K184" s="2" t="n">
        <v>4</v>
      </c>
      <c r="L184" s="2" t="n">
        <v>1</v>
      </c>
      <c r="M184" s="2" t="n">
        <v>0</v>
      </c>
    </row>
    <row r="185" customFormat="false" ht="15" hidden="false" customHeight="false" outlineLevel="0" collapsed="false">
      <c r="A185" s="2" t="s">
        <v>456</v>
      </c>
      <c r="B185" s="2" t="s">
        <v>457</v>
      </c>
      <c r="C185" s="2" t="n">
        <v>5</v>
      </c>
      <c r="D185" s="2" t="s">
        <v>90</v>
      </c>
      <c r="E185" s="2" t="s">
        <v>16</v>
      </c>
      <c r="F185" s="3" t="n">
        <v>45680.3826388889</v>
      </c>
      <c r="G185" s="2" t="s">
        <v>17</v>
      </c>
      <c r="H185" s="4" t="n">
        <v>0.6249</v>
      </c>
      <c r="I185" s="2" t="s">
        <v>23</v>
      </c>
      <c r="J185" s="2" t="s">
        <v>37</v>
      </c>
      <c r="K185" s="2" t="n">
        <v>4</v>
      </c>
      <c r="L185" s="2" t="n">
        <v>0</v>
      </c>
      <c r="M185" s="2" t="n">
        <v>0</v>
      </c>
    </row>
    <row r="186" customFormat="false" ht="15" hidden="false" customHeight="false" outlineLevel="0" collapsed="false">
      <c r="A186" s="2" t="s">
        <v>458</v>
      </c>
      <c r="B186" s="2" t="s">
        <v>459</v>
      </c>
      <c r="C186" s="2" t="n">
        <v>1</v>
      </c>
      <c r="D186" s="2" t="s">
        <v>460</v>
      </c>
      <c r="E186" s="2" t="s">
        <v>16</v>
      </c>
      <c r="F186" s="3" t="n">
        <v>45680.4083333333</v>
      </c>
      <c r="G186" s="2" t="s">
        <v>17</v>
      </c>
      <c r="H186" s="4" t="n">
        <v>-0.5984</v>
      </c>
      <c r="I186" s="2" t="s">
        <v>84</v>
      </c>
      <c r="J186" s="2" t="s">
        <v>19</v>
      </c>
      <c r="K186" s="2" t="n">
        <v>8</v>
      </c>
      <c r="L186" s="2" t="n">
        <v>1</v>
      </c>
      <c r="M186" s="2" t="n">
        <v>0</v>
      </c>
    </row>
    <row r="187" customFormat="false" ht="15" hidden="false" customHeight="false" outlineLevel="0" collapsed="false">
      <c r="A187" s="2" t="s">
        <v>461</v>
      </c>
      <c r="B187" s="2" t="s">
        <v>462</v>
      </c>
      <c r="C187" s="2" t="n">
        <v>3</v>
      </c>
      <c r="D187" s="2" t="s">
        <v>99</v>
      </c>
      <c r="E187" s="2" t="s">
        <v>16</v>
      </c>
      <c r="F187" s="3" t="n">
        <v>45680.4604166667</v>
      </c>
      <c r="G187" s="2" t="s">
        <v>17</v>
      </c>
      <c r="H187" s="4" t="n">
        <v>-0.3089</v>
      </c>
      <c r="I187" s="2" t="s">
        <v>84</v>
      </c>
      <c r="J187" s="2" t="s">
        <v>19</v>
      </c>
      <c r="K187" s="2" t="n">
        <v>6</v>
      </c>
      <c r="L187" s="2" t="n">
        <v>0</v>
      </c>
      <c r="M187" s="2" t="n">
        <v>0</v>
      </c>
    </row>
    <row r="188" customFormat="false" ht="15" hidden="false" customHeight="false" outlineLevel="0" collapsed="false">
      <c r="A188" s="2" t="s">
        <v>463</v>
      </c>
      <c r="B188" s="2" t="s">
        <v>464</v>
      </c>
      <c r="C188" s="2" t="n">
        <v>4</v>
      </c>
      <c r="D188" s="2" t="s">
        <v>374</v>
      </c>
      <c r="E188" s="2" t="s">
        <v>16</v>
      </c>
      <c r="F188" s="3" t="n">
        <v>45680.4826388889</v>
      </c>
      <c r="G188" s="2" t="s">
        <v>17</v>
      </c>
      <c r="H188" s="4" t="n">
        <v>0.6369</v>
      </c>
      <c r="I188" s="2" t="s">
        <v>23</v>
      </c>
      <c r="J188" s="2" t="s">
        <v>19</v>
      </c>
      <c r="K188" s="2" t="n">
        <v>0</v>
      </c>
      <c r="L188" s="2" t="n">
        <v>0</v>
      </c>
      <c r="M188" s="2" t="n">
        <v>0</v>
      </c>
    </row>
    <row r="189" customFormat="false" ht="15" hidden="false" customHeight="false" outlineLevel="0" collapsed="false">
      <c r="A189" s="2" t="s">
        <v>465</v>
      </c>
      <c r="B189" s="2" t="s">
        <v>466</v>
      </c>
      <c r="C189" s="2" t="n">
        <v>5</v>
      </c>
      <c r="D189" s="2" t="s">
        <v>96</v>
      </c>
      <c r="E189" s="2" t="s">
        <v>16</v>
      </c>
      <c r="F189" s="3" t="n">
        <v>45680.5493055556</v>
      </c>
      <c r="G189" s="2" t="s">
        <v>17</v>
      </c>
      <c r="H189" s="4" t="n">
        <v>0.6369</v>
      </c>
      <c r="I189" s="2" t="s">
        <v>23</v>
      </c>
      <c r="J189" s="2" t="s">
        <v>19</v>
      </c>
      <c r="K189" s="2" t="n">
        <v>2</v>
      </c>
      <c r="L189" s="2" t="n">
        <v>0</v>
      </c>
      <c r="M189" s="2" t="n">
        <v>0</v>
      </c>
    </row>
    <row r="190" customFormat="false" ht="15" hidden="false" customHeight="false" outlineLevel="0" collapsed="false">
      <c r="A190" s="2" t="s">
        <v>467</v>
      </c>
      <c r="B190" s="2" t="s">
        <v>468</v>
      </c>
      <c r="C190" s="2" t="n">
        <v>5</v>
      </c>
      <c r="D190" s="2" t="s">
        <v>62</v>
      </c>
      <c r="E190" s="2" t="s">
        <v>16</v>
      </c>
      <c r="F190" s="3" t="n">
        <v>45680.5986111111</v>
      </c>
      <c r="G190" s="2" t="s">
        <v>17</v>
      </c>
      <c r="H190" s="4" t="n">
        <v>0.7088</v>
      </c>
      <c r="I190" s="2" t="s">
        <v>23</v>
      </c>
      <c r="J190" s="2" t="s">
        <v>19</v>
      </c>
      <c r="K190" s="2" t="n">
        <v>2</v>
      </c>
      <c r="L190" s="2" t="n">
        <v>0</v>
      </c>
      <c r="M190" s="2" t="n">
        <v>0</v>
      </c>
    </row>
    <row r="191" customFormat="false" ht="15" hidden="false" customHeight="false" outlineLevel="0" collapsed="false">
      <c r="A191" s="2" t="s">
        <v>469</v>
      </c>
      <c r="B191" s="2" t="s">
        <v>470</v>
      </c>
      <c r="C191" s="2" t="n">
        <v>5</v>
      </c>
      <c r="D191" s="2" t="s">
        <v>127</v>
      </c>
      <c r="E191" s="2" t="s">
        <v>16</v>
      </c>
      <c r="F191" s="3" t="n">
        <v>45680.6201388889</v>
      </c>
      <c r="G191" s="2" t="s">
        <v>17</v>
      </c>
      <c r="H191" s="4" t="n">
        <v>0.9359</v>
      </c>
      <c r="I191" s="2" t="s">
        <v>23</v>
      </c>
      <c r="J191" s="2" t="s">
        <v>37</v>
      </c>
      <c r="K191" s="2" t="n">
        <v>4</v>
      </c>
      <c r="L191" s="2" t="n">
        <v>0</v>
      </c>
      <c r="M191" s="2" t="n">
        <v>0</v>
      </c>
    </row>
    <row r="192" customFormat="false" ht="15" hidden="false" customHeight="false" outlineLevel="0" collapsed="false">
      <c r="A192" s="2" t="s">
        <v>471</v>
      </c>
      <c r="B192" s="2" t="s">
        <v>472</v>
      </c>
      <c r="C192" s="2" t="n">
        <v>4</v>
      </c>
      <c r="D192" s="2" t="s">
        <v>26</v>
      </c>
      <c r="E192" s="2" t="s">
        <v>16</v>
      </c>
      <c r="F192" s="3" t="n">
        <v>45680.6354166667</v>
      </c>
      <c r="G192" s="2" t="s">
        <v>17</v>
      </c>
      <c r="H192" s="4" t="n">
        <v>0.8848</v>
      </c>
      <c r="I192" s="2" t="s">
        <v>23</v>
      </c>
      <c r="J192" s="2" t="s">
        <v>19</v>
      </c>
      <c r="K192" s="2" t="n">
        <v>2</v>
      </c>
      <c r="L192" s="2" t="n">
        <v>0</v>
      </c>
      <c r="M192" s="2" t="n">
        <v>0</v>
      </c>
    </row>
    <row r="193" customFormat="false" ht="15" hidden="false" customHeight="false" outlineLevel="0" collapsed="false">
      <c r="A193" s="2" t="s">
        <v>473</v>
      </c>
      <c r="B193" s="2" t="s">
        <v>474</v>
      </c>
      <c r="C193" s="2" t="n">
        <v>4</v>
      </c>
      <c r="D193" s="2" t="s">
        <v>475</v>
      </c>
      <c r="E193" s="2" t="s">
        <v>16</v>
      </c>
      <c r="F193" s="3" t="n">
        <v>45680.6826388889</v>
      </c>
      <c r="G193" s="2" t="s">
        <v>17</v>
      </c>
      <c r="H193" s="4" t="n">
        <v>0.7845</v>
      </c>
      <c r="I193" s="2" t="s">
        <v>23</v>
      </c>
      <c r="J193" s="2" t="s">
        <v>33</v>
      </c>
      <c r="K193" s="2" t="n">
        <v>2</v>
      </c>
      <c r="L193" s="2" t="n">
        <v>0</v>
      </c>
      <c r="M193" s="2" t="n">
        <v>0</v>
      </c>
    </row>
    <row r="194" customFormat="false" ht="15" hidden="false" customHeight="false" outlineLevel="0" collapsed="false">
      <c r="A194" s="2" t="s">
        <v>476</v>
      </c>
      <c r="B194" s="2" t="s">
        <v>477</v>
      </c>
      <c r="C194" s="2" t="n">
        <v>5</v>
      </c>
      <c r="D194" s="2" t="s">
        <v>251</v>
      </c>
      <c r="E194" s="2" t="s">
        <v>16</v>
      </c>
      <c r="F194" s="3" t="n">
        <v>45680.7027777778</v>
      </c>
      <c r="G194" s="2" t="s">
        <v>17</v>
      </c>
      <c r="H194" s="4" t="n">
        <v>0.8651</v>
      </c>
      <c r="I194" s="2" t="s">
        <v>23</v>
      </c>
      <c r="J194" s="2" t="s">
        <v>19</v>
      </c>
      <c r="K194" s="2" t="n">
        <v>1</v>
      </c>
      <c r="L194" s="2" t="n">
        <v>0</v>
      </c>
      <c r="M194" s="2" t="n">
        <v>0</v>
      </c>
    </row>
    <row r="195" customFormat="false" ht="15" hidden="false" customHeight="false" outlineLevel="0" collapsed="false">
      <c r="A195" s="2" t="s">
        <v>478</v>
      </c>
      <c r="B195" s="2" t="s">
        <v>479</v>
      </c>
      <c r="C195" s="2" t="n">
        <v>5</v>
      </c>
      <c r="D195" s="2" t="s">
        <v>90</v>
      </c>
      <c r="E195" s="2" t="s">
        <v>16</v>
      </c>
      <c r="F195" s="3" t="n">
        <v>45680.7618055556</v>
      </c>
      <c r="G195" s="2" t="s">
        <v>17</v>
      </c>
      <c r="H195" s="4" t="n">
        <v>0.6249</v>
      </c>
      <c r="I195" s="2" t="s">
        <v>23</v>
      </c>
      <c r="J195" s="2" t="s">
        <v>37</v>
      </c>
      <c r="K195" s="2" t="n">
        <v>0</v>
      </c>
      <c r="L195" s="2" t="n">
        <v>0</v>
      </c>
      <c r="M195" s="2" t="n">
        <v>0</v>
      </c>
    </row>
    <row r="196" customFormat="false" ht="15" hidden="false" customHeight="false" outlineLevel="0" collapsed="false">
      <c r="A196" s="2" t="s">
        <v>480</v>
      </c>
      <c r="B196" s="2" t="s">
        <v>481</v>
      </c>
      <c r="C196" s="2" t="n">
        <v>2</v>
      </c>
      <c r="D196" s="2" t="s">
        <v>482</v>
      </c>
      <c r="E196" s="2" t="s">
        <v>16</v>
      </c>
      <c r="F196" s="3" t="n">
        <v>45681.1402777778</v>
      </c>
      <c r="G196" s="2" t="s">
        <v>17</v>
      </c>
      <c r="H196" s="4" t="n">
        <v>-0.6808</v>
      </c>
      <c r="I196" s="2" t="s">
        <v>84</v>
      </c>
      <c r="J196" s="2" t="s">
        <v>110</v>
      </c>
      <c r="K196" s="2" t="n">
        <v>3</v>
      </c>
      <c r="L196" s="2" t="n">
        <v>1</v>
      </c>
      <c r="M196" s="2" t="n">
        <v>0</v>
      </c>
    </row>
    <row r="197" customFormat="false" ht="15" hidden="false" customHeight="false" outlineLevel="0" collapsed="false">
      <c r="A197" s="2" t="s">
        <v>483</v>
      </c>
      <c r="B197" s="2" t="s">
        <v>484</v>
      </c>
      <c r="C197" s="2" t="n">
        <v>5</v>
      </c>
      <c r="D197" s="2" t="s">
        <v>127</v>
      </c>
      <c r="E197" s="2" t="s">
        <v>16</v>
      </c>
      <c r="F197" s="3" t="n">
        <v>45681.1423611111</v>
      </c>
      <c r="G197" s="2" t="s">
        <v>17</v>
      </c>
      <c r="H197" s="4" t="n">
        <v>0.9359</v>
      </c>
      <c r="I197" s="2" t="s">
        <v>23</v>
      </c>
      <c r="J197" s="2" t="s">
        <v>37</v>
      </c>
      <c r="K197" s="2" t="n">
        <v>6</v>
      </c>
      <c r="L197" s="2" t="n">
        <v>0</v>
      </c>
      <c r="M197" s="2" t="n">
        <v>0</v>
      </c>
    </row>
    <row r="198" customFormat="false" ht="15" hidden="false" customHeight="false" outlineLevel="0" collapsed="false">
      <c r="A198" s="2" t="s">
        <v>485</v>
      </c>
      <c r="B198" s="2" t="s">
        <v>486</v>
      </c>
      <c r="C198" s="2" t="n">
        <v>5</v>
      </c>
      <c r="D198" s="2" t="s">
        <v>15</v>
      </c>
      <c r="E198" s="2" t="s">
        <v>16</v>
      </c>
      <c r="F198" s="3" t="n">
        <v>45681.3166666667</v>
      </c>
      <c r="G198" s="2" t="s">
        <v>17</v>
      </c>
      <c r="H198" s="4" t="n">
        <v>0</v>
      </c>
      <c r="I198" s="2" t="s">
        <v>18</v>
      </c>
      <c r="J198" s="2" t="s">
        <v>19</v>
      </c>
      <c r="K198" s="2" t="n">
        <v>7</v>
      </c>
      <c r="L198" s="2" t="n">
        <v>0</v>
      </c>
      <c r="M198" s="2" t="n">
        <v>0</v>
      </c>
    </row>
    <row r="199" customFormat="false" ht="15" hidden="false" customHeight="false" outlineLevel="0" collapsed="false">
      <c r="A199" s="2" t="s">
        <v>487</v>
      </c>
      <c r="B199" s="2" t="s">
        <v>488</v>
      </c>
      <c r="C199" s="2" t="n">
        <v>4</v>
      </c>
      <c r="D199" s="2" t="s">
        <v>489</v>
      </c>
      <c r="E199" s="2" t="s">
        <v>16</v>
      </c>
      <c r="F199" s="3" t="n">
        <v>45681.5423611111</v>
      </c>
      <c r="G199" s="2" t="s">
        <v>17</v>
      </c>
      <c r="H199" s="4" t="n">
        <v>0.803</v>
      </c>
      <c r="I199" s="2" t="s">
        <v>23</v>
      </c>
      <c r="J199" s="2" t="s">
        <v>19</v>
      </c>
      <c r="K199" s="2" t="n">
        <v>0</v>
      </c>
      <c r="L199" s="2" t="n">
        <v>0</v>
      </c>
      <c r="M199" s="2" t="n">
        <v>0</v>
      </c>
    </row>
    <row r="200" customFormat="false" ht="15" hidden="false" customHeight="false" outlineLevel="0" collapsed="false">
      <c r="A200" s="2" t="s">
        <v>490</v>
      </c>
      <c r="B200" s="2" t="s">
        <v>491</v>
      </c>
      <c r="C200" s="2" t="n">
        <v>5</v>
      </c>
      <c r="D200" s="2" t="s">
        <v>62</v>
      </c>
      <c r="E200" s="2" t="s">
        <v>16</v>
      </c>
      <c r="F200" s="3" t="n">
        <v>45681.5736111111</v>
      </c>
      <c r="G200" s="2" t="s">
        <v>17</v>
      </c>
      <c r="H200" s="4" t="n">
        <v>0.7088</v>
      </c>
      <c r="I200" s="2" t="s">
        <v>23</v>
      </c>
      <c r="J200" s="2" t="s">
        <v>19</v>
      </c>
      <c r="K200" s="2" t="n">
        <v>3</v>
      </c>
      <c r="L200" s="2" t="n">
        <v>0</v>
      </c>
      <c r="M200" s="2" t="n">
        <v>0</v>
      </c>
    </row>
    <row r="201" customFormat="false" ht="15" hidden="false" customHeight="false" outlineLevel="0" collapsed="false">
      <c r="A201" s="2" t="s">
        <v>492</v>
      </c>
      <c r="B201" s="2" t="s">
        <v>493</v>
      </c>
      <c r="C201" s="2" t="n">
        <v>4</v>
      </c>
      <c r="D201" s="2" t="s">
        <v>15</v>
      </c>
      <c r="E201" s="2" t="s">
        <v>16</v>
      </c>
      <c r="F201" s="3" t="n">
        <v>45681.875</v>
      </c>
      <c r="G201" s="2" t="s">
        <v>17</v>
      </c>
      <c r="H201" s="4" t="n">
        <v>0</v>
      </c>
      <c r="I201" s="2" t="s">
        <v>18</v>
      </c>
      <c r="J201" s="2" t="s">
        <v>19</v>
      </c>
      <c r="K201" s="2" t="n">
        <v>3</v>
      </c>
      <c r="L201" s="2" t="n">
        <v>0</v>
      </c>
      <c r="M201" s="2" t="n">
        <v>0</v>
      </c>
    </row>
    <row r="202" customFormat="false" ht="15" hidden="false" customHeight="false" outlineLevel="0" collapsed="false">
      <c r="A202" s="2" t="s">
        <v>494</v>
      </c>
      <c r="B202" s="2" t="s">
        <v>495</v>
      </c>
      <c r="C202" s="2" t="n">
        <v>1</v>
      </c>
      <c r="D202" s="2" t="s">
        <v>109</v>
      </c>
      <c r="E202" s="2" t="s">
        <v>16</v>
      </c>
      <c r="F202" s="3" t="n">
        <v>45681.9444444445</v>
      </c>
      <c r="G202" s="2" t="s">
        <v>17</v>
      </c>
      <c r="H202" s="4" t="n">
        <v>0</v>
      </c>
      <c r="I202" s="2" t="s">
        <v>18</v>
      </c>
      <c r="J202" s="2" t="s">
        <v>110</v>
      </c>
      <c r="K202" s="2" t="n">
        <v>11</v>
      </c>
      <c r="L202" s="2" t="n">
        <v>0</v>
      </c>
      <c r="M202" s="2" t="n">
        <v>0</v>
      </c>
    </row>
    <row r="203" customFormat="false" ht="15" hidden="false" customHeight="false" outlineLevel="0" collapsed="false">
      <c r="A203" s="2" t="s">
        <v>496</v>
      </c>
      <c r="B203" s="2" t="s">
        <v>497</v>
      </c>
      <c r="C203" s="2" t="n">
        <v>1</v>
      </c>
      <c r="D203" s="2" t="s">
        <v>498</v>
      </c>
      <c r="E203" s="2" t="s">
        <v>16</v>
      </c>
      <c r="F203" s="3" t="n">
        <v>45681.9604166667</v>
      </c>
      <c r="G203" s="2" t="s">
        <v>17</v>
      </c>
      <c r="H203" s="4" t="n">
        <v>0</v>
      </c>
      <c r="I203" s="2" t="s">
        <v>18</v>
      </c>
      <c r="J203" s="2" t="s">
        <v>165</v>
      </c>
      <c r="K203" s="2" t="n">
        <v>3</v>
      </c>
      <c r="L203" s="2" t="n">
        <v>1</v>
      </c>
      <c r="M203" s="2" t="n">
        <v>0</v>
      </c>
    </row>
    <row r="204" customFormat="false" ht="15" hidden="false" customHeight="false" outlineLevel="0" collapsed="false">
      <c r="A204" s="2" t="s">
        <v>499</v>
      </c>
      <c r="B204" s="2" t="s">
        <v>500</v>
      </c>
      <c r="C204" s="2" t="n">
        <v>4</v>
      </c>
      <c r="D204" s="2" t="s">
        <v>22</v>
      </c>
      <c r="E204" s="2" t="s">
        <v>16</v>
      </c>
      <c r="F204" s="3" t="n">
        <v>45682.0527777778</v>
      </c>
      <c r="G204" s="2" t="s">
        <v>17</v>
      </c>
      <c r="H204" s="4" t="n">
        <v>0.2023</v>
      </c>
      <c r="I204" s="2" t="s">
        <v>23</v>
      </c>
      <c r="J204" s="2" t="s">
        <v>19</v>
      </c>
      <c r="K204" s="2" t="n">
        <v>1</v>
      </c>
      <c r="L204" s="2" t="n">
        <v>0</v>
      </c>
      <c r="M204" s="2" t="n">
        <v>0</v>
      </c>
    </row>
    <row r="205" customFormat="false" ht="15" hidden="false" customHeight="false" outlineLevel="0" collapsed="false">
      <c r="A205" s="2" t="s">
        <v>501</v>
      </c>
      <c r="B205" s="2" t="s">
        <v>502</v>
      </c>
      <c r="C205" s="2" t="n">
        <v>5</v>
      </c>
      <c r="D205" s="2" t="s">
        <v>62</v>
      </c>
      <c r="E205" s="2" t="s">
        <v>16</v>
      </c>
      <c r="F205" s="3" t="n">
        <v>45682.1631944445</v>
      </c>
      <c r="G205" s="2" t="s">
        <v>17</v>
      </c>
      <c r="H205" s="4" t="n">
        <v>0.7088</v>
      </c>
      <c r="I205" s="2" t="s">
        <v>23</v>
      </c>
      <c r="J205" s="2" t="s">
        <v>19</v>
      </c>
      <c r="K205" s="2" t="n">
        <v>0</v>
      </c>
      <c r="L205" s="2" t="n">
        <v>0</v>
      </c>
      <c r="M205" s="2" t="n">
        <v>0</v>
      </c>
    </row>
    <row r="206" customFormat="false" ht="15" hidden="false" customHeight="false" outlineLevel="0" collapsed="false">
      <c r="A206" s="2" t="s">
        <v>503</v>
      </c>
      <c r="B206" s="2" t="s">
        <v>504</v>
      </c>
      <c r="C206" s="2" t="n">
        <v>3</v>
      </c>
      <c r="D206" s="2" t="s">
        <v>36</v>
      </c>
      <c r="E206" s="2" t="s">
        <v>16</v>
      </c>
      <c r="F206" s="3" t="n">
        <v>45682.3423611111</v>
      </c>
      <c r="G206" s="2" t="s">
        <v>17</v>
      </c>
      <c r="H206" s="4" t="n">
        <v>0.4404</v>
      </c>
      <c r="I206" s="2" t="s">
        <v>23</v>
      </c>
      <c r="J206" s="2" t="s">
        <v>37</v>
      </c>
      <c r="K206" s="2" t="n">
        <v>1</v>
      </c>
      <c r="L206" s="2" t="n">
        <v>0</v>
      </c>
      <c r="M206" s="2" t="n">
        <v>0</v>
      </c>
    </row>
    <row r="207" customFormat="false" ht="15" hidden="false" customHeight="false" outlineLevel="0" collapsed="false">
      <c r="A207" s="2" t="s">
        <v>505</v>
      </c>
      <c r="B207" s="2" t="s">
        <v>506</v>
      </c>
      <c r="C207" s="2" t="n">
        <v>4</v>
      </c>
      <c r="D207" s="2" t="s">
        <v>507</v>
      </c>
      <c r="E207" s="2" t="s">
        <v>16</v>
      </c>
      <c r="F207" s="3" t="n">
        <v>45682.4423611111</v>
      </c>
      <c r="G207" s="2" t="s">
        <v>17</v>
      </c>
      <c r="H207" s="4" t="n">
        <v>0.5574</v>
      </c>
      <c r="I207" s="2" t="s">
        <v>23</v>
      </c>
      <c r="J207" s="2" t="s">
        <v>33</v>
      </c>
      <c r="K207" s="2" t="n">
        <v>5</v>
      </c>
      <c r="L207" s="2" t="n">
        <v>0</v>
      </c>
      <c r="M207" s="2" t="n">
        <v>0</v>
      </c>
    </row>
    <row r="208" customFormat="false" ht="15" hidden="false" customHeight="false" outlineLevel="0" collapsed="false">
      <c r="A208" s="2" t="s">
        <v>508</v>
      </c>
      <c r="B208" s="2" t="s">
        <v>509</v>
      </c>
      <c r="C208" s="2" t="n">
        <v>3</v>
      </c>
      <c r="D208" s="2" t="s">
        <v>301</v>
      </c>
      <c r="E208" s="2" t="s">
        <v>16</v>
      </c>
      <c r="F208" s="3" t="n">
        <v>45682.5979166667</v>
      </c>
      <c r="G208" s="2" t="s">
        <v>17</v>
      </c>
      <c r="H208" s="4" t="n">
        <v>0.2263</v>
      </c>
      <c r="I208" s="2" t="s">
        <v>23</v>
      </c>
      <c r="J208" s="2" t="s">
        <v>19</v>
      </c>
      <c r="K208" s="2" t="n">
        <v>12</v>
      </c>
      <c r="L208" s="2" t="n">
        <v>0</v>
      </c>
      <c r="M208" s="2" t="n">
        <v>0</v>
      </c>
    </row>
    <row r="209" customFormat="false" ht="15" hidden="false" customHeight="false" outlineLevel="0" collapsed="false">
      <c r="A209" s="2" t="s">
        <v>510</v>
      </c>
      <c r="B209" s="2" t="s">
        <v>511</v>
      </c>
      <c r="C209" s="2" t="n">
        <v>5</v>
      </c>
      <c r="D209" s="2" t="s">
        <v>93</v>
      </c>
      <c r="E209" s="2" t="s">
        <v>16</v>
      </c>
      <c r="F209" s="3" t="n">
        <v>45682.7541666667</v>
      </c>
      <c r="G209" s="2" t="s">
        <v>17</v>
      </c>
      <c r="H209" s="4" t="n">
        <v>0.8008</v>
      </c>
      <c r="I209" s="2" t="s">
        <v>23</v>
      </c>
      <c r="J209" s="2" t="s">
        <v>33</v>
      </c>
      <c r="K209" s="2" t="n">
        <v>10</v>
      </c>
      <c r="L209" s="2" t="n">
        <v>0</v>
      </c>
      <c r="M209" s="2" t="n">
        <v>0</v>
      </c>
    </row>
    <row r="210" customFormat="false" ht="15" hidden="false" customHeight="false" outlineLevel="0" collapsed="false">
      <c r="A210" s="2" t="s">
        <v>512</v>
      </c>
      <c r="B210" s="2" t="s">
        <v>513</v>
      </c>
      <c r="C210" s="2" t="n">
        <v>5</v>
      </c>
      <c r="D210" s="2" t="s">
        <v>47</v>
      </c>
      <c r="E210" s="2" t="s">
        <v>16</v>
      </c>
      <c r="F210" s="3" t="n">
        <v>45683.2152777778</v>
      </c>
      <c r="G210" s="2" t="s">
        <v>17</v>
      </c>
      <c r="H210" s="4" t="n">
        <v>0.3089</v>
      </c>
      <c r="I210" s="2" t="s">
        <v>23</v>
      </c>
      <c r="J210" s="2" t="s">
        <v>19</v>
      </c>
      <c r="K210" s="2" t="n">
        <v>4</v>
      </c>
      <c r="L210" s="2" t="n">
        <v>0</v>
      </c>
      <c r="M210" s="2" t="n">
        <v>0</v>
      </c>
    </row>
    <row r="211" customFormat="false" ht="15" hidden="false" customHeight="false" outlineLevel="0" collapsed="false">
      <c r="A211" s="2" t="s">
        <v>514</v>
      </c>
      <c r="B211" s="2" t="s">
        <v>515</v>
      </c>
      <c r="C211" s="2" t="n">
        <v>2</v>
      </c>
      <c r="D211" s="2" t="s">
        <v>516</v>
      </c>
      <c r="E211" s="2" t="s">
        <v>16</v>
      </c>
      <c r="F211" s="3" t="n">
        <v>45683.2430555556</v>
      </c>
      <c r="G211" s="2" t="s">
        <v>17</v>
      </c>
      <c r="H211" s="4" t="n">
        <v>0</v>
      </c>
      <c r="I211" s="2" t="s">
        <v>18</v>
      </c>
      <c r="J211" s="2" t="s">
        <v>59</v>
      </c>
      <c r="K211" s="2" t="n">
        <v>0</v>
      </c>
      <c r="L211" s="2" t="n">
        <v>1</v>
      </c>
      <c r="M211" s="2" t="n">
        <v>0</v>
      </c>
    </row>
    <row r="212" customFormat="false" ht="15" hidden="false" customHeight="false" outlineLevel="0" collapsed="false">
      <c r="A212" s="2" t="s">
        <v>517</v>
      </c>
      <c r="B212" s="2" t="s">
        <v>518</v>
      </c>
      <c r="C212" s="2" t="n">
        <v>5</v>
      </c>
      <c r="D212" s="2" t="s">
        <v>90</v>
      </c>
      <c r="E212" s="2" t="s">
        <v>16</v>
      </c>
      <c r="F212" s="3" t="n">
        <v>45683.2673611111</v>
      </c>
      <c r="G212" s="2" t="s">
        <v>17</v>
      </c>
      <c r="H212" s="4" t="n">
        <v>0.6249</v>
      </c>
      <c r="I212" s="2" t="s">
        <v>23</v>
      </c>
      <c r="J212" s="2" t="s">
        <v>37</v>
      </c>
      <c r="K212" s="2" t="n">
        <v>0</v>
      </c>
      <c r="L212" s="2" t="n">
        <v>0</v>
      </c>
      <c r="M212" s="2" t="n">
        <v>0</v>
      </c>
    </row>
    <row r="213" customFormat="false" ht="15" hidden="false" customHeight="false" outlineLevel="0" collapsed="false">
      <c r="A213" s="2" t="s">
        <v>519</v>
      </c>
      <c r="B213" s="2" t="s">
        <v>520</v>
      </c>
      <c r="C213" s="2" t="n">
        <v>3</v>
      </c>
      <c r="D213" s="2" t="s">
        <v>99</v>
      </c>
      <c r="E213" s="2" t="s">
        <v>16</v>
      </c>
      <c r="F213" s="3" t="n">
        <v>45683.3354166667</v>
      </c>
      <c r="G213" s="2" t="s">
        <v>17</v>
      </c>
      <c r="H213" s="4" t="n">
        <v>-0.3089</v>
      </c>
      <c r="I213" s="2" t="s">
        <v>84</v>
      </c>
      <c r="J213" s="2" t="s">
        <v>19</v>
      </c>
      <c r="K213" s="2" t="n">
        <v>1</v>
      </c>
      <c r="L213" s="2" t="n">
        <v>0</v>
      </c>
      <c r="M213" s="2" t="n">
        <v>0</v>
      </c>
    </row>
    <row r="214" customFormat="false" ht="15" hidden="false" customHeight="false" outlineLevel="0" collapsed="false">
      <c r="A214" s="2" t="s">
        <v>521</v>
      </c>
      <c r="B214" s="2" t="s">
        <v>522</v>
      </c>
      <c r="C214" s="2" t="n">
        <v>3</v>
      </c>
      <c r="D214" s="2" t="s">
        <v>301</v>
      </c>
      <c r="E214" s="2" t="s">
        <v>16</v>
      </c>
      <c r="F214" s="3" t="n">
        <v>45683.3631944444</v>
      </c>
      <c r="G214" s="2" t="s">
        <v>17</v>
      </c>
      <c r="H214" s="4" t="n">
        <v>0.2263</v>
      </c>
      <c r="I214" s="2" t="s">
        <v>23</v>
      </c>
      <c r="J214" s="2" t="s">
        <v>19</v>
      </c>
      <c r="K214" s="2" t="n">
        <v>0</v>
      </c>
      <c r="L214" s="2" t="n">
        <v>0</v>
      </c>
      <c r="M214" s="2" t="n">
        <v>0</v>
      </c>
    </row>
    <row r="215" customFormat="false" ht="15" hidden="false" customHeight="false" outlineLevel="0" collapsed="false">
      <c r="A215" s="2" t="s">
        <v>523</v>
      </c>
      <c r="B215" s="2" t="s">
        <v>524</v>
      </c>
      <c r="C215" s="2" t="n">
        <v>5</v>
      </c>
      <c r="D215" s="2" t="s">
        <v>47</v>
      </c>
      <c r="E215" s="2" t="s">
        <v>16</v>
      </c>
      <c r="F215" s="3" t="n">
        <v>45683.7666666667</v>
      </c>
      <c r="G215" s="2" t="s">
        <v>17</v>
      </c>
      <c r="H215" s="4" t="n">
        <v>0.3089</v>
      </c>
      <c r="I215" s="2" t="s">
        <v>23</v>
      </c>
      <c r="J215" s="2" t="s">
        <v>19</v>
      </c>
      <c r="K215" s="2" t="n">
        <v>9</v>
      </c>
      <c r="L215" s="2" t="n">
        <v>0</v>
      </c>
      <c r="M215" s="2" t="n">
        <v>0</v>
      </c>
    </row>
    <row r="216" customFormat="false" ht="15" hidden="false" customHeight="false" outlineLevel="0" collapsed="false">
      <c r="A216" s="2" t="s">
        <v>525</v>
      </c>
      <c r="B216" s="2" t="s">
        <v>526</v>
      </c>
      <c r="C216" s="2" t="n">
        <v>4</v>
      </c>
      <c r="D216" s="2" t="s">
        <v>99</v>
      </c>
      <c r="E216" s="2" t="s">
        <v>16</v>
      </c>
      <c r="F216" s="3" t="n">
        <v>45683.8694444444</v>
      </c>
      <c r="G216" s="2" t="s">
        <v>17</v>
      </c>
      <c r="H216" s="4" t="n">
        <v>-0.3089</v>
      </c>
      <c r="I216" s="2" t="s">
        <v>84</v>
      </c>
      <c r="J216" s="2" t="s">
        <v>19</v>
      </c>
      <c r="K216" s="2" t="n">
        <v>3</v>
      </c>
      <c r="L216" s="2" t="n">
        <v>0</v>
      </c>
      <c r="M216" s="2" t="n">
        <v>0</v>
      </c>
    </row>
    <row r="217" customFormat="false" ht="15" hidden="false" customHeight="false" outlineLevel="0" collapsed="false">
      <c r="A217" s="2" t="s">
        <v>527</v>
      </c>
      <c r="B217" s="2" t="s">
        <v>528</v>
      </c>
      <c r="C217" s="2" t="n">
        <v>5</v>
      </c>
      <c r="D217" s="2" t="s">
        <v>213</v>
      </c>
      <c r="E217" s="2" t="s">
        <v>16</v>
      </c>
      <c r="F217" s="3" t="n">
        <v>45683.8965277778</v>
      </c>
      <c r="G217" s="2" t="s">
        <v>17</v>
      </c>
      <c r="H217" s="4" t="n">
        <v>0.8651</v>
      </c>
      <c r="I217" s="2" t="s">
        <v>23</v>
      </c>
      <c r="J217" s="2" t="s">
        <v>19</v>
      </c>
      <c r="K217" s="2" t="n">
        <v>2</v>
      </c>
      <c r="L217" s="2" t="n">
        <v>0</v>
      </c>
      <c r="M217" s="2" t="n">
        <v>0</v>
      </c>
    </row>
    <row r="218" customFormat="false" ht="15" hidden="false" customHeight="false" outlineLevel="0" collapsed="false">
      <c r="A218" s="2" t="s">
        <v>529</v>
      </c>
      <c r="B218" s="2" t="s">
        <v>530</v>
      </c>
      <c r="C218" s="2" t="n">
        <v>5</v>
      </c>
      <c r="D218" s="2" t="s">
        <v>40</v>
      </c>
      <c r="E218" s="2" t="s">
        <v>16</v>
      </c>
      <c r="F218" s="3" t="n">
        <v>45684.0423611111</v>
      </c>
      <c r="G218" s="2" t="s">
        <v>17</v>
      </c>
      <c r="H218" s="4" t="n">
        <v>0.4019</v>
      </c>
      <c r="I218" s="2" t="s">
        <v>23</v>
      </c>
      <c r="J218" s="2" t="s">
        <v>33</v>
      </c>
      <c r="K218" s="2" t="n">
        <v>4</v>
      </c>
      <c r="L218" s="2" t="n">
        <v>0</v>
      </c>
      <c r="M218" s="2" t="n">
        <v>0</v>
      </c>
    </row>
    <row r="219" customFormat="false" ht="15" hidden="false" customHeight="false" outlineLevel="0" collapsed="false">
      <c r="A219" s="2" t="s">
        <v>531</v>
      </c>
      <c r="B219" s="2" t="s">
        <v>532</v>
      </c>
      <c r="C219" s="2" t="n">
        <v>3</v>
      </c>
      <c r="D219" s="2" t="s">
        <v>87</v>
      </c>
      <c r="E219" s="2" t="s">
        <v>16</v>
      </c>
      <c r="F219" s="3" t="n">
        <v>45684.1083333333</v>
      </c>
      <c r="G219" s="2" t="s">
        <v>17</v>
      </c>
      <c r="H219" s="4" t="n">
        <v>0</v>
      </c>
      <c r="I219" s="2" t="s">
        <v>18</v>
      </c>
      <c r="J219" s="2" t="s">
        <v>19</v>
      </c>
      <c r="K219" s="2" t="n">
        <v>6</v>
      </c>
      <c r="L219" s="2" t="n">
        <v>0</v>
      </c>
      <c r="M219" s="2" t="n">
        <v>0</v>
      </c>
    </row>
    <row r="220" customFormat="false" ht="15" hidden="false" customHeight="false" outlineLevel="0" collapsed="false">
      <c r="A220" s="2" t="s">
        <v>533</v>
      </c>
      <c r="B220" s="2" t="s">
        <v>534</v>
      </c>
      <c r="C220" s="2" t="n">
        <v>4</v>
      </c>
      <c r="D220" s="2" t="s">
        <v>87</v>
      </c>
      <c r="E220" s="2" t="s">
        <v>16</v>
      </c>
      <c r="F220" s="3" t="n">
        <v>45684.1305555556</v>
      </c>
      <c r="G220" s="2" t="s">
        <v>17</v>
      </c>
      <c r="H220" s="4" t="n">
        <v>0</v>
      </c>
      <c r="I220" s="2" t="s">
        <v>18</v>
      </c>
      <c r="J220" s="2" t="s">
        <v>19</v>
      </c>
      <c r="K220" s="2" t="n">
        <v>2</v>
      </c>
      <c r="L220" s="2" t="n">
        <v>0</v>
      </c>
      <c r="M220" s="2" t="n">
        <v>0</v>
      </c>
    </row>
    <row r="221" customFormat="false" ht="15" hidden="false" customHeight="false" outlineLevel="0" collapsed="false">
      <c r="A221" s="2" t="s">
        <v>535</v>
      </c>
      <c r="B221" s="2" t="s">
        <v>536</v>
      </c>
      <c r="C221" s="2" t="n">
        <v>2</v>
      </c>
      <c r="D221" s="2" t="s">
        <v>537</v>
      </c>
      <c r="E221" s="2" t="s">
        <v>16</v>
      </c>
      <c r="F221" s="3" t="n">
        <v>45684.1965277778</v>
      </c>
      <c r="G221" s="2" t="s">
        <v>17</v>
      </c>
      <c r="H221" s="4" t="n">
        <v>-0.3089</v>
      </c>
      <c r="I221" s="2" t="s">
        <v>84</v>
      </c>
      <c r="J221" s="2" t="s">
        <v>110</v>
      </c>
      <c r="K221" s="2" t="n">
        <v>1</v>
      </c>
      <c r="L221" s="2" t="n">
        <v>1</v>
      </c>
      <c r="M221" s="2" t="n">
        <v>0</v>
      </c>
    </row>
    <row r="222" customFormat="false" ht="15" hidden="false" customHeight="false" outlineLevel="0" collapsed="false">
      <c r="A222" s="2" t="s">
        <v>538</v>
      </c>
      <c r="B222" s="2" t="s">
        <v>539</v>
      </c>
      <c r="C222" s="2" t="n">
        <v>5</v>
      </c>
      <c r="D222" s="2" t="s">
        <v>269</v>
      </c>
      <c r="E222" s="2" t="s">
        <v>16</v>
      </c>
      <c r="F222" s="3" t="n">
        <v>45684.2208333333</v>
      </c>
      <c r="G222" s="2" t="s">
        <v>17</v>
      </c>
      <c r="H222" s="4" t="n">
        <v>0.8748</v>
      </c>
      <c r="I222" s="2" t="s">
        <v>23</v>
      </c>
      <c r="J222" s="2" t="s">
        <v>37</v>
      </c>
      <c r="K222" s="2" t="n">
        <v>6</v>
      </c>
      <c r="L222" s="2" t="n">
        <v>0</v>
      </c>
      <c r="M222" s="2" t="n">
        <v>0</v>
      </c>
    </row>
    <row r="223" customFormat="false" ht="15" hidden="false" customHeight="false" outlineLevel="0" collapsed="false">
      <c r="A223" s="2" t="s">
        <v>540</v>
      </c>
      <c r="B223" s="2" t="s">
        <v>541</v>
      </c>
      <c r="C223" s="2" t="n">
        <v>5</v>
      </c>
      <c r="D223" s="2" t="s">
        <v>90</v>
      </c>
      <c r="E223" s="2" t="s">
        <v>16</v>
      </c>
      <c r="F223" s="3" t="n">
        <v>45684.3270833333</v>
      </c>
      <c r="G223" s="2" t="s">
        <v>17</v>
      </c>
      <c r="H223" s="4" t="n">
        <v>0.6249</v>
      </c>
      <c r="I223" s="2" t="s">
        <v>23</v>
      </c>
      <c r="J223" s="2" t="s">
        <v>37</v>
      </c>
      <c r="K223" s="2" t="n">
        <v>4</v>
      </c>
      <c r="L223" s="2" t="n">
        <v>0</v>
      </c>
      <c r="M223" s="2" t="n">
        <v>0</v>
      </c>
    </row>
    <row r="224" customFormat="false" ht="15" hidden="false" customHeight="false" outlineLevel="0" collapsed="false">
      <c r="A224" s="2" t="s">
        <v>542</v>
      </c>
      <c r="B224" s="2" t="s">
        <v>543</v>
      </c>
      <c r="C224" s="2" t="n">
        <v>1</v>
      </c>
      <c r="D224" s="2" t="s">
        <v>544</v>
      </c>
      <c r="E224" s="2" t="s">
        <v>16</v>
      </c>
      <c r="F224" s="3" t="n">
        <v>45684.3506944445</v>
      </c>
      <c r="G224" s="2" t="s">
        <v>17</v>
      </c>
      <c r="H224" s="4" t="n">
        <v>-0.7184</v>
      </c>
      <c r="I224" s="2" t="s">
        <v>84</v>
      </c>
      <c r="J224" s="2" t="s">
        <v>37</v>
      </c>
      <c r="K224" s="2" t="n">
        <v>5</v>
      </c>
      <c r="L224" s="2" t="n">
        <v>0</v>
      </c>
      <c r="M224" s="2" t="n">
        <v>0</v>
      </c>
    </row>
    <row r="225" customFormat="false" ht="15" hidden="false" customHeight="false" outlineLevel="0" collapsed="false">
      <c r="A225" s="2" t="s">
        <v>545</v>
      </c>
      <c r="B225" s="2" t="s">
        <v>546</v>
      </c>
      <c r="C225" s="2" t="n">
        <v>5</v>
      </c>
      <c r="D225" s="2" t="s">
        <v>40</v>
      </c>
      <c r="E225" s="2" t="s">
        <v>16</v>
      </c>
      <c r="F225" s="3" t="n">
        <v>45684.4270833333</v>
      </c>
      <c r="G225" s="2" t="s">
        <v>17</v>
      </c>
      <c r="H225" s="4" t="n">
        <v>0.4019</v>
      </c>
      <c r="I225" s="2" t="s">
        <v>23</v>
      </c>
      <c r="J225" s="2" t="s">
        <v>33</v>
      </c>
      <c r="K225" s="2" t="n">
        <v>3</v>
      </c>
      <c r="L225" s="2" t="n">
        <v>0</v>
      </c>
      <c r="M225" s="2" t="n">
        <v>0</v>
      </c>
    </row>
    <row r="226" customFormat="false" ht="15" hidden="false" customHeight="false" outlineLevel="0" collapsed="false">
      <c r="A226" s="2" t="s">
        <v>547</v>
      </c>
      <c r="B226" s="2" t="s">
        <v>548</v>
      </c>
      <c r="C226" s="2" t="n">
        <v>3</v>
      </c>
      <c r="D226" s="2" t="s">
        <v>36</v>
      </c>
      <c r="E226" s="2" t="s">
        <v>16</v>
      </c>
      <c r="F226" s="3" t="n">
        <v>45684.4298611111</v>
      </c>
      <c r="G226" s="2" t="s">
        <v>17</v>
      </c>
      <c r="H226" s="4" t="n">
        <v>0.4404</v>
      </c>
      <c r="I226" s="2" t="s">
        <v>23</v>
      </c>
      <c r="J226" s="2" t="s">
        <v>37</v>
      </c>
      <c r="K226" s="2" t="n">
        <v>0</v>
      </c>
      <c r="L226" s="2" t="n">
        <v>0</v>
      </c>
      <c r="M226" s="2" t="n">
        <v>0</v>
      </c>
    </row>
    <row r="227" customFormat="false" ht="15" hidden="false" customHeight="false" outlineLevel="0" collapsed="false">
      <c r="A227" s="2" t="s">
        <v>549</v>
      </c>
      <c r="B227" s="2" t="s">
        <v>550</v>
      </c>
      <c r="C227" s="2" t="n">
        <v>5</v>
      </c>
      <c r="D227" s="2" t="s">
        <v>47</v>
      </c>
      <c r="E227" s="2" t="s">
        <v>16</v>
      </c>
      <c r="F227" s="3" t="n">
        <v>45684.4895833333</v>
      </c>
      <c r="G227" s="2" t="s">
        <v>17</v>
      </c>
      <c r="H227" s="4" t="n">
        <v>0.3089</v>
      </c>
      <c r="I227" s="2" t="s">
        <v>23</v>
      </c>
      <c r="J227" s="2" t="s">
        <v>19</v>
      </c>
      <c r="K227" s="2" t="n">
        <v>7</v>
      </c>
      <c r="L227" s="2" t="n">
        <v>0</v>
      </c>
      <c r="M227" s="2" t="n">
        <v>0</v>
      </c>
    </row>
    <row r="228" customFormat="false" ht="15" hidden="false" customHeight="false" outlineLevel="0" collapsed="false">
      <c r="A228" s="2" t="s">
        <v>551</v>
      </c>
      <c r="B228" s="2" t="s">
        <v>552</v>
      </c>
      <c r="C228" s="2" t="n">
        <v>1</v>
      </c>
      <c r="D228" s="2" t="s">
        <v>231</v>
      </c>
      <c r="E228" s="2" t="s">
        <v>16</v>
      </c>
      <c r="F228" s="3" t="n">
        <v>45684.5131944444</v>
      </c>
      <c r="G228" s="2" t="s">
        <v>17</v>
      </c>
      <c r="H228" s="4" t="n">
        <v>-0.3593</v>
      </c>
      <c r="I228" s="2" t="s">
        <v>84</v>
      </c>
      <c r="J228" s="2" t="s">
        <v>33</v>
      </c>
      <c r="K228" s="2" t="n">
        <v>3</v>
      </c>
      <c r="L228" s="2" t="n">
        <v>0</v>
      </c>
      <c r="M228" s="2" t="n">
        <v>0</v>
      </c>
    </row>
    <row r="229" customFormat="false" ht="15" hidden="false" customHeight="false" outlineLevel="0" collapsed="false">
      <c r="A229" s="2" t="s">
        <v>553</v>
      </c>
      <c r="B229" s="2" t="s">
        <v>554</v>
      </c>
      <c r="C229" s="2" t="n">
        <v>5</v>
      </c>
      <c r="D229" s="2" t="s">
        <v>555</v>
      </c>
      <c r="E229" s="2" t="s">
        <v>16</v>
      </c>
      <c r="F229" s="3" t="n">
        <v>45684.525</v>
      </c>
      <c r="G229" s="2" t="s">
        <v>17</v>
      </c>
      <c r="H229" s="4" t="n">
        <v>0.8221</v>
      </c>
      <c r="I229" s="2" t="s">
        <v>23</v>
      </c>
      <c r="J229" s="2" t="s">
        <v>33</v>
      </c>
      <c r="K229" s="2" t="n">
        <v>0</v>
      </c>
      <c r="L229" s="2" t="n">
        <v>0</v>
      </c>
      <c r="M229" s="2" t="n">
        <v>0</v>
      </c>
    </row>
    <row r="230" customFormat="false" ht="15" hidden="false" customHeight="false" outlineLevel="0" collapsed="false">
      <c r="A230" s="2" t="s">
        <v>556</v>
      </c>
      <c r="B230" s="2" t="s">
        <v>557</v>
      </c>
      <c r="C230" s="2" t="n">
        <v>5</v>
      </c>
      <c r="D230" s="2" t="s">
        <v>96</v>
      </c>
      <c r="E230" s="2" t="s">
        <v>16</v>
      </c>
      <c r="F230" s="3" t="n">
        <v>45684.5680555556</v>
      </c>
      <c r="G230" s="2" t="s">
        <v>17</v>
      </c>
      <c r="H230" s="4" t="n">
        <v>0.6369</v>
      </c>
      <c r="I230" s="2" t="s">
        <v>23</v>
      </c>
      <c r="J230" s="2" t="s">
        <v>19</v>
      </c>
      <c r="K230" s="2" t="n">
        <v>0</v>
      </c>
      <c r="L230" s="2" t="n">
        <v>0</v>
      </c>
      <c r="M230" s="2" t="n">
        <v>0</v>
      </c>
    </row>
    <row r="231" customFormat="false" ht="15" hidden="false" customHeight="false" outlineLevel="0" collapsed="false">
      <c r="A231" s="2" t="s">
        <v>558</v>
      </c>
      <c r="B231" s="2" t="s">
        <v>559</v>
      </c>
      <c r="C231" s="2" t="n">
        <v>3</v>
      </c>
      <c r="D231" s="2" t="s">
        <v>560</v>
      </c>
      <c r="E231" s="2" t="s">
        <v>16</v>
      </c>
      <c r="F231" s="3" t="n">
        <v>45684.6888888889</v>
      </c>
      <c r="G231" s="2" t="s">
        <v>17</v>
      </c>
      <c r="H231" s="4" t="n">
        <v>0</v>
      </c>
      <c r="I231" s="2" t="s">
        <v>18</v>
      </c>
      <c r="J231" s="2" t="s">
        <v>19</v>
      </c>
      <c r="K231" s="2" t="n">
        <v>1</v>
      </c>
      <c r="L231" s="2" t="n">
        <v>0</v>
      </c>
      <c r="M231" s="2" t="n">
        <v>0</v>
      </c>
    </row>
    <row r="232" customFormat="false" ht="15" hidden="false" customHeight="false" outlineLevel="0" collapsed="false">
      <c r="A232" s="2" t="s">
        <v>561</v>
      </c>
      <c r="B232" s="2" t="s">
        <v>562</v>
      </c>
      <c r="C232" s="2" t="n">
        <v>4</v>
      </c>
      <c r="D232" s="2" t="s">
        <v>52</v>
      </c>
      <c r="E232" s="2" t="s">
        <v>16</v>
      </c>
      <c r="F232" s="3" t="n">
        <v>45684.9111111111</v>
      </c>
      <c r="G232" s="2" t="s">
        <v>17</v>
      </c>
      <c r="H232" s="4" t="n">
        <v>0.6369</v>
      </c>
      <c r="I232" s="2" t="s">
        <v>23</v>
      </c>
      <c r="J232" s="2" t="s">
        <v>19</v>
      </c>
      <c r="K232" s="2" t="n">
        <v>4</v>
      </c>
      <c r="L232" s="2" t="n">
        <v>0</v>
      </c>
      <c r="M232" s="2" t="n">
        <v>0</v>
      </c>
    </row>
    <row r="233" customFormat="false" ht="15" hidden="false" customHeight="false" outlineLevel="0" collapsed="false">
      <c r="A233" s="2" t="s">
        <v>563</v>
      </c>
      <c r="B233" s="2" t="s">
        <v>564</v>
      </c>
      <c r="C233" s="2" t="n">
        <v>5</v>
      </c>
      <c r="D233" s="2" t="s">
        <v>565</v>
      </c>
      <c r="E233" s="2" t="s">
        <v>16</v>
      </c>
      <c r="F233" s="3" t="n">
        <v>45685.1354166667</v>
      </c>
      <c r="G233" s="2" t="s">
        <v>17</v>
      </c>
      <c r="H233" s="4" t="n">
        <v>0.7549</v>
      </c>
      <c r="I233" s="2" t="s">
        <v>23</v>
      </c>
      <c r="J233" s="2" t="s">
        <v>19</v>
      </c>
      <c r="K233" s="2" t="n">
        <v>2</v>
      </c>
      <c r="L233" s="2" t="n">
        <v>0</v>
      </c>
      <c r="M233" s="2" t="n">
        <v>0</v>
      </c>
    </row>
    <row r="234" customFormat="false" ht="15" hidden="false" customHeight="false" outlineLevel="0" collapsed="false">
      <c r="A234" s="2" t="s">
        <v>566</v>
      </c>
      <c r="B234" s="2" t="s">
        <v>567</v>
      </c>
      <c r="C234" s="2" t="n">
        <v>5</v>
      </c>
      <c r="D234" s="2" t="s">
        <v>40</v>
      </c>
      <c r="E234" s="2" t="s">
        <v>16</v>
      </c>
      <c r="F234" s="3" t="n">
        <v>45685.43125</v>
      </c>
      <c r="G234" s="2" t="s">
        <v>17</v>
      </c>
      <c r="H234" s="4" t="n">
        <v>0.4019</v>
      </c>
      <c r="I234" s="2" t="s">
        <v>23</v>
      </c>
      <c r="J234" s="2" t="s">
        <v>33</v>
      </c>
      <c r="K234" s="2" t="n">
        <v>0</v>
      </c>
      <c r="L234" s="2" t="n">
        <v>0</v>
      </c>
      <c r="M234" s="2" t="n">
        <v>0</v>
      </c>
    </row>
    <row r="235" customFormat="false" ht="15" hidden="false" customHeight="false" outlineLevel="0" collapsed="false">
      <c r="A235" s="2" t="s">
        <v>568</v>
      </c>
      <c r="B235" s="2" t="s">
        <v>569</v>
      </c>
      <c r="C235" s="2" t="n">
        <v>2</v>
      </c>
      <c r="D235" s="2" t="s">
        <v>455</v>
      </c>
      <c r="E235" s="2" t="s">
        <v>16</v>
      </c>
      <c r="F235" s="3" t="n">
        <v>45685.5673611111</v>
      </c>
      <c r="G235" s="2" t="s">
        <v>17</v>
      </c>
      <c r="H235" s="4" t="n">
        <v>-0.2263</v>
      </c>
      <c r="I235" s="2" t="s">
        <v>84</v>
      </c>
      <c r="J235" s="2" t="s">
        <v>165</v>
      </c>
      <c r="K235" s="2" t="n">
        <v>0</v>
      </c>
      <c r="L235" s="2" t="n">
        <v>1</v>
      </c>
      <c r="M235" s="2" t="n">
        <v>0</v>
      </c>
    </row>
    <row r="236" customFormat="false" ht="15" hidden="false" customHeight="false" outlineLevel="0" collapsed="false">
      <c r="A236" s="2" t="s">
        <v>570</v>
      </c>
      <c r="B236" s="2" t="s">
        <v>571</v>
      </c>
      <c r="C236" s="2" t="n">
        <v>5</v>
      </c>
      <c r="D236" s="2" t="s">
        <v>40</v>
      </c>
      <c r="E236" s="2" t="s">
        <v>16</v>
      </c>
      <c r="F236" s="3" t="n">
        <v>45685.61875</v>
      </c>
      <c r="G236" s="2" t="s">
        <v>17</v>
      </c>
      <c r="H236" s="4" t="n">
        <v>0.4019</v>
      </c>
      <c r="I236" s="2" t="s">
        <v>23</v>
      </c>
      <c r="J236" s="2" t="s">
        <v>33</v>
      </c>
      <c r="K236" s="2" t="n">
        <v>1</v>
      </c>
      <c r="L236" s="2" t="n">
        <v>0</v>
      </c>
      <c r="M236" s="2" t="n">
        <v>0</v>
      </c>
    </row>
    <row r="237" customFormat="false" ht="15" hidden="false" customHeight="false" outlineLevel="0" collapsed="false">
      <c r="A237" s="2" t="s">
        <v>572</v>
      </c>
      <c r="B237" s="2" t="s">
        <v>573</v>
      </c>
      <c r="C237" s="2" t="n">
        <v>5</v>
      </c>
      <c r="D237" s="2" t="s">
        <v>96</v>
      </c>
      <c r="E237" s="2" t="s">
        <v>16</v>
      </c>
      <c r="F237" s="3" t="n">
        <v>45685.6256944445</v>
      </c>
      <c r="G237" s="2" t="s">
        <v>17</v>
      </c>
      <c r="H237" s="4" t="n">
        <v>0.6369</v>
      </c>
      <c r="I237" s="2" t="s">
        <v>23</v>
      </c>
      <c r="J237" s="2" t="s">
        <v>19</v>
      </c>
      <c r="K237" s="2" t="n">
        <v>7</v>
      </c>
      <c r="L237" s="2" t="n">
        <v>0</v>
      </c>
      <c r="M237" s="2" t="n">
        <v>0</v>
      </c>
    </row>
    <row r="238" customFormat="false" ht="15" hidden="false" customHeight="false" outlineLevel="0" collapsed="false">
      <c r="A238" s="2" t="s">
        <v>574</v>
      </c>
      <c r="B238" s="2" t="s">
        <v>575</v>
      </c>
      <c r="C238" s="2" t="n">
        <v>3</v>
      </c>
      <c r="D238" s="2" t="s">
        <v>99</v>
      </c>
      <c r="E238" s="2" t="s">
        <v>16</v>
      </c>
      <c r="F238" s="3" t="n">
        <v>45685.6590277778</v>
      </c>
      <c r="G238" s="2" t="s">
        <v>17</v>
      </c>
      <c r="H238" s="4" t="n">
        <v>-0.3089</v>
      </c>
      <c r="I238" s="2" t="s">
        <v>84</v>
      </c>
      <c r="J238" s="2" t="s">
        <v>19</v>
      </c>
      <c r="K238" s="2" t="n">
        <v>2</v>
      </c>
      <c r="L238" s="2" t="n">
        <v>0</v>
      </c>
      <c r="M238" s="2" t="n">
        <v>0</v>
      </c>
    </row>
    <row r="239" customFormat="false" ht="15" hidden="false" customHeight="false" outlineLevel="0" collapsed="false">
      <c r="A239" s="2" t="s">
        <v>576</v>
      </c>
      <c r="B239" s="2" t="s">
        <v>577</v>
      </c>
      <c r="C239" s="2" t="n">
        <v>3</v>
      </c>
      <c r="D239" s="2" t="s">
        <v>36</v>
      </c>
      <c r="E239" s="2" t="s">
        <v>16</v>
      </c>
      <c r="F239" s="3" t="n">
        <v>45685.7388888889</v>
      </c>
      <c r="G239" s="2" t="s">
        <v>17</v>
      </c>
      <c r="H239" s="4" t="n">
        <v>0.4404</v>
      </c>
      <c r="I239" s="2" t="s">
        <v>23</v>
      </c>
      <c r="J239" s="2" t="s">
        <v>37</v>
      </c>
      <c r="K239" s="2" t="n">
        <v>0</v>
      </c>
      <c r="L239" s="2" t="n">
        <v>0</v>
      </c>
      <c r="M239" s="2" t="n">
        <v>0</v>
      </c>
    </row>
    <row r="240" customFormat="false" ht="15" hidden="false" customHeight="false" outlineLevel="0" collapsed="false">
      <c r="A240" s="2" t="s">
        <v>578</v>
      </c>
      <c r="B240" s="2" t="s">
        <v>579</v>
      </c>
      <c r="C240" s="2" t="n">
        <v>4</v>
      </c>
      <c r="D240" s="2" t="s">
        <v>269</v>
      </c>
      <c r="E240" s="2" t="s">
        <v>16</v>
      </c>
      <c r="F240" s="3" t="n">
        <v>45685.8583333333</v>
      </c>
      <c r="G240" s="2" t="s">
        <v>17</v>
      </c>
      <c r="H240" s="4" t="n">
        <v>0.8748</v>
      </c>
      <c r="I240" s="2" t="s">
        <v>23</v>
      </c>
      <c r="J240" s="2" t="s">
        <v>37</v>
      </c>
      <c r="K240" s="2" t="n">
        <v>0</v>
      </c>
      <c r="L240" s="2" t="n">
        <v>0</v>
      </c>
      <c r="M240" s="2" t="n">
        <v>0</v>
      </c>
    </row>
    <row r="241" customFormat="false" ht="15" hidden="false" customHeight="false" outlineLevel="0" collapsed="false">
      <c r="A241" s="2" t="s">
        <v>580</v>
      </c>
      <c r="B241" s="2" t="s">
        <v>581</v>
      </c>
      <c r="C241" s="2" t="n">
        <v>5</v>
      </c>
      <c r="D241" s="2" t="s">
        <v>47</v>
      </c>
      <c r="E241" s="2" t="s">
        <v>16</v>
      </c>
      <c r="F241" s="3" t="n">
        <v>45685.9951388889</v>
      </c>
      <c r="G241" s="2" t="s">
        <v>17</v>
      </c>
      <c r="H241" s="4" t="n">
        <v>0.3089</v>
      </c>
      <c r="I241" s="2" t="s">
        <v>23</v>
      </c>
      <c r="J241" s="2" t="s">
        <v>19</v>
      </c>
      <c r="K241" s="2" t="n">
        <v>12</v>
      </c>
      <c r="L241" s="2" t="n">
        <v>0</v>
      </c>
      <c r="M241" s="2" t="n">
        <v>0</v>
      </c>
    </row>
    <row r="242" customFormat="false" ht="15" hidden="false" customHeight="false" outlineLevel="0" collapsed="false">
      <c r="A242" s="2" t="s">
        <v>582</v>
      </c>
      <c r="B242" s="2" t="s">
        <v>583</v>
      </c>
      <c r="C242" s="2" t="n">
        <v>2</v>
      </c>
      <c r="D242" s="2" t="s">
        <v>455</v>
      </c>
      <c r="E242" s="2" t="s">
        <v>16</v>
      </c>
      <c r="F242" s="3" t="n">
        <v>45686.5229166667</v>
      </c>
      <c r="G242" s="2" t="s">
        <v>17</v>
      </c>
      <c r="H242" s="4" t="n">
        <v>-0.2263</v>
      </c>
      <c r="I242" s="2" t="s">
        <v>84</v>
      </c>
      <c r="J242" s="2" t="s">
        <v>165</v>
      </c>
      <c r="K242" s="2" t="n">
        <v>5</v>
      </c>
      <c r="L242" s="2" t="n">
        <v>0</v>
      </c>
      <c r="M242" s="2" t="n">
        <v>0</v>
      </c>
    </row>
    <row r="243" customFormat="false" ht="15" hidden="false" customHeight="false" outlineLevel="0" collapsed="false">
      <c r="A243" s="2" t="s">
        <v>584</v>
      </c>
      <c r="B243" s="2" t="s">
        <v>585</v>
      </c>
      <c r="C243" s="2" t="n">
        <v>1</v>
      </c>
      <c r="D243" s="2" t="s">
        <v>586</v>
      </c>
      <c r="E243" s="2" t="s">
        <v>16</v>
      </c>
      <c r="F243" s="3" t="n">
        <v>45686.5784722222</v>
      </c>
      <c r="G243" s="2" t="s">
        <v>17</v>
      </c>
      <c r="H243" s="4" t="n">
        <v>-0.7936</v>
      </c>
      <c r="I243" s="2" t="s">
        <v>84</v>
      </c>
      <c r="J243" s="2" t="s">
        <v>19</v>
      </c>
      <c r="K243" s="2" t="n">
        <v>14</v>
      </c>
      <c r="L243" s="2" t="n">
        <v>1</v>
      </c>
      <c r="M243" s="2" t="n">
        <v>0</v>
      </c>
    </row>
    <row r="244" customFormat="false" ht="15" hidden="false" customHeight="false" outlineLevel="0" collapsed="false">
      <c r="A244" s="2" t="s">
        <v>587</v>
      </c>
      <c r="B244" s="2" t="s">
        <v>588</v>
      </c>
      <c r="C244" s="2" t="n">
        <v>3</v>
      </c>
      <c r="D244" s="2" t="s">
        <v>301</v>
      </c>
      <c r="E244" s="2" t="s">
        <v>16</v>
      </c>
      <c r="F244" s="3" t="n">
        <v>45686.6152777778</v>
      </c>
      <c r="G244" s="2" t="s">
        <v>17</v>
      </c>
      <c r="H244" s="4" t="n">
        <v>0.2263</v>
      </c>
      <c r="I244" s="2" t="s">
        <v>23</v>
      </c>
      <c r="J244" s="2" t="s">
        <v>19</v>
      </c>
      <c r="K244" s="2" t="n">
        <v>2</v>
      </c>
      <c r="L244" s="2" t="n">
        <v>0</v>
      </c>
      <c r="M244" s="2" t="n">
        <v>0</v>
      </c>
    </row>
    <row r="245" customFormat="false" ht="15" hidden="false" customHeight="false" outlineLevel="0" collapsed="false">
      <c r="A245" s="2" t="s">
        <v>589</v>
      </c>
      <c r="B245" s="2" t="s">
        <v>590</v>
      </c>
      <c r="C245" s="2" t="n">
        <v>2</v>
      </c>
      <c r="D245" s="2" t="s">
        <v>591</v>
      </c>
      <c r="E245" s="2" t="s">
        <v>16</v>
      </c>
      <c r="F245" s="3" t="n">
        <v>45686.7291666667</v>
      </c>
      <c r="G245" s="2" t="s">
        <v>17</v>
      </c>
      <c r="H245" s="4" t="n">
        <v>0</v>
      </c>
      <c r="I245" s="2" t="s">
        <v>18</v>
      </c>
      <c r="J245" s="2" t="s">
        <v>37</v>
      </c>
      <c r="K245" s="2" t="n">
        <v>5</v>
      </c>
      <c r="L245" s="2" t="n">
        <v>1</v>
      </c>
      <c r="M245" s="2" t="n">
        <v>0</v>
      </c>
    </row>
    <row r="246" customFormat="false" ht="15" hidden="false" customHeight="false" outlineLevel="0" collapsed="false">
      <c r="A246" s="2" t="s">
        <v>592</v>
      </c>
      <c r="B246" s="2" t="s">
        <v>593</v>
      </c>
      <c r="C246" s="2" t="n">
        <v>3</v>
      </c>
      <c r="D246" s="2" t="s">
        <v>402</v>
      </c>
      <c r="E246" s="2" t="s">
        <v>16</v>
      </c>
      <c r="F246" s="3" t="n">
        <v>45686.8180555556</v>
      </c>
      <c r="G246" s="2" t="s">
        <v>17</v>
      </c>
      <c r="H246" s="4" t="n">
        <v>0</v>
      </c>
      <c r="I246" s="2" t="s">
        <v>18</v>
      </c>
      <c r="J246" s="2" t="s">
        <v>59</v>
      </c>
      <c r="K246" s="2" t="n">
        <v>6</v>
      </c>
      <c r="L246" s="2" t="n">
        <v>0</v>
      </c>
      <c r="M246" s="2" t="n">
        <v>0</v>
      </c>
    </row>
    <row r="247" customFormat="false" ht="15" hidden="false" customHeight="false" outlineLevel="0" collapsed="false">
      <c r="A247" s="2" t="s">
        <v>594</v>
      </c>
      <c r="B247" s="2" t="s">
        <v>595</v>
      </c>
      <c r="C247" s="2" t="n">
        <v>5</v>
      </c>
      <c r="D247" s="2" t="s">
        <v>90</v>
      </c>
      <c r="E247" s="2" t="s">
        <v>16</v>
      </c>
      <c r="F247" s="3" t="n">
        <v>45686.9076388889</v>
      </c>
      <c r="G247" s="2" t="s">
        <v>17</v>
      </c>
      <c r="H247" s="4" t="n">
        <v>0.6249</v>
      </c>
      <c r="I247" s="2" t="s">
        <v>23</v>
      </c>
      <c r="J247" s="2" t="s">
        <v>37</v>
      </c>
      <c r="K247" s="2" t="n">
        <v>7</v>
      </c>
      <c r="L247" s="2" t="n">
        <v>0</v>
      </c>
      <c r="M247" s="2" t="n">
        <v>0</v>
      </c>
    </row>
    <row r="248" customFormat="false" ht="15" hidden="false" customHeight="false" outlineLevel="0" collapsed="false">
      <c r="A248" s="2" t="s">
        <v>596</v>
      </c>
      <c r="B248" s="2" t="s">
        <v>597</v>
      </c>
      <c r="C248" s="2" t="n">
        <v>4</v>
      </c>
      <c r="D248" s="2" t="s">
        <v>90</v>
      </c>
      <c r="E248" s="2" t="s">
        <v>16</v>
      </c>
      <c r="F248" s="3" t="n">
        <v>45686.9458333333</v>
      </c>
      <c r="G248" s="2" t="s">
        <v>17</v>
      </c>
      <c r="H248" s="4" t="n">
        <v>0.6249</v>
      </c>
      <c r="I248" s="2" t="s">
        <v>23</v>
      </c>
      <c r="J248" s="2" t="s">
        <v>37</v>
      </c>
      <c r="K248" s="2" t="n">
        <v>0</v>
      </c>
      <c r="L248" s="2" t="n">
        <v>0</v>
      </c>
      <c r="M248" s="2" t="n">
        <v>0</v>
      </c>
    </row>
    <row r="249" customFormat="false" ht="15" hidden="false" customHeight="false" outlineLevel="0" collapsed="false">
      <c r="A249" s="2" t="s">
        <v>598</v>
      </c>
      <c r="B249" s="2" t="s">
        <v>599</v>
      </c>
      <c r="C249" s="2" t="n">
        <v>4</v>
      </c>
      <c r="D249" s="2" t="s">
        <v>407</v>
      </c>
      <c r="E249" s="2" t="s">
        <v>16</v>
      </c>
      <c r="F249" s="3" t="n">
        <v>45686.9465277778</v>
      </c>
      <c r="G249" s="2" t="s">
        <v>17</v>
      </c>
      <c r="H249" s="4" t="n">
        <v>0.7783</v>
      </c>
      <c r="I249" s="2" t="s">
        <v>23</v>
      </c>
      <c r="J249" s="2" t="s">
        <v>37</v>
      </c>
      <c r="K249" s="2" t="n">
        <v>6</v>
      </c>
      <c r="L249" s="2" t="n">
        <v>0</v>
      </c>
      <c r="M249" s="2" t="n">
        <v>0</v>
      </c>
    </row>
    <row r="250" customFormat="false" ht="15" hidden="false" customHeight="false" outlineLevel="0" collapsed="false">
      <c r="A250" s="2" t="s">
        <v>600</v>
      </c>
      <c r="B250" s="2" t="s">
        <v>601</v>
      </c>
      <c r="C250" s="2" t="n">
        <v>2</v>
      </c>
      <c r="D250" s="2" t="s">
        <v>58</v>
      </c>
      <c r="E250" s="2" t="s">
        <v>16</v>
      </c>
      <c r="F250" s="3" t="n">
        <v>45686.9840277778</v>
      </c>
      <c r="G250" s="2" t="s">
        <v>17</v>
      </c>
      <c r="H250" s="4" t="n">
        <v>0</v>
      </c>
      <c r="I250" s="2" t="s">
        <v>18</v>
      </c>
      <c r="J250" s="2" t="s">
        <v>59</v>
      </c>
      <c r="K250" s="2" t="n">
        <v>3</v>
      </c>
      <c r="L250" s="2" t="n">
        <v>0</v>
      </c>
      <c r="M250" s="2" t="n">
        <v>0</v>
      </c>
    </row>
    <row r="251" customFormat="false" ht="15" hidden="false" customHeight="false" outlineLevel="0" collapsed="false">
      <c r="A251" s="2" t="s">
        <v>602</v>
      </c>
      <c r="B251" s="2" t="s">
        <v>603</v>
      </c>
      <c r="C251" s="2" t="n">
        <v>4</v>
      </c>
      <c r="D251" s="2" t="s">
        <v>47</v>
      </c>
      <c r="E251" s="2" t="s">
        <v>16</v>
      </c>
      <c r="F251" s="3" t="n">
        <v>45687.3194444445</v>
      </c>
      <c r="G251" s="2" t="s">
        <v>17</v>
      </c>
      <c r="H251" s="4" t="n">
        <v>0.3089</v>
      </c>
      <c r="I251" s="2" t="s">
        <v>23</v>
      </c>
      <c r="J251" s="2" t="s">
        <v>19</v>
      </c>
      <c r="K251" s="2" t="n">
        <v>2</v>
      </c>
      <c r="L251" s="2" t="n">
        <v>0</v>
      </c>
      <c r="M251" s="2" t="n">
        <v>0</v>
      </c>
    </row>
    <row r="252" customFormat="false" ht="15" hidden="false" customHeight="false" outlineLevel="0" collapsed="false">
      <c r="A252" s="2" t="s">
        <v>604</v>
      </c>
      <c r="B252" s="2" t="s">
        <v>605</v>
      </c>
      <c r="C252" s="2" t="n">
        <v>5</v>
      </c>
      <c r="D252" s="2" t="s">
        <v>62</v>
      </c>
      <c r="E252" s="2" t="s">
        <v>16</v>
      </c>
      <c r="F252" s="3" t="n">
        <v>45687.3291666667</v>
      </c>
      <c r="G252" s="2" t="s">
        <v>17</v>
      </c>
      <c r="H252" s="4" t="n">
        <v>0.7088</v>
      </c>
      <c r="I252" s="2" t="s">
        <v>23</v>
      </c>
      <c r="J252" s="2" t="s">
        <v>19</v>
      </c>
      <c r="K252" s="2" t="n">
        <v>6</v>
      </c>
      <c r="L252" s="2" t="n">
        <v>0</v>
      </c>
      <c r="M252" s="2" t="n">
        <v>0</v>
      </c>
    </row>
    <row r="253" customFormat="false" ht="15" hidden="false" customHeight="false" outlineLevel="0" collapsed="false">
      <c r="A253" s="2" t="s">
        <v>606</v>
      </c>
      <c r="B253" s="2" t="s">
        <v>607</v>
      </c>
      <c r="C253" s="2" t="n">
        <v>4</v>
      </c>
      <c r="D253" s="2" t="s">
        <v>99</v>
      </c>
      <c r="E253" s="2" t="s">
        <v>16</v>
      </c>
      <c r="F253" s="3" t="n">
        <v>45687.3819444445</v>
      </c>
      <c r="G253" s="2" t="s">
        <v>17</v>
      </c>
      <c r="H253" s="4" t="n">
        <v>-0.3089</v>
      </c>
      <c r="I253" s="2" t="s">
        <v>84</v>
      </c>
      <c r="J253" s="2" t="s">
        <v>19</v>
      </c>
      <c r="K253" s="2" t="n">
        <v>5</v>
      </c>
      <c r="L253" s="2" t="n">
        <v>0</v>
      </c>
      <c r="M253" s="2" t="n">
        <v>0</v>
      </c>
    </row>
    <row r="254" customFormat="false" ht="15" hidden="false" customHeight="false" outlineLevel="0" collapsed="false">
      <c r="A254" s="2" t="s">
        <v>608</v>
      </c>
      <c r="B254" s="2" t="s">
        <v>609</v>
      </c>
      <c r="C254" s="2" t="n">
        <v>4</v>
      </c>
      <c r="D254" s="2" t="s">
        <v>36</v>
      </c>
      <c r="E254" s="2" t="s">
        <v>16</v>
      </c>
      <c r="F254" s="3" t="n">
        <v>45687.4993055556</v>
      </c>
      <c r="G254" s="2" t="s">
        <v>17</v>
      </c>
      <c r="H254" s="4" t="n">
        <v>0.4404</v>
      </c>
      <c r="I254" s="2" t="s">
        <v>23</v>
      </c>
      <c r="J254" s="2" t="s">
        <v>37</v>
      </c>
      <c r="K254" s="2" t="n">
        <v>0</v>
      </c>
      <c r="L254" s="2" t="n">
        <v>0</v>
      </c>
      <c r="M254" s="2" t="n">
        <v>0</v>
      </c>
    </row>
    <row r="255" customFormat="false" ht="15" hidden="false" customHeight="false" outlineLevel="0" collapsed="false">
      <c r="A255" s="2" t="s">
        <v>610</v>
      </c>
      <c r="B255" s="2" t="s">
        <v>611</v>
      </c>
      <c r="C255" s="2" t="n">
        <v>5</v>
      </c>
      <c r="D255" s="2" t="s">
        <v>47</v>
      </c>
      <c r="E255" s="2" t="s">
        <v>16</v>
      </c>
      <c r="F255" s="3" t="n">
        <v>45687.5583333333</v>
      </c>
      <c r="G255" s="2" t="s">
        <v>17</v>
      </c>
      <c r="H255" s="4" t="n">
        <v>0.3089</v>
      </c>
      <c r="I255" s="2" t="s">
        <v>23</v>
      </c>
      <c r="J255" s="2" t="s">
        <v>19</v>
      </c>
      <c r="K255" s="2" t="n">
        <v>2</v>
      </c>
      <c r="L255" s="2" t="n">
        <v>0</v>
      </c>
      <c r="M255" s="2" t="n">
        <v>0</v>
      </c>
    </row>
    <row r="256" customFormat="false" ht="15" hidden="false" customHeight="false" outlineLevel="0" collapsed="false">
      <c r="A256" s="2" t="s">
        <v>612</v>
      </c>
      <c r="B256" s="2" t="s">
        <v>613</v>
      </c>
      <c r="C256" s="2" t="n">
        <v>4</v>
      </c>
      <c r="D256" s="2" t="s">
        <v>96</v>
      </c>
      <c r="E256" s="2" t="s">
        <v>16</v>
      </c>
      <c r="F256" s="3" t="n">
        <v>45687.6805555556</v>
      </c>
      <c r="G256" s="2" t="s">
        <v>17</v>
      </c>
      <c r="H256" s="4" t="n">
        <v>0.6369</v>
      </c>
      <c r="I256" s="2" t="s">
        <v>23</v>
      </c>
      <c r="J256" s="2" t="s">
        <v>19</v>
      </c>
      <c r="K256" s="2" t="n">
        <v>1</v>
      </c>
      <c r="L256" s="2" t="n">
        <v>0</v>
      </c>
      <c r="M256" s="2" t="n">
        <v>0</v>
      </c>
    </row>
    <row r="257" customFormat="false" ht="15" hidden="false" customHeight="false" outlineLevel="0" collapsed="false">
      <c r="A257" s="2" t="s">
        <v>614</v>
      </c>
      <c r="B257" s="2" t="s">
        <v>615</v>
      </c>
      <c r="C257" s="2" t="n">
        <v>5</v>
      </c>
      <c r="D257" s="2" t="s">
        <v>116</v>
      </c>
      <c r="E257" s="2" t="s">
        <v>16</v>
      </c>
      <c r="F257" s="3" t="n">
        <v>45687.7090277778</v>
      </c>
      <c r="G257" s="2" t="s">
        <v>17</v>
      </c>
      <c r="H257" s="4" t="n">
        <v>0.9359</v>
      </c>
      <c r="I257" s="2" t="s">
        <v>23</v>
      </c>
      <c r="J257" s="2" t="s">
        <v>37</v>
      </c>
      <c r="K257" s="2" t="n">
        <v>3</v>
      </c>
      <c r="L257" s="2" t="n">
        <v>1</v>
      </c>
      <c r="M257" s="2" t="n">
        <v>0</v>
      </c>
    </row>
    <row r="258" customFormat="false" ht="15" hidden="false" customHeight="false" outlineLevel="0" collapsed="false">
      <c r="A258" s="2" t="s">
        <v>616</v>
      </c>
      <c r="B258" s="2" t="s">
        <v>617</v>
      </c>
      <c r="C258" s="2" t="n">
        <v>5</v>
      </c>
      <c r="D258" s="2" t="s">
        <v>407</v>
      </c>
      <c r="E258" s="2" t="s">
        <v>16</v>
      </c>
      <c r="F258" s="3" t="n">
        <v>45687.8416666667</v>
      </c>
      <c r="G258" s="2" t="s">
        <v>17</v>
      </c>
      <c r="H258" s="4" t="n">
        <v>0.7783</v>
      </c>
      <c r="I258" s="2" t="s">
        <v>23</v>
      </c>
      <c r="J258" s="2" t="s">
        <v>37</v>
      </c>
      <c r="K258" s="2" t="n">
        <v>5</v>
      </c>
      <c r="L258" s="2" t="n">
        <v>0</v>
      </c>
      <c r="M258" s="2" t="n">
        <v>0</v>
      </c>
    </row>
    <row r="259" customFormat="false" ht="15" hidden="false" customHeight="false" outlineLevel="0" collapsed="false">
      <c r="A259" s="2" t="s">
        <v>618</v>
      </c>
      <c r="B259" s="2" t="s">
        <v>619</v>
      </c>
      <c r="C259" s="2" t="n">
        <v>5</v>
      </c>
      <c r="D259" s="2" t="s">
        <v>127</v>
      </c>
      <c r="E259" s="2" t="s">
        <v>16</v>
      </c>
      <c r="F259" s="3" t="n">
        <v>45687.8527777778</v>
      </c>
      <c r="G259" s="2" t="s">
        <v>17</v>
      </c>
      <c r="H259" s="4" t="n">
        <v>0.9359</v>
      </c>
      <c r="I259" s="2" t="s">
        <v>23</v>
      </c>
      <c r="J259" s="2" t="s">
        <v>37</v>
      </c>
      <c r="K259" s="2" t="n">
        <v>1</v>
      </c>
      <c r="L259" s="2" t="n">
        <v>0</v>
      </c>
      <c r="M259" s="2" t="n">
        <v>0</v>
      </c>
    </row>
    <row r="260" customFormat="false" ht="15" hidden="false" customHeight="false" outlineLevel="0" collapsed="false">
      <c r="A260" s="2" t="s">
        <v>620</v>
      </c>
      <c r="B260" s="2" t="s">
        <v>621</v>
      </c>
      <c r="C260" s="2" t="n">
        <v>5</v>
      </c>
      <c r="D260" s="2" t="s">
        <v>47</v>
      </c>
      <c r="E260" s="2" t="s">
        <v>16</v>
      </c>
      <c r="F260" s="3" t="n">
        <v>45687.9256944444</v>
      </c>
      <c r="G260" s="2" t="s">
        <v>17</v>
      </c>
      <c r="H260" s="4" t="n">
        <v>0.3089</v>
      </c>
      <c r="I260" s="2" t="s">
        <v>23</v>
      </c>
      <c r="J260" s="2" t="s">
        <v>19</v>
      </c>
      <c r="K260" s="2" t="n">
        <v>9</v>
      </c>
      <c r="L260" s="2" t="n">
        <v>0</v>
      </c>
      <c r="M260" s="2" t="n">
        <v>0</v>
      </c>
    </row>
    <row r="261" customFormat="false" ht="15" hidden="false" customHeight="false" outlineLevel="0" collapsed="false">
      <c r="A261" s="2" t="s">
        <v>622</v>
      </c>
      <c r="B261" s="2" t="s">
        <v>623</v>
      </c>
      <c r="C261" s="2" t="n">
        <v>1</v>
      </c>
      <c r="D261" s="2" t="s">
        <v>624</v>
      </c>
      <c r="E261" s="2" t="s">
        <v>16</v>
      </c>
      <c r="F261" s="3" t="n">
        <v>45687.9590277778</v>
      </c>
      <c r="G261" s="2" t="s">
        <v>17</v>
      </c>
      <c r="H261" s="4" t="n">
        <v>-0.25</v>
      </c>
      <c r="I261" s="2" t="s">
        <v>84</v>
      </c>
      <c r="J261" s="2" t="s">
        <v>37</v>
      </c>
      <c r="K261" s="2" t="n">
        <v>10</v>
      </c>
      <c r="L261" s="2" t="n">
        <v>0</v>
      </c>
      <c r="M261" s="2" t="n">
        <v>0</v>
      </c>
    </row>
    <row r="262" customFormat="false" ht="15" hidden="false" customHeight="false" outlineLevel="0" collapsed="false">
      <c r="A262" s="2" t="s">
        <v>625</v>
      </c>
      <c r="B262" s="2" t="s">
        <v>626</v>
      </c>
      <c r="C262" s="2" t="n">
        <v>5</v>
      </c>
      <c r="D262" s="2" t="s">
        <v>62</v>
      </c>
      <c r="E262" s="2" t="s">
        <v>16</v>
      </c>
      <c r="F262" s="3" t="n">
        <v>45688.0736111111</v>
      </c>
      <c r="G262" s="2" t="s">
        <v>17</v>
      </c>
      <c r="H262" s="4" t="n">
        <v>0.7088</v>
      </c>
      <c r="I262" s="2" t="s">
        <v>23</v>
      </c>
      <c r="J262" s="2" t="s">
        <v>19</v>
      </c>
      <c r="K262" s="2" t="n">
        <v>2</v>
      </c>
      <c r="L262" s="2" t="n">
        <v>0</v>
      </c>
      <c r="M262" s="2" t="n">
        <v>0</v>
      </c>
    </row>
    <row r="263" customFormat="false" ht="15" hidden="false" customHeight="false" outlineLevel="0" collapsed="false">
      <c r="A263" s="2" t="s">
        <v>627</v>
      </c>
      <c r="B263" s="2" t="s">
        <v>628</v>
      </c>
      <c r="C263" s="2" t="n">
        <v>1</v>
      </c>
      <c r="D263" s="2" t="s">
        <v>83</v>
      </c>
      <c r="E263" s="2" t="s">
        <v>16</v>
      </c>
      <c r="F263" s="3" t="n">
        <v>45688.1986111111</v>
      </c>
      <c r="G263" s="2" t="s">
        <v>17</v>
      </c>
      <c r="H263" s="4" t="n">
        <v>-0.6166</v>
      </c>
      <c r="I263" s="2" t="s">
        <v>84</v>
      </c>
      <c r="J263" s="2" t="s">
        <v>59</v>
      </c>
      <c r="K263" s="2" t="n">
        <v>4</v>
      </c>
      <c r="L263" s="2" t="n">
        <v>1</v>
      </c>
      <c r="M263" s="2" t="n">
        <v>0</v>
      </c>
    </row>
    <row r="264" customFormat="false" ht="15" hidden="false" customHeight="false" outlineLevel="0" collapsed="false">
      <c r="A264" s="2" t="s">
        <v>629</v>
      </c>
      <c r="B264" s="2" t="s">
        <v>630</v>
      </c>
      <c r="C264" s="2" t="n">
        <v>5</v>
      </c>
      <c r="D264" s="2" t="s">
        <v>15</v>
      </c>
      <c r="E264" s="2" t="s">
        <v>16</v>
      </c>
      <c r="F264" s="3" t="n">
        <v>45688.2277777778</v>
      </c>
      <c r="G264" s="2" t="s">
        <v>17</v>
      </c>
      <c r="H264" s="4" t="n">
        <v>0</v>
      </c>
      <c r="I264" s="2" t="s">
        <v>18</v>
      </c>
      <c r="J264" s="2" t="s">
        <v>19</v>
      </c>
      <c r="K264" s="2" t="n">
        <v>3</v>
      </c>
      <c r="L264" s="2" t="n">
        <v>0</v>
      </c>
      <c r="M264" s="2" t="n">
        <v>0</v>
      </c>
    </row>
    <row r="265" customFormat="false" ht="15" hidden="false" customHeight="false" outlineLevel="0" collapsed="false">
      <c r="A265" s="2" t="s">
        <v>631</v>
      </c>
      <c r="B265" s="2" t="s">
        <v>632</v>
      </c>
      <c r="C265" s="2" t="n">
        <v>4</v>
      </c>
      <c r="D265" s="2" t="s">
        <v>47</v>
      </c>
      <c r="E265" s="2" t="s">
        <v>16</v>
      </c>
      <c r="F265" s="3" t="n">
        <v>45688.2868055556</v>
      </c>
      <c r="G265" s="2" t="s">
        <v>17</v>
      </c>
      <c r="H265" s="4" t="n">
        <v>0.3089</v>
      </c>
      <c r="I265" s="2" t="s">
        <v>23</v>
      </c>
      <c r="J265" s="2" t="s">
        <v>19</v>
      </c>
      <c r="K265" s="2" t="n">
        <v>7</v>
      </c>
      <c r="L265" s="2" t="n">
        <v>0</v>
      </c>
      <c r="M265" s="2" t="n">
        <v>0</v>
      </c>
    </row>
    <row r="266" customFormat="false" ht="15" hidden="false" customHeight="false" outlineLevel="0" collapsed="false">
      <c r="A266" s="2" t="s">
        <v>633</v>
      </c>
      <c r="B266" s="2" t="s">
        <v>634</v>
      </c>
      <c r="C266" s="2" t="n">
        <v>4</v>
      </c>
      <c r="D266" s="2" t="s">
        <v>22</v>
      </c>
      <c r="E266" s="2" t="s">
        <v>16</v>
      </c>
      <c r="F266" s="3" t="n">
        <v>45688.3472222222</v>
      </c>
      <c r="G266" s="2" t="s">
        <v>17</v>
      </c>
      <c r="H266" s="4" t="n">
        <v>0.2023</v>
      </c>
      <c r="I266" s="2" t="s">
        <v>23</v>
      </c>
      <c r="J266" s="2" t="s">
        <v>19</v>
      </c>
      <c r="K266" s="2" t="n">
        <v>0</v>
      </c>
      <c r="L266" s="2" t="n">
        <v>0</v>
      </c>
      <c r="M266" s="2" t="n">
        <v>0</v>
      </c>
    </row>
    <row r="267" customFormat="false" ht="15" hidden="false" customHeight="false" outlineLevel="0" collapsed="false">
      <c r="A267" s="2" t="s">
        <v>635</v>
      </c>
      <c r="B267" s="2" t="s">
        <v>636</v>
      </c>
      <c r="C267" s="2" t="n">
        <v>5</v>
      </c>
      <c r="D267" s="2" t="s">
        <v>127</v>
      </c>
      <c r="E267" s="2" t="s">
        <v>16</v>
      </c>
      <c r="F267" s="3" t="n">
        <v>45688.4180555556</v>
      </c>
      <c r="G267" s="2" t="s">
        <v>17</v>
      </c>
      <c r="H267" s="4" t="n">
        <v>0.9359</v>
      </c>
      <c r="I267" s="2" t="s">
        <v>23</v>
      </c>
      <c r="J267" s="2" t="s">
        <v>37</v>
      </c>
      <c r="K267" s="2" t="n">
        <v>7</v>
      </c>
      <c r="L267" s="2" t="n">
        <v>0</v>
      </c>
      <c r="M267" s="2" t="n">
        <v>0</v>
      </c>
    </row>
    <row r="268" customFormat="false" ht="15" hidden="false" customHeight="false" outlineLevel="0" collapsed="false">
      <c r="A268" s="2" t="s">
        <v>637</v>
      </c>
      <c r="B268" s="2" t="s">
        <v>638</v>
      </c>
      <c r="C268" s="2" t="n">
        <v>5</v>
      </c>
      <c r="D268" s="2" t="s">
        <v>639</v>
      </c>
      <c r="E268" s="2" t="s">
        <v>16</v>
      </c>
      <c r="F268" s="3" t="n">
        <v>45688.5923611111</v>
      </c>
      <c r="G268" s="2" t="s">
        <v>17</v>
      </c>
      <c r="H268" s="4" t="n">
        <v>0.7088</v>
      </c>
      <c r="I268" s="2" t="s">
        <v>23</v>
      </c>
      <c r="J268" s="2" t="s">
        <v>19</v>
      </c>
      <c r="K268" s="2" t="n">
        <v>1</v>
      </c>
      <c r="L268" s="2" t="n">
        <v>0</v>
      </c>
      <c r="M268" s="2" t="n">
        <v>0</v>
      </c>
    </row>
    <row r="269" customFormat="false" ht="15" hidden="false" customHeight="false" outlineLevel="0" collapsed="false">
      <c r="A269" s="2" t="s">
        <v>640</v>
      </c>
      <c r="B269" s="2" t="s">
        <v>641</v>
      </c>
      <c r="C269" s="2" t="n">
        <v>5</v>
      </c>
      <c r="D269" s="2" t="s">
        <v>90</v>
      </c>
      <c r="E269" s="2" t="s">
        <v>16</v>
      </c>
      <c r="F269" s="3" t="n">
        <v>45688.6756944444</v>
      </c>
      <c r="G269" s="2" t="s">
        <v>17</v>
      </c>
      <c r="H269" s="4" t="n">
        <v>0.6249</v>
      </c>
      <c r="I269" s="2" t="s">
        <v>23</v>
      </c>
      <c r="J269" s="2" t="s">
        <v>37</v>
      </c>
      <c r="K269" s="2" t="n">
        <v>3</v>
      </c>
      <c r="L269" s="2" t="n">
        <v>0</v>
      </c>
      <c r="M269" s="2" t="n">
        <v>0</v>
      </c>
    </row>
    <row r="270" customFormat="false" ht="15" hidden="false" customHeight="false" outlineLevel="0" collapsed="false">
      <c r="A270" s="2" t="s">
        <v>642</v>
      </c>
      <c r="B270" s="2" t="s">
        <v>643</v>
      </c>
      <c r="C270" s="2" t="n">
        <v>3</v>
      </c>
      <c r="D270" s="2" t="s">
        <v>22</v>
      </c>
      <c r="E270" s="2" t="s">
        <v>16</v>
      </c>
      <c r="F270" s="3" t="n">
        <v>45688.9736111111</v>
      </c>
      <c r="G270" s="2" t="s">
        <v>17</v>
      </c>
      <c r="H270" s="4" t="n">
        <v>0.2023</v>
      </c>
      <c r="I270" s="2" t="s">
        <v>23</v>
      </c>
      <c r="J270" s="2" t="s">
        <v>19</v>
      </c>
      <c r="K270" s="2" t="n">
        <v>0</v>
      </c>
      <c r="L270" s="2" t="n">
        <v>0</v>
      </c>
      <c r="M270" s="2" t="n">
        <v>0</v>
      </c>
    </row>
    <row r="271" customFormat="false" ht="15" hidden="false" customHeight="false" outlineLevel="0" collapsed="false">
      <c r="A271" s="2" t="s">
        <v>644</v>
      </c>
      <c r="B271" s="2" t="s">
        <v>645</v>
      </c>
      <c r="C271" s="2" t="n">
        <v>5</v>
      </c>
      <c r="D271" s="2" t="s">
        <v>127</v>
      </c>
      <c r="E271" s="2" t="s">
        <v>16</v>
      </c>
      <c r="F271" s="3" t="n">
        <v>45689.0902777778</v>
      </c>
      <c r="G271" s="2" t="s">
        <v>646</v>
      </c>
      <c r="H271" s="4" t="n">
        <v>0.9359</v>
      </c>
      <c r="I271" s="2" t="s">
        <v>23</v>
      </c>
      <c r="J271" s="2" t="s">
        <v>37</v>
      </c>
      <c r="K271" s="2" t="n">
        <v>7</v>
      </c>
      <c r="L271" s="2" t="n">
        <v>0</v>
      </c>
      <c r="M271" s="2" t="n">
        <v>0</v>
      </c>
    </row>
    <row r="272" customFormat="false" ht="15" hidden="false" customHeight="false" outlineLevel="0" collapsed="false">
      <c r="A272" s="2" t="s">
        <v>647</v>
      </c>
      <c r="B272" s="2" t="s">
        <v>648</v>
      </c>
      <c r="C272" s="2" t="n">
        <v>4</v>
      </c>
      <c r="D272" s="2" t="s">
        <v>649</v>
      </c>
      <c r="E272" s="2" t="s">
        <v>16</v>
      </c>
      <c r="F272" s="3" t="n">
        <v>45689.13125</v>
      </c>
      <c r="G272" s="2" t="s">
        <v>646</v>
      </c>
      <c r="H272" s="4" t="n">
        <v>0.2023</v>
      </c>
      <c r="I272" s="2" t="s">
        <v>23</v>
      </c>
      <c r="J272" s="2" t="s">
        <v>19</v>
      </c>
      <c r="K272" s="2" t="n">
        <v>0</v>
      </c>
      <c r="L272" s="2" t="n">
        <v>1</v>
      </c>
      <c r="M272" s="2" t="n">
        <v>0</v>
      </c>
    </row>
    <row r="273" customFormat="false" ht="15" hidden="false" customHeight="false" outlineLevel="0" collapsed="false">
      <c r="A273" s="2" t="s">
        <v>650</v>
      </c>
      <c r="B273" s="2" t="s">
        <v>651</v>
      </c>
      <c r="C273" s="2" t="n">
        <v>5</v>
      </c>
      <c r="D273" s="2" t="s">
        <v>652</v>
      </c>
      <c r="E273" s="2" t="s">
        <v>16</v>
      </c>
      <c r="F273" s="3" t="n">
        <v>45689.2715277778</v>
      </c>
      <c r="G273" s="2" t="s">
        <v>646</v>
      </c>
      <c r="H273" s="4" t="n">
        <v>0.8555</v>
      </c>
      <c r="I273" s="2" t="s">
        <v>23</v>
      </c>
      <c r="J273" s="2" t="s">
        <v>19</v>
      </c>
      <c r="K273" s="2" t="n">
        <v>1</v>
      </c>
      <c r="L273" s="2" t="n">
        <v>0</v>
      </c>
      <c r="M273" s="2" t="n">
        <v>0</v>
      </c>
    </row>
    <row r="274" customFormat="false" ht="15" hidden="false" customHeight="false" outlineLevel="0" collapsed="false">
      <c r="A274" s="2" t="s">
        <v>653</v>
      </c>
      <c r="B274" s="2" t="s">
        <v>654</v>
      </c>
      <c r="C274" s="2" t="n">
        <v>4</v>
      </c>
      <c r="D274" s="2" t="s">
        <v>52</v>
      </c>
      <c r="E274" s="2" t="s">
        <v>16</v>
      </c>
      <c r="F274" s="3" t="n">
        <v>45689.3888888889</v>
      </c>
      <c r="G274" s="2" t="s">
        <v>646</v>
      </c>
      <c r="H274" s="4" t="n">
        <v>0.6369</v>
      </c>
      <c r="I274" s="2" t="s">
        <v>23</v>
      </c>
      <c r="J274" s="2" t="s">
        <v>19</v>
      </c>
      <c r="K274" s="2" t="n">
        <v>0</v>
      </c>
      <c r="L274" s="2" t="n">
        <v>0</v>
      </c>
      <c r="M274" s="2" t="n">
        <v>0</v>
      </c>
    </row>
    <row r="275" customFormat="false" ht="15" hidden="false" customHeight="false" outlineLevel="0" collapsed="false">
      <c r="A275" s="2" t="s">
        <v>655</v>
      </c>
      <c r="B275" s="2" t="s">
        <v>656</v>
      </c>
      <c r="C275" s="2" t="n">
        <v>5</v>
      </c>
      <c r="D275" s="2" t="s">
        <v>15</v>
      </c>
      <c r="E275" s="2" t="s">
        <v>16</v>
      </c>
      <c r="F275" s="3" t="n">
        <v>45689.4784722222</v>
      </c>
      <c r="G275" s="2" t="s">
        <v>646</v>
      </c>
      <c r="H275" s="4" t="n">
        <v>0</v>
      </c>
      <c r="I275" s="2" t="s">
        <v>18</v>
      </c>
      <c r="J275" s="2" t="s">
        <v>19</v>
      </c>
      <c r="K275" s="2" t="n">
        <v>0</v>
      </c>
      <c r="L275" s="2" t="n">
        <v>1</v>
      </c>
      <c r="M275" s="2" t="n">
        <v>0</v>
      </c>
    </row>
    <row r="276" customFormat="false" ht="15" hidden="false" customHeight="false" outlineLevel="0" collapsed="false">
      <c r="A276" s="2" t="s">
        <v>657</v>
      </c>
      <c r="B276" s="2" t="s">
        <v>658</v>
      </c>
      <c r="C276" s="2" t="n">
        <v>5</v>
      </c>
      <c r="D276" s="2" t="s">
        <v>127</v>
      </c>
      <c r="E276" s="2" t="s">
        <v>16</v>
      </c>
      <c r="F276" s="3" t="n">
        <v>45689.5416666667</v>
      </c>
      <c r="G276" s="2" t="s">
        <v>646</v>
      </c>
      <c r="H276" s="4" t="n">
        <v>0.9359</v>
      </c>
      <c r="I276" s="2" t="s">
        <v>23</v>
      </c>
      <c r="J276" s="2" t="s">
        <v>37</v>
      </c>
      <c r="K276" s="2" t="n">
        <v>0</v>
      </c>
      <c r="L276" s="2" t="n">
        <v>0</v>
      </c>
      <c r="M276" s="2" t="n">
        <v>0</v>
      </c>
    </row>
    <row r="277" customFormat="false" ht="15" hidden="false" customHeight="false" outlineLevel="0" collapsed="false">
      <c r="A277" s="2" t="s">
        <v>659</v>
      </c>
      <c r="B277" s="2" t="s">
        <v>660</v>
      </c>
      <c r="C277" s="2" t="n">
        <v>2</v>
      </c>
      <c r="D277" s="2" t="s">
        <v>661</v>
      </c>
      <c r="E277" s="2" t="s">
        <v>16</v>
      </c>
      <c r="F277" s="3" t="n">
        <v>45689.55</v>
      </c>
      <c r="G277" s="2" t="s">
        <v>646</v>
      </c>
      <c r="H277" s="4" t="n">
        <v>0</v>
      </c>
      <c r="I277" s="2" t="s">
        <v>18</v>
      </c>
      <c r="J277" s="2" t="s">
        <v>59</v>
      </c>
      <c r="K277" s="2" t="n">
        <v>0</v>
      </c>
      <c r="L277" s="2" t="n">
        <v>0</v>
      </c>
      <c r="M277" s="2" t="n">
        <v>0</v>
      </c>
    </row>
    <row r="278" customFormat="false" ht="15" hidden="false" customHeight="false" outlineLevel="0" collapsed="false">
      <c r="A278" s="2" t="s">
        <v>662</v>
      </c>
      <c r="B278" s="2" t="s">
        <v>663</v>
      </c>
      <c r="C278" s="2" t="n">
        <v>2</v>
      </c>
      <c r="D278" s="2" t="s">
        <v>58</v>
      </c>
      <c r="E278" s="2" t="s">
        <v>16</v>
      </c>
      <c r="F278" s="3" t="n">
        <v>45689.6958333333</v>
      </c>
      <c r="G278" s="2" t="s">
        <v>646</v>
      </c>
      <c r="H278" s="4" t="n">
        <v>0</v>
      </c>
      <c r="I278" s="2" t="s">
        <v>18</v>
      </c>
      <c r="J278" s="2" t="s">
        <v>59</v>
      </c>
      <c r="K278" s="2" t="n">
        <v>3</v>
      </c>
      <c r="L278" s="2" t="n">
        <v>1</v>
      </c>
      <c r="M278" s="2" t="n">
        <v>0</v>
      </c>
    </row>
    <row r="279" customFormat="false" ht="15" hidden="false" customHeight="false" outlineLevel="0" collapsed="false">
      <c r="A279" s="2" t="s">
        <v>664</v>
      </c>
      <c r="B279" s="2" t="s">
        <v>665</v>
      </c>
      <c r="C279" s="2" t="n">
        <v>5</v>
      </c>
      <c r="D279" s="2" t="s">
        <v>127</v>
      </c>
      <c r="E279" s="2" t="s">
        <v>16</v>
      </c>
      <c r="F279" s="3" t="n">
        <v>45689.6958333333</v>
      </c>
      <c r="G279" s="2" t="s">
        <v>646</v>
      </c>
      <c r="H279" s="4" t="n">
        <v>0.9359</v>
      </c>
      <c r="I279" s="2" t="s">
        <v>23</v>
      </c>
      <c r="J279" s="2" t="s">
        <v>37</v>
      </c>
      <c r="K279" s="2" t="n">
        <v>3</v>
      </c>
      <c r="L279" s="2" t="n">
        <v>0</v>
      </c>
      <c r="M279" s="2" t="n">
        <v>0</v>
      </c>
    </row>
    <row r="280" customFormat="false" ht="15" hidden="false" customHeight="false" outlineLevel="0" collapsed="false">
      <c r="A280" s="2" t="s">
        <v>666</v>
      </c>
      <c r="B280" s="2" t="s">
        <v>667</v>
      </c>
      <c r="C280" s="2" t="n">
        <v>5</v>
      </c>
      <c r="D280" s="2" t="s">
        <v>62</v>
      </c>
      <c r="E280" s="2" t="s">
        <v>16</v>
      </c>
      <c r="F280" s="3" t="n">
        <v>45689.7055555556</v>
      </c>
      <c r="G280" s="2" t="s">
        <v>646</v>
      </c>
      <c r="H280" s="4" t="n">
        <v>0.7088</v>
      </c>
      <c r="I280" s="2" t="s">
        <v>23</v>
      </c>
      <c r="J280" s="2" t="s">
        <v>19</v>
      </c>
      <c r="K280" s="2" t="n">
        <v>8</v>
      </c>
      <c r="L280" s="2" t="n">
        <v>0</v>
      </c>
      <c r="M280" s="2" t="n">
        <v>0</v>
      </c>
    </row>
    <row r="281" customFormat="false" ht="15" hidden="false" customHeight="false" outlineLevel="0" collapsed="false">
      <c r="A281" s="2" t="s">
        <v>668</v>
      </c>
      <c r="B281" s="2" t="s">
        <v>669</v>
      </c>
      <c r="C281" s="2" t="n">
        <v>4</v>
      </c>
      <c r="D281" s="2" t="s">
        <v>62</v>
      </c>
      <c r="E281" s="2" t="s">
        <v>16</v>
      </c>
      <c r="F281" s="3" t="n">
        <v>45689.8076388889</v>
      </c>
      <c r="G281" s="2" t="s">
        <v>646</v>
      </c>
      <c r="H281" s="4" t="n">
        <v>0.7088</v>
      </c>
      <c r="I281" s="2" t="s">
        <v>23</v>
      </c>
      <c r="J281" s="2" t="s">
        <v>19</v>
      </c>
      <c r="K281" s="2" t="n">
        <v>7</v>
      </c>
      <c r="L281" s="2" t="n">
        <v>0</v>
      </c>
      <c r="M281" s="2" t="n">
        <v>0</v>
      </c>
    </row>
    <row r="282" customFormat="false" ht="15" hidden="false" customHeight="false" outlineLevel="0" collapsed="false">
      <c r="A282" s="2" t="s">
        <v>670</v>
      </c>
      <c r="B282" s="2" t="s">
        <v>671</v>
      </c>
      <c r="C282" s="2" t="n">
        <v>5</v>
      </c>
      <c r="D282" s="2" t="s">
        <v>90</v>
      </c>
      <c r="E282" s="2" t="s">
        <v>16</v>
      </c>
      <c r="F282" s="3" t="n">
        <v>45689.8159722222</v>
      </c>
      <c r="G282" s="2" t="s">
        <v>646</v>
      </c>
      <c r="H282" s="4" t="n">
        <v>0.6249</v>
      </c>
      <c r="I282" s="2" t="s">
        <v>23</v>
      </c>
      <c r="J282" s="2" t="s">
        <v>37</v>
      </c>
      <c r="K282" s="2" t="n">
        <v>0</v>
      </c>
      <c r="L282" s="2" t="n">
        <v>1</v>
      </c>
      <c r="M282" s="2" t="n">
        <v>0</v>
      </c>
    </row>
    <row r="283" customFormat="false" ht="15" hidden="false" customHeight="false" outlineLevel="0" collapsed="false">
      <c r="A283" s="2" t="s">
        <v>672</v>
      </c>
      <c r="B283" s="2" t="s">
        <v>673</v>
      </c>
      <c r="C283" s="2" t="n">
        <v>5</v>
      </c>
      <c r="D283" s="2" t="s">
        <v>674</v>
      </c>
      <c r="E283" s="2" t="s">
        <v>16</v>
      </c>
      <c r="F283" s="3" t="n">
        <v>45689.8326388889</v>
      </c>
      <c r="G283" s="2" t="s">
        <v>646</v>
      </c>
      <c r="H283" s="4" t="n">
        <v>0.9481</v>
      </c>
      <c r="I283" s="2" t="s">
        <v>23</v>
      </c>
      <c r="J283" s="2" t="s">
        <v>37</v>
      </c>
      <c r="K283" s="2" t="n">
        <v>2</v>
      </c>
      <c r="L283" s="2" t="n">
        <v>0</v>
      </c>
      <c r="M283" s="2" t="n">
        <v>0</v>
      </c>
    </row>
    <row r="284" customFormat="false" ht="15" hidden="false" customHeight="false" outlineLevel="0" collapsed="false">
      <c r="A284" s="2" t="s">
        <v>675</v>
      </c>
      <c r="B284" s="2" t="s">
        <v>676</v>
      </c>
      <c r="C284" s="2" t="n">
        <v>5</v>
      </c>
      <c r="D284" s="2" t="s">
        <v>96</v>
      </c>
      <c r="E284" s="2" t="s">
        <v>16</v>
      </c>
      <c r="F284" s="3" t="n">
        <v>45689.9388888889</v>
      </c>
      <c r="G284" s="2" t="s">
        <v>646</v>
      </c>
      <c r="H284" s="4" t="n">
        <v>0.6369</v>
      </c>
      <c r="I284" s="2" t="s">
        <v>23</v>
      </c>
      <c r="J284" s="2" t="s">
        <v>19</v>
      </c>
      <c r="K284" s="2" t="n">
        <v>2</v>
      </c>
      <c r="L284" s="2" t="n">
        <v>0</v>
      </c>
      <c r="M284" s="2" t="n">
        <v>0</v>
      </c>
    </row>
    <row r="285" customFormat="false" ht="15" hidden="false" customHeight="false" outlineLevel="0" collapsed="false">
      <c r="A285" s="2" t="s">
        <v>677</v>
      </c>
      <c r="B285" s="2" t="s">
        <v>678</v>
      </c>
      <c r="C285" s="2" t="n">
        <v>5</v>
      </c>
      <c r="D285" s="2" t="s">
        <v>47</v>
      </c>
      <c r="E285" s="2" t="s">
        <v>16</v>
      </c>
      <c r="F285" s="3" t="n">
        <v>45690.025</v>
      </c>
      <c r="G285" s="2" t="s">
        <v>646</v>
      </c>
      <c r="H285" s="4" t="n">
        <v>0.3089</v>
      </c>
      <c r="I285" s="2" t="s">
        <v>23</v>
      </c>
      <c r="J285" s="2" t="s">
        <v>19</v>
      </c>
      <c r="K285" s="2" t="n">
        <v>0</v>
      </c>
      <c r="L285" s="2" t="n">
        <v>0</v>
      </c>
      <c r="M285" s="2" t="n">
        <v>0</v>
      </c>
    </row>
    <row r="286" customFormat="false" ht="15" hidden="false" customHeight="false" outlineLevel="0" collapsed="false">
      <c r="A286" s="2" t="s">
        <v>679</v>
      </c>
      <c r="B286" s="2" t="s">
        <v>680</v>
      </c>
      <c r="C286" s="2" t="n">
        <v>3</v>
      </c>
      <c r="D286" s="2" t="s">
        <v>36</v>
      </c>
      <c r="E286" s="2" t="s">
        <v>16</v>
      </c>
      <c r="F286" s="3" t="n">
        <v>45690.0763888889</v>
      </c>
      <c r="G286" s="2" t="s">
        <v>646</v>
      </c>
      <c r="H286" s="4" t="n">
        <v>0.4404</v>
      </c>
      <c r="I286" s="2" t="s">
        <v>23</v>
      </c>
      <c r="J286" s="2" t="s">
        <v>37</v>
      </c>
      <c r="K286" s="2" t="n">
        <v>1</v>
      </c>
      <c r="L286" s="2" t="n">
        <v>0</v>
      </c>
      <c r="M286" s="2" t="n">
        <v>0</v>
      </c>
    </row>
    <row r="287" customFormat="false" ht="15" hidden="false" customHeight="false" outlineLevel="0" collapsed="false">
      <c r="A287" s="2" t="s">
        <v>681</v>
      </c>
      <c r="B287" s="2" t="s">
        <v>682</v>
      </c>
      <c r="C287" s="2" t="n">
        <v>1</v>
      </c>
      <c r="D287" s="2" t="s">
        <v>683</v>
      </c>
      <c r="E287" s="2" t="s">
        <v>16</v>
      </c>
      <c r="F287" s="3" t="n">
        <v>45690.2055555556</v>
      </c>
      <c r="G287" s="2" t="s">
        <v>646</v>
      </c>
      <c r="H287" s="4" t="n">
        <v>-0.7819</v>
      </c>
      <c r="I287" s="2" t="s">
        <v>84</v>
      </c>
      <c r="J287" s="2" t="s">
        <v>110</v>
      </c>
      <c r="K287" s="2" t="n">
        <v>13</v>
      </c>
      <c r="L287" s="2" t="n">
        <v>1</v>
      </c>
      <c r="M287" s="2" t="n">
        <v>0</v>
      </c>
    </row>
    <row r="288" customFormat="false" ht="15" hidden="false" customHeight="false" outlineLevel="0" collapsed="false">
      <c r="A288" s="2" t="s">
        <v>684</v>
      </c>
      <c r="B288" s="2" t="s">
        <v>685</v>
      </c>
      <c r="C288" s="2" t="n">
        <v>4</v>
      </c>
      <c r="D288" s="2" t="s">
        <v>36</v>
      </c>
      <c r="E288" s="2" t="s">
        <v>16</v>
      </c>
      <c r="F288" s="3" t="n">
        <v>45690.2111111111</v>
      </c>
      <c r="G288" s="2" t="s">
        <v>646</v>
      </c>
      <c r="H288" s="4" t="n">
        <v>0.4404</v>
      </c>
      <c r="I288" s="2" t="s">
        <v>23</v>
      </c>
      <c r="J288" s="2" t="s">
        <v>37</v>
      </c>
      <c r="K288" s="2" t="n">
        <v>0</v>
      </c>
      <c r="L288" s="2" t="n">
        <v>0</v>
      </c>
      <c r="M288" s="2" t="n">
        <v>0</v>
      </c>
    </row>
    <row r="289" customFormat="false" ht="15" hidden="false" customHeight="false" outlineLevel="0" collapsed="false">
      <c r="A289" s="2" t="s">
        <v>686</v>
      </c>
      <c r="B289" s="2" t="s">
        <v>687</v>
      </c>
      <c r="C289" s="2" t="n">
        <v>4</v>
      </c>
      <c r="D289" s="2" t="s">
        <v>186</v>
      </c>
      <c r="E289" s="2" t="s">
        <v>16</v>
      </c>
      <c r="F289" s="3" t="n">
        <v>45690.50625</v>
      </c>
      <c r="G289" s="2" t="s">
        <v>646</v>
      </c>
      <c r="H289" s="4" t="n">
        <v>0.8777</v>
      </c>
      <c r="I289" s="2" t="s">
        <v>23</v>
      </c>
      <c r="J289" s="2" t="s">
        <v>19</v>
      </c>
      <c r="K289" s="2" t="n">
        <v>1</v>
      </c>
      <c r="L289" s="2" t="n">
        <v>0</v>
      </c>
      <c r="M289" s="2" t="n">
        <v>0</v>
      </c>
    </row>
    <row r="290" customFormat="false" ht="15" hidden="false" customHeight="false" outlineLevel="0" collapsed="false">
      <c r="A290" s="2" t="s">
        <v>688</v>
      </c>
      <c r="B290" s="2" t="s">
        <v>689</v>
      </c>
      <c r="C290" s="2" t="n">
        <v>5</v>
      </c>
      <c r="D290" s="2" t="s">
        <v>90</v>
      </c>
      <c r="E290" s="2" t="s">
        <v>16</v>
      </c>
      <c r="F290" s="3" t="n">
        <v>45690.5201388889</v>
      </c>
      <c r="G290" s="2" t="s">
        <v>646</v>
      </c>
      <c r="H290" s="4" t="n">
        <v>0.6249</v>
      </c>
      <c r="I290" s="2" t="s">
        <v>23</v>
      </c>
      <c r="J290" s="2" t="s">
        <v>37</v>
      </c>
      <c r="K290" s="2" t="n">
        <v>11</v>
      </c>
      <c r="L290" s="2" t="n">
        <v>0</v>
      </c>
      <c r="M290" s="2" t="n">
        <v>0</v>
      </c>
    </row>
    <row r="291" customFormat="false" ht="15" hidden="false" customHeight="false" outlineLevel="0" collapsed="false">
      <c r="A291" s="2" t="s">
        <v>690</v>
      </c>
      <c r="B291" s="2" t="s">
        <v>691</v>
      </c>
      <c r="C291" s="2" t="n">
        <v>5</v>
      </c>
      <c r="D291" s="2" t="s">
        <v>692</v>
      </c>
      <c r="E291" s="2" t="s">
        <v>16</v>
      </c>
      <c r="F291" s="3" t="n">
        <v>45690.5472222222</v>
      </c>
      <c r="G291" s="2" t="s">
        <v>646</v>
      </c>
      <c r="H291" s="4" t="n">
        <v>0.9516</v>
      </c>
      <c r="I291" s="2" t="s">
        <v>23</v>
      </c>
      <c r="J291" s="2" t="s">
        <v>37</v>
      </c>
      <c r="K291" s="2" t="n">
        <v>4</v>
      </c>
      <c r="L291" s="2" t="n">
        <v>0</v>
      </c>
      <c r="M291" s="2" t="n">
        <v>0</v>
      </c>
    </row>
    <row r="292" customFormat="false" ht="15" hidden="false" customHeight="false" outlineLevel="0" collapsed="false">
      <c r="A292" s="2" t="s">
        <v>693</v>
      </c>
      <c r="B292" s="2" t="s">
        <v>694</v>
      </c>
      <c r="C292" s="2" t="n">
        <v>5</v>
      </c>
      <c r="D292" s="2" t="s">
        <v>62</v>
      </c>
      <c r="E292" s="2" t="s">
        <v>16</v>
      </c>
      <c r="F292" s="3" t="n">
        <v>45690.8125</v>
      </c>
      <c r="G292" s="2" t="s">
        <v>646</v>
      </c>
      <c r="H292" s="4" t="n">
        <v>0.7088</v>
      </c>
      <c r="I292" s="2" t="s">
        <v>23</v>
      </c>
      <c r="J292" s="2" t="s">
        <v>19</v>
      </c>
      <c r="K292" s="2" t="n">
        <v>0</v>
      </c>
      <c r="L292" s="2" t="n">
        <v>0</v>
      </c>
      <c r="M292" s="2" t="n">
        <v>0</v>
      </c>
    </row>
    <row r="293" customFormat="false" ht="15" hidden="false" customHeight="false" outlineLevel="0" collapsed="false">
      <c r="A293" s="2" t="s">
        <v>695</v>
      </c>
      <c r="B293" s="2" t="s">
        <v>696</v>
      </c>
      <c r="C293" s="2" t="n">
        <v>5</v>
      </c>
      <c r="D293" s="2" t="s">
        <v>127</v>
      </c>
      <c r="E293" s="2" t="s">
        <v>16</v>
      </c>
      <c r="F293" s="3" t="n">
        <v>45690.8520833333</v>
      </c>
      <c r="G293" s="2" t="s">
        <v>646</v>
      </c>
      <c r="H293" s="4" t="n">
        <v>0.9359</v>
      </c>
      <c r="I293" s="2" t="s">
        <v>23</v>
      </c>
      <c r="J293" s="2" t="s">
        <v>37</v>
      </c>
      <c r="K293" s="2" t="n">
        <v>4</v>
      </c>
      <c r="L293" s="2" t="n">
        <v>0</v>
      </c>
      <c r="M293" s="2" t="n">
        <v>0</v>
      </c>
    </row>
    <row r="294" customFormat="false" ht="15" hidden="false" customHeight="false" outlineLevel="0" collapsed="false">
      <c r="A294" s="2" t="s">
        <v>697</v>
      </c>
      <c r="B294" s="2" t="s">
        <v>698</v>
      </c>
      <c r="C294" s="2" t="n">
        <v>5</v>
      </c>
      <c r="D294" s="2" t="s">
        <v>47</v>
      </c>
      <c r="E294" s="2" t="s">
        <v>16</v>
      </c>
      <c r="F294" s="3" t="n">
        <v>45690.9576388889</v>
      </c>
      <c r="G294" s="2" t="s">
        <v>646</v>
      </c>
      <c r="H294" s="4" t="n">
        <v>0.3089</v>
      </c>
      <c r="I294" s="2" t="s">
        <v>23</v>
      </c>
      <c r="J294" s="2" t="s">
        <v>19</v>
      </c>
      <c r="K294" s="2" t="n">
        <v>5</v>
      </c>
      <c r="L294" s="2" t="n">
        <v>0</v>
      </c>
      <c r="M294" s="2" t="n">
        <v>0</v>
      </c>
    </row>
    <row r="295" customFormat="false" ht="15" hidden="false" customHeight="false" outlineLevel="0" collapsed="false">
      <c r="A295" s="2" t="s">
        <v>699</v>
      </c>
      <c r="B295" s="2" t="s">
        <v>700</v>
      </c>
      <c r="C295" s="2" t="n">
        <v>1</v>
      </c>
      <c r="D295" s="2" t="s">
        <v>701</v>
      </c>
      <c r="E295" s="2" t="s">
        <v>16</v>
      </c>
      <c r="F295" s="3" t="n">
        <v>45691.0256944444</v>
      </c>
      <c r="G295" s="2" t="s">
        <v>646</v>
      </c>
      <c r="H295" s="4" t="n">
        <v>-0.7184</v>
      </c>
      <c r="I295" s="2" t="s">
        <v>84</v>
      </c>
      <c r="J295" s="2" t="s">
        <v>37</v>
      </c>
      <c r="K295" s="2" t="n">
        <v>3</v>
      </c>
      <c r="L295" s="2" t="n">
        <v>0</v>
      </c>
      <c r="M295" s="2" t="n">
        <v>0</v>
      </c>
    </row>
    <row r="296" customFormat="false" ht="15" hidden="false" customHeight="false" outlineLevel="0" collapsed="false">
      <c r="A296" s="2" t="s">
        <v>702</v>
      </c>
      <c r="B296" s="2" t="s">
        <v>703</v>
      </c>
      <c r="C296" s="2" t="n">
        <v>5</v>
      </c>
      <c r="D296" s="2" t="s">
        <v>90</v>
      </c>
      <c r="E296" s="2" t="s">
        <v>16</v>
      </c>
      <c r="F296" s="3" t="n">
        <v>45691.0770833333</v>
      </c>
      <c r="G296" s="2" t="s">
        <v>646</v>
      </c>
      <c r="H296" s="4" t="n">
        <v>0.6249</v>
      </c>
      <c r="I296" s="2" t="s">
        <v>23</v>
      </c>
      <c r="J296" s="2" t="s">
        <v>37</v>
      </c>
      <c r="K296" s="2" t="n">
        <v>1</v>
      </c>
      <c r="L296" s="2" t="n">
        <v>0</v>
      </c>
      <c r="M296" s="2" t="n">
        <v>0</v>
      </c>
    </row>
    <row r="297" customFormat="false" ht="15" hidden="false" customHeight="false" outlineLevel="0" collapsed="false">
      <c r="A297" s="2" t="s">
        <v>704</v>
      </c>
      <c r="B297" s="2" t="s">
        <v>705</v>
      </c>
      <c r="C297" s="2" t="n">
        <v>4</v>
      </c>
      <c r="D297" s="2" t="s">
        <v>47</v>
      </c>
      <c r="E297" s="2" t="s">
        <v>16</v>
      </c>
      <c r="F297" s="3" t="n">
        <v>45691.1423611111</v>
      </c>
      <c r="G297" s="2" t="s">
        <v>646</v>
      </c>
      <c r="H297" s="4" t="n">
        <v>0.3089</v>
      </c>
      <c r="I297" s="2" t="s">
        <v>23</v>
      </c>
      <c r="J297" s="2" t="s">
        <v>19</v>
      </c>
      <c r="K297" s="2" t="n">
        <v>1</v>
      </c>
      <c r="L297" s="2" t="n">
        <v>1</v>
      </c>
      <c r="M297" s="2" t="n">
        <v>0</v>
      </c>
    </row>
    <row r="298" customFormat="false" ht="15" hidden="false" customHeight="false" outlineLevel="0" collapsed="false">
      <c r="A298" s="2" t="s">
        <v>706</v>
      </c>
      <c r="B298" s="2" t="s">
        <v>707</v>
      </c>
      <c r="C298" s="2" t="n">
        <v>5</v>
      </c>
      <c r="D298" s="2" t="s">
        <v>52</v>
      </c>
      <c r="E298" s="2" t="s">
        <v>16</v>
      </c>
      <c r="F298" s="3" t="n">
        <v>45691.20625</v>
      </c>
      <c r="G298" s="2" t="s">
        <v>646</v>
      </c>
      <c r="H298" s="4" t="n">
        <v>0.6369</v>
      </c>
      <c r="I298" s="2" t="s">
        <v>23</v>
      </c>
      <c r="J298" s="2" t="s">
        <v>19</v>
      </c>
      <c r="K298" s="2" t="n">
        <v>2</v>
      </c>
      <c r="L298" s="2" t="n">
        <v>0</v>
      </c>
      <c r="M298" s="2" t="n">
        <v>0</v>
      </c>
    </row>
    <row r="299" customFormat="false" ht="15" hidden="false" customHeight="false" outlineLevel="0" collapsed="false">
      <c r="A299" s="2" t="s">
        <v>708</v>
      </c>
      <c r="B299" s="2" t="s">
        <v>709</v>
      </c>
      <c r="C299" s="2" t="n">
        <v>3</v>
      </c>
      <c r="D299" s="2" t="s">
        <v>710</v>
      </c>
      <c r="E299" s="2" t="s">
        <v>16</v>
      </c>
      <c r="F299" s="3" t="n">
        <v>45691.2291666667</v>
      </c>
      <c r="G299" s="2" t="s">
        <v>646</v>
      </c>
      <c r="H299" s="4" t="n">
        <v>0.5719</v>
      </c>
      <c r="I299" s="2" t="s">
        <v>23</v>
      </c>
      <c r="J299" s="2" t="s">
        <v>37</v>
      </c>
      <c r="K299" s="2" t="n">
        <v>4</v>
      </c>
      <c r="L299" s="2" t="n">
        <v>0</v>
      </c>
      <c r="M299" s="2" t="n">
        <v>0</v>
      </c>
    </row>
    <row r="300" customFormat="false" ht="15" hidden="false" customHeight="false" outlineLevel="0" collapsed="false">
      <c r="A300" s="2" t="s">
        <v>711</v>
      </c>
      <c r="B300" s="2" t="s">
        <v>712</v>
      </c>
      <c r="C300" s="2" t="n">
        <v>3</v>
      </c>
      <c r="D300" s="2" t="s">
        <v>99</v>
      </c>
      <c r="E300" s="2" t="s">
        <v>16</v>
      </c>
      <c r="F300" s="3" t="n">
        <v>45691.2895833333</v>
      </c>
      <c r="G300" s="2" t="s">
        <v>646</v>
      </c>
      <c r="H300" s="4" t="n">
        <v>-0.3089</v>
      </c>
      <c r="I300" s="2" t="s">
        <v>84</v>
      </c>
      <c r="J300" s="2" t="s">
        <v>19</v>
      </c>
      <c r="K300" s="2" t="n">
        <v>1</v>
      </c>
      <c r="L300" s="2" t="n">
        <v>0</v>
      </c>
      <c r="M300" s="2" t="n">
        <v>0</v>
      </c>
    </row>
    <row r="301" customFormat="false" ht="15" hidden="false" customHeight="false" outlineLevel="0" collapsed="false">
      <c r="A301" s="2" t="s">
        <v>713</v>
      </c>
      <c r="B301" s="2" t="s">
        <v>714</v>
      </c>
      <c r="C301" s="2" t="n">
        <v>4</v>
      </c>
      <c r="D301" s="2" t="s">
        <v>127</v>
      </c>
      <c r="E301" s="2" t="s">
        <v>16</v>
      </c>
      <c r="F301" s="3" t="n">
        <v>45691.3208333333</v>
      </c>
      <c r="G301" s="2" t="s">
        <v>646</v>
      </c>
      <c r="H301" s="4" t="n">
        <v>0.9359</v>
      </c>
      <c r="I301" s="2" t="s">
        <v>23</v>
      </c>
      <c r="J301" s="2" t="s">
        <v>37</v>
      </c>
      <c r="K301" s="2" t="n">
        <v>6</v>
      </c>
      <c r="L301" s="2" t="n">
        <v>0</v>
      </c>
      <c r="M301" s="2" t="n">
        <v>0</v>
      </c>
    </row>
    <row r="302" customFormat="false" ht="15" hidden="false" customHeight="false" outlineLevel="0" collapsed="false">
      <c r="A302" s="2" t="s">
        <v>715</v>
      </c>
      <c r="B302" s="2" t="s">
        <v>716</v>
      </c>
      <c r="C302" s="2" t="n">
        <v>4</v>
      </c>
      <c r="D302" s="2" t="s">
        <v>52</v>
      </c>
      <c r="E302" s="2" t="s">
        <v>16</v>
      </c>
      <c r="F302" s="3" t="n">
        <v>45691.3284722222</v>
      </c>
      <c r="G302" s="2" t="s">
        <v>646</v>
      </c>
      <c r="H302" s="4" t="n">
        <v>0.6369</v>
      </c>
      <c r="I302" s="2" t="s">
        <v>23</v>
      </c>
      <c r="J302" s="2" t="s">
        <v>19</v>
      </c>
      <c r="K302" s="2" t="n">
        <v>5</v>
      </c>
      <c r="L302" s="2" t="n">
        <v>0</v>
      </c>
      <c r="M302" s="2" t="n">
        <v>0</v>
      </c>
    </row>
    <row r="303" customFormat="false" ht="15" hidden="false" customHeight="false" outlineLevel="0" collapsed="false">
      <c r="A303" s="2" t="s">
        <v>717</v>
      </c>
      <c r="B303" s="2" t="s">
        <v>718</v>
      </c>
      <c r="C303" s="2" t="n">
        <v>3</v>
      </c>
      <c r="D303" s="2" t="s">
        <v>99</v>
      </c>
      <c r="E303" s="2" t="s">
        <v>16</v>
      </c>
      <c r="F303" s="3" t="n">
        <v>45691.3604166667</v>
      </c>
      <c r="G303" s="2" t="s">
        <v>646</v>
      </c>
      <c r="H303" s="4" t="n">
        <v>-0.3089</v>
      </c>
      <c r="I303" s="2" t="s">
        <v>84</v>
      </c>
      <c r="J303" s="2" t="s">
        <v>19</v>
      </c>
      <c r="K303" s="2" t="n">
        <v>2</v>
      </c>
      <c r="L303" s="2" t="n">
        <v>0</v>
      </c>
      <c r="M303" s="2" t="n">
        <v>0</v>
      </c>
    </row>
    <row r="304" customFormat="false" ht="15" hidden="false" customHeight="false" outlineLevel="0" collapsed="false">
      <c r="A304" s="2" t="s">
        <v>719</v>
      </c>
      <c r="B304" s="2" t="s">
        <v>720</v>
      </c>
      <c r="C304" s="2" t="n">
        <v>1</v>
      </c>
      <c r="D304" s="2" t="s">
        <v>721</v>
      </c>
      <c r="E304" s="2" t="s">
        <v>16</v>
      </c>
      <c r="F304" s="3" t="n">
        <v>45691.4625</v>
      </c>
      <c r="G304" s="2" t="s">
        <v>646</v>
      </c>
      <c r="H304" s="4" t="n">
        <v>-0.4588</v>
      </c>
      <c r="I304" s="2" t="s">
        <v>84</v>
      </c>
      <c r="J304" s="2" t="s">
        <v>37</v>
      </c>
      <c r="K304" s="2" t="n">
        <v>13</v>
      </c>
      <c r="L304" s="2" t="n">
        <v>1</v>
      </c>
      <c r="M304" s="2" t="n">
        <v>0</v>
      </c>
    </row>
    <row r="305" customFormat="false" ht="15" hidden="false" customHeight="false" outlineLevel="0" collapsed="false">
      <c r="A305" s="2" t="s">
        <v>722</v>
      </c>
      <c r="B305" s="2" t="s">
        <v>723</v>
      </c>
      <c r="C305" s="2" t="n">
        <v>3</v>
      </c>
      <c r="D305" s="2" t="s">
        <v>87</v>
      </c>
      <c r="E305" s="2" t="s">
        <v>16</v>
      </c>
      <c r="F305" s="3" t="n">
        <v>45691.525</v>
      </c>
      <c r="G305" s="2" t="s">
        <v>646</v>
      </c>
      <c r="H305" s="4" t="n">
        <v>0</v>
      </c>
      <c r="I305" s="2" t="s">
        <v>18</v>
      </c>
      <c r="J305" s="2" t="s">
        <v>19</v>
      </c>
      <c r="K305" s="2" t="n">
        <v>2</v>
      </c>
      <c r="L305" s="2" t="n">
        <v>0</v>
      </c>
      <c r="M305" s="2" t="n">
        <v>0</v>
      </c>
    </row>
    <row r="306" customFormat="false" ht="15" hidden="false" customHeight="false" outlineLevel="0" collapsed="false">
      <c r="A306" s="2" t="s">
        <v>724</v>
      </c>
      <c r="B306" s="2" t="s">
        <v>725</v>
      </c>
      <c r="C306" s="2" t="n">
        <v>1</v>
      </c>
      <c r="D306" s="2" t="s">
        <v>726</v>
      </c>
      <c r="E306" s="2" t="s">
        <v>16</v>
      </c>
      <c r="F306" s="3" t="n">
        <v>45691.6388888889</v>
      </c>
      <c r="G306" s="2" t="s">
        <v>646</v>
      </c>
      <c r="H306" s="4" t="n">
        <v>-0.4867</v>
      </c>
      <c r="I306" s="2" t="s">
        <v>84</v>
      </c>
      <c r="J306" s="2" t="s">
        <v>165</v>
      </c>
      <c r="K306" s="2" t="n">
        <v>2</v>
      </c>
      <c r="L306" s="2" t="n">
        <v>1</v>
      </c>
      <c r="M306" s="2" t="n">
        <v>0</v>
      </c>
    </row>
    <row r="307" customFormat="false" ht="15" hidden="false" customHeight="false" outlineLevel="0" collapsed="false">
      <c r="A307" s="2" t="s">
        <v>727</v>
      </c>
      <c r="B307" s="2" t="s">
        <v>728</v>
      </c>
      <c r="C307" s="2" t="n">
        <v>3</v>
      </c>
      <c r="D307" s="2" t="s">
        <v>87</v>
      </c>
      <c r="E307" s="2" t="s">
        <v>16</v>
      </c>
      <c r="F307" s="3" t="n">
        <v>45691.7090277778</v>
      </c>
      <c r="G307" s="2" t="s">
        <v>646</v>
      </c>
      <c r="H307" s="4" t="n">
        <v>0</v>
      </c>
      <c r="I307" s="2" t="s">
        <v>18</v>
      </c>
      <c r="J307" s="2" t="s">
        <v>19</v>
      </c>
      <c r="K307" s="2" t="n">
        <v>1</v>
      </c>
      <c r="L307" s="2" t="n">
        <v>0</v>
      </c>
      <c r="M307" s="2" t="n">
        <v>0</v>
      </c>
    </row>
    <row r="308" customFormat="false" ht="15" hidden="false" customHeight="false" outlineLevel="0" collapsed="false">
      <c r="A308" s="2" t="s">
        <v>729</v>
      </c>
      <c r="B308" s="2" t="s">
        <v>730</v>
      </c>
      <c r="C308" s="2" t="n">
        <v>4</v>
      </c>
      <c r="D308" s="2" t="s">
        <v>15</v>
      </c>
      <c r="E308" s="2" t="s">
        <v>16</v>
      </c>
      <c r="F308" s="3" t="n">
        <v>45691.7652777778</v>
      </c>
      <c r="G308" s="2" t="s">
        <v>646</v>
      </c>
      <c r="H308" s="4" t="n">
        <v>0</v>
      </c>
      <c r="I308" s="2" t="s">
        <v>18</v>
      </c>
      <c r="J308" s="2" t="s">
        <v>19</v>
      </c>
      <c r="K308" s="2" t="n">
        <v>1</v>
      </c>
      <c r="L308" s="2" t="n">
        <v>0</v>
      </c>
      <c r="M308" s="2" t="n">
        <v>0</v>
      </c>
    </row>
    <row r="309" customFormat="false" ht="15" hidden="false" customHeight="false" outlineLevel="0" collapsed="false">
      <c r="A309" s="2" t="s">
        <v>731</v>
      </c>
      <c r="B309" s="2" t="s">
        <v>732</v>
      </c>
      <c r="C309" s="2" t="n">
        <v>1</v>
      </c>
      <c r="D309" s="2" t="s">
        <v>733</v>
      </c>
      <c r="E309" s="2" t="s">
        <v>16</v>
      </c>
      <c r="F309" s="3" t="n">
        <v>45691.9013888889</v>
      </c>
      <c r="G309" s="2" t="s">
        <v>646</v>
      </c>
      <c r="H309" s="4" t="n">
        <v>-0.2846</v>
      </c>
      <c r="I309" s="2" t="s">
        <v>84</v>
      </c>
      <c r="J309" s="2" t="s">
        <v>37</v>
      </c>
      <c r="K309" s="2" t="n">
        <v>10</v>
      </c>
      <c r="L309" s="2" t="n">
        <v>0</v>
      </c>
      <c r="M309" s="2" t="n">
        <v>0</v>
      </c>
    </row>
    <row r="310" customFormat="false" ht="15" hidden="false" customHeight="false" outlineLevel="0" collapsed="false">
      <c r="A310" s="2" t="s">
        <v>734</v>
      </c>
      <c r="B310" s="2" t="s">
        <v>735</v>
      </c>
      <c r="C310" s="2" t="n">
        <v>5</v>
      </c>
      <c r="D310" s="2" t="s">
        <v>52</v>
      </c>
      <c r="E310" s="2" t="s">
        <v>16</v>
      </c>
      <c r="F310" s="3" t="n">
        <v>45691.9472222222</v>
      </c>
      <c r="G310" s="2" t="s">
        <v>646</v>
      </c>
      <c r="H310" s="4" t="n">
        <v>0.6369</v>
      </c>
      <c r="I310" s="2" t="s">
        <v>23</v>
      </c>
      <c r="J310" s="2" t="s">
        <v>19</v>
      </c>
      <c r="K310" s="2" t="n">
        <v>3</v>
      </c>
      <c r="L310" s="2" t="n">
        <v>0</v>
      </c>
      <c r="M310" s="2" t="n">
        <v>0</v>
      </c>
    </row>
    <row r="311" customFormat="false" ht="15" hidden="false" customHeight="false" outlineLevel="0" collapsed="false">
      <c r="A311" s="2" t="s">
        <v>736</v>
      </c>
      <c r="B311" s="2" t="s">
        <v>737</v>
      </c>
      <c r="C311" s="2" t="n">
        <v>5</v>
      </c>
      <c r="D311" s="2" t="s">
        <v>738</v>
      </c>
      <c r="E311" s="2" t="s">
        <v>16</v>
      </c>
      <c r="F311" s="3" t="n">
        <v>45692.0534722222</v>
      </c>
      <c r="G311" s="2" t="s">
        <v>646</v>
      </c>
      <c r="H311" s="4" t="n">
        <v>0.9612</v>
      </c>
      <c r="I311" s="2" t="s">
        <v>23</v>
      </c>
      <c r="J311" s="2" t="s">
        <v>37</v>
      </c>
      <c r="K311" s="2" t="n">
        <v>4</v>
      </c>
      <c r="L311" s="2" t="n">
        <v>0</v>
      </c>
      <c r="M311" s="2" t="n">
        <v>0</v>
      </c>
    </row>
    <row r="312" customFormat="false" ht="15" hidden="false" customHeight="false" outlineLevel="0" collapsed="false">
      <c r="A312" s="2" t="s">
        <v>739</v>
      </c>
      <c r="B312" s="2" t="s">
        <v>740</v>
      </c>
      <c r="C312" s="2" t="n">
        <v>2</v>
      </c>
      <c r="D312" s="2" t="s">
        <v>741</v>
      </c>
      <c r="E312" s="2" t="s">
        <v>16</v>
      </c>
      <c r="F312" s="3" t="n">
        <v>45692.1013888889</v>
      </c>
      <c r="G312" s="2" t="s">
        <v>646</v>
      </c>
      <c r="H312" s="4" t="n">
        <v>0.128</v>
      </c>
      <c r="I312" s="2" t="s">
        <v>23</v>
      </c>
      <c r="J312" s="2" t="s">
        <v>33</v>
      </c>
      <c r="K312" s="2" t="n">
        <v>0</v>
      </c>
      <c r="L312" s="2" t="n">
        <v>0</v>
      </c>
      <c r="M312" s="2" t="n">
        <v>0</v>
      </c>
    </row>
    <row r="313" customFormat="false" ht="15" hidden="false" customHeight="false" outlineLevel="0" collapsed="false">
      <c r="A313" s="2" t="s">
        <v>742</v>
      </c>
      <c r="B313" s="2" t="s">
        <v>743</v>
      </c>
      <c r="C313" s="2" t="n">
        <v>3</v>
      </c>
      <c r="D313" s="2" t="s">
        <v>22</v>
      </c>
      <c r="E313" s="2" t="s">
        <v>16</v>
      </c>
      <c r="F313" s="3" t="n">
        <v>45692.29375</v>
      </c>
      <c r="G313" s="2" t="s">
        <v>646</v>
      </c>
      <c r="H313" s="4" t="n">
        <v>0.2023</v>
      </c>
      <c r="I313" s="2" t="s">
        <v>23</v>
      </c>
      <c r="J313" s="2" t="s">
        <v>19</v>
      </c>
      <c r="K313" s="2" t="n">
        <v>8</v>
      </c>
      <c r="L313" s="2" t="n">
        <v>0</v>
      </c>
      <c r="M313" s="2" t="n">
        <v>0</v>
      </c>
    </row>
    <row r="314" customFormat="false" ht="15" hidden="false" customHeight="false" outlineLevel="0" collapsed="false">
      <c r="A314" s="2" t="s">
        <v>744</v>
      </c>
      <c r="B314" s="2" t="s">
        <v>745</v>
      </c>
      <c r="C314" s="2" t="n">
        <v>1</v>
      </c>
      <c r="D314" s="2" t="s">
        <v>591</v>
      </c>
      <c r="E314" s="2" t="s">
        <v>16</v>
      </c>
      <c r="F314" s="3" t="n">
        <v>45692.3715277778</v>
      </c>
      <c r="G314" s="2" t="s">
        <v>646</v>
      </c>
      <c r="H314" s="4" t="n">
        <v>0</v>
      </c>
      <c r="I314" s="2" t="s">
        <v>18</v>
      </c>
      <c r="J314" s="2" t="s">
        <v>37</v>
      </c>
      <c r="K314" s="2" t="n">
        <v>4</v>
      </c>
      <c r="L314" s="2" t="n">
        <v>1</v>
      </c>
      <c r="M314" s="2" t="n">
        <v>0</v>
      </c>
    </row>
    <row r="315" customFormat="false" ht="15" hidden="false" customHeight="false" outlineLevel="0" collapsed="false">
      <c r="A315" s="2" t="s">
        <v>746</v>
      </c>
      <c r="B315" s="2" t="s">
        <v>747</v>
      </c>
      <c r="C315" s="2" t="n">
        <v>2</v>
      </c>
      <c r="D315" s="2" t="s">
        <v>482</v>
      </c>
      <c r="E315" s="2" t="s">
        <v>16</v>
      </c>
      <c r="F315" s="3" t="n">
        <v>45692.4243055556</v>
      </c>
      <c r="G315" s="2" t="s">
        <v>646</v>
      </c>
      <c r="H315" s="4" t="n">
        <v>-0.6808</v>
      </c>
      <c r="I315" s="2" t="s">
        <v>84</v>
      </c>
      <c r="J315" s="2" t="s">
        <v>110</v>
      </c>
      <c r="K315" s="2" t="n">
        <v>8</v>
      </c>
      <c r="L315" s="2" t="n">
        <v>1</v>
      </c>
      <c r="M315" s="2" t="n">
        <v>0</v>
      </c>
    </row>
    <row r="316" customFormat="false" ht="15" hidden="false" customHeight="false" outlineLevel="0" collapsed="false">
      <c r="A316" s="2" t="s">
        <v>748</v>
      </c>
      <c r="B316" s="2" t="s">
        <v>749</v>
      </c>
      <c r="C316" s="2" t="n">
        <v>5</v>
      </c>
      <c r="D316" s="2" t="s">
        <v>40</v>
      </c>
      <c r="E316" s="2" t="s">
        <v>16</v>
      </c>
      <c r="F316" s="3" t="n">
        <v>45692.4680555556</v>
      </c>
      <c r="G316" s="2" t="s">
        <v>646</v>
      </c>
      <c r="H316" s="4" t="n">
        <v>0.4019</v>
      </c>
      <c r="I316" s="2" t="s">
        <v>23</v>
      </c>
      <c r="J316" s="2" t="s">
        <v>33</v>
      </c>
      <c r="K316" s="2" t="n">
        <v>6</v>
      </c>
      <c r="L316" s="2" t="n">
        <v>0</v>
      </c>
      <c r="M316" s="2" t="n">
        <v>0</v>
      </c>
    </row>
    <row r="317" customFormat="false" ht="15" hidden="false" customHeight="false" outlineLevel="0" collapsed="false">
      <c r="A317" s="2" t="s">
        <v>750</v>
      </c>
      <c r="B317" s="2" t="s">
        <v>751</v>
      </c>
      <c r="C317" s="2" t="n">
        <v>5</v>
      </c>
      <c r="D317" s="2" t="s">
        <v>47</v>
      </c>
      <c r="E317" s="2" t="s">
        <v>16</v>
      </c>
      <c r="F317" s="3" t="n">
        <v>45692.5694444445</v>
      </c>
      <c r="G317" s="2" t="s">
        <v>646</v>
      </c>
      <c r="H317" s="4" t="n">
        <v>0.3089</v>
      </c>
      <c r="I317" s="2" t="s">
        <v>23</v>
      </c>
      <c r="J317" s="2" t="s">
        <v>19</v>
      </c>
      <c r="K317" s="2" t="n">
        <v>0</v>
      </c>
      <c r="L317" s="2" t="n">
        <v>0</v>
      </c>
      <c r="M317" s="2" t="n">
        <v>0</v>
      </c>
    </row>
    <row r="318" customFormat="false" ht="15" hidden="false" customHeight="false" outlineLevel="0" collapsed="false">
      <c r="A318" s="2" t="s">
        <v>752</v>
      </c>
      <c r="B318" s="2" t="s">
        <v>753</v>
      </c>
      <c r="C318" s="2" t="n">
        <v>4</v>
      </c>
      <c r="D318" s="2" t="s">
        <v>692</v>
      </c>
      <c r="E318" s="2" t="s">
        <v>16</v>
      </c>
      <c r="F318" s="3" t="n">
        <v>45692.6645833333</v>
      </c>
      <c r="G318" s="2" t="s">
        <v>646</v>
      </c>
      <c r="H318" s="4" t="n">
        <v>0.9516</v>
      </c>
      <c r="I318" s="2" t="s">
        <v>23</v>
      </c>
      <c r="J318" s="2" t="s">
        <v>37</v>
      </c>
      <c r="K318" s="2" t="n">
        <v>5</v>
      </c>
      <c r="L318" s="2" t="n">
        <v>0</v>
      </c>
      <c r="M318" s="2" t="n">
        <v>0</v>
      </c>
    </row>
    <row r="319" customFormat="false" ht="15" hidden="false" customHeight="false" outlineLevel="0" collapsed="false">
      <c r="A319" s="2" t="s">
        <v>754</v>
      </c>
      <c r="B319" s="2" t="s">
        <v>755</v>
      </c>
      <c r="C319" s="2" t="n">
        <v>5</v>
      </c>
      <c r="D319" s="2" t="s">
        <v>90</v>
      </c>
      <c r="E319" s="2" t="s">
        <v>16</v>
      </c>
      <c r="F319" s="3" t="n">
        <v>45692.6777777778</v>
      </c>
      <c r="G319" s="2" t="s">
        <v>646</v>
      </c>
      <c r="H319" s="4" t="n">
        <v>0.6249</v>
      </c>
      <c r="I319" s="2" t="s">
        <v>23</v>
      </c>
      <c r="J319" s="2" t="s">
        <v>37</v>
      </c>
      <c r="K319" s="2" t="n">
        <v>1</v>
      </c>
      <c r="L319" s="2" t="n">
        <v>0</v>
      </c>
      <c r="M319" s="2" t="n">
        <v>0</v>
      </c>
    </row>
    <row r="320" customFormat="false" ht="15" hidden="false" customHeight="false" outlineLevel="0" collapsed="false">
      <c r="A320" s="2" t="s">
        <v>756</v>
      </c>
      <c r="B320" s="2" t="s">
        <v>757</v>
      </c>
      <c r="C320" s="2" t="n">
        <v>4</v>
      </c>
      <c r="D320" s="2" t="s">
        <v>52</v>
      </c>
      <c r="E320" s="2" t="s">
        <v>16</v>
      </c>
      <c r="F320" s="3" t="n">
        <v>45692.7020833333</v>
      </c>
      <c r="G320" s="2" t="s">
        <v>646</v>
      </c>
      <c r="H320" s="4" t="n">
        <v>0.6369</v>
      </c>
      <c r="I320" s="2" t="s">
        <v>23</v>
      </c>
      <c r="J320" s="2" t="s">
        <v>19</v>
      </c>
      <c r="K320" s="2" t="n">
        <v>5</v>
      </c>
      <c r="L320" s="2" t="n">
        <v>0</v>
      </c>
      <c r="M320" s="2" t="n">
        <v>0</v>
      </c>
    </row>
    <row r="321" customFormat="false" ht="15" hidden="false" customHeight="false" outlineLevel="0" collapsed="false">
      <c r="A321" s="2" t="s">
        <v>758</v>
      </c>
      <c r="B321" s="2" t="s">
        <v>759</v>
      </c>
      <c r="C321" s="2" t="n">
        <v>5</v>
      </c>
      <c r="D321" s="2" t="s">
        <v>15</v>
      </c>
      <c r="E321" s="2" t="s">
        <v>16</v>
      </c>
      <c r="F321" s="3" t="n">
        <v>45692.7694444444</v>
      </c>
      <c r="G321" s="2" t="s">
        <v>646</v>
      </c>
      <c r="H321" s="4" t="n">
        <v>0</v>
      </c>
      <c r="I321" s="2" t="s">
        <v>18</v>
      </c>
      <c r="J321" s="2" t="s">
        <v>19</v>
      </c>
      <c r="K321" s="2" t="n">
        <v>3</v>
      </c>
      <c r="L321" s="2" t="n">
        <v>0</v>
      </c>
      <c r="M321" s="2" t="n">
        <v>0</v>
      </c>
    </row>
    <row r="322" customFormat="false" ht="15" hidden="false" customHeight="false" outlineLevel="0" collapsed="false">
      <c r="A322" s="2" t="s">
        <v>760</v>
      </c>
      <c r="B322" s="2" t="s">
        <v>761</v>
      </c>
      <c r="C322" s="2" t="n">
        <v>5</v>
      </c>
      <c r="D322" s="2" t="s">
        <v>127</v>
      </c>
      <c r="E322" s="2" t="s">
        <v>16</v>
      </c>
      <c r="F322" s="3" t="n">
        <v>45692.79375</v>
      </c>
      <c r="G322" s="2" t="s">
        <v>646</v>
      </c>
      <c r="H322" s="4" t="n">
        <v>0.9359</v>
      </c>
      <c r="I322" s="2" t="s">
        <v>23</v>
      </c>
      <c r="J322" s="2" t="s">
        <v>37</v>
      </c>
      <c r="K322" s="2" t="n">
        <v>2</v>
      </c>
      <c r="L322" s="2" t="n">
        <v>0</v>
      </c>
      <c r="M322" s="2" t="n">
        <v>0</v>
      </c>
    </row>
    <row r="323" customFormat="false" ht="15" hidden="false" customHeight="false" outlineLevel="0" collapsed="false">
      <c r="A323" s="2" t="s">
        <v>762</v>
      </c>
      <c r="B323" s="2" t="s">
        <v>763</v>
      </c>
      <c r="C323" s="2" t="n">
        <v>5</v>
      </c>
      <c r="D323" s="2" t="s">
        <v>52</v>
      </c>
      <c r="E323" s="2" t="s">
        <v>16</v>
      </c>
      <c r="F323" s="3" t="n">
        <v>45692.7944444444</v>
      </c>
      <c r="G323" s="2" t="s">
        <v>646</v>
      </c>
      <c r="H323" s="4" t="n">
        <v>0.6369</v>
      </c>
      <c r="I323" s="2" t="s">
        <v>23</v>
      </c>
      <c r="J323" s="2" t="s">
        <v>19</v>
      </c>
      <c r="K323" s="2" t="n">
        <v>11</v>
      </c>
      <c r="L323" s="2" t="n">
        <v>0</v>
      </c>
      <c r="M323" s="2" t="n">
        <v>0</v>
      </c>
    </row>
    <row r="324" customFormat="false" ht="15" hidden="false" customHeight="false" outlineLevel="0" collapsed="false">
      <c r="A324" s="2" t="s">
        <v>764</v>
      </c>
      <c r="B324" s="2" t="s">
        <v>765</v>
      </c>
      <c r="C324" s="2" t="n">
        <v>5</v>
      </c>
      <c r="D324" s="2" t="s">
        <v>90</v>
      </c>
      <c r="E324" s="2" t="s">
        <v>16</v>
      </c>
      <c r="F324" s="3" t="n">
        <v>45692.9625</v>
      </c>
      <c r="G324" s="2" t="s">
        <v>646</v>
      </c>
      <c r="H324" s="4" t="n">
        <v>0.6249</v>
      </c>
      <c r="I324" s="2" t="s">
        <v>23</v>
      </c>
      <c r="J324" s="2" t="s">
        <v>37</v>
      </c>
      <c r="K324" s="2" t="n">
        <v>3</v>
      </c>
      <c r="L324" s="2" t="n">
        <v>0</v>
      </c>
      <c r="M324" s="2" t="n">
        <v>0</v>
      </c>
    </row>
    <row r="325" customFormat="false" ht="15" hidden="false" customHeight="false" outlineLevel="0" collapsed="false">
      <c r="A325" s="2" t="s">
        <v>766</v>
      </c>
      <c r="B325" s="2" t="s">
        <v>767</v>
      </c>
      <c r="C325" s="2" t="n">
        <v>3</v>
      </c>
      <c r="D325" s="2" t="s">
        <v>22</v>
      </c>
      <c r="E325" s="2" t="s">
        <v>16</v>
      </c>
      <c r="F325" s="3" t="n">
        <v>45692.9784722222</v>
      </c>
      <c r="G325" s="2" t="s">
        <v>646</v>
      </c>
      <c r="H325" s="4" t="n">
        <v>0.2023</v>
      </c>
      <c r="I325" s="2" t="s">
        <v>23</v>
      </c>
      <c r="J325" s="2" t="s">
        <v>19</v>
      </c>
      <c r="K325" s="2" t="n">
        <v>1</v>
      </c>
      <c r="L325" s="2" t="n">
        <v>0</v>
      </c>
      <c r="M325" s="2" t="n">
        <v>0</v>
      </c>
    </row>
    <row r="326" customFormat="false" ht="15" hidden="false" customHeight="false" outlineLevel="0" collapsed="false">
      <c r="A326" s="2" t="s">
        <v>768</v>
      </c>
      <c r="B326" s="2" t="s">
        <v>769</v>
      </c>
      <c r="C326" s="2" t="n">
        <v>5</v>
      </c>
      <c r="D326" s="2" t="s">
        <v>90</v>
      </c>
      <c r="E326" s="2" t="s">
        <v>16</v>
      </c>
      <c r="F326" s="3" t="n">
        <v>45693.0201388889</v>
      </c>
      <c r="G326" s="2" t="s">
        <v>646</v>
      </c>
      <c r="H326" s="4" t="n">
        <v>0.6249</v>
      </c>
      <c r="I326" s="2" t="s">
        <v>23</v>
      </c>
      <c r="J326" s="2" t="s">
        <v>37</v>
      </c>
      <c r="K326" s="2" t="n">
        <v>1</v>
      </c>
      <c r="L326" s="2" t="n">
        <v>0</v>
      </c>
      <c r="M326" s="2" t="n">
        <v>0</v>
      </c>
    </row>
    <row r="327" customFormat="false" ht="15" hidden="false" customHeight="false" outlineLevel="0" collapsed="false">
      <c r="A327" s="2" t="s">
        <v>770</v>
      </c>
      <c r="B327" s="2" t="s">
        <v>771</v>
      </c>
      <c r="C327" s="2" t="n">
        <v>5</v>
      </c>
      <c r="D327" s="2" t="s">
        <v>62</v>
      </c>
      <c r="E327" s="2" t="s">
        <v>16</v>
      </c>
      <c r="F327" s="3" t="n">
        <v>45693.0923611111</v>
      </c>
      <c r="G327" s="2" t="s">
        <v>646</v>
      </c>
      <c r="H327" s="4" t="n">
        <v>0.7088</v>
      </c>
      <c r="I327" s="2" t="s">
        <v>23</v>
      </c>
      <c r="J327" s="2" t="s">
        <v>19</v>
      </c>
      <c r="K327" s="2" t="n">
        <v>2</v>
      </c>
      <c r="L327" s="2" t="n">
        <v>0</v>
      </c>
      <c r="M327" s="2" t="n">
        <v>0</v>
      </c>
    </row>
    <row r="328" customFormat="false" ht="15" hidden="false" customHeight="false" outlineLevel="0" collapsed="false">
      <c r="A328" s="2" t="s">
        <v>772</v>
      </c>
      <c r="B328" s="2" t="s">
        <v>773</v>
      </c>
      <c r="C328" s="2" t="n">
        <v>4</v>
      </c>
      <c r="D328" s="2" t="s">
        <v>15</v>
      </c>
      <c r="E328" s="2" t="s">
        <v>16</v>
      </c>
      <c r="F328" s="3" t="n">
        <v>45693.1361111111</v>
      </c>
      <c r="G328" s="2" t="s">
        <v>646</v>
      </c>
      <c r="H328" s="4" t="n">
        <v>0</v>
      </c>
      <c r="I328" s="2" t="s">
        <v>18</v>
      </c>
      <c r="J328" s="2" t="s">
        <v>19</v>
      </c>
      <c r="K328" s="2" t="n">
        <v>6</v>
      </c>
      <c r="L328" s="2" t="n">
        <v>0</v>
      </c>
      <c r="M328" s="2" t="n">
        <v>0</v>
      </c>
    </row>
    <row r="329" customFormat="false" ht="15" hidden="false" customHeight="false" outlineLevel="0" collapsed="false">
      <c r="A329" s="2" t="s">
        <v>774</v>
      </c>
      <c r="B329" s="2" t="s">
        <v>775</v>
      </c>
      <c r="C329" s="2" t="n">
        <v>1</v>
      </c>
      <c r="D329" s="2" t="s">
        <v>357</v>
      </c>
      <c r="E329" s="2" t="s">
        <v>16</v>
      </c>
      <c r="F329" s="3" t="n">
        <v>45693.1576388889</v>
      </c>
      <c r="G329" s="2" t="s">
        <v>646</v>
      </c>
      <c r="H329" s="4" t="n">
        <v>0</v>
      </c>
      <c r="I329" s="2" t="s">
        <v>18</v>
      </c>
      <c r="J329" s="2" t="s">
        <v>165</v>
      </c>
      <c r="K329" s="2" t="n">
        <v>5</v>
      </c>
      <c r="L329" s="2" t="n">
        <v>0</v>
      </c>
      <c r="M329" s="2" t="n">
        <v>0</v>
      </c>
    </row>
    <row r="330" customFormat="false" ht="15" hidden="false" customHeight="false" outlineLevel="0" collapsed="false">
      <c r="A330" s="2" t="s">
        <v>776</v>
      </c>
      <c r="B330" s="2" t="s">
        <v>777</v>
      </c>
      <c r="C330" s="2" t="n">
        <v>1</v>
      </c>
      <c r="D330" s="2" t="s">
        <v>179</v>
      </c>
      <c r="E330" s="2" t="s">
        <v>16</v>
      </c>
      <c r="F330" s="3" t="n">
        <v>45693.18125</v>
      </c>
      <c r="G330" s="2" t="s">
        <v>646</v>
      </c>
      <c r="H330" s="4" t="n">
        <v>-0.0258</v>
      </c>
      <c r="I330" s="2" t="s">
        <v>18</v>
      </c>
      <c r="J330" s="2" t="s">
        <v>59</v>
      </c>
      <c r="K330" s="2" t="n">
        <v>3</v>
      </c>
      <c r="L330" s="2" t="n">
        <v>0</v>
      </c>
      <c r="M330" s="2" t="n">
        <v>0</v>
      </c>
    </row>
    <row r="331" customFormat="false" ht="15" hidden="false" customHeight="false" outlineLevel="0" collapsed="false">
      <c r="A331" s="2" t="s">
        <v>778</v>
      </c>
      <c r="B331" s="2" t="s">
        <v>779</v>
      </c>
      <c r="C331" s="2" t="n">
        <v>5</v>
      </c>
      <c r="D331" s="2" t="s">
        <v>90</v>
      </c>
      <c r="E331" s="2" t="s">
        <v>16</v>
      </c>
      <c r="F331" s="3" t="n">
        <v>45693.425</v>
      </c>
      <c r="G331" s="2" t="s">
        <v>646</v>
      </c>
      <c r="H331" s="4" t="n">
        <v>0.6249</v>
      </c>
      <c r="I331" s="2" t="s">
        <v>23</v>
      </c>
      <c r="J331" s="2" t="s">
        <v>37</v>
      </c>
      <c r="K331" s="2" t="n">
        <v>5</v>
      </c>
      <c r="L331" s="2" t="n">
        <v>0</v>
      </c>
      <c r="M331" s="2" t="n">
        <v>0</v>
      </c>
    </row>
    <row r="332" customFormat="false" ht="15" hidden="false" customHeight="false" outlineLevel="0" collapsed="false">
      <c r="A332" s="2" t="s">
        <v>780</v>
      </c>
      <c r="B332" s="2" t="s">
        <v>781</v>
      </c>
      <c r="C332" s="2" t="n">
        <v>5</v>
      </c>
      <c r="D332" s="2" t="s">
        <v>47</v>
      </c>
      <c r="E332" s="2" t="s">
        <v>16</v>
      </c>
      <c r="F332" s="3" t="n">
        <v>45693.5972222222</v>
      </c>
      <c r="G332" s="2" t="s">
        <v>646</v>
      </c>
      <c r="H332" s="4" t="n">
        <v>0.3089</v>
      </c>
      <c r="I332" s="2" t="s">
        <v>23</v>
      </c>
      <c r="J332" s="2" t="s">
        <v>19</v>
      </c>
      <c r="K332" s="2" t="n">
        <v>1</v>
      </c>
      <c r="L332" s="2" t="n">
        <v>0</v>
      </c>
      <c r="M332" s="2" t="n">
        <v>0</v>
      </c>
    </row>
    <row r="333" customFormat="false" ht="15" hidden="false" customHeight="false" outlineLevel="0" collapsed="false">
      <c r="A333" s="2" t="s">
        <v>782</v>
      </c>
      <c r="B333" s="2" t="s">
        <v>783</v>
      </c>
      <c r="C333" s="2" t="n">
        <v>4</v>
      </c>
      <c r="D333" s="2" t="s">
        <v>784</v>
      </c>
      <c r="E333" s="2" t="s">
        <v>16</v>
      </c>
      <c r="F333" s="3" t="n">
        <v>45693.7965277778</v>
      </c>
      <c r="G333" s="2" t="s">
        <v>646</v>
      </c>
      <c r="H333" s="4" t="n">
        <v>0.6082</v>
      </c>
      <c r="I333" s="2" t="s">
        <v>23</v>
      </c>
      <c r="J333" s="2" t="s">
        <v>33</v>
      </c>
      <c r="K333" s="2" t="n">
        <v>2</v>
      </c>
      <c r="L333" s="2" t="n">
        <v>0</v>
      </c>
      <c r="M333" s="2" t="n">
        <v>0</v>
      </c>
    </row>
    <row r="334" customFormat="false" ht="15" hidden="false" customHeight="false" outlineLevel="0" collapsed="false">
      <c r="A334" s="2" t="s">
        <v>785</v>
      </c>
      <c r="B334" s="2" t="s">
        <v>786</v>
      </c>
      <c r="C334" s="2" t="n">
        <v>5</v>
      </c>
      <c r="D334" s="2" t="s">
        <v>787</v>
      </c>
      <c r="E334" s="2" t="s">
        <v>16</v>
      </c>
      <c r="F334" s="3" t="n">
        <v>45693.9104166667</v>
      </c>
      <c r="G334" s="2" t="s">
        <v>646</v>
      </c>
      <c r="H334" s="4" t="n">
        <v>0.7475</v>
      </c>
      <c r="I334" s="2" t="s">
        <v>23</v>
      </c>
      <c r="J334" s="2" t="s">
        <v>37</v>
      </c>
      <c r="K334" s="2" t="n">
        <v>10</v>
      </c>
      <c r="L334" s="2" t="n">
        <v>0</v>
      </c>
      <c r="M334" s="2" t="n">
        <v>0</v>
      </c>
    </row>
    <row r="335" customFormat="false" ht="15" hidden="false" customHeight="false" outlineLevel="0" collapsed="false">
      <c r="A335" s="2" t="s">
        <v>788</v>
      </c>
      <c r="B335" s="2" t="s">
        <v>789</v>
      </c>
      <c r="C335" s="2" t="n">
        <v>5</v>
      </c>
      <c r="D335" s="2" t="s">
        <v>790</v>
      </c>
      <c r="E335" s="2" t="s">
        <v>16</v>
      </c>
      <c r="F335" s="3" t="n">
        <v>45694.2041666667</v>
      </c>
      <c r="G335" s="2" t="s">
        <v>646</v>
      </c>
      <c r="H335" s="4" t="n">
        <v>0.9647</v>
      </c>
      <c r="I335" s="2" t="s">
        <v>23</v>
      </c>
      <c r="J335" s="2" t="s">
        <v>37</v>
      </c>
      <c r="K335" s="2" t="n">
        <v>2</v>
      </c>
      <c r="L335" s="2" t="n">
        <v>0</v>
      </c>
      <c r="M335" s="2" t="n">
        <v>0</v>
      </c>
    </row>
    <row r="336" customFormat="false" ht="15" hidden="false" customHeight="false" outlineLevel="0" collapsed="false">
      <c r="A336" s="2" t="s">
        <v>791</v>
      </c>
      <c r="B336" s="2" t="s">
        <v>792</v>
      </c>
      <c r="C336" s="2" t="n">
        <v>5</v>
      </c>
      <c r="D336" s="2" t="s">
        <v>52</v>
      </c>
      <c r="E336" s="2" t="s">
        <v>16</v>
      </c>
      <c r="F336" s="3" t="n">
        <v>45694.2534722222</v>
      </c>
      <c r="G336" s="2" t="s">
        <v>646</v>
      </c>
      <c r="H336" s="4" t="n">
        <v>0.6369</v>
      </c>
      <c r="I336" s="2" t="s">
        <v>23</v>
      </c>
      <c r="J336" s="2" t="s">
        <v>19</v>
      </c>
      <c r="K336" s="2" t="n">
        <v>4</v>
      </c>
      <c r="L336" s="2" t="n">
        <v>0</v>
      </c>
      <c r="M336" s="2" t="n">
        <v>0</v>
      </c>
    </row>
    <row r="337" customFormat="false" ht="15" hidden="false" customHeight="false" outlineLevel="0" collapsed="false">
      <c r="A337" s="2" t="s">
        <v>793</v>
      </c>
      <c r="B337" s="2" t="s">
        <v>794</v>
      </c>
      <c r="C337" s="2" t="n">
        <v>4</v>
      </c>
      <c r="D337" s="2" t="s">
        <v>784</v>
      </c>
      <c r="E337" s="2" t="s">
        <v>16</v>
      </c>
      <c r="F337" s="3" t="n">
        <v>45694.2833333333</v>
      </c>
      <c r="G337" s="2" t="s">
        <v>646</v>
      </c>
      <c r="H337" s="4" t="n">
        <v>0.6082</v>
      </c>
      <c r="I337" s="2" t="s">
        <v>23</v>
      </c>
      <c r="J337" s="2" t="s">
        <v>33</v>
      </c>
      <c r="K337" s="2" t="n">
        <v>0</v>
      </c>
      <c r="L337" s="2" t="n">
        <v>0</v>
      </c>
      <c r="M337" s="2" t="n">
        <v>0</v>
      </c>
    </row>
    <row r="338" customFormat="false" ht="15" hidden="false" customHeight="false" outlineLevel="0" collapsed="false">
      <c r="A338" s="2" t="s">
        <v>795</v>
      </c>
      <c r="B338" s="2" t="s">
        <v>796</v>
      </c>
      <c r="C338" s="2" t="n">
        <v>5</v>
      </c>
      <c r="D338" s="2" t="s">
        <v>62</v>
      </c>
      <c r="E338" s="2" t="s">
        <v>16</v>
      </c>
      <c r="F338" s="3" t="n">
        <v>45694.3131944445</v>
      </c>
      <c r="G338" s="2" t="s">
        <v>646</v>
      </c>
      <c r="H338" s="4" t="n">
        <v>0.7088</v>
      </c>
      <c r="I338" s="2" t="s">
        <v>23</v>
      </c>
      <c r="J338" s="2" t="s">
        <v>19</v>
      </c>
      <c r="K338" s="2" t="n">
        <v>1</v>
      </c>
      <c r="L338" s="2" t="n">
        <v>0</v>
      </c>
      <c r="M338" s="2" t="n">
        <v>0</v>
      </c>
    </row>
    <row r="339" customFormat="false" ht="15" hidden="false" customHeight="false" outlineLevel="0" collapsed="false">
      <c r="A339" s="2" t="s">
        <v>797</v>
      </c>
      <c r="B339" s="2" t="s">
        <v>798</v>
      </c>
      <c r="C339" s="2" t="n">
        <v>5</v>
      </c>
      <c r="D339" s="2" t="s">
        <v>799</v>
      </c>
      <c r="E339" s="2" t="s">
        <v>16</v>
      </c>
      <c r="F339" s="3" t="n">
        <v>45694.5513888889</v>
      </c>
      <c r="G339" s="2" t="s">
        <v>646</v>
      </c>
      <c r="H339" s="4" t="n">
        <v>0.9606</v>
      </c>
      <c r="I339" s="2" t="s">
        <v>23</v>
      </c>
      <c r="J339" s="2" t="s">
        <v>37</v>
      </c>
      <c r="K339" s="2" t="n">
        <v>2</v>
      </c>
      <c r="L339" s="2" t="n">
        <v>0</v>
      </c>
      <c r="M339" s="2" t="n">
        <v>0</v>
      </c>
    </row>
    <row r="340" customFormat="false" ht="15" hidden="false" customHeight="false" outlineLevel="0" collapsed="false">
      <c r="A340" s="2" t="s">
        <v>800</v>
      </c>
      <c r="B340" s="2" t="s">
        <v>801</v>
      </c>
      <c r="C340" s="2" t="n">
        <v>5</v>
      </c>
      <c r="D340" s="2" t="s">
        <v>325</v>
      </c>
      <c r="E340" s="2" t="s">
        <v>16</v>
      </c>
      <c r="F340" s="3" t="n">
        <v>45694.6506944444</v>
      </c>
      <c r="G340" s="2" t="s">
        <v>646</v>
      </c>
      <c r="H340" s="4" t="n">
        <v>0.9612</v>
      </c>
      <c r="I340" s="2" t="s">
        <v>23</v>
      </c>
      <c r="J340" s="2" t="s">
        <v>37</v>
      </c>
      <c r="K340" s="2" t="n">
        <v>3</v>
      </c>
      <c r="L340" s="2" t="n">
        <v>0</v>
      </c>
      <c r="M340" s="2" t="n">
        <v>0</v>
      </c>
    </row>
    <row r="341" customFormat="false" ht="15" hidden="false" customHeight="false" outlineLevel="0" collapsed="false">
      <c r="A341" s="2" t="s">
        <v>802</v>
      </c>
      <c r="B341" s="2" t="s">
        <v>803</v>
      </c>
      <c r="C341" s="2" t="n">
        <v>2</v>
      </c>
      <c r="D341" s="2" t="s">
        <v>804</v>
      </c>
      <c r="E341" s="2" t="s">
        <v>16</v>
      </c>
      <c r="F341" s="3" t="n">
        <v>45694.6694444444</v>
      </c>
      <c r="G341" s="2" t="s">
        <v>646</v>
      </c>
      <c r="H341" s="4" t="n">
        <v>0.2263</v>
      </c>
      <c r="I341" s="2" t="s">
        <v>23</v>
      </c>
      <c r="J341" s="2" t="s">
        <v>37</v>
      </c>
      <c r="K341" s="2" t="n">
        <v>0</v>
      </c>
      <c r="L341" s="2" t="n">
        <v>0</v>
      </c>
      <c r="M341" s="2" t="n">
        <v>0</v>
      </c>
    </row>
    <row r="342" customFormat="false" ht="15" hidden="false" customHeight="false" outlineLevel="0" collapsed="false">
      <c r="A342" s="2" t="s">
        <v>805</v>
      </c>
      <c r="B342" s="2" t="s">
        <v>806</v>
      </c>
      <c r="C342" s="2" t="n">
        <v>5</v>
      </c>
      <c r="D342" s="2" t="s">
        <v>807</v>
      </c>
      <c r="E342" s="2" t="s">
        <v>16</v>
      </c>
      <c r="F342" s="3" t="n">
        <v>45694.6965277778</v>
      </c>
      <c r="G342" s="2" t="s">
        <v>646</v>
      </c>
      <c r="H342" s="4" t="n">
        <v>0.6369</v>
      </c>
      <c r="I342" s="2" t="s">
        <v>23</v>
      </c>
      <c r="J342" s="2" t="s">
        <v>19</v>
      </c>
      <c r="K342" s="2" t="n">
        <v>0</v>
      </c>
      <c r="L342" s="2" t="n">
        <v>0</v>
      </c>
      <c r="M342" s="2" t="n">
        <v>0</v>
      </c>
    </row>
    <row r="343" customFormat="false" ht="15" hidden="false" customHeight="false" outlineLevel="0" collapsed="false">
      <c r="A343" s="2" t="s">
        <v>808</v>
      </c>
      <c r="B343" s="2" t="s">
        <v>809</v>
      </c>
      <c r="C343" s="2" t="n">
        <v>3</v>
      </c>
      <c r="D343" s="2" t="s">
        <v>22</v>
      </c>
      <c r="E343" s="2" t="s">
        <v>16</v>
      </c>
      <c r="F343" s="3" t="n">
        <v>45694.9111111111</v>
      </c>
      <c r="G343" s="2" t="s">
        <v>646</v>
      </c>
      <c r="H343" s="4" t="n">
        <v>0.2023</v>
      </c>
      <c r="I343" s="2" t="s">
        <v>23</v>
      </c>
      <c r="J343" s="2" t="s">
        <v>19</v>
      </c>
      <c r="K343" s="2" t="n">
        <v>0</v>
      </c>
      <c r="L343" s="2" t="n">
        <v>0</v>
      </c>
      <c r="M343" s="2" t="n">
        <v>0</v>
      </c>
    </row>
    <row r="344" customFormat="false" ht="15" hidden="false" customHeight="false" outlineLevel="0" collapsed="false">
      <c r="A344" s="2" t="s">
        <v>810</v>
      </c>
      <c r="B344" s="2" t="s">
        <v>811</v>
      </c>
      <c r="C344" s="2" t="n">
        <v>1</v>
      </c>
      <c r="D344" s="2" t="s">
        <v>357</v>
      </c>
      <c r="E344" s="2" t="s">
        <v>16</v>
      </c>
      <c r="F344" s="3" t="n">
        <v>45694.9125</v>
      </c>
      <c r="G344" s="2" t="s">
        <v>646</v>
      </c>
      <c r="H344" s="4" t="n">
        <v>0</v>
      </c>
      <c r="I344" s="2" t="s">
        <v>18</v>
      </c>
      <c r="J344" s="2" t="s">
        <v>165</v>
      </c>
      <c r="K344" s="2" t="n">
        <v>4</v>
      </c>
      <c r="L344" s="2" t="n">
        <v>0</v>
      </c>
      <c r="M344" s="2" t="n">
        <v>0</v>
      </c>
    </row>
    <row r="345" customFormat="false" ht="15" hidden="false" customHeight="false" outlineLevel="0" collapsed="false">
      <c r="A345" s="2" t="s">
        <v>812</v>
      </c>
      <c r="B345" s="2" t="s">
        <v>813</v>
      </c>
      <c r="C345" s="2" t="n">
        <v>4</v>
      </c>
      <c r="D345" s="2" t="s">
        <v>96</v>
      </c>
      <c r="E345" s="2" t="s">
        <v>16</v>
      </c>
      <c r="F345" s="3" t="n">
        <v>45694.9604166667</v>
      </c>
      <c r="G345" s="2" t="s">
        <v>646</v>
      </c>
      <c r="H345" s="4" t="n">
        <v>0.6369</v>
      </c>
      <c r="I345" s="2" t="s">
        <v>23</v>
      </c>
      <c r="J345" s="2" t="s">
        <v>19</v>
      </c>
      <c r="K345" s="2" t="n">
        <v>1</v>
      </c>
      <c r="L345" s="2" t="n">
        <v>0</v>
      </c>
      <c r="M345" s="2" t="n">
        <v>0</v>
      </c>
    </row>
    <row r="346" customFormat="false" ht="15" hidden="false" customHeight="false" outlineLevel="0" collapsed="false">
      <c r="A346" s="2" t="s">
        <v>814</v>
      </c>
      <c r="B346" s="2" t="s">
        <v>815</v>
      </c>
      <c r="C346" s="2" t="n">
        <v>2</v>
      </c>
      <c r="D346" s="2" t="s">
        <v>721</v>
      </c>
      <c r="E346" s="2" t="s">
        <v>16</v>
      </c>
      <c r="F346" s="3" t="n">
        <v>45695.0118055556</v>
      </c>
      <c r="G346" s="2" t="s">
        <v>646</v>
      </c>
      <c r="H346" s="4" t="n">
        <v>-0.4588</v>
      </c>
      <c r="I346" s="2" t="s">
        <v>84</v>
      </c>
      <c r="J346" s="2" t="s">
        <v>37</v>
      </c>
      <c r="K346" s="2" t="n">
        <v>0</v>
      </c>
      <c r="L346" s="2" t="n">
        <v>0</v>
      </c>
      <c r="M346" s="2" t="n">
        <v>0</v>
      </c>
    </row>
    <row r="347" customFormat="false" ht="15" hidden="false" customHeight="false" outlineLevel="0" collapsed="false">
      <c r="A347" s="2" t="s">
        <v>816</v>
      </c>
      <c r="B347" s="2" t="s">
        <v>817</v>
      </c>
      <c r="C347" s="2" t="n">
        <v>3</v>
      </c>
      <c r="D347" s="2" t="s">
        <v>36</v>
      </c>
      <c r="E347" s="2" t="s">
        <v>16</v>
      </c>
      <c r="F347" s="3" t="n">
        <v>45695.1395833333</v>
      </c>
      <c r="G347" s="2" t="s">
        <v>646</v>
      </c>
      <c r="H347" s="4" t="n">
        <v>0.4404</v>
      </c>
      <c r="I347" s="2" t="s">
        <v>23</v>
      </c>
      <c r="J347" s="2" t="s">
        <v>37</v>
      </c>
      <c r="K347" s="2" t="n">
        <v>8</v>
      </c>
      <c r="L347" s="2" t="n">
        <v>0</v>
      </c>
      <c r="M347" s="2" t="n">
        <v>0</v>
      </c>
    </row>
    <row r="348" customFormat="false" ht="15" hidden="false" customHeight="false" outlineLevel="0" collapsed="false">
      <c r="A348" s="2" t="s">
        <v>818</v>
      </c>
      <c r="B348" s="2" t="s">
        <v>819</v>
      </c>
      <c r="C348" s="2" t="n">
        <v>4</v>
      </c>
      <c r="D348" s="2" t="s">
        <v>820</v>
      </c>
      <c r="E348" s="2" t="s">
        <v>16</v>
      </c>
      <c r="F348" s="3" t="n">
        <v>45695.2048611111</v>
      </c>
      <c r="G348" s="2" t="s">
        <v>646</v>
      </c>
      <c r="H348" s="4" t="n">
        <v>0.6808</v>
      </c>
      <c r="I348" s="2" t="s">
        <v>23</v>
      </c>
      <c r="J348" s="2" t="s">
        <v>37</v>
      </c>
      <c r="K348" s="2" t="n">
        <v>3</v>
      </c>
      <c r="L348" s="2" t="n">
        <v>0</v>
      </c>
      <c r="M348" s="2" t="n">
        <v>0</v>
      </c>
    </row>
    <row r="349" customFormat="false" ht="15" hidden="false" customHeight="false" outlineLevel="0" collapsed="false">
      <c r="A349" s="2" t="s">
        <v>821</v>
      </c>
      <c r="B349" s="2" t="s">
        <v>822</v>
      </c>
      <c r="C349" s="2" t="n">
        <v>2</v>
      </c>
      <c r="D349" s="2" t="s">
        <v>823</v>
      </c>
      <c r="E349" s="2" t="s">
        <v>16</v>
      </c>
      <c r="F349" s="3" t="n">
        <v>45695.3513888889</v>
      </c>
      <c r="G349" s="2" t="s">
        <v>646</v>
      </c>
      <c r="H349" s="4" t="n">
        <v>-0.6997</v>
      </c>
      <c r="I349" s="2" t="s">
        <v>84</v>
      </c>
      <c r="J349" s="2" t="s">
        <v>19</v>
      </c>
      <c r="K349" s="2" t="n">
        <v>1</v>
      </c>
      <c r="L349" s="2" t="n">
        <v>1</v>
      </c>
      <c r="M349" s="2" t="n">
        <v>0</v>
      </c>
    </row>
    <row r="350" customFormat="false" ht="15" hidden="false" customHeight="false" outlineLevel="0" collapsed="false">
      <c r="A350" s="2" t="s">
        <v>824</v>
      </c>
      <c r="B350" s="2" t="s">
        <v>825</v>
      </c>
      <c r="C350" s="2" t="n">
        <v>3</v>
      </c>
      <c r="D350" s="2" t="s">
        <v>36</v>
      </c>
      <c r="E350" s="2" t="s">
        <v>16</v>
      </c>
      <c r="F350" s="3" t="n">
        <v>45695.3569444444</v>
      </c>
      <c r="G350" s="2" t="s">
        <v>646</v>
      </c>
      <c r="H350" s="4" t="n">
        <v>0.4404</v>
      </c>
      <c r="I350" s="2" t="s">
        <v>23</v>
      </c>
      <c r="J350" s="2" t="s">
        <v>37</v>
      </c>
      <c r="K350" s="2" t="n">
        <v>0</v>
      </c>
      <c r="L350" s="2" t="n">
        <v>0</v>
      </c>
      <c r="M350" s="2" t="n">
        <v>0</v>
      </c>
    </row>
    <row r="351" customFormat="false" ht="15" hidden="false" customHeight="false" outlineLevel="0" collapsed="false">
      <c r="A351" s="2" t="s">
        <v>826</v>
      </c>
      <c r="B351" s="2" t="s">
        <v>827</v>
      </c>
      <c r="C351" s="2" t="n">
        <v>4</v>
      </c>
      <c r="D351" s="2" t="s">
        <v>828</v>
      </c>
      <c r="E351" s="2" t="s">
        <v>16</v>
      </c>
      <c r="F351" s="3" t="n">
        <v>45695.4194444444</v>
      </c>
      <c r="G351" s="2" t="s">
        <v>646</v>
      </c>
      <c r="H351" s="4" t="n">
        <v>0.8519</v>
      </c>
      <c r="I351" s="2" t="s">
        <v>23</v>
      </c>
      <c r="J351" s="2" t="s">
        <v>37</v>
      </c>
      <c r="K351" s="2" t="n">
        <v>1</v>
      </c>
      <c r="L351" s="2" t="n">
        <v>0</v>
      </c>
      <c r="M351" s="2" t="n">
        <v>0</v>
      </c>
    </row>
    <row r="352" customFormat="false" ht="15" hidden="false" customHeight="false" outlineLevel="0" collapsed="false">
      <c r="A352" s="2" t="s">
        <v>829</v>
      </c>
      <c r="B352" s="2" t="s">
        <v>830</v>
      </c>
      <c r="C352" s="2" t="n">
        <v>3</v>
      </c>
      <c r="D352" s="2" t="s">
        <v>831</v>
      </c>
      <c r="E352" s="2" t="s">
        <v>16</v>
      </c>
      <c r="F352" s="3" t="n">
        <v>45695.4458333333</v>
      </c>
      <c r="G352" s="2" t="s">
        <v>646</v>
      </c>
      <c r="H352" s="4" t="n">
        <v>0.2023</v>
      </c>
      <c r="I352" s="2" t="s">
        <v>23</v>
      </c>
      <c r="J352" s="2" t="s">
        <v>19</v>
      </c>
      <c r="K352" s="2" t="n">
        <v>5</v>
      </c>
      <c r="L352" s="2" t="n">
        <v>0</v>
      </c>
      <c r="M352" s="2" t="n">
        <v>0</v>
      </c>
    </row>
    <row r="353" customFormat="false" ht="15" hidden="false" customHeight="false" outlineLevel="0" collapsed="false">
      <c r="A353" s="2" t="s">
        <v>832</v>
      </c>
      <c r="B353" s="2" t="s">
        <v>833</v>
      </c>
      <c r="C353" s="2" t="n">
        <v>5</v>
      </c>
      <c r="D353" s="2" t="s">
        <v>834</v>
      </c>
      <c r="E353" s="2" t="s">
        <v>16</v>
      </c>
      <c r="F353" s="3" t="n">
        <v>45695.7006944444</v>
      </c>
      <c r="G353" s="2" t="s">
        <v>646</v>
      </c>
      <c r="H353" s="4" t="n">
        <v>0.9481</v>
      </c>
      <c r="I353" s="2" t="s">
        <v>23</v>
      </c>
      <c r="J353" s="2" t="s">
        <v>37</v>
      </c>
      <c r="K353" s="2" t="n">
        <v>1</v>
      </c>
      <c r="L353" s="2" t="n">
        <v>0</v>
      </c>
      <c r="M353" s="2" t="n">
        <v>0</v>
      </c>
    </row>
    <row r="354" customFormat="false" ht="15" hidden="false" customHeight="false" outlineLevel="0" collapsed="false">
      <c r="A354" s="2" t="s">
        <v>835</v>
      </c>
      <c r="B354" s="2" t="s">
        <v>836</v>
      </c>
      <c r="C354" s="2" t="n">
        <v>4</v>
      </c>
      <c r="D354" s="2" t="s">
        <v>301</v>
      </c>
      <c r="E354" s="2" t="s">
        <v>16</v>
      </c>
      <c r="F354" s="3" t="n">
        <v>45695.8631944444</v>
      </c>
      <c r="G354" s="2" t="s">
        <v>646</v>
      </c>
      <c r="H354" s="4" t="n">
        <v>0.2263</v>
      </c>
      <c r="I354" s="2" t="s">
        <v>23</v>
      </c>
      <c r="J354" s="2" t="s">
        <v>19</v>
      </c>
      <c r="K354" s="2" t="n">
        <v>0</v>
      </c>
      <c r="L354" s="2" t="n">
        <v>0</v>
      </c>
      <c r="M354" s="2" t="n">
        <v>0</v>
      </c>
    </row>
    <row r="355" customFormat="false" ht="15" hidden="false" customHeight="false" outlineLevel="0" collapsed="false">
      <c r="A355" s="2" t="s">
        <v>837</v>
      </c>
      <c r="B355" s="2" t="s">
        <v>838</v>
      </c>
      <c r="C355" s="2" t="n">
        <v>5</v>
      </c>
      <c r="D355" s="2" t="s">
        <v>834</v>
      </c>
      <c r="E355" s="2" t="s">
        <v>16</v>
      </c>
      <c r="F355" s="3" t="n">
        <v>45696.0555555556</v>
      </c>
      <c r="G355" s="2" t="s">
        <v>646</v>
      </c>
      <c r="H355" s="4" t="n">
        <v>0.9481</v>
      </c>
      <c r="I355" s="2" t="s">
        <v>23</v>
      </c>
      <c r="J355" s="2" t="s">
        <v>37</v>
      </c>
      <c r="K355" s="2" t="n">
        <v>0</v>
      </c>
      <c r="L355" s="2" t="n">
        <v>0</v>
      </c>
      <c r="M355" s="2" t="n">
        <v>0</v>
      </c>
    </row>
    <row r="356" customFormat="false" ht="15" hidden="false" customHeight="false" outlineLevel="0" collapsed="false">
      <c r="A356" s="2" t="s">
        <v>839</v>
      </c>
      <c r="B356" s="2" t="s">
        <v>840</v>
      </c>
      <c r="C356" s="2" t="n">
        <v>5</v>
      </c>
      <c r="D356" s="2" t="s">
        <v>639</v>
      </c>
      <c r="E356" s="2" t="s">
        <v>16</v>
      </c>
      <c r="F356" s="3" t="n">
        <v>45696.1840277778</v>
      </c>
      <c r="G356" s="2" t="s">
        <v>646</v>
      </c>
      <c r="H356" s="4" t="n">
        <v>0.7088</v>
      </c>
      <c r="I356" s="2" t="s">
        <v>23</v>
      </c>
      <c r="J356" s="2" t="s">
        <v>19</v>
      </c>
      <c r="K356" s="2" t="n">
        <v>17</v>
      </c>
      <c r="L356" s="2" t="n">
        <v>0</v>
      </c>
      <c r="M356" s="2" t="n">
        <v>0</v>
      </c>
    </row>
    <row r="357" customFormat="false" ht="15" hidden="false" customHeight="false" outlineLevel="0" collapsed="false">
      <c r="A357" s="2" t="s">
        <v>841</v>
      </c>
      <c r="B357" s="2" t="s">
        <v>842</v>
      </c>
      <c r="C357" s="2" t="n">
        <v>5</v>
      </c>
      <c r="D357" s="2" t="s">
        <v>62</v>
      </c>
      <c r="E357" s="2" t="s">
        <v>16</v>
      </c>
      <c r="F357" s="3" t="n">
        <v>45696.2347222222</v>
      </c>
      <c r="G357" s="2" t="s">
        <v>646</v>
      </c>
      <c r="H357" s="4" t="n">
        <v>0.7088</v>
      </c>
      <c r="I357" s="2" t="s">
        <v>23</v>
      </c>
      <c r="J357" s="2" t="s">
        <v>19</v>
      </c>
      <c r="K357" s="2" t="n">
        <v>3</v>
      </c>
      <c r="L357" s="2" t="n">
        <v>0</v>
      </c>
      <c r="M357" s="2" t="n">
        <v>0</v>
      </c>
    </row>
    <row r="358" customFormat="false" ht="15" hidden="false" customHeight="false" outlineLevel="0" collapsed="false">
      <c r="A358" s="2" t="s">
        <v>843</v>
      </c>
      <c r="B358" s="2" t="s">
        <v>844</v>
      </c>
      <c r="C358" s="2" t="n">
        <v>4</v>
      </c>
      <c r="D358" s="2" t="s">
        <v>87</v>
      </c>
      <c r="E358" s="2" t="s">
        <v>16</v>
      </c>
      <c r="F358" s="3" t="n">
        <v>45696.2479166667</v>
      </c>
      <c r="G358" s="2" t="s">
        <v>646</v>
      </c>
      <c r="H358" s="4" t="n">
        <v>0</v>
      </c>
      <c r="I358" s="2" t="s">
        <v>18</v>
      </c>
      <c r="J358" s="2" t="s">
        <v>19</v>
      </c>
      <c r="K358" s="2" t="n">
        <v>3</v>
      </c>
      <c r="L358" s="2" t="n">
        <v>0</v>
      </c>
      <c r="M358" s="2" t="n">
        <v>0</v>
      </c>
    </row>
    <row r="359" customFormat="false" ht="15" hidden="false" customHeight="false" outlineLevel="0" collapsed="false">
      <c r="A359" s="2" t="s">
        <v>845</v>
      </c>
      <c r="B359" s="2" t="s">
        <v>846</v>
      </c>
      <c r="C359" s="2" t="n">
        <v>1</v>
      </c>
      <c r="D359" s="2" t="s">
        <v>847</v>
      </c>
      <c r="E359" s="2" t="s">
        <v>16</v>
      </c>
      <c r="F359" s="3" t="n">
        <v>45696.3354166667</v>
      </c>
      <c r="G359" s="2" t="s">
        <v>646</v>
      </c>
      <c r="H359" s="4" t="n">
        <v>0.25</v>
      </c>
      <c r="I359" s="2" t="s">
        <v>23</v>
      </c>
      <c r="J359" s="2" t="s">
        <v>165</v>
      </c>
      <c r="K359" s="2" t="n">
        <v>1</v>
      </c>
      <c r="L359" s="2" t="n">
        <v>0</v>
      </c>
      <c r="M359" s="2" t="n">
        <v>0</v>
      </c>
    </row>
    <row r="360" customFormat="false" ht="15" hidden="false" customHeight="false" outlineLevel="0" collapsed="false">
      <c r="A360" s="2" t="s">
        <v>848</v>
      </c>
      <c r="B360" s="2" t="s">
        <v>849</v>
      </c>
      <c r="C360" s="2" t="n">
        <v>4</v>
      </c>
      <c r="D360" s="2" t="s">
        <v>850</v>
      </c>
      <c r="E360" s="2" t="s">
        <v>16</v>
      </c>
      <c r="F360" s="3" t="n">
        <v>45696.4659722222</v>
      </c>
      <c r="G360" s="2" t="s">
        <v>646</v>
      </c>
      <c r="H360" s="4" t="n">
        <v>0.7964</v>
      </c>
      <c r="I360" s="2" t="s">
        <v>23</v>
      </c>
      <c r="J360" s="2" t="s">
        <v>37</v>
      </c>
      <c r="K360" s="2" t="n">
        <v>1</v>
      </c>
      <c r="L360" s="2" t="n">
        <v>0</v>
      </c>
      <c r="M360" s="2" t="n">
        <v>0</v>
      </c>
    </row>
    <row r="361" customFormat="false" ht="15" hidden="false" customHeight="false" outlineLevel="0" collapsed="false">
      <c r="A361" s="2" t="s">
        <v>851</v>
      </c>
      <c r="B361" s="2" t="s">
        <v>852</v>
      </c>
      <c r="C361" s="2" t="n">
        <v>5</v>
      </c>
      <c r="D361" s="2" t="s">
        <v>210</v>
      </c>
      <c r="E361" s="2" t="s">
        <v>16</v>
      </c>
      <c r="F361" s="3" t="n">
        <v>45696.4763888889</v>
      </c>
      <c r="G361" s="2" t="s">
        <v>646</v>
      </c>
      <c r="H361" s="4" t="n">
        <v>0.5448</v>
      </c>
      <c r="I361" s="2" t="s">
        <v>23</v>
      </c>
      <c r="J361" s="2" t="s">
        <v>19</v>
      </c>
      <c r="K361" s="2" t="n">
        <v>0</v>
      </c>
      <c r="L361" s="2" t="n">
        <v>0</v>
      </c>
      <c r="M361" s="2" t="n">
        <v>0</v>
      </c>
    </row>
    <row r="362" customFormat="false" ht="15" hidden="false" customHeight="false" outlineLevel="0" collapsed="false">
      <c r="A362" s="2" t="s">
        <v>853</v>
      </c>
      <c r="B362" s="2" t="s">
        <v>854</v>
      </c>
      <c r="C362" s="2" t="n">
        <v>4</v>
      </c>
      <c r="D362" s="2" t="s">
        <v>127</v>
      </c>
      <c r="E362" s="2" t="s">
        <v>16</v>
      </c>
      <c r="F362" s="3" t="n">
        <v>45696.6166666667</v>
      </c>
      <c r="G362" s="2" t="s">
        <v>646</v>
      </c>
      <c r="H362" s="4" t="n">
        <v>0.9359</v>
      </c>
      <c r="I362" s="2" t="s">
        <v>23</v>
      </c>
      <c r="J362" s="2" t="s">
        <v>37</v>
      </c>
      <c r="K362" s="2" t="n">
        <v>0</v>
      </c>
      <c r="L362" s="2" t="n">
        <v>0</v>
      </c>
      <c r="M362" s="2" t="n">
        <v>0</v>
      </c>
    </row>
    <row r="363" customFormat="false" ht="15" hidden="false" customHeight="false" outlineLevel="0" collapsed="false">
      <c r="A363" s="2" t="s">
        <v>855</v>
      </c>
      <c r="B363" s="2" t="s">
        <v>856</v>
      </c>
      <c r="C363" s="2" t="n">
        <v>5</v>
      </c>
      <c r="D363" s="2" t="s">
        <v>47</v>
      </c>
      <c r="E363" s="2" t="s">
        <v>16</v>
      </c>
      <c r="F363" s="3" t="n">
        <v>45696.7840277778</v>
      </c>
      <c r="G363" s="2" t="s">
        <v>646</v>
      </c>
      <c r="H363" s="4" t="n">
        <v>0.3089</v>
      </c>
      <c r="I363" s="2" t="s">
        <v>23</v>
      </c>
      <c r="J363" s="2" t="s">
        <v>19</v>
      </c>
      <c r="K363" s="2" t="n">
        <v>3</v>
      </c>
      <c r="L363" s="2" t="n">
        <v>0</v>
      </c>
      <c r="M363" s="2" t="n">
        <v>0</v>
      </c>
    </row>
    <row r="364" customFormat="false" ht="15" hidden="false" customHeight="false" outlineLevel="0" collapsed="false">
      <c r="A364" s="2" t="s">
        <v>857</v>
      </c>
      <c r="B364" s="2" t="s">
        <v>858</v>
      </c>
      <c r="C364" s="2" t="n">
        <v>5</v>
      </c>
      <c r="D364" s="2" t="s">
        <v>15</v>
      </c>
      <c r="E364" s="2" t="s">
        <v>16</v>
      </c>
      <c r="F364" s="3" t="n">
        <v>45696.7979166667</v>
      </c>
      <c r="G364" s="2" t="s">
        <v>646</v>
      </c>
      <c r="H364" s="4" t="n">
        <v>0</v>
      </c>
      <c r="I364" s="2" t="s">
        <v>18</v>
      </c>
      <c r="J364" s="2" t="s">
        <v>19</v>
      </c>
      <c r="K364" s="2" t="n">
        <v>0</v>
      </c>
      <c r="L364" s="2" t="n">
        <v>0</v>
      </c>
      <c r="M364" s="2" t="n">
        <v>0</v>
      </c>
    </row>
    <row r="365" customFormat="false" ht="15" hidden="false" customHeight="false" outlineLevel="0" collapsed="false">
      <c r="A365" s="2" t="s">
        <v>859</v>
      </c>
      <c r="B365" s="2" t="s">
        <v>860</v>
      </c>
      <c r="C365" s="2" t="n">
        <v>4</v>
      </c>
      <c r="D365" s="2" t="s">
        <v>36</v>
      </c>
      <c r="E365" s="2" t="s">
        <v>16</v>
      </c>
      <c r="F365" s="3" t="n">
        <v>45696.8430555556</v>
      </c>
      <c r="G365" s="2" t="s">
        <v>646</v>
      </c>
      <c r="H365" s="4" t="n">
        <v>0.4404</v>
      </c>
      <c r="I365" s="2" t="s">
        <v>23</v>
      </c>
      <c r="J365" s="2" t="s">
        <v>37</v>
      </c>
      <c r="K365" s="2" t="n">
        <v>0</v>
      </c>
      <c r="L365" s="2" t="n">
        <v>0</v>
      </c>
      <c r="M365" s="2" t="n">
        <v>0</v>
      </c>
    </row>
    <row r="366" customFormat="false" ht="15" hidden="false" customHeight="false" outlineLevel="0" collapsed="false">
      <c r="A366" s="2" t="s">
        <v>861</v>
      </c>
      <c r="B366" s="2" t="s">
        <v>862</v>
      </c>
      <c r="C366" s="2" t="n">
        <v>3</v>
      </c>
      <c r="D366" s="2" t="s">
        <v>863</v>
      </c>
      <c r="E366" s="2" t="s">
        <v>16</v>
      </c>
      <c r="F366" s="3" t="n">
        <v>45696.9</v>
      </c>
      <c r="G366" s="2" t="s">
        <v>646</v>
      </c>
      <c r="H366" s="4" t="n">
        <v>-0.092</v>
      </c>
      <c r="I366" s="2" t="s">
        <v>84</v>
      </c>
      <c r="J366" s="2" t="s">
        <v>19</v>
      </c>
      <c r="K366" s="2" t="n">
        <v>0</v>
      </c>
      <c r="L366" s="2" t="n">
        <v>0</v>
      </c>
      <c r="M366" s="2" t="n">
        <v>0</v>
      </c>
    </row>
    <row r="367" customFormat="false" ht="15" hidden="false" customHeight="false" outlineLevel="0" collapsed="false">
      <c r="A367" s="2" t="s">
        <v>864</v>
      </c>
      <c r="B367" s="2" t="s">
        <v>865</v>
      </c>
      <c r="C367" s="2" t="n">
        <v>4</v>
      </c>
      <c r="D367" s="2" t="s">
        <v>87</v>
      </c>
      <c r="E367" s="2" t="s">
        <v>16</v>
      </c>
      <c r="F367" s="3" t="n">
        <v>45696.9611111111</v>
      </c>
      <c r="G367" s="2" t="s">
        <v>646</v>
      </c>
      <c r="H367" s="4" t="n">
        <v>0</v>
      </c>
      <c r="I367" s="2" t="s">
        <v>18</v>
      </c>
      <c r="J367" s="2" t="s">
        <v>19</v>
      </c>
      <c r="K367" s="2" t="n">
        <v>3</v>
      </c>
      <c r="L367" s="2" t="n">
        <v>0</v>
      </c>
      <c r="M367" s="2" t="n">
        <v>0</v>
      </c>
    </row>
    <row r="368" customFormat="false" ht="15" hidden="false" customHeight="false" outlineLevel="0" collapsed="false">
      <c r="A368" s="2" t="s">
        <v>866</v>
      </c>
      <c r="B368" s="2" t="s">
        <v>867</v>
      </c>
      <c r="C368" s="2" t="n">
        <v>5</v>
      </c>
      <c r="D368" s="2" t="s">
        <v>130</v>
      </c>
      <c r="E368" s="2" t="s">
        <v>16</v>
      </c>
      <c r="F368" s="3" t="n">
        <v>45697.1354166667</v>
      </c>
      <c r="G368" s="2" t="s">
        <v>646</v>
      </c>
      <c r="H368" s="4" t="n">
        <v>0.6369</v>
      </c>
      <c r="I368" s="2" t="s">
        <v>23</v>
      </c>
      <c r="J368" s="2" t="s">
        <v>19</v>
      </c>
      <c r="K368" s="2" t="n">
        <v>7</v>
      </c>
      <c r="L368" s="2" t="n">
        <v>0</v>
      </c>
      <c r="M368" s="2" t="n">
        <v>0</v>
      </c>
    </row>
    <row r="369" customFormat="false" ht="15" hidden="false" customHeight="false" outlineLevel="0" collapsed="false">
      <c r="A369" s="2" t="s">
        <v>868</v>
      </c>
      <c r="B369" s="2" t="s">
        <v>869</v>
      </c>
      <c r="C369" s="2" t="n">
        <v>5</v>
      </c>
      <c r="D369" s="2" t="s">
        <v>47</v>
      </c>
      <c r="E369" s="2" t="s">
        <v>16</v>
      </c>
      <c r="F369" s="3" t="n">
        <v>45697.3291666667</v>
      </c>
      <c r="G369" s="2" t="s">
        <v>646</v>
      </c>
      <c r="H369" s="4" t="n">
        <v>0.3089</v>
      </c>
      <c r="I369" s="2" t="s">
        <v>23</v>
      </c>
      <c r="J369" s="2" t="s">
        <v>19</v>
      </c>
      <c r="K369" s="2" t="n">
        <v>1</v>
      </c>
      <c r="L369" s="2" t="n">
        <v>0</v>
      </c>
      <c r="M369" s="2" t="n">
        <v>0</v>
      </c>
    </row>
    <row r="370" customFormat="false" ht="15" hidden="false" customHeight="false" outlineLevel="0" collapsed="false">
      <c r="A370" s="2" t="s">
        <v>870</v>
      </c>
      <c r="B370" s="2" t="s">
        <v>871</v>
      </c>
      <c r="C370" s="2" t="n">
        <v>3</v>
      </c>
      <c r="D370" s="2" t="s">
        <v>872</v>
      </c>
      <c r="E370" s="2" t="s">
        <v>16</v>
      </c>
      <c r="F370" s="3" t="n">
        <v>45697.4069444445</v>
      </c>
      <c r="G370" s="2" t="s">
        <v>646</v>
      </c>
      <c r="H370" s="4" t="n">
        <v>0.1027</v>
      </c>
      <c r="I370" s="2" t="s">
        <v>23</v>
      </c>
      <c r="J370" s="2" t="s">
        <v>19</v>
      </c>
      <c r="K370" s="2" t="n">
        <v>4</v>
      </c>
      <c r="L370" s="2" t="n">
        <v>0</v>
      </c>
      <c r="M370" s="2" t="n">
        <v>0</v>
      </c>
    </row>
    <row r="371" customFormat="false" ht="15" hidden="false" customHeight="false" outlineLevel="0" collapsed="false">
      <c r="A371" s="2" t="s">
        <v>873</v>
      </c>
      <c r="B371" s="2" t="s">
        <v>874</v>
      </c>
      <c r="C371" s="2" t="n">
        <v>5</v>
      </c>
      <c r="D371" s="2" t="s">
        <v>875</v>
      </c>
      <c r="E371" s="2" t="s">
        <v>16</v>
      </c>
      <c r="F371" s="3" t="n">
        <v>45697.4277777778</v>
      </c>
      <c r="G371" s="2" t="s">
        <v>646</v>
      </c>
      <c r="H371" s="4" t="n">
        <v>0.7992</v>
      </c>
      <c r="I371" s="2" t="s">
        <v>23</v>
      </c>
      <c r="J371" s="2" t="s">
        <v>19</v>
      </c>
      <c r="K371" s="2" t="n">
        <v>0</v>
      </c>
      <c r="L371" s="2" t="n">
        <v>0</v>
      </c>
      <c r="M371" s="2" t="n">
        <v>0</v>
      </c>
    </row>
    <row r="372" customFormat="false" ht="15" hidden="false" customHeight="false" outlineLevel="0" collapsed="false">
      <c r="A372" s="2" t="s">
        <v>876</v>
      </c>
      <c r="B372" s="2" t="s">
        <v>877</v>
      </c>
      <c r="C372" s="2" t="n">
        <v>3</v>
      </c>
      <c r="D372" s="2" t="s">
        <v>710</v>
      </c>
      <c r="E372" s="2" t="s">
        <v>16</v>
      </c>
      <c r="F372" s="3" t="n">
        <v>45697.6111111111</v>
      </c>
      <c r="G372" s="2" t="s">
        <v>646</v>
      </c>
      <c r="H372" s="4" t="n">
        <v>0.5719</v>
      </c>
      <c r="I372" s="2" t="s">
        <v>23</v>
      </c>
      <c r="J372" s="2" t="s">
        <v>37</v>
      </c>
      <c r="K372" s="2" t="n">
        <v>0</v>
      </c>
      <c r="L372" s="2" t="n">
        <v>0</v>
      </c>
      <c r="M372" s="2" t="n">
        <v>0</v>
      </c>
    </row>
    <row r="373" customFormat="false" ht="15" hidden="false" customHeight="false" outlineLevel="0" collapsed="false">
      <c r="A373" s="2" t="s">
        <v>878</v>
      </c>
      <c r="B373" s="2" t="s">
        <v>879</v>
      </c>
      <c r="C373" s="2" t="n">
        <v>5</v>
      </c>
      <c r="D373" s="2" t="s">
        <v>15</v>
      </c>
      <c r="E373" s="2" t="s">
        <v>16</v>
      </c>
      <c r="F373" s="3" t="n">
        <v>45697.6486111111</v>
      </c>
      <c r="G373" s="2" t="s">
        <v>646</v>
      </c>
      <c r="H373" s="4" t="n">
        <v>0</v>
      </c>
      <c r="I373" s="2" t="s">
        <v>18</v>
      </c>
      <c r="J373" s="2" t="s">
        <v>19</v>
      </c>
      <c r="K373" s="2" t="n">
        <v>9</v>
      </c>
      <c r="L373" s="2" t="n">
        <v>0</v>
      </c>
      <c r="M373" s="2" t="n">
        <v>0</v>
      </c>
    </row>
    <row r="374" customFormat="false" ht="15" hidden="false" customHeight="false" outlineLevel="0" collapsed="false">
      <c r="A374" s="2" t="s">
        <v>880</v>
      </c>
      <c r="B374" s="2" t="s">
        <v>881</v>
      </c>
      <c r="C374" s="2" t="n">
        <v>5</v>
      </c>
      <c r="D374" s="2" t="s">
        <v>127</v>
      </c>
      <c r="E374" s="2" t="s">
        <v>16</v>
      </c>
      <c r="F374" s="3" t="n">
        <v>45697.8361111111</v>
      </c>
      <c r="G374" s="2" t="s">
        <v>646</v>
      </c>
      <c r="H374" s="4" t="n">
        <v>0.9359</v>
      </c>
      <c r="I374" s="2" t="s">
        <v>23</v>
      </c>
      <c r="J374" s="2" t="s">
        <v>37</v>
      </c>
      <c r="K374" s="2" t="n">
        <v>2</v>
      </c>
      <c r="L374" s="2" t="n">
        <v>0</v>
      </c>
      <c r="M374" s="2" t="n">
        <v>0</v>
      </c>
    </row>
    <row r="375" customFormat="false" ht="15" hidden="false" customHeight="false" outlineLevel="0" collapsed="false">
      <c r="A375" s="2" t="s">
        <v>882</v>
      </c>
      <c r="B375" s="2" t="s">
        <v>883</v>
      </c>
      <c r="C375" s="2" t="n">
        <v>4</v>
      </c>
      <c r="D375" s="2" t="s">
        <v>15</v>
      </c>
      <c r="E375" s="2" t="s">
        <v>16</v>
      </c>
      <c r="F375" s="3" t="n">
        <v>45697.95625</v>
      </c>
      <c r="G375" s="2" t="s">
        <v>646</v>
      </c>
      <c r="H375" s="4" t="n">
        <v>0</v>
      </c>
      <c r="I375" s="2" t="s">
        <v>18</v>
      </c>
      <c r="J375" s="2" t="s">
        <v>19</v>
      </c>
      <c r="K375" s="2" t="n">
        <v>8</v>
      </c>
      <c r="L375" s="2" t="n">
        <v>0</v>
      </c>
      <c r="M375" s="2" t="n">
        <v>0</v>
      </c>
    </row>
    <row r="376" customFormat="false" ht="15" hidden="false" customHeight="false" outlineLevel="0" collapsed="false">
      <c r="A376" s="2" t="s">
        <v>884</v>
      </c>
      <c r="B376" s="2" t="s">
        <v>885</v>
      </c>
      <c r="C376" s="2" t="n">
        <v>5</v>
      </c>
      <c r="D376" s="2" t="s">
        <v>130</v>
      </c>
      <c r="E376" s="2" t="s">
        <v>16</v>
      </c>
      <c r="F376" s="3" t="n">
        <v>45698.0881944444</v>
      </c>
      <c r="G376" s="2" t="s">
        <v>646</v>
      </c>
      <c r="H376" s="4" t="n">
        <v>0.6369</v>
      </c>
      <c r="I376" s="2" t="s">
        <v>23</v>
      </c>
      <c r="J376" s="2" t="s">
        <v>19</v>
      </c>
      <c r="K376" s="2" t="n">
        <v>0</v>
      </c>
      <c r="L376" s="2" t="n">
        <v>0</v>
      </c>
      <c r="M376" s="2" t="n">
        <v>0</v>
      </c>
    </row>
    <row r="377" customFormat="false" ht="15" hidden="false" customHeight="false" outlineLevel="0" collapsed="false">
      <c r="A377" s="2" t="s">
        <v>886</v>
      </c>
      <c r="B377" s="2" t="s">
        <v>887</v>
      </c>
      <c r="C377" s="2" t="n">
        <v>2</v>
      </c>
      <c r="D377" s="2" t="s">
        <v>295</v>
      </c>
      <c r="E377" s="2" t="s">
        <v>16</v>
      </c>
      <c r="F377" s="3" t="n">
        <v>45698.1465277778</v>
      </c>
      <c r="G377" s="2" t="s">
        <v>646</v>
      </c>
      <c r="H377" s="4" t="n">
        <v>-0.5023</v>
      </c>
      <c r="I377" s="2" t="s">
        <v>84</v>
      </c>
      <c r="J377" s="2" t="s">
        <v>33</v>
      </c>
      <c r="K377" s="2" t="n">
        <v>7</v>
      </c>
      <c r="L377" s="2" t="n">
        <v>1</v>
      </c>
      <c r="M377" s="2" t="n">
        <v>0</v>
      </c>
    </row>
    <row r="378" customFormat="false" ht="15" hidden="false" customHeight="false" outlineLevel="0" collapsed="false">
      <c r="A378" s="2" t="s">
        <v>888</v>
      </c>
      <c r="B378" s="2" t="s">
        <v>889</v>
      </c>
      <c r="C378" s="2" t="n">
        <v>5</v>
      </c>
      <c r="D378" s="2" t="s">
        <v>40</v>
      </c>
      <c r="E378" s="2" t="s">
        <v>16</v>
      </c>
      <c r="F378" s="3" t="n">
        <v>45698.2298611111</v>
      </c>
      <c r="G378" s="2" t="s">
        <v>646</v>
      </c>
      <c r="H378" s="4" t="n">
        <v>0.4019</v>
      </c>
      <c r="I378" s="2" t="s">
        <v>23</v>
      </c>
      <c r="J378" s="2" t="s">
        <v>33</v>
      </c>
      <c r="K378" s="2" t="n">
        <v>0</v>
      </c>
      <c r="L378" s="2" t="n">
        <v>0</v>
      </c>
      <c r="M378" s="2" t="n">
        <v>0</v>
      </c>
    </row>
    <row r="379" customFormat="false" ht="15" hidden="false" customHeight="false" outlineLevel="0" collapsed="false">
      <c r="A379" s="2" t="s">
        <v>890</v>
      </c>
      <c r="B379" s="2" t="s">
        <v>891</v>
      </c>
      <c r="C379" s="2" t="n">
        <v>5</v>
      </c>
      <c r="D379" s="2" t="s">
        <v>892</v>
      </c>
      <c r="E379" s="2" t="s">
        <v>16</v>
      </c>
      <c r="F379" s="3" t="n">
        <v>45698.38125</v>
      </c>
      <c r="G379" s="2" t="s">
        <v>646</v>
      </c>
      <c r="H379" s="4" t="n">
        <v>0.9612</v>
      </c>
      <c r="I379" s="2" t="s">
        <v>23</v>
      </c>
      <c r="J379" s="2" t="s">
        <v>37</v>
      </c>
      <c r="K379" s="2" t="n">
        <v>0</v>
      </c>
      <c r="L379" s="2" t="n">
        <v>0</v>
      </c>
      <c r="M379" s="2" t="n">
        <v>0</v>
      </c>
    </row>
    <row r="380" customFormat="false" ht="15" hidden="false" customHeight="false" outlineLevel="0" collapsed="false">
      <c r="A380" s="2" t="s">
        <v>893</v>
      </c>
      <c r="B380" s="2" t="s">
        <v>894</v>
      </c>
      <c r="C380" s="2" t="n">
        <v>1</v>
      </c>
      <c r="D380" s="2" t="s">
        <v>733</v>
      </c>
      <c r="E380" s="2" t="s">
        <v>16</v>
      </c>
      <c r="F380" s="3" t="n">
        <v>45698.7951388889</v>
      </c>
      <c r="G380" s="2" t="s">
        <v>646</v>
      </c>
      <c r="H380" s="4" t="n">
        <v>-0.2846</v>
      </c>
      <c r="I380" s="2" t="s">
        <v>84</v>
      </c>
      <c r="J380" s="2" t="s">
        <v>37</v>
      </c>
      <c r="K380" s="2" t="n">
        <v>1</v>
      </c>
      <c r="L380" s="2" t="n">
        <v>1</v>
      </c>
      <c r="M380" s="2" t="n">
        <v>0</v>
      </c>
    </row>
    <row r="381" customFormat="false" ht="15" hidden="false" customHeight="false" outlineLevel="0" collapsed="false">
      <c r="A381" s="2" t="s">
        <v>895</v>
      </c>
      <c r="B381" s="2" t="s">
        <v>896</v>
      </c>
      <c r="C381" s="2" t="n">
        <v>5</v>
      </c>
      <c r="D381" s="2" t="s">
        <v>96</v>
      </c>
      <c r="E381" s="2" t="s">
        <v>16</v>
      </c>
      <c r="F381" s="3" t="n">
        <v>45698.8986111111</v>
      </c>
      <c r="G381" s="2" t="s">
        <v>646</v>
      </c>
      <c r="H381" s="4" t="n">
        <v>0.6369</v>
      </c>
      <c r="I381" s="2" t="s">
        <v>23</v>
      </c>
      <c r="J381" s="2" t="s">
        <v>19</v>
      </c>
      <c r="K381" s="2" t="n">
        <v>10</v>
      </c>
      <c r="L381" s="2" t="n">
        <v>0</v>
      </c>
      <c r="M381" s="2" t="n">
        <v>0</v>
      </c>
    </row>
    <row r="382" customFormat="false" ht="15" hidden="false" customHeight="false" outlineLevel="0" collapsed="false">
      <c r="A382" s="2" t="s">
        <v>897</v>
      </c>
      <c r="B382" s="2" t="s">
        <v>898</v>
      </c>
      <c r="C382" s="2" t="n">
        <v>5</v>
      </c>
      <c r="D382" s="2" t="s">
        <v>15</v>
      </c>
      <c r="E382" s="2" t="s">
        <v>16</v>
      </c>
      <c r="F382" s="3" t="n">
        <v>45698.9930555556</v>
      </c>
      <c r="G382" s="2" t="s">
        <v>646</v>
      </c>
      <c r="H382" s="4" t="n">
        <v>0</v>
      </c>
      <c r="I382" s="2" t="s">
        <v>18</v>
      </c>
      <c r="J382" s="2" t="s">
        <v>19</v>
      </c>
      <c r="K382" s="2" t="n">
        <v>2</v>
      </c>
      <c r="L382" s="2" t="n">
        <v>0</v>
      </c>
      <c r="M382" s="2" t="n">
        <v>0</v>
      </c>
    </row>
    <row r="383" customFormat="false" ht="15" hidden="false" customHeight="false" outlineLevel="0" collapsed="false">
      <c r="A383" s="2" t="s">
        <v>899</v>
      </c>
      <c r="B383" s="2" t="s">
        <v>900</v>
      </c>
      <c r="C383" s="2" t="n">
        <v>5</v>
      </c>
      <c r="D383" s="2" t="s">
        <v>62</v>
      </c>
      <c r="E383" s="2" t="s">
        <v>16</v>
      </c>
      <c r="F383" s="3" t="n">
        <v>45698.9979166667</v>
      </c>
      <c r="G383" s="2" t="s">
        <v>646</v>
      </c>
      <c r="H383" s="4" t="n">
        <v>0.7088</v>
      </c>
      <c r="I383" s="2" t="s">
        <v>23</v>
      </c>
      <c r="J383" s="2" t="s">
        <v>19</v>
      </c>
      <c r="K383" s="2" t="n">
        <v>0</v>
      </c>
      <c r="L383" s="2" t="n">
        <v>0</v>
      </c>
      <c r="M383" s="2" t="n">
        <v>0</v>
      </c>
    </row>
    <row r="384" customFormat="false" ht="15" hidden="false" customHeight="false" outlineLevel="0" collapsed="false">
      <c r="A384" s="2" t="s">
        <v>901</v>
      </c>
      <c r="B384" s="2" t="s">
        <v>902</v>
      </c>
      <c r="C384" s="2" t="n">
        <v>5</v>
      </c>
      <c r="D384" s="2" t="s">
        <v>62</v>
      </c>
      <c r="E384" s="2" t="s">
        <v>16</v>
      </c>
      <c r="F384" s="3" t="n">
        <v>45699.0229166667</v>
      </c>
      <c r="G384" s="2" t="s">
        <v>646</v>
      </c>
      <c r="H384" s="4" t="n">
        <v>0.7088</v>
      </c>
      <c r="I384" s="2" t="s">
        <v>23</v>
      </c>
      <c r="J384" s="2" t="s">
        <v>19</v>
      </c>
      <c r="K384" s="2" t="n">
        <v>6</v>
      </c>
      <c r="L384" s="2" t="n">
        <v>0</v>
      </c>
      <c r="M384" s="2" t="n">
        <v>0</v>
      </c>
    </row>
    <row r="385" customFormat="false" ht="15" hidden="false" customHeight="false" outlineLevel="0" collapsed="false">
      <c r="A385" s="2" t="s">
        <v>903</v>
      </c>
      <c r="B385" s="2" t="s">
        <v>904</v>
      </c>
      <c r="C385" s="2" t="n">
        <v>1</v>
      </c>
      <c r="D385" s="2" t="s">
        <v>179</v>
      </c>
      <c r="E385" s="2" t="s">
        <v>16</v>
      </c>
      <c r="F385" s="3" t="n">
        <v>45699.0736111111</v>
      </c>
      <c r="G385" s="2" t="s">
        <v>646</v>
      </c>
      <c r="H385" s="4" t="n">
        <v>-0.0258</v>
      </c>
      <c r="I385" s="2" t="s">
        <v>18</v>
      </c>
      <c r="J385" s="2" t="s">
        <v>59</v>
      </c>
      <c r="K385" s="2" t="n">
        <v>4</v>
      </c>
      <c r="L385" s="2" t="n">
        <v>0</v>
      </c>
      <c r="M385" s="2" t="n">
        <v>0</v>
      </c>
    </row>
    <row r="386" customFormat="false" ht="15" hidden="false" customHeight="false" outlineLevel="0" collapsed="false">
      <c r="A386" s="2" t="s">
        <v>905</v>
      </c>
      <c r="B386" s="2" t="s">
        <v>906</v>
      </c>
      <c r="C386" s="2" t="n">
        <v>5</v>
      </c>
      <c r="D386" s="2" t="s">
        <v>127</v>
      </c>
      <c r="E386" s="2" t="s">
        <v>16</v>
      </c>
      <c r="F386" s="3" t="n">
        <v>45699.0777777778</v>
      </c>
      <c r="G386" s="2" t="s">
        <v>646</v>
      </c>
      <c r="H386" s="4" t="n">
        <v>0.9359</v>
      </c>
      <c r="I386" s="2" t="s">
        <v>23</v>
      </c>
      <c r="J386" s="2" t="s">
        <v>37</v>
      </c>
      <c r="K386" s="2" t="n">
        <v>2</v>
      </c>
      <c r="L386" s="2" t="n">
        <v>0</v>
      </c>
      <c r="M386" s="2" t="n">
        <v>0</v>
      </c>
    </row>
    <row r="387" customFormat="false" ht="15" hidden="false" customHeight="false" outlineLevel="0" collapsed="false">
      <c r="A387" s="2" t="s">
        <v>907</v>
      </c>
      <c r="B387" s="2" t="s">
        <v>908</v>
      </c>
      <c r="C387" s="2" t="n">
        <v>4</v>
      </c>
      <c r="D387" s="2" t="s">
        <v>127</v>
      </c>
      <c r="E387" s="2" t="s">
        <v>16</v>
      </c>
      <c r="F387" s="3" t="n">
        <v>45699.3861111111</v>
      </c>
      <c r="G387" s="2" t="s">
        <v>646</v>
      </c>
      <c r="H387" s="4" t="n">
        <v>0.9359</v>
      </c>
      <c r="I387" s="2" t="s">
        <v>23</v>
      </c>
      <c r="J387" s="2" t="s">
        <v>37</v>
      </c>
      <c r="K387" s="2" t="n">
        <v>2</v>
      </c>
      <c r="L387" s="2" t="n">
        <v>0</v>
      </c>
      <c r="M387" s="2" t="n">
        <v>0</v>
      </c>
    </row>
    <row r="388" customFormat="false" ht="15" hidden="false" customHeight="false" outlineLevel="0" collapsed="false">
      <c r="A388" s="2" t="s">
        <v>909</v>
      </c>
      <c r="B388" s="2" t="s">
        <v>910</v>
      </c>
      <c r="C388" s="2" t="n">
        <v>3</v>
      </c>
      <c r="D388" s="2" t="s">
        <v>36</v>
      </c>
      <c r="E388" s="2" t="s">
        <v>16</v>
      </c>
      <c r="F388" s="3" t="n">
        <v>45699.4611111111</v>
      </c>
      <c r="G388" s="2" t="s">
        <v>646</v>
      </c>
      <c r="H388" s="4" t="n">
        <v>0.4404</v>
      </c>
      <c r="I388" s="2" t="s">
        <v>23</v>
      </c>
      <c r="J388" s="2" t="s">
        <v>37</v>
      </c>
      <c r="K388" s="2" t="n">
        <v>3</v>
      </c>
      <c r="L388" s="2" t="n">
        <v>0</v>
      </c>
      <c r="M388" s="2" t="n">
        <v>0</v>
      </c>
    </row>
    <row r="389" customFormat="false" ht="15" hidden="false" customHeight="false" outlineLevel="0" collapsed="false">
      <c r="A389" s="2" t="s">
        <v>911</v>
      </c>
      <c r="B389" s="2" t="s">
        <v>912</v>
      </c>
      <c r="C389" s="2" t="n">
        <v>3</v>
      </c>
      <c r="D389" s="2" t="s">
        <v>913</v>
      </c>
      <c r="E389" s="2" t="s">
        <v>16</v>
      </c>
      <c r="F389" s="3" t="n">
        <v>45699.6166666667</v>
      </c>
      <c r="G389" s="2" t="s">
        <v>646</v>
      </c>
      <c r="H389" s="4" t="n">
        <v>0.4404</v>
      </c>
      <c r="I389" s="2" t="s">
        <v>23</v>
      </c>
      <c r="J389" s="2" t="s">
        <v>37</v>
      </c>
      <c r="K389" s="2" t="n">
        <v>7</v>
      </c>
      <c r="L389" s="2" t="n">
        <v>0</v>
      </c>
      <c r="M389" s="2" t="n">
        <v>0</v>
      </c>
    </row>
    <row r="390" customFormat="false" ht="15" hidden="false" customHeight="false" outlineLevel="0" collapsed="false">
      <c r="A390" s="2" t="s">
        <v>914</v>
      </c>
      <c r="B390" s="2" t="s">
        <v>915</v>
      </c>
      <c r="C390" s="2" t="n">
        <v>5</v>
      </c>
      <c r="D390" s="2" t="s">
        <v>40</v>
      </c>
      <c r="E390" s="2" t="s">
        <v>16</v>
      </c>
      <c r="F390" s="3" t="n">
        <v>45699.6618055556</v>
      </c>
      <c r="G390" s="2" t="s">
        <v>646</v>
      </c>
      <c r="H390" s="4" t="n">
        <v>0.4019</v>
      </c>
      <c r="I390" s="2" t="s">
        <v>23</v>
      </c>
      <c r="J390" s="2" t="s">
        <v>33</v>
      </c>
      <c r="K390" s="2" t="n">
        <v>6</v>
      </c>
      <c r="L390" s="2" t="n">
        <v>0</v>
      </c>
      <c r="M390" s="2" t="n">
        <v>0</v>
      </c>
    </row>
    <row r="391" customFormat="false" ht="15" hidden="false" customHeight="false" outlineLevel="0" collapsed="false">
      <c r="A391" s="2" t="s">
        <v>916</v>
      </c>
      <c r="B391" s="2" t="s">
        <v>917</v>
      </c>
      <c r="C391" s="2" t="n">
        <v>5</v>
      </c>
      <c r="D391" s="2" t="s">
        <v>52</v>
      </c>
      <c r="E391" s="2" t="s">
        <v>16</v>
      </c>
      <c r="F391" s="3" t="n">
        <v>45699.8243055556</v>
      </c>
      <c r="G391" s="2" t="s">
        <v>646</v>
      </c>
      <c r="H391" s="4" t="n">
        <v>0.6369</v>
      </c>
      <c r="I391" s="2" t="s">
        <v>23</v>
      </c>
      <c r="J391" s="2" t="s">
        <v>19</v>
      </c>
      <c r="K391" s="2" t="n">
        <v>7</v>
      </c>
      <c r="L391" s="2" t="n">
        <v>0</v>
      </c>
      <c r="M391" s="2" t="n">
        <v>0</v>
      </c>
    </row>
    <row r="392" customFormat="false" ht="15" hidden="false" customHeight="false" outlineLevel="0" collapsed="false">
      <c r="A392" s="2" t="s">
        <v>918</v>
      </c>
      <c r="B392" s="2" t="s">
        <v>919</v>
      </c>
      <c r="C392" s="2" t="n">
        <v>1</v>
      </c>
      <c r="D392" s="2" t="s">
        <v>58</v>
      </c>
      <c r="E392" s="2" t="s">
        <v>16</v>
      </c>
      <c r="F392" s="3" t="n">
        <v>45699.8611111111</v>
      </c>
      <c r="G392" s="2" t="s">
        <v>646</v>
      </c>
      <c r="H392" s="4" t="n">
        <v>0</v>
      </c>
      <c r="I392" s="2" t="s">
        <v>18</v>
      </c>
      <c r="J392" s="2" t="s">
        <v>59</v>
      </c>
      <c r="K392" s="2" t="n">
        <v>6</v>
      </c>
      <c r="L392" s="2" t="n">
        <v>1</v>
      </c>
      <c r="M392" s="2" t="n">
        <v>0</v>
      </c>
    </row>
    <row r="393" customFormat="false" ht="15" hidden="false" customHeight="false" outlineLevel="0" collapsed="false">
      <c r="A393" s="2" t="s">
        <v>920</v>
      </c>
      <c r="B393" s="2" t="s">
        <v>921</v>
      </c>
      <c r="C393" s="2" t="n">
        <v>5</v>
      </c>
      <c r="D393" s="2" t="s">
        <v>93</v>
      </c>
      <c r="E393" s="2" t="s">
        <v>16</v>
      </c>
      <c r="F393" s="3" t="n">
        <v>45699.9451388889</v>
      </c>
      <c r="G393" s="2" t="s">
        <v>646</v>
      </c>
      <c r="H393" s="4" t="n">
        <v>0.8008</v>
      </c>
      <c r="I393" s="2" t="s">
        <v>23</v>
      </c>
      <c r="J393" s="2" t="s">
        <v>33</v>
      </c>
      <c r="K393" s="2" t="n">
        <v>3</v>
      </c>
      <c r="L393" s="2" t="n">
        <v>0</v>
      </c>
      <c r="M393" s="2" t="n">
        <v>0</v>
      </c>
    </row>
    <row r="394" customFormat="false" ht="15" hidden="false" customHeight="false" outlineLevel="0" collapsed="false">
      <c r="A394" s="2" t="s">
        <v>922</v>
      </c>
      <c r="B394" s="2" t="s">
        <v>923</v>
      </c>
      <c r="C394" s="2" t="n">
        <v>4</v>
      </c>
      <c r="D394" s="2" t="s">
        <v>96</v>
      </c>
      <c r="E394" s="2" t="s">
        <v>16</v>
      </c>
      <c r="F394" s="3" t="n">
        <v>45699.9513888889</v>
      </c>
      <c r="G394" s="2" t="s">
        <v>646</v>
      </c>
      <c r="H394" s="4" t="n">
        <v>0.6369</v>
      </c>
      <c r="I394" s="2" t="s">
        <v>23</v>
      </c>
      <c r="J394" s="2" t="s">
        <v>19</v>
      </c>
      <c r="K394" s="2" t="n">
        <v>3</v>
      </c>
      <c r="L394" s="2" t="n">
        <v>0</v>
      </c>
      <c r="M394" s="2" t="n">
        <v>0</v>
      </c>
    </row>
    <row r="395" customFormat="false" ht="15" hidden="false" customHeight="false" outlineLevel="0" collapsed="false">
      <c r="A395" s="2" t="s">
        <v>924</v>
      </c>
      <c r="B395" s="2" t="s">
        <v>925</v>
      </c>
      <c r="C395" s="2" t="n">
        <v>4</v>
      </c>
      <c r="D395" s="2" t="s">
        <v>22</v>
      </c>
      <c r="E395" s="2" t="s">
        <v>16</v>
      </c>
      <c r="F395" s="3" t="n">
        <v>45700.0840277778</v>
      </c>
      <c r="G395" s="2" t="s">
        <v>646</v>
      </c>
      <c r="H395" s="4" t="n">
        <v>0.2023</v>
      </c>
      <c r="I395" s="2" t="s">
        <v>23</v>
      </c>
      <c r="J395" s="2" t="s">
        <v>19</v>
      </c>
      <c r="K395" s="2" t="n">
        <v>0</v>
      </c>
      <c r="L395" s="2" t="n">
        <v>0</v>
      </c>
      <c r="M395" s="2" t="n">
        <v>0</v>
      </c>
    </row>
    <row r="396" customFormat="false" ht="15" hidden="false" customHeight="false" outlineLevel="0" collapsed="false">
      <c r="A396" s="2" t="s">
        <v>926</v>
      </c>
      <c r="B396" s="2" t="s">
        <v>927</v>
      </c>
      <c r="C396" s="2" t="n">
        <v>4</v>
      </c>
      <c r="D396" s="2" t="s">
        <v>90</v>
      </c>
      <c r="E396" s="2" t="s">
        <v>16</v>
      </c>
      <c r="F396" s="3" t="n">
        <v>45700.1270833333</v>
      </c>
      <c r="G396" s="2" t="s">
        <v>646</v>
      </c>
      <c r="H396" s="4" t="n">
        <v>0.6249</v>
      </c>
      <c r="I396" s="2" t="s">
        <v>23</v>
      </c>
      <c r="J396" s="2" t="s">
        <v>37</v>
      </c>
      <c r="K396" s="2" t="n">
        <v>0</v>
      </c>
      <c r="L396" s="2" t="n">
        <v>0</v>
      </c>
      <c r="M396" s="2" t="n">
        <v>0</v>
      </c>
    </row>
    <row r="397" customFormat="false" ht="15" hidden="false" customHeight="false" outlineLevel="0" collapsed="false">
      <c r="A397" s="2" t="s">
        <v>928</v>
      </c>
      <c r="B397" s="2" t="s">
        <v>929</v>
      </c>
      <c r="C397" s="2" t="n">
        <v>5</v>
      </c>
      <c r="D397" s="2" t="s">
        <v>62</v>
      </c>
      <c r="E397" s="2" t="s">
        <v>16</v>
      </c>
      <c r="F397" s="3" t="n">
        <v>45700.4</v>
      </c>
      <c r="G397" s="2" t="s">
        <v>646</v>
      </c>
      <c r="H397" s="4" t="n">
        <v>0.7088</v>
      </c>
      <c r="I397" s="2" t="s">
        <v>23</v>
      </c>
      <c r="J397" s="2" t="s">
        <v>19</v>
      </c>
      <c r="K397" s="2" t="n">
        <v>3</v>
      </c>
      <c r="L397" s="2" t="n">
        <v>0</v>
      </c>
      <c r="M397" s="2" t="n">
        <v>0</v>
      </c>
    </row>
    <row r="398" customFormat="false" ht="15" hidden="false" customHeight="false" outlineLevel="0" collapsed="false">
      <c r="A398" s="2" t="s">
        <v>930</v>
      </c>
      <c r="B398" s="2" t="s">
        <v>931</v>
      </c>
      <c r="C398" s="2" t="n">
        <v>5</v>
      </c>
      <c r="D398" s="2" t="s">
        <v>47</v>
      </c>
      <c r="E398" s="2" t="s">
        <v>16</v>
      </c>
      <c r="F398" s="3" t="n">
        <v>45700.5347222222</v>
      </c>
      <c r="G398" s="2" t="s">
        <v>646</v>
      </c>
      <c r="H398" s="4" t="n">
        <v>0.3089</v>
      </c>
      <c r="I398" s="2" t="s">
        <v>23</v>
      </c>
      <c r="J398" s="2" t="s">
        <v>19</v>
      </c>
      <c r="K398" s="2" t="n">
        <v>5</v>
      </c>
      <c r="L398" s="2" t="n">
        <v>0</v>
      </c>
      <c r="M398" s="2" t="n">
        <v>0</v>
      </c>
    </row>
    <row r="399" customFormat="false" ht="15" hidden="false" customHeight="false" outlineLevel="0" collapsed="false">
      <c r="A399" s="2" t="s">
        <v>932</v>
      </c>
      <c r="B399" s="2" t="s">
        <v>933</v>
      </c>
      <c r="C399" s="2" t="n">
        <v>5</v>
      </c>
      <c r="D399" s="2" t="s">
        <v>47</v>
      </c>
      <c r="E399" s="2" t="s">
        <v>16</v>
      </c>
      <c r="F399" s="3" t="n">
        <v>45700.6256944445</v>
      </c>
      <c r="G399" s="2" t="s">
        <v>646</v>
      </c>
      <c r="H399" s="4" t="n">
        <v>0.3089</v>
      </c>
      <c r="I399" s="2" t="s">
        <v>23</v>
      </c>
      <c r="J399" s="2" t="s">
        <v>19</v>
      </c>
      <c r="K399" s="2" t="n">
        <v>5</v>
      </c>
      <c r="L399" s="2" t="n">
        <v>0</v>
      </c>
      <c r="M399" s="2" t="n">
        <v>0</v>
      </c>
    </row>
    <row r="400" customFormat="false" ht="15" hidden="false" customHeight="false" outlineLevel="0" collapsed="false">
      <c r="A400" s="2" t="s">
        <v>934</v>
      </c>
      <c r="B400" s="2" t="s">
        <v>935</v>
      </c>
      <c r="C400" s="2" t="n">
        <v>5</v>
      </c>
      <c r="D400" s="2" t="s">
        <v>555</v>
      </c>
      <c r="E400" s="2" t="s">
        <v>16</v>
      </c>
      <c r="F400" s="3" t="n">
        <v>45700.6729166667</v>
      </c>
      <c r="G400" s="2" t="s">
        <v>646</v>
      </c>
      <c r="H400" s="4" t="n">
        <v>0.8221</v>
      </c>
      <c r="I400" s="2" t="s">
        <v>23</v>
      </c>
      <c r="J400" s="2" t="s">
        <v>33</v>
      </c>
      <c r="K400" s="2" t="n">
        <v>0</v>
      </c>
      <c r="L400" s="2" t="n">
        <v>0</v>
      </c>
      <c r="M400" s="2" t="n">
        <v>0</v>
      </c>
    </row>
    <row r="401" customFormat="false" ht="15" hidden="false" customHeight="false" outlineLevel="0" collapsed="false">
      <c r="A401" s="2" t="s">
        <v>936</v>
      </c>
      <c r="B401" s="2" t="s">
        <v>937</v>
      </c>
      <c r="C401" s="2" t="n">
        <v>5</v>
      </c>
      <c r="D401" s="2" t="s">
        <v>62</v>
      </c>
      <c r="E401" s="2" t="s">
        <v>16</v>
      </c>
      <c r="F401" s="3" t="n">
        <v>45700.9881944444</v>
      </c>
      <c r="G401" s="2" t="s">
        <v>646</v>
      </c>
      <c r="H401" s="4" t="n">
        <v>0.7088</v>
      </c>
      <c r="I401" s="2" t="s">
        <v>23</v>
      </c>
      <c r="J401" s="2" t="s">
        <v>19</v>
      </c>
      <c r="K401" s="2" t="n">
        <v>6</v>
      </c>
      <c r="L401" s="2" t="n">
        <v>0</v>
      </c>
      <c r="M401" s="2" t="n">
        <v>0</v>
      </c>
    </row>
    <row r="402" customFormat="false" ht="15" hidden="false" customHeight="false" outlineLevel="0" collapsed="false">
      <c r="A402" s="2" t="s">
        <v>938</v>
      </c>
      <c r="B402" s="2" t="s">
        <v>939</v>
      </c>
      <c r="C402" s="2" t="n">
        <v>5</v>
      </c>
      <c r="D402" s="2" t="s">
        <v>940</v>
      </c>
      <c r="E402" s="2" t="s">
        <v>16</v>
      </c>
      <c r="F402" s="3" t="n">
        <v>45701.0756944444</v>
      </c>
      <c r="G402" s="2" t="s">
        <v>646</v>
      </c>
      <c r="H402" s="4" t="n">
        <v>0.7475</v>
      </c>
      <c r="I402" s="2" t="s">
        <v>23</v>
      </c>
      <c r="J402" s="2" t="s">
        <v>37</v>
      </c>
      <c r="K402" s="2" t="n">
        <v>4</v>
      </c>
      <c r="L402" s="2" t="n">
        <v>0</v>
      </c>
      <c r="M402" s="2" t="n">
        <v>0</v>
      </c>
    </row>
    <row r="403" customFormat="false" ht="15" hidden="false" customHeight="false" outlineLevel="0" collapsed="false">
      <c r="A403" s="2" t="s">
        <v>941</v>
      </c>
      <c r="B403" s="2" t="s">
        <v>942</v>
      </c>
      <c r="C403" s="2" t="n">
        <v>5</v>
      </c>
      <c r="D403" s="2" t="s">
        <v>943</v>
      </c>
      <c r="E403" s="2" t="s">
        <v>16</v>
      </c>
      <c r="F403" s="3" t="n">
        <v>45701.1361111111</v>
      </c>
      <c r="G403" s="2" t="s">
        <v>646</v>
      </c>
      <c r="H403" s="4" t="n">
        <v>0.7549</v>
      </c>
      <c r="I403" s="2" t="s">
        <v>23</v>
      </c>
      <c r="J403" s="2" t="s">
        <v>19</v>
      </c>
      <c r="K403" s="2" t="n">
        <v>0</v>
      </c>
      <c r="L403" s="2" t="n">
        <v>0</v>
      </c>
      <c r="M403" s="2" t="n">
        <v>0</v>
      </c>
    </row>
    <row r="404" customFormat="false" ht="15" hidden="false" customHeight="false" outlineLevel="0" collapsed="false">
      <c r="A404" s="2" t="s">
        <v>944</v>
      </c>
      <c r="B404" s="2" t="s">
        <v>945</v>
      </c>
      <c r="C404" s="2" t="n">
        <v>2</v>
      </c>
      <c r="D404" s="2" t="s">
        <v>946</v>
      </c>
      <c r="E404" s="2" t="s">
        <v>16</v>
      </c>
      <c r="F404" s="3" t="n">
        <v>45701.2777777778</v>
      </c>
      <c r="G404" s="2" t="s">
        <v>646</v>
      </c>
      <c r="H404" s="4" t="n">
        <v>-0.25</v>
      </c>
      <c r="I404" s="2" t="s">
        <v>84</v>
      </c>
      <c r="J404" s="2" t="s">
        <v>37</v>
      </c>
      <c r="K404" s="2" t="n">
        <v>1</v>
      </c>
      <c r="L404" s="2" t="n">
        <v>1</v>
      </c>
      <c r="M404" s="2" t="n">
        <v>0</v>
      </c>
    </row>
    <row r="405" customFormat="false" ht="15" hidden="false" customHeight="false" outlineLevel="0" collapsed="false">
      <c r="A405" s="2" t="s">
        <v>947</v>
      </c>
      <c r="B405" s="2" t="s">
        <v>948</v>
      </c>
      <c r="C405" s="2" t="n">
        <v>1</v>
      </c>
      <c r="D405" s="2" t="s">
        <v>234</v>
      </c>
      <c r="E405" s="2" t="s">
        <v>16</v>
      </c>
      <c r="F405" s="3" t="n">
        <v>45701.2916666667</v>
      </c>
      <c r="G405" s="2" t="s">
        <v>646</v>
      </c>
      <c r="H405" s="4" t="n">
        <v>0</v>
      </c>
      <c r="I405" s="2" t="s">
        <v>18</v>
      </c>
      <c r="J405" s="2" t="s">
        <v>165</v>
      </c>
      <c r="K405" s="2" t="n">
        <v>5</v>
      </c>
      <c r="L405" s="2" t="n">
        <v>0</v>
      </c>
      <c r="M405" s="2" t="n">
        <v>0</v>
      </c>
    </row>
    <row r="406" customFormat="false" ht="15" hidden="false" customHeight="false" outlineLevel="0" collapsed="false">
      <c r="A406" s="2" t="s">
        <v>949</v>
      </c>
      <c r="B406" s="2" t="s">
        <v>950</v>
      </c>
      <c r="C406" s="2" t="n">
        <v>1</v>
      </c>
      <c r="D406" s="2" t="s">
        <v>951</v>
      </c>
      <c r="E406" s="2" t="s">
        <v>16</v>
      </c>
      <c r="F406" s="3" t="n">
        <v>45701.3965277778</v>
      </c>
      <c r="G406" s="2" t="s">
        <v>646</v>
      </c>
      <c r="H406" s="4" t="n">
        <v>-0.73</v>
      </c>
      <c r="I406" s="2" t="s">
        <v>84</v>
      </c>
      <c r="J406" s="2" t="s">
        <v>33</v>
      </c>
      <c r="K406" s="2" t="n">
        <v>6</v>
      </c>
      <c r="L406" s="2" t="n">
        <v>1</v>
      </c>
      <c r="M406" s="2" t="n">
        <v>0</v>
      </c>
    </row>
    <row r="407" customFormat="false" ht="15" hidden="false" customHeight="false" outlineLevel="0" collapsed="false">
      <c r="A407" s="2" t="s">
        <v>952</v>
      </c>
      <c r="B407" s="2" t="s">
        <v>953</v>
      </c>
      <c r="C407" s="2" t="n">
        <v>4</v>
      </c>
      <c r="D407" s="2" t="s">
        <v>90</v>
      </c>
      <c r="E407" s="2" t="s">
        <v>16</v>
      </c>
      <c r="F407" s="3" t="n">
        <v>45701.5409722222</v>
      </c>
      <c r="G407" s="2" t="s">
        <v>646</v>
      </c>
      <c r="H407" s="4" t="n">
        <v>0.6249</v>
      </c>
      <c r="I407" s="2" t="s">
        <v>23</v>
      </c>
      <c r="J407" s="2" t="s">
        <v>37</v>
      </c>
      <c r="K407" s="2" t="n">
        <v>3</v>
      </c>
      <c r="L407" s="2" t="n">
        <v>0</v>
      </c>
      <c r="M407" s="2" t="n">
        <v>0</v>
      </c>
    </row>
    <row r="408" customFormat="false" ht="15" hidden="false" customHeight="false" outlineLevel="0" collapsed="false">
      <c r="A408" s="2" t="s">
        <v>954</v>
      </c>
      <c r="B408" s="2" t="s">
        <v>955</v>
      </c>
      <c r="C408" s="2" t="n">
        <v>3</v>
      </c>
      <c r="D408" s="2" t="s">
        <v>301</v>
      </c>
      <c r="E408" s="2" t="s">
        <v>16</v>
      </c>
      <c r="F408" s="3" t="n">
        <v>45701.5701388889</v>
      </c>
      <c r="G408" s="2" t="s">
        <v>646</v>
      </c>
      <c r="H408" s="4" t="n">
        <v>0.2263</v>
      </c>
      <c r="I408" s="2" t="s">
        <v>23</v>
      </c>
      <c r="J408" s="2" t="s">
        <v>19</v>
      </c>
      <c r="K408" s="2" t="n">
        <v>4</v>
      </c>
      <c r="L408" s="2" t="n">
        <v>0</v>
      </c>
      <c r="M408" s="2" t="n">
        <v>0</v>
      </c>
    </row>
    <row r="409" customFormat="false" ht="15" hidden="false" customHeight="false" outlineLevel="0" collapsed="false">
      <c r="A409" s="2" t="s">
        <v>956</v>
      </c>
      <c r="B409" s="2" t="s">
        <v>957</v>
      </c>
      <c r="C409" s="2" t="n">
        <v>5</v>
      </c>
      <c r="D409" s="2" t="s">
        <v>958</v>
      </c>
      <c r="E409" s="2" t="s">
        <v>16</v>
      </c>
      <c r="F409" s="3" t="n">
        <v>45701.7631944444</v>
      </c>
      <c r="G409" s="2" t="s">
        <v>646</v>
      </c>
      <c r="H409" s="4" t="n">
        <v>0.6249</v>
      </c>
      <c r="I409" s="2" t="s">
        <v>23</v>
      </c>
      <c r="J409" s="2" t="s">
        <v>37</v>
      </c>
      <c r="K409" s="2" t="n">
        <v>5</v>
      </c>
      <c r="L409" s="2" t="n">
        <v>0</v>
      </c>
      <c r="M409" s="2" t="n">
        <v>0</v>
      </c>
    </row>
    <row r="410" customFormat="false" ht="15" hidden="false" customHeight="false" outlineLevel="0" collapsed="false">
      <c r="A410" s="2" t="s">
        <v>959</v>
      </c>
      <c r="B410" s="2" t="s">
        <v>960</v>
      </c>
      <c r="C410" s="2" t="n">
        <v>5</v>
      </c>
      <c r="D410" s="2" t="s">
        <v>40</v>
      </c>
      <c r="E410" s="2" t="s">
        <v>16</v>
      </c>
      <c r="F410" s="3" t="n">
        <v>45701.8604166667</v>
      </c>
      <c r="G410" s="2" t="s">
        <v>646</v>
      </c>
      <c r="H410" s="4" t="n">
        <v>0.4019</v>
      </c>
      <c r="I410" s="2" t="s">
        <v>23</v>
      </c>
      <c r="J410" s="2" t="s">
        <v>33</v>
      </c>
      <c r="K410" s="2" t="n">
        <v>4</v>
      </c>
      <c r="L410" s="2" t="n">
        <v>0</v>
      </c>
      <c r="M410" s="2" t="n">
        <v>0</v>
      </c>
    </row>
    <row r="411" customFormat="false" ht="15" hidden="false" customHeight="false" outlineLevel="0" collapsed="false">
      <c r="A411" s="2" t="s">
        <v>961</v>
      </c>
      <c r="B411" s="2" t="s">
        <v>962</v>
      </c>
      <c r="C411" s="2" t="n">
        <v>5</v>
      </c>
      <c r="D411" s="2" t="s">
        <v>96</v>
      </c>
      <c r="E411" s="2" t="s">
        <v>16</v>
      </c>
      <c r="F411" s="3" t="n">
        <v>45701.9138888889</v>
      </c>
      <c r="G411" s="2" t="s">
        <v>646</v>
      </c>
      <c r="H411" s="4" t="n">
        <v>0.6369</v>
      </c>
      <c r="I411" s="2" t="s">
        <v>23</v>
      </c>
      <c r="J411" s="2" t="s">
        <v>19</v>
      </c>
      <c r="K411" s="2" t="n">
        <v>3</v>
      </c>
      <c r="L411" s="2" t="n">
        <v>0</v>
      </c>
      <c r="M411" s="2" t="n">
        <v>0</v>
      </c>
    </row>
    <row r="412" customFormat="false" ht="15" hidden="false" customHeight="false" outlineLevel="0" collapsed="false">
      <c r="A412" s="2" t="s">
        <v>963</v>
      </c>
      <c r="B412" s="2" t="s">
        <v>964</v>
      </c>
      <c r="C412" s="2" t="n">
        <v>1</v>
      </c>
      <c r="D412" s="2" t="s">
        <v>965</v>
      </c>
      <c r="E412" s="2" t="s">
        <v>16</v>
      </c>
      <c r="F412" s="3" t="n">
        <v>45701.9534722222</v>
      </c>
      <c r="G412" s="2" t="s">
        <v>646</v>
      </c>
      <c r="H412" s="4" t="n">
        <v>0.2023</v>
      </c>
      <c r="I412" s="2" t="s">
        <v>23</v>
      </c>
      <c r="J412" s="2" t="s">
        <v>110</v>
      </c>
      <c r="K412" s="2" t="n">
        <v>0</v>
      </c>
      <c r="L412" s="2" t="n">
        <v>0</v>
      </c>
      <c r="M412" s="2" t="n">
        <v>0</v>
      </c>
    </row>
    <row r="413" customFormat="false" ht="15" hidden="false" customHeight="false" outlineLevel="0" collapsed="false">
      <c r="A413" s="2" t="s">
        <v>966</v>
      </c>
      <c r="B413" s="2" t="s">
        <v>967</v>
      </c>
      <c r="C413" s="2" t="n">
        <v>5</v>
      </c>
      <c r="D413" s="2" t="s">
        <v>15</v>
      </c>
      <c r="E413" s="2" t="s">
        <v>16</v>
      </c>
      <c r="F413" s="3" t="n">
        <v>45702.0277777778</v>
      </c>
      <c r="G413" s="2" t="s">
        <v>646</v>
      </c>
      <c r="H413" s="4" t="n">
        <v>0</v>
      </c>
      <c r="I413" s="2" t="s">
        <v>18</v>
      </c>
      <c r="J413" s="2" t="s">
        <v>19</v>
      </c>
      <c r="K413" s="2" t="n">
        <v>10</v>
      </c>
      <c r="L413" s="2" t="n">
        <v>0</v>
      </c>
      <c r="M413" s="2" t="n">
        <v>0</v>
      </c>
    </row>
    <row r="414" customFormat="false" ht="15" hidden="false" customHeight="false" outlineLevel="0" collapsed="false">
      <c r="A414" s="2" t="s">
        <v>968</v>
      </c>
      <c r="B414" s="2" t="s">
        <v>969</v>
      </c>
      <c r="C414" s="2" t="n">
        <v>5</v>
      </c>
      <c r="D414" s="2" t="s">
        <v>127</v>
      </c>
      <c r="E414" s="2" t="s">
        <v>16</v>
      </c>
      <c r="F414" s="3" t="n">
        <v>45702.0381944445</v>
      </c>
      <c r="G414" s="2" t="s">
        <v>646</v>
      </c>
      <c r="H414" s="4" t="n">
        <v>0.9359</v>
      </c>
      <c r="I414" s="2" t="s">
        <v>23</v>
      </c>
      <c r="J414" s="2" t="s">
        <v>37</v>
      </c>
      <c r="K414" s="2" t="n">
        <v>1</v>
      </c>
      <c r="L414" s="2" t="n">
        <v>0</v>
      </c>
      <c r="M414" s="2" t="n">
        <v>0</v>
      </c>
    </row>
    <row r="415" customFormat="false" ht="15" hidden="false" customHeight="false" outlineLevel="0" collapsed="false">
      <c r="A415" s="2" t="s">
        <v>970</v>
      </c>
      <c r="B415" s="2" t="s">
        <v>277</v>
      </c>
      <c r="C415" s="2" t="n">
        <v>5</v>
      </c>
      <c r="D415" s="2" t="s">
        <v>96</v>
      </c>
      <c r="E415" s="2" t="s">
        <v>16</v>
      </c>
      <c r="F415" s="3" t="n">
        <v>45702.1819444444</v>
      </c>
      <c r="G415" s="2" t="s">
        <v>646</v>
      </c>
      <c r="H415" s="4" t="n">
        <v>0.6369</v>
      </c>
      <c r="I415" s="2" t="s">
        <v>23</v>
      </c>
      <c r="J415" s="2" t="s">
        <v>19</v>
      </c>
      <c r="K415" s="2" t="n">
        <v>6</v>
      </c>
      <c r="L415" s="2" t="n">
        <v>0</v>
      </c>
      <c r="M415" s="2" t="n">
        <v>0</v>
      </c>
    </row>
    <row r="416" customFormat="false" ht="15" hidden="false" customHeight="false" outlineLevel="0" collapsed="false">
      <c r="A416" s="2" t="s">
        <v>971</v>
      </c>
      <c r="B416" s="2" t="s">
        <v>972</v>
      </c>
      <c r="C416" s="2" t="n">
        <v>3</v>
      </c>
      <c r="D416" s="2" t="s">
        <v>872</v>
      </c>
      <c r="E416" s="2" t="s">
        <v>16</v>
      </c>
      <c r="F416" s="3" t="n">
        <v>45702.3208333333</v>
      </c>
      <c r="G416" s="2" t="s">
        <v>646</v>
      </c>
      <c r="H416" s="4" t="n">
        <v>0.1027</v>
      </c>
      <c r="I416" s="2" t="s">
        <v>23</v>
      </c>
      <c r="J416" s="2" t="s">
        <v>19</v>
      </c>
      <c r="K416" s="2" t="n">
        <v>0</v>
      </c>
      <c r="L416" s="2" t="n">
        <v>0</v>
      </c>
      <c r="M416" s="2" t="n">
        <v>0</v>
      </c>
    </row>
    <row r="417" customFormat="false" ht="15" hidden="false" customHeight="false" outlineLevel="0" collapsed="false">
      <c r="A417" s="2" t="s">
        <v>973</v>
      </c>
      <c r="B417" s="2" t="s">
        <v>974</v>
      </c>
      <c r="C417" s="2" t="n">
        <v>1</v>
      </c>
      <c r="D417" s="2" t="s">
        <v>721</v>
      </c>
      <c r="E417" s="2" t="s">
        <v>16</v>
      </c>
      <c r="F417" s="3" t="n">
        <v>45702.3791666667</v>
      </c>
      <c r="G417" s="2" t="s">
        <v>646</v>
      </c>
      <c r="H417" s="4" t="n">
        <v>-0.4588</v>
      </c>
      <c r="I417" s="2" t="s">
        <v>84</v>
      </c>
      <c r="J417" s="2" t="s">
        <v>37</v>
      </c>
      <c r="K417" s="2" t="n">
        <v>2</v>
      </c>
      <c r="L417" s="2" t="n">
        <v>1</v>
      </c>
      <c r="M417" s="2" t="n">
        <v>0</v>
      </c>
    </row>
    <row r="418" customFormat="false" ht="15" hidden="false" customHeight="false" outlineLevel="0" collapsed="false">
      <c r="A418" s="2" t="s">
        <v>975</v>
      </c>
      <c r="B418" s="2" t="s">
        <v>976</v>
      </c>
      <c r="C418" s="2" t="n">
        <v>3</v>
      </c>
      <c r="D418" s="2" t="s">
        <v>22</v>
      </c>
      <c r="E418" s="2" t="s">
        <v>16</v>
      </c>
      <c r="F418" s="3" t="n">
        <v>45702.4069444445</v>
      </c>
      <c r="G418" s="2" t="s">
        <v>646</v>
      </c>
      <c r="H418" s="4" t="n">
        <v>0.2023</v>
      </c>
      <c r="I418" s="2" t="s">
        <v>23</v>
      </c>
      <c r="J418" s="2" t="s">
        <v>19</v>
      </c>
      <c r="K418" s="2" t="n">
        <v>0</v>
      </c>
      <c r="L418" s="2" t="n">
        <v>0</v>
      </c>
      <c r="M418" s="2" t="n">
        <v>0</v>
      </c>
    </row>
    <row r="419" customFormat="false" ht="15" hidden="false" customHeight="false" outlineLevel="0" collapsed="false">
      <c r="A419" s="2" t="s">
        <v>977</v>
      </c>
      <c r="B419" s="2" t="s">
        <v>978</v>
      </c>
      <c r="C419" s="2" t="n">
        <v>3</v>
      </c>
      <c r="D419" s="2" t="s">
        <v>99</v>
      </c>
      <c r="E419" s="2" t="s">
        <v>16</v>
      </c>
      <c r="F419" s="3" t="n">
        <v>45702.4895833333</v>
      </c>
      <c r="G419" s="2" t="s">
        <v>646</v>
      </c>
      <c r="H419" s="4" t="n">
        <v>-0.3089</v>
      </c>
      <c r="I419" s="2" t="s">
        <v>84</v>
      </c>
      <c r="J419" s="2" t="s">
        <v>19</v>
      </c>
      <c r="K419" s="2" t="n">
        <v>11</v>
      </c>
      <c r="L419" s="2" t="n">
        <v>0</v>
      </c>
      <c r="M419" s="2" t="n">
        <v>0</v>
      </c>
    </row>
    <row r="420" customFormat="false" ht="15" hidden="false" customHeight="false" outlineLevel="0" collapsed="false">
      <c r="A420" s="2" t="s">
        <v>979</v>
      </c>
      <c r="B420" s="2" t="s">
        <v>980</v>
      </c>
      <c r="C420" s="2" t="n">
        <v>4</v>
      </c>
      <c r="D420" s="2" t="s">
        <v>96</v>
      </c>
      <c r="E420" s="2" t="s">
        <v>16</v>
      </c>
      <c r="F420" s="3" t="n">
        <v>45702.5923611111</v>
      </c>
      <c r="G420" s="2" t="s">
        <v>646</v>
      </c>
      <c r="H420" s="4" t="n">
        <v>0.6369</v>
      </c>
      <c r="I420" s="2" t="s">
        <v>23</v>
      </c>
      <c r="J420" s="2" t="s">
        <v>19</v>
      </c>
      <c r="K420" s="2" t="n">
        <v>0</v>
      </c>
      <c r="L420" s="2" t="n">
        <v>0</v>
      </c>
      <c r="M420" s="2" t="n">
        <v>0</v>
      </c>
    </row>
    <row r="421" customFormat="false" ht="15" hidden="false" customHeight="false" outlineLevel="0" collapsed="false">
      <c r="A421" s="2" t="s">
        <v>981</v>
      </c>
      <c r="B421" s="2" t="s">
        <v>982</v>
      </c>
      <c r="C421" s="2" t="n">
        <v>5</v>
      </c>
      <c r="D421" s="2" t="s">
        <v>127</v>
      </c>
      <c r="E421" s="2" t="s">
        <v>16</v>
      </c>
      <c r="F421" s="3" t="n">
        <v>45702.6708333333</v>
      </c>
      <c r="G421" s="2" t="s">
        <v>646</v>
      </c>
      <c r="H421" s="4" t="n">
        <v>0.9359</v>
      </c>
      <c r="I421" s="2" t="s">
        <v>23</v>
      </c>
      <c r="J421" s="2" t="s">
        <v>37</v>
      </c>
      <c r="K421" s="2" t="n">
        <v>4</v>
      </c>
      <c r="L421" s="2" t="n">
        <v>0</v>
      </c>
      <c r="M421" s="2" t="n">
        <v>0</v>
      </c>
    </row>
    <row r="422" customFormat="false" ht="15" hidden="false" customHeight="false" outlineLevel="0" collapsed="false">
      <c r="A422" s="2" t="s">
        <v>983</v>
      </c>
      <c r="B422" s="2" t="s">
        <v>984</v>
      </c>
      <c r="C422" s="2" t="n">
        <v>3</v>
      </c>
      <c r="D422" s="2" t="s">
        <v>951</v>
      </c>
      <c r="E422" s="2" t="s">
        <v>16</v>
      </c>
      <c r="F422" s="3" t="n">
        <v>45702.7263888889</v>
      </c>
      <c r="G422" s="2" t="s">
        <v>646</v>
      </c>
      <c r="H422" s="4" t="n">
        <v>-0.73</v>
      </c>
      <c r="I422" s="2" t="s">
        <v>84</v>
      </c>
      <c r="J422" s="2" t="s">
        <v>33</v>
      </c>
      <c r="K422" s="2" t="n">
        <v>1</v>
      </c>
      <c r="L422" s="2" t="n">
        <v>0</v>
      </c>
      <c r="M422" s="2" t="n">
        <v>0</v>
      </c>
    </row>
    <row r="423" customFormat="false" ht="15" hidden="false" customHeight="false" outlineLevel="0" collapsed="false">
      <c r="A423" s="2" t="s">
        <v>985</v>
      </c>
      <c r="B423" s="2" t="s">
        <v>986</v>
      </c>
      <c r="C423" s="2" t="n">
        <v>4</v>
      </c>
      <c r="D423" s="2" t="s">
        <v>52</v>
      </c>
      <c r="E423" s="2" t="s">
        <v>16</v>
      </c>
      <c r="F423" s="3" t="n">
        <v>45702.7305555556</v>
      </c>
      <c r="G423" s="2" t="s">
        <v>646</v>
      </c>
      <c r="H423" s="4" t="n">
        <v>0.6369</v>
      </c>
      <c r="I423" s="2" t="s">
        <v>23</v>
      </c>
      <c r="J423" s="2" t="s">
        <v>19</v>
      </c>
      <c r="K423" s="2" t="n">
        <v>0</v>
      </c>
      <c r="L423" s="2" t="n">
        <v>0</v>
      </c>
      <c r="M423" s="2" t="n">
        <v>0</v>
      </c>
    </row>
    <row r="424" customFormat="false" ht="15" hidden="false" customHeight="false" outlineLevel="0" collapsed="false">
      <c r="A424" s="2" t="s">
        <v>987</v>
      </c>
      <c r="B424" s="2" t="s">
        <v>988</v>
      </c>
      <c r="C424" s="2" t="n">
        <v>3</v>
      </c>
      <c r="D424" s="2" t="s">
        <v>301</v>
      </c>
      <c r="E424" s="2" t="s">
        <v>16</v>
      </c>
      <c r="F424" s="3" t="n">
        <v>45702.9902777778</v>
      </c>
      <c r="G424" s="2" t="s">
        <v>646</v>
      </c>
      <c r="H424" s="4" t="n">
        <v>0.2263</v>
      </c>
      <c r="I424" s="2" t="s">
        <v>23</v>
      </c>
      <c r="J424" s="2" t="s">
        <v>19</v>
      </c>
      <c r="K424" s="2" t="n">
        <v>1</v>
      </c>
      <c r="L424" s="2" t="n">
        <v>0</v>
      </c>
      <c r="M424" s="2" t="n">
        <v>0</v>
      </c>
    </row>
    <row r="425" customFormat="false" ht="15" hidden="false" customHeight="false" outlineLevel="0" collapsed="false">
      <c r="A425" s="2" t="s">
        <v>989</v>
      </c>
      <c r="B425" s="2" t="s">
        <v>990</v>
      </c>
      <c r="C425" s="2" t="n">
        <v>4</v>
      </c>
      <c r="D425" s="2" t="s">
        <v>96</v>
      </c>
      <c r="E425" s="2" t="s">
        <v>16</v>
      </c>
      <c r="F425" s="3" t="n">
        <v>45703.03125</v>
      </c>
      <c r="G425" s="2" t="s">
        <v>646</v>
      </c>
      <c r="H425" s="4" t="n">
        <v>0.6369</v>
      </c>
      <c r="I425" s="2" t="s">
        <v>23</v>
      </c>
      <c r="J425" s="2" t="s">
        <v>19</v>
      </c>
      <c r="K425" s="2" t="n">
        <v>9</v>
      </c>
      <c r="L425" s="2" t="n">
        <v>0</v>
      </c>
      <c r="M425" s="2" t="n">
        <v>0</v>
      </c>
    </row>
    <row r="426" customFormat="false" ht="15" hidden="false" customHeight="false" outlineLevel="0" collapsed="false">
      <c r="A426" s="2" t="s">
        <v>991</v>
      </c>
      <c r="B426" s="2" t="s">
        <v>992</v>
      </c>
      <c r="C426" s="2" t="n">
        <v>5</v>
      </c>
      <c r="D426" s="2" t="s">
        <v>62</v>
      </c>
      <c r="E426" s="2" t="s">
        <v>16</v>
      </c>
      <c r="F426" s="3" t="n">
        <v>45703.0916666667</v>
      </c>
      <c r="G426" s="2" t="s">
        <v>646</v>
      </c>
      <c r="H426" s="4" t="n">
        <v>0.7088</v>
      </c>
      <c r="I426" s="2" t="s">
        <v>23</v>
      </c>
      <c r="J426" s="2" t="s">
        <v>19</v>
      </c>
      <c r="K426" s="2" t="n">
        <v>2</v>
      </c>
      <c r="L426" s="2" t="n">
        <v>0</v>
      </c>
      <c r="M426" s="2" t="n">
        <v>0</v>
      </c>
    </row>
    <row r="427" customFormat="false" ht="15" hidden="false" customHeight="false" outlineLevel="0" collapsed="false">
      <c r="A427" s="2" t="s">
        <v>993</v>
      </c>
      <c r="B427" s="2" t="s">
        <v>994</v>
      </c>
      <c r="C427" s="2" t="n">
        <v>3</v>
      </c>
      <c r="D427" s="2" t="s">
        <v>36</v>
      </c>
      <c r="E427" s="2" t="s">
        <v>16</v>
      </c>
      <c r="F427" s="3" t="n">
        <v>45703.2944444444</v>
      </c>
      <c r="G427" s="2" t="s">
        <v>646</v>
      </c>
      <c r="H427" s="4" t="n">
        <v>0.4404</v>
      </c>
      <c r="I427" s="2" t="s">
        <v>23</v>
      </c>
      <c r="J427" s="2" t="s">
        <v>37</v>
      </c>
      <c r="K427" s="2" t="n">
        <v>0</v>
      </c>
      <c r="L427" s="2" t="n">
        <v>0</v>
      </c>
      <c r="M427" s="2" t="n">
        <v>0</v>
      </c>
    </row>
    <row r="428" customFormat="false" ht="15" hidden="false" customHeight="false" outlineLevel="0" collapsed="false">
      <c r="A428" s="2" t="s">
        <v>995</v>
      </c>
      <c r="B428" s="2" t="s">
        <v>996</v>
      </c>
      <c r="C428" s="2" t="n">
        <v>1</v>
      </c>
      <c r="D428" s="2" t="s">
        <v>997</v>
      </c>
      <c r="E428" s="2" t="s">
        <v>16</v>
      </c>
      <c r="F428" s="3" t="n">
        <v>45703.3</v>
      </c>
      <c r="G428" s="2" t="s">
        <v>646</v>
      </c>
      <c r="H428" s="4" t="n">
        <v>0.2263</v>
      </c>
      <c r="I428" s="2" t="s">
        <v>23</v>
      </c>
      <c r="J428" s="2" t="s">
        <v>37</v>
      </c>
      <c r="K428" s="2" t="n">
        <v>6</v>
      </c>
      <c r="L428" s="2" t="n">
        <v>0</v>
      </c>
      <c r="M428" s="2" t="n">
        <v>0</v>
      </c>
    </row>
    <row r="429" customFormat="false" ht="15" hidden="false" customHeight="false" outlineLevel="0" collapsed="false">
      <c r="A429" s="2" t="s">
        <v>998</v>
      </c>
      <c r="B429" s="2" t="s">
        <v>999</v>
      </c>
      <c r="C429" s="2" t="n">
        <v>4</v>
      </c>
      <c r="D429" s="2" t="s">
        <v>62</v>
      </c>
      <c r="E429" s="2" t="s">
        <v>16</v>
      </c>
      <c r="F429" s="3" t="n">
        <v>45703.3361111111</v>
      </c>
      <c r="G429" s="2" t="s">
        <v>646</v>
      </c>
      <c r="H429" s="4" t="n">
        <v>0.7088</v>
      </c>
      <c r="I429" s="2" t="s">
        <v>23</v>
      </c>
      <c r="J429" s="2" t="s">
        <v>19</v>
      </c>
      <c r="K429" s="2" t="n">
        <v>8</v>
      </c>
      <c r="L429" s="2" t="n">
        <v>0</v>
      </c>
      <c r="M429" s="2" t="n">
        <v>0</v>
      </c>
    </row>
    <row r="430" customFormat="false" ht="15" hidden="false" customHeight="false" outlineLevel="0" collapsed="false">
      <c r="A430" s="2" t="s">
        <v>1000</v>
      </c>
      <c r="B430" s="2" t="s">
        <v>1001</v>
      </c>
      <c r="C430" s="2" t="n">
        <v>4</v>
      </c>
      <c r="D430" s="2" t="s">
        <v>90</v>
      </c>
      <c r="E430" s="2" t="s">
        <v>16</v>
      </c>
      <c r="F430" s="3" t="n">
        <v>45703.3409722222</v>
      </c>
      <c r="G430" s="2" t="s">
        <v>646</v>
      </c>
      <c r="H430" s="4" t="n">
        <v>0.6249</v>
      </c>
      <c r="I430" s="2" t="s">
        <v>23</v>
      </c>
      <c r="J430" s="2" t="s">
        <v>37</v>
      </c>
      <c r="K430" s="2" t="n">
        <v>3</v>
      </c>
      <c r="L430" s="2" t="n">
        <v>0</v>
      </c>
      <c r="M430" s="2" t="n">
        <v>0</v>
      </c>
    </row>
    <row r="431" customFormat="false" ht="15" hidden="false" customHeight="false" outlineLevel="0" collapsed="false">
      <c r="A431" s="2" t="s">
        <v>1002</v>
      </c>
      <c r="B431" s="2" t="s">
        <v>1003</v>
      </c>
      <c r="C431" s="2" t="n">
        <v>4</v>
      </c>
      <c r="D431" s="2" t="s">
        <v>1004</v>
      </c>
      <c r="E431" s="2" t="s">
        <v>16</v>
      </c>
      <c r="F431" s="3" t="n">
        <v>45703.4590277778</v>
      </c>
      <c r="G431" s="2" t="s">
        <v>646</v>
      </c>
      <c r="H431" s="4" t="n">
        <v>0.6249</v>
      </c>
      <c r="I431" s="2" t="s">
        <v>23</v>
      </c>
      <c r="J431" s="2" t="s">
        <v>37</v>
      </c>
      <c r="K431" s="2" t="n">
        <v>13</v>
      </c>
      <c r="L431" s="2" t="n">
        <v>0</v>
      </c>
      <c r="M431" s="2" t="n">
        <v>0</v>
      </c>
    </row>
    <row r="432" customFormat="false" ht="15" hidden="false" customHeight="false" outlineLevel="0" collapsed="false">
      <c r="A432" s="2" t="s">
        <v>1005</v>
      </c>
      <c r="B432" s="2" t="s">
        <v>1006</v>
      </c>
      <c r="C432" s="2" t="n">
        <v>4</v>
      </c>
      <c r="D432" s="2" t="s">
        <v>304</v>
      </c>
      <c r="E432" s="2" t="s">
        <v>16</v>
      </c>
      <c r="F432" s="3" t="n">
        <v>45703.6152777778</v>
      </c>
      <c r="G432" s="2" t="s">
        <v>646</v>
      </c>
      <c r="H432" s="4" t="n">
        <v>0.6249</v>
      </c>
      <c r="I432" s="2" t="s">
        <v>23</v>
      </c>
      <c r="J432" s="2" t="s">
        <v>37</v>
      </c>
      <c r="K432" s="2" t="n">
        <v>5</v>
      </c>
      <c r="L432" s="2" t="n">
        <v>0</v>
      </c>
      <c r="M432" s="2" t="n">
        <v>0</v>
      </c>
    </row>
    <row r="433" customFormat="false" ht="15" hidden="false" customHeight="false" outlineLevel="0" collapsed="false">
      <c r="A433" s="2" t="s">
        <v>1007</v>
      </c>
      <c r="B433" s="2" t="s">
        <v>1008</v>
      </c>
      <c r="C433" s="2" t="n">
        <v>5</v>
      </c>
      <c r="D433" s="2" t="s">
        <v>389</v>
      </c>
      <c r="E433" s="2" t="s">
        <v>16</v>
      </c>
      <c r="F433" s="3" t="n">
        <v>45703.66875</v>
      </c>
      <c r="G433" s="2" t="s">
        <v>646</v>
      </c>
      <c r="H433" s="4" t="n">
        <v>0.8519</v>
      </c>
      <c r="I433" s="2" t="s">
        <v>23</v>
      </c>
      <c r="J433" s="2" t="s">
        <v>37</v>
      </c>
      <c r="K433" s="2" t="n">
        <v>2</v>
      </c>
      <c r="L433" s="2" t="n">
        <v>0</v>
      </c>
      <c r="M433" s="2" t="n">
        <v>0</v>
      </c>
    </row>
    <row r="434" customFormat="false" ht="15" hidden="false" customHeight="false" outlineLevel="0" collapsed="false">
      <c r="A434" s="2" t="s">
        <v>1009</v>
      </c>
      <c r="B434" s="2" t="s">
        <v>1010</v>
      </c>
      <c r="C434" s="2" t="n">
        <v>2</v>
      </c>
      <c r="D434" s="2" t="s">
        <v>482</v>
      </c>
      <c r="E434" s="2" t="s">
        <v>16</v>
      </c>
      <c r="F434" s="3" t="n">
        <v>45703.6833333333</v>
      </c>
      <c r="G434" s="2" t="s">
        <v>646</v>
      </c>
      <c r="H434" s="4" t="n">
        <v>-0.6808</v>
      </c>
      <c r="I434" s="2" t="s">
        <v>84</v>
      </c>
      <c r="J434" s="2" t="s">
        <v>110</v>
      </c>
      <c r="K434" s="2" t="n">
        <v>0</v>
      </c>
      <c r="L434" s="2" t="n">
        <v>1</v>
      </c>
      <c r="M434" s="2" t="n">
        <v>0</v>
      </c>
    </row>
    <row r="435" customFormat="false" ht="15" hidden="false" customHeight="false" outlineLevel="0" collapsed="false">
      <c r="A435" s="2" t="s">
        <v>1011</v>
      </c>
      <c r="B435" s="2" t="s">
        <v>1012</v>
      </c>
      <c r="C435" s="2" t="n">
        <v>5</v>
      </c>
      <c r="D435" s="2" t="s">
        <v>1013</v>
      </c>
      <c r="E435" s="2" t="s">
        <v>16</v>
      </c>
      <c r="F435" s="3" t="n">
        <v>45703.725</v>
      </c>
      <c r="G435" s="2" t="s">
        <v>646</v>
      </c>
      <c r="H435" s="4" t="n">
        <v>0.9606</v>
      </c>
      <c r="I435" s="2" t="s">
        <v>23</v>
      </c>
      <c r="J435" s="2" t="s">
        <v>37</v>
      </c>
      <c r="K435" s="2" t="n">
        <v>1</v>
      </c>
      <c r="L435" s="2" t="n">
        <v>0</v>
      </c>
      <c r="M435" s="2" t="n">
        <v>0</v>
      </c>
    </row>
    <row r="436" customFormat="false" ht="15" hidden="false" customHeight="false" outlineLevel="0" collapsed="false">
      <c r="A436" s="2" t="s">
        <v>1014</v>
      </c>
      <c r="B436" s="2" t="s">
        <v>1015</v>
      </c>
      <c r="C436" s="2" t="n">
        <v>3</v>
      </c>
      <c r="D436" s="2" t="s">
        <v>87</v>
      </c>
      <c r="E436" s="2" t="s">
        <v>16</v>
      </c>
      <c r="F436" s="3" t="n">
        <v>45703.8395833333</v>
      </c>
      <c r="G436" s="2" t="s">
        <v>646</v>
      </c>
      <c r="H436" s="4" t="n">
        <v>0</v>
      </c>
      <c r="I436" s="2" t="s">
        <v>18</v>
      </c>
      <c r="J436" s="2" t="s">
        <v>19</v>
      </c>
      <c r="K436" s="2" t="n">
        <v>5</v>
      </c>
      <c r="L436" s="2" t="n">
        <v>0</v>
      </c>
      <c r="M436" s="2" t="n">
        <v>0</v>
      </c>
    </row>
    <row r="437" customFormat="false" ht="15" hidden="false" customHeight="false" outlineLevel="0" collapsed="false">
      <c r="A437" s="2" t="s">
        <v>1016</v>
      </c>
      <c r="B437" s="2" t="s">
        <v>1017</v>
      </c>
      <c r="C437" s="2" t="n">
        <v>4</v>
      </c>
      <c r="D437" s="2" t="s">
        <v>1018</v>
      </c>
      <c r="E437" s="2" t="s">
        <v>16</v>
      </c>
      <c r="F437" s="3" t="n">
        <v>45703.925</v>
      </c>
      <c r="G437" s="2" t="s">
        <v>646</v>
      </c>
      <c r="H437" s="4" t="n">
        <v>0.803</v>
      </c>
      <c r="I437" s="2" t="s">
        <v>23</v>
      </c>
      <c r="J437" s="2" t="s">
        <v>19</v>
      </c>
      <c r="K437" s="2" t="n">
        <v>11</v>
      </c>
      <c r="L437" s="2" t="n">
        <v>0</v>
      </c>
      <c r="M437" s="2" t="n">
        <v>0</v>
      </c>
    </row>
    <row r="438" customFormat="false" ht="15" hidden="false" customHeight="false" outlineLevel="0" collapsed="false">
      <c r="A438" s="2" t="s">
        <v>1019</v>
      </c>
      <c r="B438" s="2" t="s">
        <v>1020</v>
      </c>
      <c r="C438" s="2" t="n">
        <v>3</v>
      </c>
      <c r="D438" s="2" t="s">
        <v>301</v>
      </c>
      <c r="E438" s="2" t="s">
        <v>16</v>
      </c>
      <c r="F438" s="3" t="n">
        <v>45703.9777777778</v>
      </c>
      <c r="G438" s="2" t="s">
        <v>646</v>
      </c>
      <c r="H438" s="4" t="n">
        <v>0.2263</v>
      </c>
      <c r="I438" s="2" t="s">
        <v>23</v>
      </c>
      <c r="J438" s="2" t="s">
        <v>19</v>
      </c>
      <c r="K438" s="2" t="n">
        <v>2</v>
      </c>
      <c r="L438" s="2" t="n">
        <v>0</v>
      </c>
      <c r="M438" s="2" t="n">
        <v>0</v>
      </c>
    </row>
    <row r="439" customFormat="false" ht="15" hidden="false" customHeight="false" outlineLevel="0" collapsed="false">
      <c r="A439" s="2" t="s">
        <v>1021</v>
      </c>
      <c r="B439" s="2" t="s">
        <v>1022</v>
      </c>
      <c r="C439" s="2" t="n">
        <v>5</v>
      </c>
      <c r="D439" s="2" t="s">
        <v>90</v>
      </c>
      <c r="E439" s="2" t="s">
        <v>16</v>
      </c>
      <c r="F439" s="3" t="n">
        <v>45704.0972222222</v>
      </c>
      <c r="G439" s="2" t="s">
        <v>646</v>
      </c>
      <c r="H439" s="4" t="n">
        <v>0.6249</v>
      </c>
      <c r="I439" s="2" t="s">
        <v>23</v>
      </c>
      <c r="J439" s="2" t="s">
        <v>37</v>
      </c>
      <c r="K439" s="2" t="n">
        <v>4</v>
      </c>
      <c r="L439" s="2" t="n">
        <v>0</v>
      </c>
      <c r="M439" s="2" t="n">
        <v>0</v>
      </c>
    </row>
    <row r="440" customFormat="false" ht="15" hidden="false" customHeight="false" outlineLevel="0" collapsed="false">
      <c r="A440" s="2" t="s">
        <v>1023</v>
      </c>
      <c r="B440" s="2" t="s">
        <v>1024</v>
      </c>
      <c r="C440" s="2" t="n">
        <v>5</v>
      </c>
      <c r="D440" s="2" t="s">
        <v>40</v>
      </c>
      <c r="E440" s="2" t="s">
        <v>16</v>
      </c>
      <c r="F440" s="3" t="n">
        <v>45704.2506944445</v>
      </c>
      <c r="G440" s="2" t="s">
        <v>646</v>
      </c>
      <c r="H440" s="4" t="n">
        <v>0.4019</v>
      </c>
      <c r="I440" s="2" t="s">
        <v>23</v>
      </c>
      <c r="J440" s="2" t="s">
        <v>33</v>
      </c>
      <c r="K440" s="2" t="n">
        <v>1</v>
      </c>
      <c r="L440" s="2" t="n">
        <v>0</v>
      </c>
      <c r="M440" s="2" t="n">
        <v>0</v>
      </c>
    </row>
    <row r="441" customFormat="false" ht="15" hidden="false" customHeight="false" outlineLevel="0" collapsed="false">
      <c r="A441" s="2" t="s">
        <v>1025</v>
      </c>
      <c r="B441" s="2" t="s">
        <v>1026</v>
      </c>
      <c r="C441" s="2" t="n">
        <v>5</v>
      </c>
      <c r="D441" s="2" t="s">
        <v>90</v>
      </c>
      <c r="E441" s="2" t="s">
        <v>16</v>
      </c>
      <c r="F441" s="3" t="n">
        <v>45704.2958333333</v>
      </c>
      <c r="G441" s="2" t="s">
        <v>646</v>
      </c>
      <c r="H441" s="4" t="n">
        <v>0.6249</v>
      </c>
      <c r="I441" s="2" t="s">
        <v>23</v>
      </c>
      <c r="J441" s="2" t="s">
        <v>37</v>
      </c>
      <c r="K441" s="2" t="n">
        <v>3</v>
      </c>
      <c r="L441" s="2" t="n">
        <v>0</v>
      </c>
      <c r="M441" s="2" t="n">
        <v>0</v>
      </c>
    </row>
    <row r="442" customFormat="false" ht="15" hidden="false" customHeight="false" outlineLevel="0" collapsed="false">
      <c r="A442" s="2" t="s">
        <v>1027</v>
      </c>
      <c r="B442" s="2" t="s">
        <v>1028</v>
      </c>
      <c r="C442" s="2" t="n">
        <v>3</v>
      </c>
      <c r="D442" s="2" t="s">
        <v>1029</v>
      </c>
      <c r="E442" s="2" t="s">
        <v>16</v>
      </c>
      <c r="F442" s="3" t="n">
        <v>45704.3111111111</v>
      </c>
      <c r="G442" s="2" t="s">
        <v>646</v>
      </c>
      <c r="H442" s="4" t="n">
        <v>0.1154</v>
      </c>
      <c r="I442" s="2" t="s">
        <v>23</v>
      </c>
      <c r="J442" s="2" t="s">
        <v>19</v>
      </c>
      <c r="K442" s="2" t="n">
        <v>1</v>
      </c>
      <c r="L442" s="2" t="n">
        <v>0</v>
      </c>
      <c r="M442" s="2" t="n">
        <v>0</v>
      </c>
    </row>
    <row r="443" customFormat="false" ht="15" hidden="false" customHeight="false" outlineLevel="0" collapsed="false">
      <c r="A443" s="2" t="s">
        <v>1030</v>
      </c>
      <c r="B443" s="2" t="s">
        <v>1031</v>
      </c>
      <c r="C443" s="2" t="n">
        <v>5</v>
      </c>
      <c r="D443" s="2" t="s">
        <v>96</v>
      </c>
      <c r="E443" s="2" t="s">
        <v>16</v>
      </c>
      <c r="F443" s="3" t="n">
        <v>45704.5097222222</v>
      </c>
      <c r="G443" s="2" t="s">
        <v>646</v>
      </c>
      <c r="H443" s="4" t="n">
        <v>0.6369</v>
      </c>
      <c r="I443" s="2" t="s">
        <v>23</v>
      </c>
      <c r="J443" s="2" t="s">
        <v>19</v>
      </c>
      <c r="K443" s="2" t="n">
        <v>2</v>
      </c>
      <c r="L443" s="2" t="n">
        <v>0</v>
      </c>
      <c r="M443" s="2" t="n">
        <v>0</v>
      </c>
    </row>
    <row r="444" customFormat="false" ht="15" hidden="false" customHeight="false" outlineLevel="0" collapsed="false">
      <c r="A444" s="2" t="s">
        <v>1032</v>
      </c>
      <c r="B444" s="2" t="s">
        <v>1033</v>
      </c>
      <c r="C444" s="2" t="n">
        <v>1</v>
      </c>
      <c r="D444" s="2" t="s">
        <v>1034</v>
      </c>
      <c r="E444" s="2" t="s">
        <v>16</v>
      </c>
      <c r="F444" s="3" t="n">
        <v>45704.6534722222</v>
      </c>
      <c r="G444" s="2" t="s">
        <v>646</v>
      </c>
      <c r="H444" s="4" t="n">
        <v>0</v>
      </c>
      <c r="I444" s="2" t="s">
        <v>18</v>
      </c>
      <c r="J444" s="2" t="s">
        <v>110</v>
      </c>
      <c r="K444" s="2" t="n">
        <v>8</v>
      </c>
      <c r="L444" s="2" t="n">
        <v>0</v>
      </c>
      <c r="M444" s="2" t="n">
        <v>0</v>
      </c>
    </row>
    <row r="445" customFormat="false" ht="15" hidden="false" customHeight="false" outlineLevel="0" collapsed="false">
      <c r="A445" s="2" t="s">
        <v>1035</v>
      </c>
      <c r="B445" s="2" t="s">
        <v>1036</v>
      </c>
      <c r="C445" s="2" t="n">
        <v>5</v>
      </c>
      <c r="D445" s="2" t="s">
        <v>62</v>
      </c>
      <c r="E445" s="2" t="s">
        <v>16</v>
      </c>
      <c r="F445" s="3" t="n">
        <v>45704.9784722222</v>
      </c>
      <c r="G445" s="2" t="s">
        <v>646</v>
      </c>
      <c r="H445" s="4" t="n">
        <v>0.7088</v>
      </c>
      <c r="I445" s="2" t="s">
        <v>23</v>
      </c>
      <c r="J445" s="2" t="s">
        <v>19</v>
      </c>
      <c r="K445" s="2" t="n">
        <v>10</v>
      </c>
      <c r="L445" s="2" t="n">
        <v>0</v>
      </c>
      <c r="M445" s="2" t="n">
        <v>0</v>
      </c>
    </row>
    <row r="446" customFormat="false" ht="15" hidden="false" customHeight="false" outlineLevel="0" collapsed="false">
      <c r="A446" s="2" t="s">
        <v>1037</v>
      </c>
      <c r="B446" s="2" t="s">
        <v>1038</v>
      </c>
      <c r="C446" s="2" t="n">
        <v>4</v>
      </c>
      <c r="D446" s="2" t="s">
        <v>15</v>
      </c>
      <c r="E446" s="2" t="s">
        <v>1039</v>
      </c>
      <c r="F446" s="3" t="n">
        <v>45705.1263888889</v>
      </c>
      <c r="G446" s="2" t="s">
        <v>646</v>
      </c>
      <c r="H446" s="4" t="n">
        <v>0</v>
      </c>
      <c r="I446" s="2" t="s">
        <v>18</v>
      </c>
      <c r="J446" s="2" t="s">
        <v>19</v>
      </c>
      <c r="K446" s="2" t="n">
        <v>15</v>
      </c>
      <c r="L446" s="2" t="n">
        <v>0</v>
      </c>
      <c r="M446" s="2" t="n">
        <v>1</v>
      </c>
    </row>
    <row r="447" customFormat="false" ht="15" hidden="false" customHeight="false" outlineLevel="0" collapsed="false">
      <c r="A447" s="2" t="s">
        <v>1040</v>
      </c>
      <c r="B447" s="2" t="s">
        <v>1041</v>
      </c>
      <c r="C447" s="2" t="n">
        <v>5</v>
      </c>
      <c r="D447" s="2" t="s">
        <v>127</v>
      </c>
      <c r="E447" s="2" t="s">
        <v>1039</v>
      </c>
      <c r="F447" s="3" t="n">
        <v>45705.1291666667</v>
      </c>
      <c r="G447" s="2" t="s">
        <v>646</v>
      </c>
      <c r="H447" s="4" t="n">
        <v>0.9359</v>
      </c>
      <c r="I447" s="2" t="s">
        <v>23</v>
      </c>
      <c r="J447" s="2" t="s">
        <v>37</v>
      </c>
      <c r="K447" s="2" t="n">
        <v>0</v>
      </c>
      <c r="L447" s="2" t="n">
        <v>0</v>
      </c>
      <c r="M447" s="2" t="n">
        <v>1</v>
      </c>
    </row>
    <row r="448" customFormat="false" ht="15" hidden="false" customHeight="false" outlineLevel="0" collapsed="false">
      <c r="A448" s="2" t="s">
        <v>1042</v>
      </c>
      <c r="B448" s="2" t="s">
        <v>1043</v>
      </c>
      <c r="C448" s="2" t="n">
        <v>5</v>
      </c>
      <c r="D448" s="2" t="s">
        <v>47</v>
      </c>
      <c r="E448" s="2" t="s">
        <v>1039</v>
      </c>
      <c r="F448" s="3" t="n">
        <v>45705.2208333333</v>
      </c>
      <c r="G448" s="2" t="s">
        <v>646</v>
      </c>
      <c r="H448" s="4" t="n">
        <v>0.3089</v>
      </c>
      <c r="I448" s="2" t="s">
        <v>23</v>
      </c>
      <c r="J448" s="2" t="s">
        <v>19</v>
      </c>
      <c r="K448" s="2" t="n">
        <v>3</v>
      </c>
      <c r="L448" s="2" t="n">
        <v>0</v>
      </c>
      <c r="M448" s="2" t="n">
        <v>1</v>
      </c>
    </row>
    <row r="449" customFormat="false" ht="15" hidden="false" customHeight="false" outlineLevel="0" collapsed="false">
      <c r="A449" s="2" t="s">
        <v>1044</v>
      </c>
      <c r="B449" s="2" t="s">
        <v>1045</v>
      </c>
      <c r="C449" s="2" t="n">
        <v>3</v>
      </c>
      <c r="D449" s="2" t="s">
        <v>301</v>
      </c>
      <c r="E449" s="2" t="s">
        <v>1039</v>
      </c>
      <c r="F449" s="3" t="n">
        <v>45705.4208333333</v>
      </c>
      <c r="G449" s="2" t="s">
        <v>646</v>
      </c>
      <c r="H449" s="4" t="n">
        <v>0.2263</v>
      </c>
      <c r="I449" s="2" t="s">
        <v>23</v>
      </c>
      <c r="J449" s="2" t="s">
        <v>19</v>
      </c>
      <c r="K449" s="2" t="n">
        <v>4</v>
      </c>
      <c r="L449" s="2" t="n">
        <v>0</v>
      </c>
      <c r="M449" s="2" t="n">
        <v>1</v>
      </c>
    </row>
    <row r="450" customFormat="false" ht="15" hidden="false" customHeight="false" outlineLevel="0" collapsed="false">
      <c r="A450" s="2" t="s">
        <v>1046</v>
      </c>
      <c r="B450" s="2" t="s">
        <v>1047</v>
      </c>
      <c r="C450" s="2" t="n">
        <v>5</v>
      </c>
      <c r="D450" s="2" t="s">
        <v>90</v>
      </c>
      <c r="E450" s="2" t="s">
        <v>1039</v>
      </c>
      <c r="F450" s="3" t="n">
        <v>45705.6055555556</v>
      </c>
      <c r="G450" s="2" t="s">
        <v>646</v>
      </c>
      <c r="H450" s="4" t="n">
        <v>0.6249</v>
      </c>
      <c r="I450" s="2" t="s">
        <v>23</v>
      </c>
      <c r="J450" s="2" t="s">
        <v>37</v>
      </c>
      <c r="K450" s="2" t="n">
        <v>3</v>
      </c>
      <c r="L450" s="2" t="n">
        <v>0</v>
      </c>
      <c r="M450" s="2" t="n">
        <v>1</v>
      </c>
    </row>
    <row r="451" customFormat="false" ht="15" hidden="false" customHeight="false" outlineLevel="0" collapsed="false">
      <c r="A451" s="2" t="s">
        <v>1048</v>
      </c>
      <c r="B451" s="2" t="s">
        <v>1049</v>
      </c>
      <c r="C451" s="2" t="n">
        <v>5</v>
      </c>
      <c r="D451" s="2" t="s">
        <v>15</v>
      </c>
      <c r="E451" s="2" t="s">
        <v>1039</v>
      </c>
      <c r="F451" s="3" t="n">
        <v>45705.6236111111</v>
      </c>
      <c r="G451" s="2" t="s">
        <v>646</v>
      </c>
      <c r="H451" s="4" t="n">
        <v>0</v>
      </c>
      <c r="I451" s="2" t="s">
        <v>18</v>
      </c>
      <c r="J451" s="2" t="s">
        <v>19</v>
      </c>
      <c r="K451" s="2" t="n">
        <v>12</v>
      </c>
      <c r="L451" s="2" t="n">
        <v>0</v>
      </c>
      <c r="M451" s="2" t="n">
        <v>1</v>
      </c>
    </row>
    <row r="452" customFormat="false" ht="15" hidden="false" customHeight="false" outlineLevel="0" collapsed="false">
      <c r="A452" s="2" t="s">
        <v>1050</v>
      </c>
      <c r="B452" s="2" t="s">
        <v>1051</v>
      </c>
      <c r="C452" s="2" t="n">
        <v>4</v>
      </c>
      <c r="D452" s="2" t="s">
        <v>1052</v>
      </c>
      <c r="E452" s="2" t="s">
        <v>1039</v>
      </c>
      <c r="F452" s="3" t="n">
        <v>45705.8625</v>
      </c>
      <c r="G452" s="2" t="s">
        <v>646</v>
      </c>
      <c r="H452" s="4" t="n">
        <v>0.7088</v>
      </c>
      <c r="I452" s="2" t="s">
        <v>23</v>
      </c>
      <c r="J452" s="2" t="s">
        <v>19</v>
      </c>
      <c r="K452" s="2" t="n">
        <v>4</v>
      </c>
      <c r="L452" s="2" t="n">
        <v>0</v>
      </c>
      <c r="M452" s="2" t="n">
        <v>1</v>
      </c>
    </row>
    <row r="453" customFormat="false" ht="15" hidden="false" customHeight="false" outlineLevel="0" collapsed="false">
      <c r="A453" s="2" t="s">
        <v>1053</v>
      </c>
      <c r="B453" s="2" t="s">
        <v>1054</v>
      </c>
      <c r="C453" s="2" t="n">
        <v>4</v>
      </c>
      <c r="D453" s="2" t="s">
        <v>301</v>
      </c>
      <c r="E453" s="2" t="s">
        <v>1039</v>
      </c>
      <c r="F453" s="3" t="n">
        <v>45705.9006944444</v>
      </c>
      <c r="G453" s="2" t="s">
        <v>646</v>
      </c>
      <c r="H453" s="4" t="n">
        <v>0.2263</v>
      </c>
      <c r="I453" s="2" t="s">
        <v>23</v>
      </c>
      <c r="J453" s="2" t="s">
        <v>19</v>
      </c>
      <c r="K453" s="2" t="n">
        <v>1</v>
      </c>
      <c r="L453" s="2" t="n">
        <v>0</v>
      </c>
      <c r="M453" s="2" t="n">
        <v>1</v>
      </c>
    </row>
    <row r="454" customFormat="false" ht="15" hidden="false" customHeight="false" outlineLevel="0" collapsed="false">
      <c r="A454" s="2" t="s">
        <v>1055</v>
      </c>
      <c r="B454" s="2" t="s">
        <v>1056</v>
      </c>
      <c r="C454" s="2" t="n">
        <v>5</v>
      </c>
      <c r="D454" s="2" t="s">
        <v>62</v>
      </c>
      <c r="E454" s="2" t="s">
        <v>1039</v>
      </c>
      <c r="F454" s="3" t="n">
        <v>45705.9159722222</v>
      </c>
      <c r="G454" s="2" t="s">
        <v>646</v>
      </c>
      <c r="H454" s="4" t="n">
        <v>0.7088</v>
      </c>
      <c r="I454" s="2" t="s">
        <v>23</v>
      </c>
      <c r="J454" s="2" t="s">
        <v>19</v>
      </c>
      <c r="K454" s="2" t="n">
        <v>2</v>
      </c>
      <c r="L454" s="2" t="n">
        <v>1</v>
      </c>
      <c r="M454" s="2" t="n">
        <v>1</v>
      </c>
    </row>
    <row r="455" customFormat="false" ht="15" hidden="false" customHeight="false" outlineLevel="0" collapsed="false">
      <c r="A455" s="2" t="s">
        <v>1057</v>
      </c>
      <c r="B455" s="2" t="s">
        <v>1058</v>
      </c>
      <c r="C455" s="2" t="n">
        <v>3</v>
      </c>
      <c r="D455" s="2" t="s">
        <v>36</v>
      </c>
      <c r="E455" s="2" t="s">
        <v>1039</v>
      </c>
      <c r="F455" s="3" t="n">
        <v>45706.05625</v>
      </c>
      <c r="G455" s="2" t="s">
        <v>646</v>
      </c>
      <c r="H455" s="4" t="n">
        <v>0.4404</v>
      </c>
      <c r="I455" s="2" t="s">
        <v>23</v>
      </c>
      <c r="J455" s="2" t="s">
        <v>37</v>
      </c>
      <c r="K455" s="2" t="n">
        <v>2</v>
      </c>
      <c r="L455" s="2" t="n">
        <v>0</v>
      </c>
      <c r="M455" s="2" t="n">
        <v>1</v>
      </c>
    </row>
    <row r="456" customFormat="false" ht="15" hidden="false" customHeight="false" outlineLevel="0" collapsed="false">
      <c r="A456" s="2" t="s">
        <v>1059</v>
      </c>
      <c r="B456" s="2" t="s">
        <v>1060</v>
      </c>
      <c r="C456" s="2" t="n">
        <v>1</v>
      </c>
      <c r="D456" s="2" t="s">
        <v>1061</v>
      </c>
      <c r="E456" s="2" t="s">
        <v>1039</v>
      </c>
      <c r="F456" s="3" t="n">
        <v>45706.1</v>
      </c>
      <c r="G456" s="2" t="s">
        <v>646</v>
      </c>
      <c r="H456" s="4" t="n">
        <v>-0.5023</v>
      </c>
      <c r="I456" s="2" t="s">
        <v>84</v>
      </c>
      <c r="J456" s="2" t="s">
        <v>33</v>
      </c>
      <c r="K456" s="2" t="n">
        <v>9</v>
      </c>
      <c r="L456" s="2" t="n">
        <v>0</v>
      </c>
      <c r="M456" s="2" t="n">
        <v>1</v>
      </c>
    </row>
    <row r="457" customFormat="false" ht="15" hidden="false" customHeight="false" outlineLevel="0" collapsed="false">
      <c r="A457" s="2" t="s">
        <v>1062</v>
      </c>
      <c r="B457" s="2" t="s">
        <v>1063</v>
      </c>
      <c r="C457" s="2" t="n">
        <v>5</v>
      </c>
      <c r="D457" s="2" t="s">
        <v>90</v>
      </c>
      <c r="E457" s="2" t="s">
        <v>1039</v>
      </c>
      <c r="F457" s="3" t="n">
        <v>45706.5048611111</v>
      </c>
      <c r="G457" s="2" t="s">
        <v>646</v>
      </c>
      <c r="H457" s="4" t="n">
        <v>0.6249</v>
      </c>
      <c r="I457" s="2" t="s">
        <v>23</v>
      </c>
      <c r="J457" s="2" t="s">
        <v>37</v>
      </c>
      <c r="K457" s="2" t="n">
        <v>4</v>
      </c>
      <c r="L457" s="2" t="n">
        <v>0</v>
      </c>
      <c r="M457" s="2" t="n">
        <v>1</v>
      </c>
    </row>
    <row r="458" customFormat="false" ht="15" hidden="false" customHeight="false" outlineLevel="0" collapsed="false">
      <c r="A458" s="2" t="s">
        <v>1064</v>
      </c>
      <c r="B458" s="2" t="s">
        <v>1065</v>
      </c>
      <c r="C458" s="2" t="n">
        <v>2</v>
      </c>
      <c r="D458" s="2" t="s">
        <v>733</v>
      </c>
      <c r="E458" s="2" t="s">
        <v>1039</v>
      </c>
      <c r="F458" s="3" t="n">
        <v>45706.7388888889</v>
      </c>
      <c r="G458" s="2" t="s">
        <v>646</v>
      </c>
      <c r="H458" s="4" t="n">
        <v>-0.2846</v>
      </c>
      <c r="I458" s="2" t="s">
        <v>84</v>
      </c>
      <c r="J458" s="2" t="s">
        <v>37</v>
      </c>
      <c r="K458" s="2" t="n">
        <v>4</v>
      </c>
      <c r="L458" s="2" t="n">
        <v>0</v>
      </c>
      <c r="M458" s="2" t="n">
        <v>1</v>
      </c>
    </row>
    <row r="459" customFormat="false" ht="15" hidden="false" customHeight="false" outlineLevel="0" collapsed="false">
      <c r="A459" s="2" t="s">
        <v>1066</v>
      </c>
      <c r="B459" s="2" t="s">
        <v>518</v>
      </c>
      <c r="C459" s="2" t="n">
        <v>5</v>
      </c>
      <c r="D459" s="2" t="s">
        <v>96</v>
      </c>
      <c r="E459" s="2" t="s">
        <v>1039</v>
      </c>
      <c r="F459" s="3" t="n">
        <v>45706.7520833333</v>
      </c>
      <c r="G459" s="2" t="s">
        <v>646</v>
      </c>
      <c r="H459" s="4" t="n">
        <v>0.6369</v>
      </c>
      <c r="I459" s="2" t="s">
        <v>23</v>
      </c>
      <c r="J459" s="2" t="s">
        <v>19</v>
      </c>
      <c r="K459" s="2" t="n">
        <v>0</v>
      </c>
      <c r="L459" s="2" t="n">
        <v>0</v>
      </c>
      <c r="M459" s="2" t="n">
        <v>1</v>
      </c>
    </row>
    <row r="460" customFormat="false" ht="15" hidden="false" customHeight="false" outlineLevel="0" collapsed="false">
      <c r="A460" s="2" t="s">
        <v>1067</v>
      </c>
      <c r="B460" s="2" t="s">
        <v>1068</v>
      </c>
      <c r="C460" s="2" t="n">
        <v>1</v>
      </c>
      <c r="D460" s="2" t="s">
        <v>586</v>
      </c>
      <c r="E460" s="2" t="s">
        <v>1039</v>
      </c>
      <c r="F460" s="3" t="n">
        <v>45706.8854166667</v>
      </c>
      <c r="G460" s="2" t="s">
        <v>646</v>
      </c>
      <c r="H460" s="4" t="n">
        <v>-0.7936</v>
      </c>
      <c r="I460" s="2" t="s">
        <v>84</v>
      </c>
      <c r="J460" s="2" t="s">
        <v>19</v>
      </c>
      <c r="K460" s="2" t="n">
        <v>5</v>
      </c>
      <c r="L460" s="2" t="n">
        <v>0</v>
      </c>
      <c r="M460" s="2" t="n">
        <v>1</v>
      </c>
    </row>
    <row r="461" customFormat="false" ht="15" hidden="false" customHeight="false" outlineLevel="0" collapsed="false">
      <c r="A461" s="2" t="s">
        <v>1069</v>
      </c>
      <c r="B461" s="2" t="s">
        <v>1070</v>
      </c>
      <c r="C461" s="2" t="n">
        <v>4</v>
      </c>
      <c r="D461" s="2" t="s">
        <v>96</v>
      </c>
      <c r="E461" s="2" t="s">
        <v>1039</v>
      </c>
      <c r="F461" s="3" t="n">
        <v>45706.9798611111</v>
      </c>
      <c r="G461" s="2" t="s">
        <v>646</v>
      </c>
      <c r="H461" s="4" t="n">
        <v>0.6369</v>
      </c>
      <c r="I461" s="2" t="s">
        <v>23</v>
      </c>
      <c r="J461" s="2" t="s">
        <v>19</v>
      </c>
      <c r="K461" s="2" t="n">
        <v>0</v>
      </c>
      <c r="L461" s="2" t="n">
        <v>0</v>
      </c>
      <c r="M461" s="2" t="n">
        <v>1</v>
      </c>
    </row>
    <row r="462" customFormat="false" ht="15" hidden="false" customHeight="false" outlineLevel="0" collapsed="false">
      <c r="A462" s="2" t="s">
        <v>1071</v>
      </c>
      <c r="B462" s="2" t="s">
        <v>1072</v>
      </c>
      <c r="C462" s="2" t="n">
        <v>4</v>
      </c>
      <c r="D462" s="2" t="s">
        <v>90</v>
      </c>
      <c r="E462" s="2" t="s">
        <v>1039</v>
      </c>
      <c r="F462" s="3" t="n">
        <v>45706.9993055556</v>
      </c>
      <c r="G462" s="2" t="s">
        <v>646</v>
      </c>
      <c r="H462" s="4" t="n">
        <v>0.6249</v>
      </c>
      <c r="I462" s="2" t="s">
        <v>23</v>
      </c>
      <c r="J462" s="2" t="s">
        <v>37</v>
      </c>
      <c r="K462" s="2" t="n">
        <v>5</v>
      </c>
      <c r="L462" s="2" t="n">
        <v>0</v>
      </c>
      <c r="M462" s="2" t="n">
        <v>1</v>
      </c>
    </row>
    <row r="463" customFormat="false" ht="15" hidden="false" customHeight="false" outlineLevel="0" collapsed="false">
      <c r="A463" s="2" t="s">
        <v>1073</v>
      </c>
      <c r="B463" s="2" t="s">
        <v>1074</v>
      </c>
      <c r="C463" s="2" t="n">
        <v>4</v>
      </c>
      <c r="D463" s="2" t="s">
        <v>127</v>
      </c>
      <c r="E463" s="2" t="s">
        <v>1039</v>
      </c>
      <c r="F463" s="3" t="n">
        <v>45707.1770833333</v>
      </c>
      <c r="G463" s="2" t="s">
        <v>646</v>
      </c>
      <c r="H463" s="4" t="n">
        <v>0.9359</v>
      </c>
      <c r="I463" s="2" t="s">
        <v>23</v>
      </c>
      <c r="J463" s="2" t="s">
        <v>37</v>
      </c>
      <c r="K463" s="2" t="n">
        <v>4</v>
      </c>
      <c r="L463" s="2" t="n">
        <v>1</v>
      </c>
      <c r="M463" s="2" t="n">
        <v>1</v>
      </c>
    </row>
    <row r="464" customFormat="false" ht="15" hidden="false" customHeight="false" outlineLevel="0" collapsed="false">
      <c r="A464" s="2" t="s">
        <v>1075</v>
      </c>
      <c r="B464" s="2" t="s">
        <v>1076</v>
      </c>
      <c r="C464" s="2" t="n">
        <v>2</v>
      </c>
      <c r="D464" s="2" t="s">
        <v>1077</v>
      </c>
      <c r="E464" s="2" t="s">
        <v>1039</v>
      </c>
      <c r="F464" s="3" t="n">
        <v>45707.2118055556</v>
      </c>
      <c r="G464" s="2" t="s">
        <v>646</v>
      </c>
      <c r="H464" s="4" t="n">
        <v>0.2023</v>
      </c>
      <c r="I464" s="2" t="s">
        <v>23</v>
      </c>
      <c r="J464" s="2" t="s">
        <v>110</v>
      </c>
      <c r="K464" s="2" t="n">
        <v>2</v>
      </c>
      <c r="L464" s="2" t="n">
        <v>1</v>
      </c>
      <c r="M464" s="2" t="n">
        <v>1</v>
      </c>
    </row>
    <row r="465" customFormat="false" ht="15" hidden="false" customHeight="false" outlineLevel="0" collapsed="false">
      <c r="A465" s="2" t="s">
        <v>1078</v>
      </c>
      <c r="B465" s="2" t="s">
        <v>1079</v>
      </c>
      <c r="C465" s="2" t="n">
        <v>3</v>
      </c>
      <c r="D465" s="2" t="s">
        <v>22</v>
      </c>
      <c r="E465" s="2" t="s">
        <v>1039</v>
      </c>
      <c r="F465" s="3" t="n">
        <v>45707.33125</v>
      </c>
      <c r="G465" s="2" t="s">
        <v>646</v>
      </c>
      <c r="H465" s="4" t="n">
        <v>0.2023</v>
      </c>
      <c r="I465" s="2" t="s">
        <v>23</v>
      </c>
      <c r="J465" s="2" t="s">
        <v>19</v>
      </c>
      <c r="K465" s="2" t="n">
        <v>4</v>
      </c>
      <c r="L465" s="2" t="n">
        <v>0</v>
      </c>
      <c r="M465" s="2" t="n">
        <v>1</v>
      </c>
    </row>
    <row r="466" customFormat="false" ht="15" hidden="false" customHeight="false" outlineLevel="0" collapsed="false">
      <c r="A466" s="2" t="s">
        <v>1080</v>
      </c>
      <c r="B466" s="2" t="s">
        <v>1081</v>
      </c>
      <c r="C466" s="2" t="n">
        <v>5</v>
      </c>
      <c r="D466" s="2" t="s">
        <v>52</v>
      </c>
      <c r="E466" s="2" t="s">
        <v>1039</v>
      </c>
      <c r="F466" s="3" t="n">
        <v>45707.3354166667</v>
      </c>
      <c r="G466" s="2" t="s">
        <v>646</v>
      </c>
      <c r="H466" s="4" t="n">
        <v>0.6369</v>
      </c>
      <c r="I466" s="2" t="s">
        <v>23</v>
      </c>
      <c r="J466" s="2" t="s">
        <v>19</v>
      </c>
      <c r="K466" s="2" t="n">
        <v>3</v>
      </c>
      <c r="L466" s="2" t="n">
        <v>0</v>
      </c>
      <c r="M466" s="2" t="n">
        <v>1</v>
      </c>
    </row>
    <row r="467" customFormat="false" ht="15" hidden="false" customHeight="false" outlineLevel="0" collapsed="false">
      <c r="A467" s="2" t="s">
        <v>1082</v>
      </c>
      <c r="B467" s="2" t="s">
        <v>1083</v>
      </c>
      <c r="C467" s="2" t="n">
        <v>5</v>
      </c>
      <c r="D467" s="2" t="s">
        <v>96</v>
      </c>
      <c r="E467" s="2" t="s">
        <v>1039</v>
      </c>
      <c r="F467" s="3" t="n">
        <v>45707.38125</v>
      </c>
      <c r="G467" s="2" t="s">
        <v>646</v>
      </c>
      <c r="H467" s="4" t="n">
        <v>0.6369</v>
      </c>
      <c r="I467" s="2" t="s">
        <v>23</v>
      </c>
      <c r="J467" s="2" t="s">
        <v>19</v>
      </c>
      <c r="K467" s="2" t="n">
        <v>2</v>
      </c>
      <c r="L467" s="2" t="n">
        <v>0</v>
      </c>
      <c r="M467" s="2" t="n">
        <v>1</v>
      </c>
    </row>
    <row r="468" customFormat="false" ht="15" hidden="false" customHeight="false" outlineLevel="0" collapsed="false">
      <c r="A468" s="2" t="s">
        <v>1084</v>
      </c>
      <c r="B468" s="2" t="s">
        <v>1085</v>
      </c>
      <c r="C468" s="2" t="n">
        <v>1</v>
      </c>
      <c r="D468" s="2" t="s">
        <v>455</v>
      </c>
      <c r="E468" s="2" t="s">
        <v>1039</v>
      </c>
      <c r="F468" s="3" t="n">
        <v>45707.525</v>
      </c>
      <c r="G468" s="2" t="s">
        <v>646</v>
      </c>
      <c r="H468" s="4" t="n">
        <v>-0.2263</v>
      </c>
      <c r="I468" s="2" t="s">
        <v>84</v>
      </c>
      <c r="J468" s="2" t="s">
        <v>165</v>
      </c>
      <c r="K468" s="2" t="n">
        <v>4</v>
      </c>
      <c r="L468" s="2" t="n">
        <v>0</v>
      </c>
      <c r="M468" s="2" t="n">
        <v>1</v>
      </c>
    </row>
    <row r="469" customFormat="false" ht="15" hidden="false" customHeight="false" outlineLevel="0" collapsed="false">
      <c r="A469" s="2" t="s">
        <v>1086</v>
      </c>
      <c r="B469" s="2" t="s">
        <v>1087</v>
      </c>
      <c r="C469" s="2" t="n">
        <v>5</v>
      </c>
      <c r="D469" s="2" t="s">
        <v>52</v>
      </c>
      <c r="E469" s="2" t="s">
        <v>1039</v>
      </c>
      <c r="F469" s="3" t="n">
        <v>45707.6291666667</v>
      </c>
      <c r="G469" s="2" t="s">
        <v>646</v>
      </c>
      <c r="H469" s="4" t="n">
        <v>0.6369</v>
      </c>
      <c r="I469" s="2" t="s">
        <v>23</v>
      </c>
      <c r="J469" s="2" t="s">
        <v>19</v>
      </c>
      <c r="K469" s="2" t="n">
        <v>4</v>
      </c>
      <c r="L469" s="2" t="n">
        <v>0</v>
      </c>
      <c r="M469" s="2" t="n">
        <v>1</v>
      </c>
    </row>
    <row r="470" customFormat="false" ht="15" hidden="false" customHeight="false" outlineLevel="0" collapsed="false">
      <c r="A470" s="2" t="s">
        <v>1088</v>
      </c>
      <c r="B470" s="2" t="s">
        <v>1089</v>
      </c>
      <c r="C470" s="2" t="n">
        <v>5</v>
      </c>
      <c r="D470" s="2" t="s">
        <v>15</v>
      </c>
      <c r="E470" s="2" t="s">
        <v>1039</v>
      </c>
      <c r="F470" s="3" t="n">
        <v>45707.6798611111</v>
      </c>
      <c r="G470" s="2" t="s">
        <v>646</v>
      </c>
      <c r="H470" s="4" t="n">
        <v>0</v>
      </c>
      <c r="I470" s="2" t="s">
        <v>18</v>
      </c>
      <c r="J470" s="2" t="s">
        <v>19</v>
      </c>
      <c r="K470" s="2" t="n">
        <v>1</v>
      </c>
      <c r="L470" s="2" t="n">
        <v>0</v>
      </c>
      <c r="M470" s="2" t="n">
        <v>1</v>
      </c>
    </row>
    <row r="471" customFormat="false" ht="15" hidden="false" customHeight="false" outlineLevel="0" collapsed="false">
      <c r="A471" s="2" t="s">
        <v>1090</v>
      </c>
      <c r="B471" s="2" t="s">
        <v>1091</v>
      </c>
      <c r="C471" s="2" t="n">
        <v>1</v>
      </c>
      <c r="D471" s="2" t="s">
        <v>1092</v>
      </c>
      <c r="E471" s="2" t="s">
        <v>1039</v>
      </c>
      <c r="F471" s="3" t="n">
        <v>45708.0104166667</v>
      </c>
      <c r="G471" s="2" t="s">
        <v>646</v>
      </c>
      <c r="H471" s="4" t="n">
        <v>0.2263</v>
      </c>
      <c r="I471" s="2" t="s">
        <v>23</v>
      </c>
      <c r="J471" s="2" t="s">
        <v>165</v>
      </c>
      <c r="K471" s="2" t="n">
        <v>11</v>
      </c>
      <c r="L471" s="2" t="n">
        <v>0</v>
      </c>
      <c r="M471" s="2" t="n">
        <v>1</v>
      </c>
    </row>
    <row r="472" customFormat="false" ht="15" hidden="false" customHeight="false" outlineLevel="0" collapsed="false">
      <c r="A472" s="2" t="s">
        <v>1093</v>
      </c>
      <c r="B472" s="2" t="s">
        <v>1094</v>
      </c>
      <c r="C472" s="2" t="n">
        <v>5</v>
      </c>
      <c r="D472" s="2" t="s">
        <v>1095</v>
      </c>
      <c r="E472" s="2" t="s">
        <v>1039</v>
      </c>
      <c r="F472" s="3" t="n">
        <v>45708.0145833333</v>
      </c>
      <c r="G472" s="2" t="s">
        <v>646</v>
      </c>
      <c r="H472" s="4" t="n">
        <v>0.7475</v>
      </c>
      <c r="I472" s="2" t="s">
        <v>23</v>
      </c>
      <c r="J472" s="2" t="s">
        <v>37</v>
      </c>
      <c r="K472" s="2" t="n">
        <v>0</v>
      </c>
      <c r="L472" s="2" t="n">
        <v>0</v>
      </c>
      <c r="M472" s="2" t="n">
        <v>1</v>
      </c>
    </row>
    <row r="473" customFormat="false" ht="15" hidden="false" customHeight="false" outlineLevel="0" collapsed="false">
      <c r="A473" s="2" t="s">
        <v>1096</v>
      </c>
      <c r="B473" s="2" t="s">
        <v>1097</v>
      </c>
      <c r="C473" s="2" t="n">
        <v>5</v>
      </c>
      <c r="D473" s="2" t="s">
        <v>47</v>
      </c>
      <c r="E473" s="2" t="s">
        <v>1039</v>
      </c>
      <c r="F473" s="3" t="n">
        <v>45708.0215277778</v>
      </c>
      <c r="G473" s="2" t="s">
        <v>646</v>
      </c>
      <c r="H473" s="4" t="n">
        <v>0.3089</v>
      </c>
      <c r="I473" s="2" t="s">
        <v>23</v>
      </c>
      <c r="J473" s="2" t="s">
        <v>19</v>
      </c>
      <c r="K473" s="2" t="n">
        <v>2</v>
      </c>
      <c r="L473" s="2" t="n">
        <v>0</v>
      </c>
      <c r="M473" s="2" t="n">
        <v>1</v>
      </c>
    </row>
    <row r="474" customFormat="false" ht="15" hidden="false" customHeight="false" outlineLevel="0" collapsed="false">
      <c r="A474" s="2" t="s">
        <v>1098</v>
      </c>
      <c r="B474" s="2" t="s">
        <v>1099</v>
      </c>
      <c r="C474" s="2" t="n">
        <v>5</v>
      </c>
      <c r="D474" s="2" t="s">
        <v>15</v>
      </c>
      <c r="E474" s="2" t="s">
        <v>1039</v>
      </c>
      <c r="F474" s="3" t="n">
        <v>45708.0472222222</v>
      </c>
      <c r="G474" s="2" t="s">
        <v>646</v>
      </c>
      <c r="H474" s="4" t="n">
        <v>0</v>
      </c>
      <c r="I474" s="2" t="s">
        <v>18</v>
      </c>
      <c r="J474" s="2" t="s">
        <v>19</v>
      </c>
      <c r="K474" s="2" t="n">
        <v>1</v>
      </c>
      <c r="L474" s="2" t="n">
        <v>0</v>
      </c>
      <c r="M474" s="2" t="n">
        <v>1</v>
      </c>
    </row>
    <row r="475" customFormat="false" ht="15" hidden="false" customHeight="false" outlineLevel="0" collapsed="false">
      <c r="A475" s="2" t="s">
        <v>1100</v>
      </c>
      <c r="B475" s="2" t="s">
        <v>1101</v>
      </c>
      <c r="C475" s="2" t="n">
        <v>5</v>
      </c>
      <c r="D475" s="2" t="s">
        <v>15</v>
      </c>
      <c r="E475" s="2" t="s">
        <v>1039</v>
      </c>
      <c r="F475" s="3" t="n">
        <v>45708.0840277778</v>
      </c>
      <c r="G475" s="2" t="s">
        <v>646</v>
      </c>
      <c r="H475" s="4" t="n">
        <v>0</v>
      </c>
      <c r="I475" s="2" t="s">
        <v>18</v>
      </c>
      <c r="J475" s="2" t="s">
        <v>19</v>
      </c>
      <c r="K475" s="2" t="n">
        <v>3</v>
      </c>
      <c r="L475" s="2" t="n">
        <v>0</v>
      </c>
      <c r="M475" s="2" t="n">
        <v>1</v>
      </c>
    </row>
    <row r="476" customFormat="false" ht="15" hidden="false" customHeight="false" outlineLevel="0" collapsed="false">
      <c r="A476" s="2" t="s">
        <v>1102</v>
      </c>
      <c r="B476" s="2" t="s">
        <v>1103</v>
      </c>
      <c r="C476" s="2" t="n">
        <v>3</v>
      </c>
      <c r="D476" s="2" t="s">
        <v>22</v>
      </c>
      <c r="E476" s="2" t="s">
        <v>1039</v>
      </c>
      <c r="F476" s="3" t="n">
        <v>45708.1201388889</v>
      </c>
      <c r="G476" s="2" t="s">
        <v>646</v>
      </c>
      <c r="H476" s="4" t="n">
        <v>0.2023</v>
      </c>
      <c r="I476" s="2" t="s">
        <v>23</v>
      </c>
      <c r="J476" s="2" t="s">
        <v>19</v>
      </c>
      <c r="K476" s="2" t="n">
        <v>0</v>
      </c>
      <c r="L476" s="2" t="n">
        <v>0</v>
      </c>
      <c r="M476" s="2" t="n">
        <v>1</v>
      </c>
    </row>
    <row r="477" customFormat="false" ht="15" hidden="false" customHeight="false" outlineLevel="0" collapsed="false">
      <c r="A477" s="2" t="s">
        <v>1104</v>
      </c>
      <c r="B477" s="2" t="s">
        <v>1105</v>
      </c>
      <c r="C477" s="2" t="n">
        <v>5</v>
      </c>
      <c r="D477" s="2" t="s">
        <v>407</v>
      </c>
      <c r="E477" s="2" t="s">
        <v>1039</v>
      </c>
      <c r="F477" s="3" t="n">
        <v>45708.1840277778</v>
      </c>
      <c r="G477" s="2" t="s">
        <v>646</v>
      </c>
      <c r="H477" s="4" t="n">
        <v>0.7783</v>
      </c>
      <c r="I477" s="2" t="s">
        <v>23</v>
      </c>
      <c r="J477" s="2" t="s">
        <v>37</v>
      </c>
      <c r="K477" s="2" t="n">
        <v>16</v>
      </c>
      <c r="L477" s="2" t="n">
        <v>0</v>
      </c>
      <c r="M477" s="2" t="n">
        <v>1</v>
      </c>
    </row>
    <row r="478" customFormat="false" ht="15" hidden="false" customHeight="false" outlineLevel="0" collapsed="false">
      <c r="A478" s="2" t="s">
        <v>1106</v>
      </c>
      <c r="B478" s="2" t="s">
        <v>1107</v>
      </c>
      <c r="C478" s="2" t="n">
        <v>5</v>
      </c>
      <c r="D478" s="2" t="s">
        <v>52</v>
      </c>
      <c r="E478" s="2" t="s">
        <v>1039</v>
      </c>
      <c r="F478" s="3" t="n">
        <v>45708.2951388889</v>
      </c>
      <c r="G478" s="2" t="s">
        <v>646</v>
      </c>
      <c r="H478" s="4" t="n">
        <v>0.6369</v>
      </c>
      <c r="I478" s="2" t="s">
        <v>23</v>
      </c>
      <c r="J478" s="2" t="s">
        <v>19</v>
      </c>
      <c r="K478" s="2" t="n">
        <v>1</v>
      </c>
      <c r="L478" s="2" t="n">
        <v>0</v>
      </c>
      <c r="M478" s="2" t="n">
        <v>1</v>
      </c>
    </row>
    <row r="479" customFormat="false" ht="15" hidden="false" customHeight="false" outlineLevel="0" collapsed="false">
      <c r="A479" s="2" t="s">
        <v>1108</v>
      </c>
      <c r="B479" s="2" t="s">
        <v>1109</v>
      </c>
      <c r="C479" s="2" t="n">
        <v>5</v>
      </c>
      <c r="D479" s="2" t="s">
        <v>52</v>
      </c>
      <c r="E479" s="2" t="s">
        <v>1039</v>
      </c>
      <c r="F479" s="3" t="n">
        <v>45708.4631944444</v>
      </c>
      <c r="G479" s="2" t="s">
        <v>646</v>
      </c>
      <c r="H479" s="4" t="n">
        <v>0.6369</v>
      </c>
      <c r="I479" s="2" t="s">
        <v>23</v>
      </c>
      <c r="J479" s="2" t="s">
        <v>19</v>
      </c>
      <c r="K479" s="2" t="n">
        <v>6</v>
      </c>
      <c r="L479" s="2" t="n">
        <v>0</v>
      </c>
      <c r="M479" s="2" t="n">
        <v>1</v>
      </c>
    </row>
    <row r="480" customFormat="false" ht="15" hidden="false" customHeight="false" outlineLevel="0" collapsed="false">
      <c r="A480" s="2" t="s">
        <v>1110</v>
      </c>
      <c r="B480" s="2" t="s">
        <v>1111</v>
      </c>
      <c r="C480" s="2" t="n">
        <v>3</v>
      </c>
      <c r="D480" s="2" t="s">
        <v>87</v>
      </c>
      <c r="E480" s="2" t="s">
        <v>1039</v>
      </c>
      <c r="F480" s="3" t="n">
        <v>45708.5631944445</v>
      </c>
      <c r="G480" s="2" t="s">
        <v>646</v>
      </c>
      <c r="H480" s="4" t="n">
        <v>0</v>
      </c>
      <c r="I480" s="2" t="s">
        <v>18</v>
      </c>
      <c r="J480" s="2" t="s">
        <v>19</v>
      </c>
      <c r="K480" s="2" t="n">
        <v>0</v>
      </c>
      <c r="L480" s="2" t="n">
        <v>0</v>
      </c>
      <c r="M480" s="2" t="n">
        <v>1</v>
      </c>
    </row>
    <row r="481" customFormat="false" ht="15" hidden="false" customHeight="false" outlineLevel="0" collapsed="false">
      <c r="A481" s="2" t="s">
        <v>1112</v>
      </c>
      <c r="B481" s="2" t="s">
        <v>1113</v>
      </c>
      <c r="C481" s="2" t="n">
        <v>5</v>
      </c>
      <c r="D481" s="2" t="s">
        <v>62</v>
      </c>
      <c r="E481" s="2" t="s">
        <v>1039</v>
      </c>
      <c r="F481" s="3" t="n">
        <v>45708.7638888889</v>
      </c>
      <c r="G481" s="2" t="s">
        <v>646</v>
      </c>
      <c r="H481" s="4" t="n">
        <v>0.7088</v>
      </c>
      <c r="I481" s="2" t="s">
        <v>23</v>
      </c>
      <c r="J481" s="2" t="s">
        <v>19</v>
      </c>
      <c r="K481" s="2" t="n">
        <v>3</v>
      </c>
      <c r="L481" s="2" t="n">
        <v>0</v>
      </c>
      <c r="M481" s="2" t="n">
        <v>1</v>
      </c>
    </row>
    <row r="482" customFormat="false" ht="15" hidden="false" customHeight="false" outlineLevel="0" collapsed="false">
      <c r="A482" s="2" t="s">
        <v>1114</v>
      </c>
      <c r="B482" s="2" t="s">
        <v>1115</v>
      </c>
      <c r="C482" s="2" t="n">
        <v>1</v>
      </c>
      <c r="D482" s="2" t="s">
        <v>1116</v>
      </c>
      <c r="E482" s="2" t="s">
        <v>1039</v>
      </c>
      <c r="F482" s="3" t="n">
        <v>45708.7729166667</v>
      </c>
      <c r="G482" s="2" t="s">
        <v>646</v>
      </c>
      <c r="H482" s="4" t="n">
        <v>-0.6249</v>
      </c>
      <c r="I482" s="2" t="s">
        <v>84</v>
      </c>
      <c r="J482" s="2" t="s">
        <v>37</v>
      </c>
      <c r="K482" s="2" t="n">
        <v>6</v>
      </c>
      <c r="L482" s="2" t="n">
        <v>1</v>
      </c>
      <c r="M482" s="2" t="n">
        <v>1</v>
      </c>
    </row>
    <row r="483" customFormat="false" ht="15" hidden="false" customHeight="false" outlineLevel="0" collapsed="false">
      <c r="A483" s="2" t="s">
        <v>1117</v>
      </c>
      <c r="B483" s="2" t="s">
        <v>1118</v>
      </c>
      <c r="C483" s="2" t="n">
        <v>5</v>
      </c>
      <c r="D483" s="2" t="s">
        <v>15</v>
      </c>
      <c r="E483" s="2" t="s">
        <v>1039</v>
      </c>
      <c r="F483" s="3" t="n">
        <v>45708.7784722222</v>
      </c>
      <c r="G483" s="2" t="s">
        <v>646</v>
      </c>
      <c r="H483" s="4" t="n">
        <v>0</v>
      </c>
      <c r="I483" s="2" t="s">
        <v>18</v>
      </c>
      <c r="J483" s="2" t="s">
        <v>19</v>
      </c>
      <c r="K483" s="2" t="n">
        <v>0</v>
      </c>
      <c r="L483" s="2" t="n">
        <v>0</v>
      </c>
      <c r="M483" s="2" t="n">
        <v>1</v>
      </c>
    </row>
    <row r="484" customFormat="false" ht="15" hidden="false" customHeight="false" outlineLevel="0" collapsed="false">
      <c r="A484" s="2" t="s">
        <v>1119</v>
      </c>
      <c r="B484" s="2" t="s">
        <v>1120</v>
      </c>
      <c r="C484" s="2" t="n">
        <v>4</v>
      </c>
      <c r="D484" s="2" t="s">
        <v>96</v>
      </c>
      <c r="E484" s="2" t="s">
        <v>1039</v>
      </c>
      <c r="F484" s="3" t="n">
        <v>45708.8840277778</v>
      </c>
      <c r="G484" s="2" t="s">
        <v>646</v>
      </c>
      <c r="H484" s="4" t="n">
        <v>0.6369</v>
      </c>
      <c r="I484" s="2" t="s">
        <v>23</v>
      </c>
      <c r="J484" s="2" t="s">
        <v>19</v>
      </c>
      <c r="K484" s="2" t="n">
        <v>2</v>
      </c>
      <c r="L484" s="2" t="n">
        <v>0</v>
      </c>
      <c r="M484" s="2" t="n">
        <v>1</v>
      </c>
    </row>
    <row r="485" customFormat="false" ht="15" hidden="false" customHeight="false" outlineLevel="0" collapsed="false">
      <c r="A485" s="2" t="s">
        <v>1121</v>
      </c>
      <c r="B485" s="2" t="s">
        <v>1122</v>
      </c>
      <c r="C485" s="2" t="n">
        <v>5</v>
      </c>
      <c r="D485" s="2" t="s">
        <v>40</v>
      </c>
      <c r="E485" s="2" t="s">
        <v>1039</v>
      </c>
      <c r="F485" s="3" t="n">
        <v>45709.0111111111</v>
      </c>
      <c r="G485" s="2" t="s">
        <v>646</v>
      </c>
      <c r="H485" s="4" t="n">
        <v>0.4019</v>
      </c>
      <c r="I485" s="2" t="s">
        <v>23</v>
      </c>
      <c r="J485" s="2" t="s">
        <v>33</v>
      </c>
      <c r="K485" s="2" t="n">
        <v>0</v>
      </c>
      <c r="L485" s="2" t="n">
        <v>0</v>
      </c>
      <c r="M485" s="2" t="n">
        <v>1</v>
      </c>
    </row>
    <row r="486" customFormat="false" ht="15" hidden="false" customHeight="false" outlineLevel="0" collapsed="false">
      <c r="A486" s="2" t="s">
        <v>1123</v>
      </c>
      <c r="B486" s="2" t="s">
        <v>1124</v>
      </c>
      <c r="C486" s="2" t="n">
        <v>3</v>
      </c>
      <c r="D486" s="2" t="s">
        <v>36</v>
      </c>
      <c r="E486" s="2" t="s">
        <v>1039</v>
      </c>
      <c r="F486" s="3" t="n">
        <v>45709.0430555556</v>
      </c>
      <c r="G486" s="2" t="s">
        <v>646</v>
      </c>
      <c r="H486" s="4" t="n">
        <v>0.4404</v>
      </c>
      <c r="I486" s="2" t="s">
        <v>23</v>
      </c>
      <c r="J486" s="2" t="s">
        <v>37</v>
      </c>
      <c r="K486" s="2" t="n">
        <v>4</v>
      </c>
      <c r="L486" s="2" t="n">
        <v>0</v>
      </c>
      <c r="M486" s="2" t="n">
        <v>1</v>
      </c>
    </row>
    <row r="487" customFormat="false" ht="15" hidden="false" customHeight="false" outlineLevel="0" collapsed="false">
      <c r="A487" s="2" t="s">
        <v>1125</v>
      </c>
      <c r="B487" s="2" t="s">
        <v>1126</v>
      </c>
      <c r="C487" s="2" t="n">
        <v>5</v>
      </c>
      <c r="D487" s="2" t="s">
        <v>96</v>
      </c>
      <c r="E487" s="2" t="s">
        <v>1039</v>
      </c>
      <c r="F487" s="3" t="n">
        <v>45709.1381944444</v>
      </c>
      <c r="G487" s="2" t="s">
        <v>646</v>
      </c>
      <c r="H487" s="4" t="n">
        <v>0.6369</v>
      </c>
      <c r="I487" s="2" t="s">
        <v>23</v>
      </c>
      <c r="J487" s="2" t="s">
        <v>19</v>
      </c>
      <c r="K487" s="2" t="n">
        <v>0</v>
      </c>
      <c r="L487" s="2" t="n">
        <v>0</v>
      </c>
      <c r="M487" s="2" t="n">
        <v>1</v>
      </c>
    </row>
    <row r="488" customFormat="false" ht="15" hidden="false" customHeight="false" outlineLevel="0" collapsed="false">
      <c r="A488" s="2" t="s">
        <v>1127</v>
      </c>
      <c r="B488" s="2" t="s">
        <v>1128</v>
      </c>
      <c r="C488" s="2" t="n">
        <v>2</v>
      </c>
      <c r="D488" s="2" t="s">
        <v>32</v>
      </c>
      <c r="E488" s="2" t="s">
        <v>1039</v>
      </c>
      <c r="F488" s="3" t="n">
        <v>45709.21875</v>
      </c>
      <c r="G488" s="2" t="s">
        <v>646</v>
      </c>
      <c r="H488" s="4" t="n">
        <v>0.2023</v>
      </c>
      <c r="I488" s="2" t="s">
        <v>23</v>
      </c>
      <c r="J488" s="2" t="s">
        <v>33</v>
      </c>
      <c r="K488" s="2" t="n">
        <v>6</v>
      </c>
      <c r="L488" s="2" t="n">
        <v>1</v>
      </c>
      <c r="M488" s="2" t="n">
        <v>1</v>
      </c>
    </row>
    <row r="489" customFormat="false" ht="15" hidden="false" customHeight="false" outlineLevel="0" collapsed="false">
      <c r="A489" s="2" t="s">
        <v>1129</v>
      </c>
      <c r="B489" s="2" t="s">
        <v>1130</v>
      </c>
      <c r="C489" s="2" t="n">
        <v>2</v>
      </c>
      <c r="D489" s="2" t="s">
        <v>1131</v>
      </c>
      <c r="E489" s="2" t="s">
        <v>1039</v>
      </c>
      <c r="F489" s="3" t="n">
        <v>45709.2298611111</v>
      </c>
      <c r="G489" s="2" t="s">
        <v>646</v>
      </c>
      <c r="H489" s="4" t="n">
        <v>0.5719</v>
      </c>
      <c r="I489" s="2" t="s">
        <v>23</v>
      </c>
      <c r="J489" s="2" t="s">
        <v>37</v>
      </c>
      <c r="K489" s="2" t="n">
        <v>1</v>
      </c>
      <c r="L489" s="2" t="n">
        <v>1</v>
      </c>
      <c r="M489" s="2" t="n">
        <v>1</v>
      </c>
    </row>
    <row r="490" customFormat="false" ht="15" hidden="false" customHeight="false" outlineLevel="0" collapsed="false">
      <c r="A490" s="2" t="s">
        <v>1132</v>
      </c>
      <c r="B490" s="2" t="s">
        <v>1133</v>
      </c>
      <c r="C490" s="2" t="n">
        <v>5</v>
      </c>
      <c r="D490" s="2" t="s">
        <v>127</v>
      </c>
      <c r="E490" s="2" t="s">
        <v>1039</v>
      </c>
      <c r="F490" s="3" t="n">
        <v>45709.2763888889</v>
      </c>
      <c r="G490" s="2" t="s">
        <v>646</v>
      </c>
      <c r="H490" s="4" t="n">
        <v>0.9359</v>
      </c>
      <c r="I490" s="2" t="s">
        <v>23</v>
      </c>
      <c r="J490" s="2" t="s">
        <v>37</v>
      </c>
      <c r="K490" s="2" t="n">
        <v>3</v>
      </c>
      <c r="L490" s="2" t="n">
        <v>0</v>
      </c>
      <c r="M490" s="2" t="n">
        <v>1</v>
      </c>
    </row>
    <row r="491" customFormat="false" ht="15" hidden="false" customHeight="false" outlineLevel="0" collapsed="false">
      <c r="A491" s="2" t="s">
        <v>1134</v>
      </c>
      <c r="B491" s="2" t="s">
        <v>1135</v>
      </c>
      <c r="C491" s="2" t="n">
        <v>5</v>
      </c>
      <c r="D491" s="2" t="s">
        <v>90</v>
      </c>
      <c r="E491" s="2" t="s">
        <v>1039</v>
      </c>
      <c r="F491" s="3" t="n">
        <v>45709.3395833333</v>
      </c>
      <c r="G491" s="2" t="s">
        <v>646</v>
      </c>
      <c r="H491" s="4" t="n">
        <v>0.6249</v>
      </c>
      <c r="I491" s="2" t="s">
        <v>23</v>
      </c>
      <c r="J491" s="2" t="s">
        <v>37</v>
      </c>
      <c r="K491" s="2" t="n">
        <v>2</v>
      </c>
      <c r="L491" s="2" t="n">
        <v>0</v>
      </c>
      <c r="M491" s="2" t="n">
        <v>1</v>
      </c>
    </row>
    <row r="492" customFormat="false" ht="15" hidden="false" customHeight="false" outlineLevel="0" collapsed="false">
      <c r="A492" s="2" t="s">
        <v>1136</v>
      </c>
      <c r="B492" s="2" t="s">
        <v>1137</v>
      </c>
      <c r="C492" s="2" t="n">
        <v>4</v>
      </c>
      <c r="D492" s="2" t="s">
        <v>90</v>
      </c>
      <c r="E492" s="2" t="s">
        <v>1039</v>
      </c>
      <c r="F492" s="3" t="n">
        <v>45709.4055555556</v>
      </c>
      <c r="G492" s="2" t="s">
        <v>646</v>
      </c>
      <c r="H492" s="4" t="n">
        <v>0.6249</v>
      </c>
      <c r="I492" s="2" t="s">
        <v>23</v>
      </c>
      <c r="J492" s="2" t="s">
        <v>37</v>
      </c>
      <c r="K492" s="2" t="n">
        <v>9</v>
      </c>
      <c r="L492" s="2" t="n">
        <v>0</v>
      </c>
      <c r="M492" s="2" t="n">
        <v>1</v>
      </c>
    </row>
    <row r="493" customFormat="false" ht="15" hidden="false" customHeight="false" outlineLevel="0" collapsed="false">
      <c r="A493" s="2" t="s">
        <v>1138</v>
      </c>
      <c r="B493" s="2" t="s">
        <v>1139</v>
      </c>
      <c r="C493" s="2" t="n">
        <v>2</v>
      </c>
      <c r="D493" s="2" t="s">
        <v>402</v>
      </c>
      <c r="E493" s="2" t="s">
        <v>1039</v>
      </c>
      <c r="F493" s="3" t="n">
        <v>45709.4618055556</v>
      </c>
      <c r="G493" s="2" t="s">
        <v>646</v>
      </c>
      <c r="H493" s="4" t="n">
        <v>0</v>
      </c>
      <c r="I493" s="2" t="s">
        <v>18</v>
      </c>
      <c r="J493" s="2" t="s">
        <v>59</v>
      </c>
      <c r="K493" s="2" t="n">
        <v>1</v>
      </c>
      <c r="L493" s="2" t="n">
        <v>1</v>
      </c>
      <c r="M493" s="2" t="n">
        <v>1</v>
      </c>
    </row>
    <row r="494" customFormat="false" ht="15" hidden="false" customHeight="false" outlineLevel="0" collapsed="false">
      <c r="A494" s="2" t="s">
        <v>1140</v>
      </c>
      <c r="B494" s="2" t="s">
        <v>1141</v>
      </c>
      <c r="C494" s="2" t="n">
        <v>5</v>
      </c>
      <c r="D494" s="2" t="s">
        <v>76</v>
      </c>
      <c r="E494" s="2" t="s">
        <v>1039</v>
      </c>
      <c r="F494" s="3" t="n">
        <v>45709.4875</v>
      </c>
      <c r="G494" s="2" t="s">
        <v>646</v>
      </c>
      <c r="H494" s="4" t="n">
        <v>0.607</v>
      </c>
      <c r="I494" s="2" t="s">
        <v>23</v>
      </c>
      <c r="J494" s="2" t="s">
        <v>33</v>
      </c>
      <c r="K494" s="2" t="n">
        <v>9</v>
      </c>
      <c r="L494" s="2" t="n">
        <v>0</v>
      </c>
      <c r="M494" s="2" t="n">
        <v>1</v>
      </c>
    </row>
    <row r="495" customFormat="false" ht="15" hidden="false" customHeight="false" outlineLevel="0" collapsed="false">
      <c r="A495" s="2" t="s">
        <v>1142</v>
      </c>
      <c r="B495" s="2" t="s">
        <v>1143</v>
      </c>
      <c r="C495" s="2" t="n">
        <v>4</v>
      </c>
      <c r="D495" s="2" t="s">
        <v>204</v>
      </c>
      <c r="E495" s="2" t="s">
        <v>1039</v>
      </c>
      <c r="F495" s="3" t="n">
        <v>45709.8090277778</v>
      </c>
      <c r="G495" s="2" t="s">
        <v>646</v>
      </c>
      <c r="H495" s="4" t="n">
        <v>0.7712</v>
      </c>
      <c r="I495" s="2" t="s">
        <v>23</v>
      </c>
      <c r="J495" s="2" t="s">
        <v>19</v>
      </c>
      <c r="K495" s="2" t="n">
        <v>6</v>
      </c>
      <c r="L495" s="2" t="n">
        <v>0</v>
      </c>
      <c r="M495" s="2" t="n">
        <v>1</v>
      </c>
    </row>
    <row r="496" customFormat="false" ht="15" hidden="false" customHeight="false" outlineLevel="0" collapsed="false">
      <c r="A496" s="2" t="s">
        <v>1144</v>
      </c>
      <c r="B496" s="2" t="s">
        <v>1145</v>
      </c>
      <c r="C496" s="2" t="n">
        <v>4</v>
      </c>
      <c r="D496" s="2" t="s">
        <v>87</v>
      </c>
      <c r="E496" s="2" t="s">
        <v>1039</v>
      </c>
      <c r="F496" s="3" t="n">
        <v>45709.9625</v>
      </c>
      <c r="G496" s="2" t="s">
        <v>646</v>
      </c>
      <c r="H496" s="4" t="n">
        <v>0</v>
      </c>
      <c r="I496" s="2" t="s">
        <v>18</v>
      </c>
      <c r="J496" s="2" t="s">
        <v>19</v>
      </c>
      <c r="K496" s="2" t="n">
        <v>6</v>
      </c>
      <c r="L496" s="2" t="n">
        <v>0</v>
      </c>
      <c r="M496" s="2" t="n">
        <v>1</v>
      </c>
    </row>
    <row r="497" customFormat="false" ht="15" hidden="false" customHeight="false" outlineLevel="0" collapsed="false">
      <c r="A497" s="2" t="s">
        <v>1146</v>
      </c>
      <c r="B497" s="2" t="s">
        <v>1147</v>
      </c>
      <c r="C497" s="2" t="n">
        <v>1</v>
      </c>
      <c r="D497" s="2" t="s">
        <v>1034</v>
      </c>
      <c r="E497" s="2" t="s">
        <v>1039</v>
      </c>
      <c r="F497" s="3" t="n">
        <v>45710.0493055556</v>
      </c>
      <c r="G497" s="2" t="s">
        <v>646</v>
      </c>
      <c r="H497" s="4" t="n">
        <v>0</v>
      </c>
      <c r="I497" s="2" t="s">
        <v>18</v>
      </c>
      <c r="J497" s="2" t="s">
        <v>110</v>
      </c>
      <c r="K497" s="2" t="n">
        <v>1</v>
      </c>
      <c r="L497" s="2" t="n">
        <v>0</v>
      </c>
      <c r="M497" s="2" t="n">
        <v>1</v>
      </c>
    </row>
    <row r="498" customFormat="false" ht="15" hidden="false" customHeight="false" outlineLevel="0" collapsed="false">
      <c r="A498" s="2" t="s">
        <v>1148</v>
      </c>
      <c r="B498" s="2" t="s">
        <v>1149</v>
      </c>
      <c r="C498" s="2" t="n">
        <v>5</v>
      </c>
      <c r="D498" s="2" t="s">
        <v>96</v>
      </c>
      <c r="E498" s="2" t="s">
        <v>1039</v>
      </c>
      <c r="F498" s="3" t="n">
        <v>45710.0625</v>
      </c>
      <c r="G498" s="2" t="s">
        <v>646</v>
      </c>
      <c r="H498" s="4" t="n">
        <v>0.6369</v>
      </c>
      <c r="I498" s="2" t="s">
        <v>23</v>
      </c>
      <c r="J498" s="2" t="s">
        <v>19</v>
      </c>
      <c r="K498" s="2" t="n">
        <v>3</v>
      </c>
      <c r="L498" s="2" t="n">
        <v>0</v>
      </c>
      <c r="M498" s="2" t="n">
        <v>1</v>
      </c>
    </row>
    <row r="499" customFormat="false" ht="15" hidden="false" customHeight="false" outlineLevel="0" collapsed="false">
      <c r="A499" s="2" t="s">
        <v>1150</v>
      </c>
      <c r="B499" s="2" t="s">
        <v>1151</v>
      </c>
      <c r="C499" s="2" t="n">
        <v>3</v>
      </c>
      <c r="D499" s="2" t="s">
        <v>99</v>
      </c>
      <c r="E499" s="2" t="s">
        <v>1039</v>
      </c>
      <c r="F499" s="3" t="n">
        <v>45710.0784722222</v>
      </c>
      <c r="G499" s="2" t="s">
        <v>646</v>
      </c>
      <c r="H499" s="4" t="n">
        <v>-0.3089</v>
      </c>
      <c r="I499" s="2" t="s">
        <v>84</v>
      </c>
      <c r="J499" s="2" t="s">
        <v>19</v>
      </c>
      <c r="K499" s="2" t="n">
        <v>1</v>
      </c>
      <c r="L499" s="2" t="n">
        <v>0</v>
      </c>
      <c r="M499" s="2" t="n">
        <v>1</v>
      </c>
    </row>
    <row r="500" customFormat="false" ht="15" hidden="false" customHeight="false" outlineLevel="0" collapsed="false">
      <c r="A500" s="2" t="s">
        <v>1152</v>
      </c>
      <c r="B500" s="2" t="s">
        <v>1153</v>
      </c>
      <c r="C500" s="2" t="n">
        <v>3</v>
      </c>
      <c r="D500" s="2" t="s">
        <v>99</v>
      </c>
      <c r="E500" s="2" t="s">
        <v>1039</v>
      </c>
      <c r="F500" s="3" t="n">
        <v>45710.3340277778</v>
      </c>
      <c r="G500" s="2" t="s">
        <v>646</v>
      </c>
      <c r="H500" s="4" t="n">
        <v>-0.3089</v>
      </c>
      <c r="I500" s="2" t="s">
        <v>84</v>
      </c>
      <c r="J500" s="2" t="s">
        <v>19</v>
      </c>
      <c r="K500" s="2" t="n">
        <v>7</v>
      </c>
      <c r="L500" s="2" t="n">
        <v>0</v>
      </c>
      <c r="M500" s="2" t="n">
        <v>1</v>
      </c>
    </row>
    <row r="501" customFormat="false" ht="15" hidden="false" customHeight="false" outlineLevel="0" collapsed="false">
      <c r="A501" s="2" t="s">
        <v>1154</v>
      </c>
      <c r="B501" s="2" t="s">
        <v>1155</v>
      </c>
      <c r="C501" s="2" t="n">
        <v>4</v>
      </c>
      <c r="D501" s="2" t="s">
        <v>47</v>
      </c>
      <c r="E501" s="2" t="s">
        <v>1039</v>
      </c>
      <c r="F501" s="3" t="n">
        <v>45710.7395833333</v>
      </c>
      <c r="G501" s="2" t="s">
        <v>646</v>
      </c>
      <c r="H501" s="4" t="n">
        <v>0.3089</v>
      </c>
      <c r="I501" s="2" t="s">
        <v>23</v>
      </c>
      <c r="J501" s="2" t="s">
        <v>19</v>
      </c>
      <c r="K501" s="2" t="n">
        <v>0</v>
      </c>
      <c r="L501" s="2" t="n">
        <v>0</v>
      </c>
      <c r="M501" s="2" t="n">
        <v>1</v>
      </c>
    </row>
    <row r="502" customFormat="false" ht="15" hidden="false" customHeight="false" outlineLevel="0" collapsed="false">
      <c r="A502" s="2" t="s">
        <v>1156</v>
      </c>
      <c r="B502" s="2" t="s">
        <v>1157</v>
      </c>
      <c r="C502" s="2" t="n">
        <v>4</v>
      </c>
      <c r="D502" s="2" t="s">
        <v>90</v>
      </c>
      <c r="E502" s="2" t="s">
        <v>1039</v>
      </c>
      <c r="F502" s="3" t="n">
        <v>45710.8055555556</v>
      </c>
      <c r="G502" s="2" t="s">
        <v>646</v>
      </c>
      <c r="H502" s="4" t="n">
        <v>0.6249</v>
      </c>
      <c r="I502" s="2" t="s">
        <v>23</v>
      </c>
      <c r="J502" s="2" t="s">
        <v>37</v>
      </c>
      <c r="K502" s="2" t="n">
        <v>1</v>
      </c>
      <c r="L502" s="2" t="n">
        <v>0</v>
      </c>
      <c r="M502" s="2" t="n">
        <v>1</v>
      </c>
    </row>
    <row r="503" customFormat="false" ht="15" hidden="false" customHeight="false" outlineLevel="0" collapsed="false">
      <c r="A503" s="2" t="s">
        <v>1158</v>
      </c>
      <c r="B503" s="2" t="s">
        <v>1159</v>
      </c>
      <c r="C503" s="2" t="n">
        <v>5</v>
      </c>
      <c r="D503" s="2" t="s">
        <v>62</v>
      </c>
      <c r="E503" s="2" t="s">
        <v>1039</v>
      </c>
      <c r="F503" s="3" t="n">
        <v>45711.2597222222</v>
      </c>
      <c r="G503" s="2" t="s">
        <v>646</v>
      </c>
      <c r="H503" s="4" t="n">
        <v>0.7088</v>
      </c>
      <c r="I503" s="2" t="s">
        <v>23</v>
      </c>
      <c r="J503" s="2" t="s">
        <v>19</v>
      </c>
      <c r="K503" s="2" t="n">
        <v>14</v>
      </c>
      <c r="L503" s="2" t="n">
        <v>0</v>
      </c>
      <c r="M503" s="2" t="n">
        <v>1</v>
      </c>
    </row>
    <row r="504" customFormat="false" ht="15" hidden="false" customHeight="false" outlineLevel="0" collapsed="false">
      <c r="A504" s="2" t="s">
        <v>1160</v>
      </c>
      <c r="B504" s="2" t="s">
        <v>1161</v>
      </c>
      <c r="C504" s="2" t="n">
        <v>3</v>
      </c>
      <c r="D504" s="2" t="s">
        <v>710</v>
      </c>
      <c r="E504" s="2" t="s">
        <v>1039</v>
      </c>
      <c r="F504" s="3" t="n">
        <v>45711.3034722222</v>
      </c>
      <c r="G504" s="2" t="s">
        <v>646</v>
      </c>
      <c r="H504" s="4" t="n">
        <v>0.5719</v>
      </c>
      <c r="I504" s="2" t="s">
        <v>23</v>
      </c>
      <c r="J504" s="2" t="s">
        <v>37</v>
      </c>
      <c r="K504" s="2" t="n">
        <v>2</v>
      </c>
      <c r="L504" s="2" t="n">
        <v>0</v>
      </c>
      <c r="M504" s="2" t="n">
        <v>1</v>
      </c>
    </row>
    <row r="505" customFormat="false" ht="15" hidden="false" customHeight="false" outlineLevel="0" collapsed="false">
      <c r="A505" s="2" t="s">
        <v>1162</v>
      </c>
      <c r="B505" s="2" t="s">
        <v>1163</v>
      </c>
      <c r="C505" s="2" t="n">
        <v>4</v>
      </c>
      <c r="D505" s="2" t="s">
        <v>1164</v>
      </c>
      <c r="E505" s="2" t="s">
        <v>1039</v>
      </c>
      <c r="F505" s="3" t="n">
        <v>45711.3034722222</v>
      </c>
      <c r="G505" s="2" t="s">
        <v>646</v>
      </c>
      <c r="H505" s="4" t="n">
        <v>0.7096</v>
      </c>
      <c r="I505" s="2" t="s">
        <v>23</v>
      </c>
      <c r="J505" s="2" t="s">
        <v>37</v>
      </c>
      <c r="K505" s="2" t="n">
        <v>2</v>
      </c>
      <c r="L505" s="2" t="n">
        <v>0</v>
      </c>
      <c r="M505" s="2" t="n">
        <v>1</v>
      </c>
    </row>
    <row r="506" customFormat="false" ht="15" hidden="false" customHeight="false" outlineLevel="0" collapsed="false">
      <c r="A506" s="2" t="s">
        <v>1165</v>
      </c>
      <c r="B506" s="2" t="s">
        <v>1166</v>
      </c>
      <c r="C506" s="2" t="n">
        <v>5</v>
      </c>
      <c r="D506" s="2" t="s">
        <v>1167</v>
      </c>
      <c r="E506" s="2" t="s">
        <v>1039</v>
      </c>
      <c r="F506" s="3" t="n">
        <v>45711.3097222222</v>
      </c>
      <c r="G506" s="2" t="s">
        <v>646</v>
      </c>
      <c r="H506" s="4" t="n">
        <v>0.8519</v>
      </c>
      <c r="I506" s="2" t="s">
        <v>23</v>
      </c>
      <c r="J506" s="2" t="s">
        <v>37</v>
      </c>
      <c r="K506" s="2" t="n">
        <v>0</v>
      </c>
      <c r="L506" s="2" t="n">
        <v>0</v>
      </c>
      <c r="M506" s="2" t="n">
        <v>1</v>
      </c>
    </row>
    <row r="507" customFormat="false" ht="15" hidden="false" customHeight="false" outlineLevel="0" collapsed="false">
      <c r="A507" s="2" t="s">
        <v>1168</v>
      </c>
      <c r="B507" s="2" t="s">
        <v>1169</v>
      </c>
      <c r="C507" s="2" t="n">
        <v>5</v>
      </c>
      <c r="D507" s="2" t="s">
        <v>127</v>
      </c>
      <c r="E507" s="2" t="s">
        <v>1039</v>
      </c>
      <c r="F507" s="3" t="n">
        <v>45711.3388888889</v>
      </c>
      <c r="G507" s="2" t="s">
        <v>646</v>
      </c>
      <c r="H507" s="4" t="n">
        <v>0.9359</v>
      </c>
      <c r="I507" s="2" t="s">
        <v>23</v>
      </c>
      <c r="J507" s="2" t="s">
        <v>37</v>
      </c>
      <c r="K507" s="2" t="n">
        <v>8</v>
      </c>
      <c r="L507" s="2" t="n">
        <v>0</v>
      </c>
      <c r="M507" s="2" t="n">
        <v>1</v>
      </c>
    </row>
    <row r="508" customFormat="false" ht="15" hidden="false" customHeight="false" outlineLevel="0" collapsed="false">
      <c r="A508" s="2" t="s">
        <v>1170</v>
      </c>
      <c r="B508" s="2" t="s">
        <v>1171</v>
      </c>
      <c r="C508" s="2" t="n">
        <v>2</v>
      </c>
      <c r="D508" s="2" t="s">
        <v>823</v>
      </c>
      <c r="E508" s="2" t="s">
        <v>1039</v>
      </c>
      <c r="F508" s="3" t="n">
        <v>45711.5180555556</v>
      </c>
      <c r="G508" s="2" t="s">
        <v>646</v>
      </c>
      <c r="H508" s="4" t="n">
        <v>-0.6997</v>
      </c>
      <c r="I508" s="2" t="s">
        <v>84</v>
      </c>
      <c r="J508" s="2" t="s">
        <v>19</v>
      </c>
      <c r="K508" s="2" t="n">
        <v>1</v>
      </c>
      <c r="L508" s="2" t="n">
        <v>0</v>
      </c>
      <c r="M508" s="2" t="n">
        <v>1</v>
      </c>
    </row>
    <row r="509" customFormat="false" ht="15" hidden="false" customHeight="false" outlineLevel="0" collapsed="false">
      <c r="A509" s="2" t="s">
        <v>1172</v>
      </c>
      <c r="B509" s="2" t="s">
        <v>1173</v>
      </c>
      <c r="C509" s="2" t="n">
        <v>4</v>
      </c>
      <c r="D509" s="2" t="s">
        <v>127</v>
      </c>
      <c r="E509" s="2" t="s">
        <v>1039</v>
      </c>
      <c r="F509" s="3" t="n">
        <v>45711.5527777778</v>
      </c>
      <c r="G509" s="2" t="s">
        <v>646</v>
      </c>
      <c r="H509" s="4" t="n">
        <v>0.9359</v>
      </c>
      <c r="I509" s="2" t="s">
        <v>23</v>
      </c>
      <c r="J509" s="2" t="s">
        <v>37</v>
      </c>
      <c r="K509" s="2" t="n">
        <v>1</v>
      </c>
      <c r="L509" s="2" t="n">
        <v>0</v>
      </c>
      <c r="M509" s="2" t="n">
        <v>1</v>
      </c>
    </row>
    <row r="510" customFormat="false" ht="15" hidden="false" customHeight="false" outlineLevel="0" collapsed="false">
      <c r="A510" s="2" t="s">
        <v>1174</v>
      </c>
      <c r="B510" s="2" t="s">
        <v>1175</v>
      </c>
      <c r="C510" s="2" t="n">
        <v>5</v>
      </c>
      <c r="D510" s="2" t="s">
        <v>52</v>
      </c>
      <c r="E510" s="2" t="s">
        <v>1039</v>
      </c>
      <c r="F510" s="3" t="n">
        <v>45711.5708333333</v>
      </c>
      <c r="G510" s="2" t="s">
        <v>646</v>
      </c>
      <c r="H510" s="4" t="n">
        <v>0.6369</v>
      </c>
      <c r="I510" s="2" t="s">
        <v>23</v>
      </c>
      <c r="J510" s="2" t="s">
        <v>19</v>
      </c>
      <c r="K510" s="2" t="n">
        <v>1</v>
      </c>
      <c r="L510" s="2" t="n">
        <v>0</v>
      </c>
      <c r="M510" s="2" t="n">
        <v>1</v>
      </c>
    </row>
    <row r="511" customFormat="false" ht="15" hidden="false" customHeight="false" outlineLevel="0" collapsed="false">
      <c r="A511" s="2" t="s">
        <v>1176</v>
      </c>
      <c r="B511" s="2" t="s">
        <v>1177</v>
      </c>
      <c r="C511" s="2" t="n">
        <v>3</v>
      </c>
      <c r="D511" s="2" t="s">
        <v>301</v>
      </c>
      <c r="E511" s="2" t="s">
        <v>1039</v>
      </c>
      <c r="F511" s="3" t="n">
        <v>45711.6826388889</v>
      </c>
      <c r="G511" s="2" t="s">
        <v>646</v>
      </c>
      <c r="H511" s="4" t="n">
        <v>0.2263</v>
      </c>
      <c r="I511" s="2" t="s">
        <v>23</v>
      </c>
      <c r="J511" s="2" t="s">
        <v>19</v>
      </c>
      <c r="K511" s="2" t="n">
        <v>4</v>
      </c>
      <c r="L511" s="2" t="n">
        <v>0</v>
      </c>
      <c r="M511" s="2" t="n">
        <v>1</v>
      </c>
    </row>
    <row r="512" customFormat="false" ht="15" hidden="false" customHeight="false" outlineLevel="0" collapsed="false">
      <c r="A512" s="2" t="s">
        <v>1178</v>
      </c>
      <c r="B512" s="2" t="s">
        <v>1179</v>
      </c>
      <c r="C512" s="2" t="n">
        <v>3</v>
      </c>
      <c r="D512" s="2" t="s">
        <v>946</v>
      </c>
      <c r="E512" s="2" t="s">
        <v>1039</v>
      </c>
      <c r="F512" s="3" t="n">
        <v>45711.8027777778</v>
      </c>
      <c r="G512" s="2" t="s">
        <v>646</v>
      </c>
      <c r="H512" s="4" t="n">
        <v>-0.25</v>
      </c>
      <c r="I512" s="2" t="s">
        <v>84</v>
      </c>
      <c r="J512" s="2" t="s">
        <v>37</v>
      </c>
      <c r="K512" s="2" t="n">
        <v>0</v>
      </c>
      <c r="L512" s="2" t="n">
        <v>0</v>
      </c>
      <c r="M512" s="2" t="n">
        <v>1</v>
      </c>
    </row>
    <row r="513" customFormat="false" ht="15" hidden="false" customHeight="false" outlineLevel="0" collapsed="false">
      <c r="A513" s="2" t="s">
        <v>1180</v>
      </c>
      <c r="B513" s="2" t="s">
        <v>1181</v>
      </c>
      <c r="C513" s="2" t="n">
        <v>4</v>
      </c>
      <c r="D513" s="2" t="s">
        <v>36</v>
      </c>
      <c r="E513" s="2" t="s">
        <v>1039</v>
      </c>
      <c r="F513" s="3" t="n">
        <v>45711.8555555556</v>
      </c>
      <c r="G513" s="2" t="s">
        <v>646</v>
      </c>
      <c r="H513" s="4" t="n">
        <v>0.4404</v>
      </c>
      <c r="I513" s="2" t="s">
        <v>23</v>
      </c>
      <c r="J513" s="2" t="s">
        <v>37</v>
      </c>
      <c r="K513" s="2" t="n">
        <v>0</v>
      </c>
      <c r="L513" s="2" t="n">
        <v>0</v>
      </c>
      <c r="M513" s="2" t="n">
        <v>1</v>
      </c>
    </row>
    <row r="514" customFormat="false" ht="15" hidden="false" customHeight="false" outlineLevel="0" collapsed="false">
      <c r="A514" s="2" t="s">
        <v>1182</v>
      </c>
      <c r="B514" s="2" t="s">
        <v>1183</v>
      </c>
      <c r="C514" s="2" t="n">
        <v>4</v>
      </c>
      <c r="D514" s="2" t="s">
        <v>36</v>
      </c>
      <c r="E514" s="2" t="s">
        <v>1039</v>
      </c>
      <c r="F514" s="3" t="n">
        <v>45711.9097222222</v>
      </c>
      <c r="G514" s="2" t="s">
        <v>646</v>
      </c>
      <c r="H514" s="4" t="n">
        <v>0.4404</v>
      </c>
      <c r="I514" s="2" t="s">
        <v>23</v>
      </c>
      <c r="J514" s="2" t="s">
        <v>37</v>
      </c>
      <c r="K514" s="2" t="n">
        <v>0</v>
      </c>
      <c r="L514" s="2" t="n">
        <v>0</v>
      </c>
      <c r="M514" s="2" t="n">
        <v>1</v>
      </c>
    </row>
    <row r="515" customFormat="false" ht="15" hidden="false" customHeight="false" outlineLevel="0" collapsed="false">
      <c r="A515" s="2" t="s">
        <v>1184</v>
      </c>
      <c r="B515" s="2" t="s">
        <v>1185</v>
      </c>
      <c r="C515" s="2" t="n">
        <v>4</v>
      </c>
      <c r="D515" s="2" t="s">
        <v>127</v>
      </c>
      <c r="E515" s="2" t="s">
        <v>1039</v>
      </c>
      <c r="F515" s="3" t="n">
        <v>45711.9291666667</v>
      </c>
      <c r="G515" s="2" t="s">
        <v>646</v>
      </c>
      <c r="H515" s="4" t="n">
        <v>0.9359</v>
      </c>
      <c r="I515" s="2" t="s">
        <v>23</v>
      </c>
      <c r="J515" s="2" t="s">
        <v>37</v>
      </c>
      <c r="K515" s="2" t="n">
        <v>10</v>
      </c>
      <c r="L515" s="2" t="n">
        <v>0</v>
      </c>
      <c r="M515" s="2" t="n">
        <v>1</v>
      </c>
    </row>
    <row r="516" customFormat="false" ht="15" hidden="false" customHeight="false" outlineLevel="0" collapsed="false">
      <c r="A516" s="2" t="s">
        <v>1186</v>
      </c>
      <c r="B516" s="2" t="s">
        <v>1187</v>
      </c>
      <c r="C516" s="2" t="n">
        <v>5</v>
      </c>
      <c r="D516" s="2" t="s">
        <v>47</v>
      </c>
      <c r="E516" s="2" t="s">
        <v>1039</v>
      </c>
      <c r="F516" s="3" t="n">
        <v>45712.0763888889</v>
      </c>
      <c r="G516" s="2" t="s">
        <v>646</v>
      </c>
      <c r="H516" s="4" t="n">
        <v>0.3089</v>
      </c>
      <c r="I516" s="2" t="s">
        <v>23</v>
      </c>
      <c r="J516" s="2" t="s">
        <v>19</v>
      </c>
      <c r="K516" s="2" t="n">
        <v>2</v>
      </c>
      <c r="L516" s="2" t="n">
        <v>0</v>
      </c>
      <c r="M516" s="2" t="n">
        <v>1</v>
      </c>
    </row>
    <row r="517" customFormat="false" ht="15" hidden="false" customHeight="false" outlineLevel="0" collapsed="false">
      <c r="A517" s="2" t="s">
        <v>1188</v>
      </c>
      <c r="B517" s="2" t="s">
        <v>1189</v>
      </c>
      <c r="C517" s="2" t="n">
        <v>1</v>
      </c>
      <c r="D517" s="2" t="s">
        <v>455</v>
      </c>
      <c r="E517" s="2" t="s">
        <v>1039</v>
      </c>
      <c r="F517" s="3" t="n">
        <v>45712.2791666667</v>
      </c>
      <c r="G517" s="2" t="s">
        <v>646</v>
      </c>
      <c r="H517" s="4" t="n">
        <v>-0.2263</v>
      </c>
      <c r="I517" s="2" t="s">
        <v>84</v>
      </c>
      <c r="J517" s="2" t="s">
        <v>165</v>
      </c>
      <c r="K517" s="2" t="n">
        <v>1</v>
      </c>
      <c r="L517" s="2" t="n">
        <v>1</v>
      </c>
      <c r="M517" s="2" t="n">
        <v>1</v>
      </c>
    </row>
    <row r="518" customFormat="false" ht="15" hidden="false" customHeight="false" outlineLevel="0" collapsed="false">
      <c r="A518" s="2" t="s">
        <v>1190</v>
      </c>
      <c r="B518" s="2" t="s">
        <v>1191</v>
      </c>
      <c r="C518" s="2" t="n">
        <v>1</v>
      </c>
      <c r="D518" s="2" t="s">
        <v>1192</v>
      </c>
      <c r="E518" s="2" t="s">
        <v>1039</v>
      </c>
      <c r="F518" s="3" t="n">
        <v>45712.3243055556</v>
      </c>
      <c r="G518" s="2" t="s">
        <v>646</v>
      </c>
      <c r="H518" s="4" t="n">
        <v>0</v>
      </c>
      <c r="I518" s="2" t="s">
        <v>18</v>
      </c>
      <c r="J518" s="2" t="s">
        <v>165</v>
      </c>
      <c r="K518" s="2" t="n">
        <v>3</v>
      </c>
      <c r="L518" s="2" t="n">
        <v>1</v>
      </c>
      <c r="M518" s="2" t="n">
        <v>1</v>
      </c>
    </row>
    <row r="519" customFormat="false" ht="15" hidden="false" customHeight="false" outlineLevel="0" collapsed="false">
      <c r="A519" s="2" t="s">
        <v>1193</v>
      </c>
      <c r="B519" s="2" t="s">
        <v>1194</v>
      </c>
      <c r="C519" s="2" t="n">
        <v>5</v>
      </c>
      <c r="D519" s="2" t="s">
        <v>62</v>
      </c>
      <c r="E519" s="2" t="s">
        <v>1039</v>
      </c>
      <c r="F519" s="3" t="n">
        <v>45712.3875</v>
      </c>
      <c r="G519" s="2" t="s">
        <v>646</v>
      </c>
      <c r="H519" s="4" t="n">
        <v>0.7088</v>
      </c>
      <c r="I519" s="2" t="s">
        <v>23</v>
      </c>
      <c r="J519" s="2" t="s">
        <v>19</v>
      </c>
      <c r="K519" s="2" t="n">
        <v>0</v>
      </c>
      <c r="L519" s="2" t="n">
        <v>0</v>
      </c>
      <c r="M519" s="2" t="n">
        <v>1</v>
      </c>
    </row>
    <row r="520" customFormat="false" ht="15" hidden="false" customHeight="false" outlineLevel="0" collapsed="false">
      <c r="A520" s="2" t="s">
        <v>1195</v>
      </c>
      <c r="B520" s="2" t="s">
        <v>1196</v>
      </c>
      <c r="C520" s="2" t="n">
        <v>4</v>
      </c>
      <c r="D520" s="2" t="s">
        <v>1197</v>
      </c>
      <c r="E520" s="2" t="s">
        <v>1039</v>
      </c>
      <c r="F520" s="3" t="n">
        <v>45712.39375</v>
      </c>
      <c r="G520" s="2" t="s">
        <v>646</v>
      </c>
      <c r="H520" s="4" t="n">
        <v>0.3089</v>
      </c>
      <c r="I520" s="2" t="s">
        <v>23</v>
      </c>
      <c r="J520" s="2" t="s">
        <v>19</v>
      </c>
      <c r="K520" s="2" t="n">
        <v>4</v>
      </c>
      <c r="L520" s="2" t="n">
        <v>0</v>
      </c>
      <c r="M520" s="2" t="n">
        <v>1</v>
      </c>
    </row>
    <row r="521" customFormat="false" ht="15" hidden="false" customHeight="false" outlineLevel="0" collapsed="false">
      <c r="A521" s="2" t="s">
        <v>1198</v>
      </c>
      <c r="B521" s="2" t="s">
        <v>1199</v>
      </c>
      <c r="C521" s="2" t="n">
        <v>4</v>
      </c>
      <c r="D521" s="2" t="s">
        <v>47</v>
      </c>
      <c r="E521" s="2" t="s">
        <v>1039</v>
      </c>
      <c r="F521" s="3" t="n">
        <v>45712.7354166667</v>
      </c>
      <c r="G521" s="2" t="s">
        <v>646</v>
      </c>
      <c r="H521" s="4" t="n">
        <v>0.3089</v>
      </c>
      <c r="I521" s="2" t="s">
        <v>23</v>
      </c>
      <c r="J521" s="2" t="s">
        <v>19</v>
      </c>
      <c r="K521" s="2" t="n">
        <v>10</v>
      </c>
      <c r="L521" s="2" t="n">
        <v>0</v>
      </c>
      <c r="M521" s="2" t="n">
        <v>1</v>
      </c>
    </row>
    <row r="522" customFormat="false" ht="15" hidden="false" customHeight="false" outlineLevel="0" collapsed="false">
      <c r="A522" s="2" t="s">
        <v>1200</v>
      </c>
      <c r="B522" s="2" t="s">
        <v>1201</v>
      </c>
      <c r="C522" s="2" t="n">
        <v>4</v>
      </c>
      <c r="D522" s="2" t="s">
        <v>96</v>
      </c>
      <c r="E522" s="2" t="s">
        <v>1039</v>
      </c>
      <c r="F522" s="3" t="n">
        <v>45712.8791666667</v>
      </c>
      <c r="G522" s="2" t="s">
        <v>646</v>
      </c>
      <c r="H522" s="4" t="n">
        <v>0.6369</v>
      </c>
      <c r="I522" s="2" t="s">
        <v>23</v>
      </c>
      <c r="J522" s="2" t="s">
        <v>19</v>
      </c>
      <c r="K522" s="2" t="n">
        <v>4</v>
      </c>
      <c r="L522" s="2" t="n">
        <v>0</v>
      </c>
      <c r="M522" s="2" t="n">
        <v>1</v>
      </c>
    </row>
    <row r="523" customFormat="false" ht="15" hidden="false" customHeight="false" outlineLevel="0" collapsed="false">
      <c r="A523" s="2" t="s">
        <v>1202</v>
      </c>
      <c r="B523" s="2" t="s">
        <v>1203</v>
      </c>
      <c r="C523" s="2" t="n">
        <v>4</v>
      </c>
      <c r="D523" s="2" t="s">
        <v>93</v>
      </c>
      <c r="E523" s="2" t="s">
        <v>1039</v>
      </c>
      <c r="F523" s="3" t="n">
        <v>45713.1909722222</v>
      </c>
      <c r="G523" s="2" t="s">
        <v>646</v>
      </c>
      <c r="H523" s="4" t="n">
        <v>0.8008</v>
      </c>
      <c r="I523" s="2" t="s">
        <v>23</v>
      </c>
      <c r="J523" s="2" t="s">
        <v>33</v>
      </c>
      <c r="K523" s="2" t="n">
        <v>1</v>
      </c>
      <c r="L523" s="2" t="n">
        <v>0</v>
      </c>
      <c r="M523" s="2" t="n">
        <v>1</v>
      </c>
    </row>
    <row r="524" customFormat="false" ht="15" hidden="false" customHeight="false" outlineLevel="0" collapsed="false">
      <c r="A524" s="2" t="s">
        <v>1204</v>
      </c>
      <c r="B524" s="2" t="s">
        <v>1205</v>
      </c>
      <c r="C524" s="2" t="n">
        <v>5</v>
      </c>
      <c r="D524" s="2" t="s">
        <v>40</v>
      </c>
      <c r="E524" s="2" t="s">
        <v>1039</v>
      </c>
      <c r="F524" s="3" t="n">
        <v>45713.4833333333</v>
      </c>
      <c r="G524" s="2" t="s">
        <v>646</v>
      </c>
      <c r="H524" s="4" t="n">
        <v>0.4019</v>
      </c>
      <c r="I524" s="2" t="s">
        <v>23</v>
      </c>
      <c r="J524" s="2" t="s">
        <v>33</v>
      </c>
      <c r="K524" s="2" t="n">
        <v>1</v>
      </c>
      <c r="L524" s="2" t="n">
        <v>0</v>
      </c>
      <c r="M524" s="2" t="n">
        <v>1</v>
      </c>
    </row>
    <row r="525" customFormat="false" ht="15" hidden="false" customHeight="false" outlineLevel="0" collapsed="false">
      <c r="A525" s="2" t="s">
        <v>1206</v>
      </c>
      <c r="B525" s="2" t="s">
        <v>1207</v>
      </c>
      <c r="C525" s="2" t="n">
        <v>5</v>
      </c>
      <c r="D525" s="2" t="s">
        <v>90</v>
      </c>
      <c r="E525" s="2" t="s">
        <v>1039</v>
      </c>
      <c r="F525" s="3" t="n">
        <v>45713.7027777778</v>
      </c>
      <c r="G525" s="2" t="s">
        <v>646</v>
      </c>
      <c r="H525" s="4" t="n">
        <v>0.6249</v>
      </c>
      <c r="I525" s="2" t="s">
        <v>23</v>
      </c>
      <c r="J525" s="2" t="s">
        <v>37</v>
      </c>
      <c r="K525" s="2" t="n">
        <v>0</v>
      </c>
      <c r="L525" s="2" t="n">
        <v>0</v>
      </c>
      <c r="M525" s="2" t="n">
        <v>1</v>
      </c>
    </row>
    <row r="526" customFormat="false" ht="15" hidden="false" customHeight="false" outlineLevel="0" collapsed="false">
      <c r="A526" s="2" t="s">
        <v>1208</v>
      </c>
      <c r="B526" s="2" t="s">
        <v>1209</v>
      </c>
      <c r="C526" s="2" t="n">
        <v>5</v>
      </c>
      <c r="D526" s="2" t="s">
        <v>47</v>
      </c>
      <c r="E526" s="2" t="s">
        <v>1039</v>
      </c>
      <c r="F526" s="3" t="n">
        <v>45713.8243055556</v>
      </c>
      <c r="G526" s="2" t="s">
        <v>646</v>
      </c>
      <c r="H526" s="4" t="n">
        <v>0.3089</v>
      </c>
      <c r="I526" s="2" t="s">
        <v>23</v>
      </c>
      <c r="J526" s="2" t="s">
        <v>19</v>
      </c>
      <c r="K526" s="2" t="n">
        <v>1</v>
      </c>
      <c r="L526" s="2" t="n">
        <v>0</v>
      </c>
      <c r="M526" s="2" t="n">
        <v>1</v>
      </c>
    </row>
    <row r="527" customFormat="false" ht="15" hidden="false" customHeight="false" outlineLevel="0" collapsed="false">
      <c r="A527" s="2" t="s">
        <v>1210</v>
      </c>
      <c r="B527" s="2" t="s">
        <v>1211</v>
      </c>
      <c r="C527" s="2" t="n">
        <v>5</v>
      </c>
      <c r="D527" s="2" t="s">
        <v>1212</v>
      </c>
      <c r="E527" s="2" t="s">
        <v>1039</v>
      </c>
      <c r="F527" s="3" t="n">
        <v>45713.8430555556</v>
      </c>
      <c r="G527" s="2" t="s">
        <v>646</v>
      </c>
      <c r="H527" s="4" t="n">
        <v>0.8777</v>
      </c>
      <c r="I527" s="2" t="s">
        <v>23</v>
      </c>
      <c r="J527" s="2" t="s">
        <v>19</v>
      </c>
      <c r="K527" s="2" t="n">
        <v>0</v>
      </c>
      <c r="L527" s="2" t="n">
        <v>0</v>
      </c>
      <c r="M527" s="2" t="n">
        <v>1</v>
      </c>
    </row>
    <row r="528" customFormat="false" ht="15" hidden="false" customHeight="false" outlineLevel="0" collapsed="false">
      <c r="A528" s="2" t="s">
        <v>1213</v>
      </c>
      <c r="B528" s="2" t="s">
        <v>1214</v>
      </c>
      <c r="C528" s="2" t="n">
        <v>5</v>
      </c>
      <c r="D528" s="2" t="s">
        <v>210</v>
      </c>
      <c r="E528" s="2" t="s">
        <v>1039</v>
      </c>
      <c r="F528" s="3" t="n">
        <v>45713.9881944444</v>
      </c>
      <c r="G528" s="2" t="s">
        <v>646</v>
      </c>
      <c r="H528" s="4" t="n">
        <v>0.5448</v>
      </c>
      <c r="I528" s="2" t="s">
        <v>23</v>
      </c>
      <c r="J528" s="2" t="s">
        <v>19</v>
      </c>
      <c r="K528" s="2" t="n">
        <v>2</v>
      </c>
      <c r="L528" s="2" t="n">
        <v>0</v>
      </c>
      <c r="M528" s="2" t="n">
        <v>1</v>
      </c>
    </row>
    <row r="529" customFormat="false" ht="15" hidden="false" customHeight="false" outlineLevel="0" collapsed="false">
      <c r="A529" s="2" t="s">
        <v>1215</v>
      </c>
      <c r="B529" s="2" t="s">
        <v>1216</v>
      </c>
      <c r="C529" s="2" t="n">
        <v>5</v>
      </c>
      <c r="D529" s="2" t="s">
        <v>1217</v>
      </c>
      <c r="E529" s="2" t="s">
        <v>1039</v>
      </c>
      <c r="F529" s="3" t="n">
        <v>45714.0590277778</v>
      </c>
      <c r="G529" s="2" t="s">
        <v>646</v>
      </c>
      <c r="H529" s="4" t="n">
        <v>0.8748</v>
      </c>
      <c r="I529" s="2" t="s">
        <v>23</v>
      </c>
      <c r="J529" s="2" t="s">
        <v>37</v>
      </c>
      <c r="K529" s="2" t="n">
        <v>2</v>
      </c>
      <c r="L529" s="2" t="n">
        <v>0</v>
      </c>
      <c r="M529" s="2" t="n">
        <v>1</v>
      </c>
    </row>
    <row r="530" customFormat="false" ht="15" hidden="false" customHeight="false" outlineLevel="0" collapsed="false">
      <c r="A530" s="2" t="s">
        <v>1218</v>
      </c>
      <c r="B530" s="2" t="s">
        <v>1219</v>
      </c>
      <c r="C530" s="2" t="n">
        <v>4</v>
      </c>
      <c r="D530" s="2" t="s">
        <v>15</v>
      </c>
      <c r="E530" s="2" t="s">
        <v>1039</v>
      </c>
      <c r="F530" s="3" t="n">
        <v>45714.25625</v>
      </c>
      <c r="G530" s="2" t="s">
        <v>646</v>
      </c>
      <c r="H530" s="4" t="n">
        <v>0</v>
      </c>
      <c r="I530" s="2" t="s">
        <v>18</v>
      </c>
      <c r="J530" s="2" t="s">
        <v>19</v>
      </c>
      <c r="K530" s="2" t="n">
        <v>1</v>
      </c>
      <c r="L530" s="2" t="n">
        <v>0</v>
      </c>
      <c r="M530" s="2" t="n">
        <v>1</v>
      </c>
    </row>
    <row r="531" customFormat="false" ht="15" hidden="false" customHeight="false" outlineLevel="0" collapsed="false">
      <c r="A531" s="2" t="s">
        <v>1220</v>
      </c>
      <c r="B531" s="2" t="s">
        <v>1221</v>
      </c>
      <c r="C531" s="2" t="n">
        <v>5</v>
      </c>
      <c r="D531" s="2" t="s">
        <v>1222</v>
      </c>
      <c r="E531" s="2" t="s">
        <v>1039</v>
      </c>
      <c r="F531" s="3" t="n">
        <v>45714.4569444444</v>
      </c>
      <c r="G531" s="2" t="s">
        <v>646</v>
      </c>
      <c r="H531" s="4" t="n">
        <v>0.8221</v>
      </c>
      <c r="I531" s="2" t="s">
        <v>23</v>
      </c>
      <c r="J531" s="2" t="s">
        <v>33</v>
      </c>
      <c r="K531" s="2" t="n">
        <v>0</v>
      </c>
      <c r="L531" s="2" t="n">
        <v>0</v>
      </c>
      <c r="M531" s="2" t="n">
        <v>1</v>
      </c>
    </row>
    <row r="532" customFormat="false" ht="15" hidden="false" customHeight="false" outlineLevel="0" collapsed="false">
      <c r="A532" s="2" t="s">
        <v>1223</v>
      </c>
      <c r="B532" s="2" t="s">
        <v>1224</v>
      </c>
      <c r="C532" s="2" t="n">
        <v>4</v>
      </c>
      <c r="D532" s="2" t="s">
        <v>374</v>
      </c>
      <c r="E532" s="2" t="s">
        <v>1039</v>
      </c>
      <c r="F532" s="3" t="n">
        <v>45714.54375</v>
      </c>
      <c r="G532" s="2" t="s">
        <v>646</v>
      </c>
      <c r="H532" s="4" t="n">
        <v>0.6369</v>
      </c>
      <c r="I532" s="2" t="s">
        <v>23</v>
      </c>
      <c r="J532" s="2" t="s">
        <v>19</v>
      </c>
      <c r="K532" s="2" t="n">
        <v>1</v>
      </c>
      <c r="L532" s="2" t="n">
        <v>0</v>
      </c>
      <c r="M532" s="2" t="n">
        <v>1</v>
      </c>
    </row>
    <row r="533" customFormat="false" ht="15" hidden="false" customHeight="false" outlineLevel="0" collapsed="false">
      <c r="A533" s="2" t="s">
        <v>1225</v>
      </c>
      <c r="B533" s="2" t="s">
        <v>1226</v>
      </c>
      <c r="C533" s="2" t="n">
        <v>5</v>
      </c>
      <c r="D533" s="2" t="s">
        <v>15</v>
      </c>
      <c r="E533" s="2" t="s">
        <v>1039</v>
      </c>
      <c r="F533" s="3" t="n">
        <v>45714.5486111111</v>
      </c>
      <c r="G533" s="2" t="s">
        <v>646</v>
      </c>
      <c r="H533" s="4" t="n">
        <v>0</v>
      </c>
      <c r="I533" s="2" t="s">
        <v>18</v>
      </c>
      <c r="J533" s="2" t="s">
        <v>19</v>
      </c>
      <c r="K533" s="2" t="n">
        <v>1</v>
      </c>
      <c r="L533" s="2" t="n">
        <v>0</v>
      </c>
      <c r="M533" s="2" t="n">
        <v>1</v>
      </c>
    </row>
    <row r="534" customFormat="false" ht="15" hidden="false" customHeight="false" outlineLevel="0" collapsed="false">
      <c r="A534" s="2" t="s">
        <v>1227</v>
      </c>
      <c r="B534" s="2" t="s">
        <v>1228</v>
      </c>
      <c r="C534" s="2" t="n">
        <v>5</v>
      </c>
      <c r="D534" s="2" t="s">
        <v>96</v>
      </c>
      <c r="E534" s="2" t="s">
        <v>1039</v>
      </c>
      <c r="F534" s="3" t="n">
        <v>45714.61875</v>
      </c>
      <c r="G534" s="2" t="s">
        <v>646</v>
      </c>
      <c r="H534" s="4" t="n">
        <v>0.6369</v>
      </c>
      <c r="I534" s="2" t="s">
        <v>23</v>
      </c>
      <c r="J534" s="2" t="s">
        <v>19</v>
      </c>
      <c r="K534" s="2" t="n">
        <v>5</v>
      </c>
      <c r="L534" s="2" t="n">
        <v>0</v>
      </c>
      <c r="M534" s="2" t="n">
        <v>1</v>
      </c>
    </row>
    <row r="535" customFormat="false" ht="15" hidden="false" customHeight="false" outlineLevel="0" collapsed="false">
      <c r="A535" s="2" t="s">
        <v>1229</v>
      </c>
      <c r="B535" s="2" t="s">
        <v>1230</v>
      </c>
      <c r="C535" s="2" t="n">
        <v>1</v>
      </c>
      <c r="D535" s="2" t="s">
        <v>661</v>
      </c>
      <c r="E535" s="2" t="s">
        <v>1039</v>
      </c>
      <c r="F535" s="3" t="n">
        <v>45714.6652777778</v>
      </c>
      <c r="G535" s="2" t="s">
        <v>646</v>
      </c>
      <c r="H535" s="4" t="n">
        <v>0</v>
      </c>
      <c r="I535" s="2" t="s">
        <v>18</v>
      </c>
      <c r="J535" s="2" t="s">
        <v>59</v>
      </c>
      <c r="K535" s="2" t="n">
        <v>6</v>
      </c>
      <c r="L535" s="2" t="n">
        <v>1</v>
      </c>
      <c r="M535" s="2" t="n">
        <v>1</v>
      </c>
    </row>
    <row r="536" customFormat="false" ht="15" hidden="false" customHeight="false" outlineLevel="0" collapsed="false">
      <c r="A536" s="2" t="s">
        <v>1231</v>
      </c>
      <c r="B536" s="2" t="s">
        <v>1232</v>
      </c>
      <c r="C536" s="2" t="n">
        <v>5</v>
      </c>
      <c r="D536" s="2" t="s">
        <v>40</v>
      </c>
      <c r="E536" s="2" t="s">
        <v>1039</v>
      </c>
      <c r="F536" s="3" t="n">
        <v>45714.7319444444</v>
      </c>
      <c r="G536" s="2" t="s">
        <v>646</v>
      </c>
      <c r="H536" s="4" t="n">
        <v>0.4019</v>
      </c>
      <c r="I536" s="2" t="s">
        <v>23</v>
      </c>
      <c r="J536" s="2" t="s">
        <v>33</v>
      </c>
      <c r="K536" s="2" t="n">
        <v>2</v>
      </c>
      <c r="L536" s="2" t="n">
        <v>0</v>
      </c>
      <c r="M536" s="2" t="n">
        <v>1</v>
      </c>
    </row>
    <row r="537" customFormat="false" ht="15" hidden="false" customHeight="false" outlineLevel="0" collapsed="false">
      <c r="A537" s="2" t="s">
        <v>1233</v>
      </c>
      <c r="B537" s="2" t="s">
        <v>1234</v>
      </c>
      <c r="C537" s="2" t="n">
        <v>5</v>
      </c>
      <c r="D537" s="2" t="s">
        <v>96</v>
      </c>
      <c r="E537" s="2" t="s">
        <v>1039</v>
      </c>
      <c r="F537" s="3" t="n">
        <v>45714.7395833333</v>
      </c>
      <c r="G537" s="2" t="s">
        <v>646</v>
      </c>
      <c r="H537" s="4" t="n">
        <v>0.6369</v>
      </c>
      <c r="I537" s="2" t="s">
        <v>23</v>
      </c>
      <c r="J537" s="2" t="s">
        <v>19</v>
      </c>
      <c r="K537" s="2" t="n">
        <v>3</v>
      </c>
      <c r="L537" s="2" t="n">
        <v>0</v>
      </c>
      <c r="M537" s="2" t="n">
        <v>1</v>
      </c>
    </row>
    <row r="538" customFormat="false" ht="15" hidden="false" customHeight="false" outlineLevel="0" collapsed="false">
      <c r="A538" s="2" t="s">
        <v>1235</v>
      </c>
      <c r="B538" s="2" t="s">
        <v>1236</v>
      </c>
      <c r="C538" s="2" t="n">
        <v>4</v>
      </c>
      <c r="D538" s="2" t="s">
        <v>1237</v>
      </c>
      <c r="E538" s="2" t="s">
        <v>1039</v>
      </c>
      <c r="F538" s="3" t="n">
        <v>45714.9152777778</v>
      </c>
      <c r="G538" s="2" t="s">
        <v>646</v>
      </c>
      <c r="H538" s="4" t="n">
        <v>-0.3089</v>
      </c>
      <c r="I538" s="2" t="s">
        <v>84</v>
      </c>
      <c r="J538" s="2" t="s">
        <v>19</v>
      </c>
      <c r="K538" s="2" t="n">
        <v>3</v>
      </c>
      <c r="L538" s="2" t="n">
        <v>0</v>
      </c>
      <c r="M538" s="2" t="n">
        <v>1</v>
      </c>
    </row>
    <row r="539" customFormat="false" ht="15" hidden="false" customHeight="false" outlineLevel="0" collapsed="false">
      <c r="A539" s="2" t="s">
        <v>1238</v>
      </c>
      <c r="B539" s="2" t="s">
        <v>1239</v>
      </c>
      <c r="C539" s="2" t="n">
        <v>5</v>
      </c>
      <c r="D539" s="2" t="s">
        <v>1240</v>
      </c>
      <c r="E539" s="2" t="s">
        <v>1039</v>
      </c>
      <c r="F539" s="3" t="n">
        <v>45714.9673611111</v>
      </c>
      <c r="G539" s="2" t="s">
        <v>646</v>
      </c>
      <c r="H539" s="4" t="n">
        <v>0.6369</v>
      </c>
      <c r="I539" s="2" t="s">
        <v>23</v>
      </c>
      <c r="J539" s="2" t="s">
        <v>19</v>
      </c>
      <c r="K539" s="2" t="n">
        <v>1</v>
      </c>
      <c r="L539" s="2" t="n">
        <v>0</v>
      </c>
      <c r="M539" s="2" t="n">
        <v>1</v>
      </c>
    </row>
    <row r="540" customFormat="false" ht="15" hidden="false" customHeight="false" outlineLevel="0" collapsed="false">
      <c r="A540" s="2" t="s">
        <v>1241</v>
      </c>
      <c r="B540" s="2" t="s">
        <v>1242</v>
      </c>
      <c r="C540" s="2" t="n">
        <v>4</v>
      </c>
      <c r="D540" s="2" t="s">
        <v>127</v>
      </c>
      <c r="E540" s="2" t="s">
        <v>1039</v>
      </c>
      <c r="F540" s="3" t="n">
        <v>45714.9743055556</v>
      </c>
      <c r="G540" s="2" t="s">
        <v>646</v>
      </c>
      <c r="H540" s="4" t="n">
        <v>0.9359</v>
      </c>
      <c r="I540" s="2" t="s">
        <v>23</v>
      </c>
      <c r="J540" s="2" t="s">
        <v>37</v>
      </c>
      <c r="K540" s="2" t="n">
        <v>5</v>
      </c>
      <c r="L540" s="2" t="n">
        <v>0</v>
      </c>
      <c r="M540" s="2" t="n">
        <v>1</v>
      </c>
    </row>
    <row r="541" customFormat="false" ht="15" hidden="false" customHeight="false" outlineLevel="0" collapsed="false">
      <c r="A541" s="2" t="s">
        <v>1243</v>
      </c>
      <c r="B541" s="2" t="s">
        <v>1244</v>
      </c>
      <c r="C541" s="2" t="n">
        <v>5</v>
      </c>
      <c r="D541" s="2" t="s">
        <v>96</v>
      </c>
      <c r="E541" s="2" t="s">
        <v>1039</v>
      </c>
      <c r="F541" s="3" t="n">
        <v>45715.05</v>
      </c>
      <c r="G541" s="2" t="s">
        <v>646</v>
      </c>
      <c r="H541" s="4" t="n">
        <v>0.6369</v>
      </c>
      <c r="I541" s="2" t="s">
        <v>23</v>
      </c>
      <c r="J541" s="2" t="s">
        <v>19</v>
      </c>
      <c r="K541" s="2" t="n">
        <v>3</v>
      </c>
      <c r="L541" s="2" t="n">
        <v>0</v>
      </c>
      <c r="M541" s="2" t="n">
        <v>1</v>
      </c>
    </row>
    <row r="542" customFormat="false" ht="15" hidden="false" customHeight="false" outlineLevel="0" collapsed="false">
      <c r="A542" s="2" t="s">
        <v>1245</v>
      </c>
      <c r="B542" s="2" t="s">
        <v>1246</v>
      </c>
      <c r="C542" s="2" t="n">
        <v>5</v>
      </c>
      <c r="D542" s="2" t="s">
        <v>52</v>
      </c>
      <c r="E542" s="2" t="s">
        <v>1039</v>
      </c>
      <c r="F542" s="3" t="n">
        <v>45715.1125</v>
      </c>
      <c r="G542" s="2" t="s">
        <v>646</v>
      </c>
      <c r="H542" s="4" t="n">
        <v>0.6369</v>
      </c>
      <c r="I542" s="2" t="s">
        <v>23</v>
      </c>
      <c r="J542" s="2" t="s">
        <v>19</v>
      </c>
      <c r="K542" s="2" t="n">
        <v>4</v>
      </c>
      <c r="L542" s="2" t="n">
        <v>0</v>
      </c>
      <c r="M542" s="2" t="n">
        <v>1</v>
      </c>
    </row>
    <row r="543" customFormat="false" ht="15" hidden="false" customHeight="false" outlineLevel="0" collapsed="false">
      <c r="A543" s="2" t="s">
        <v>1247</v>
      </c>
      <c r="B543" s="2" t="s">
        <v>1248</v>
      </c>
      <c r="C543" s="2" t="n">
        <v>5</v>
      </c>
      <c r="D543" s="2" t="s">
        <v>1249</v>
      </c>
      <c r="E543" s="2" t="s">
        <v>1039</v>
      </c>
      <c r="F543" s="3" t="n">
        <v>45715.1277777778</v>
      </c>
      <c r="G543" s="2" t="s">
        <v>646</v>
      </c>
      <c r="H543" s="4" t="n">
        <v>0.8519</v>
      </c>
      <c r="I543" s="2" t="s">
        <v>23</v>
      </c>
      <c r="J543" s="2" t="s">
        <v>37</v>
      </c>
      <c r="K543" s="2" t="n">
        <v>5</v>
      </c>
      <c r="L543" s="2" t="n">
        <v>0</v>
      </c>
      <c r="M543" s="2" t="n">
        <v>1</v>
      </c>
    </row>
    <row r="544" customFormat="false" ht="15" hidden="false" customHeight="false" outlineLevel="0" collapsed="false">
      <c r="A544" s="2" t="s">
        <v>1250</v>
      </c>
      <c r="B544" s="2" t="s">
        <v>1251</v>
      </c>
      <c r="C544" s="2" t="n">
        <v>5</v>
      </c>
      <c r="D544" s="2" t="s">
        <v>52</v>
      </c>
      <c r="E544" s="2" t="s">
        <v>1039</v>
      </c>
      <c r="F544" s="3" t="n">
        <v>45715.3333333333</v>
      </c>
      <c r="G544" s="2" t="s">
        <v>646</v>
      </c>
      <c r="H544" s="4" t="n">
        <v>0.6369</v>
      </c>
      <c r="I544" s="2" t="s">
        <v>23</v>
      </c>
      <c r="J544" s="2" t="s">
        <v>19</v>
      </c>
      <c r="K544" s="2" t="n">
        <v>0</v>
      </c>
      <c r="L544" s="2" t="n">
        <v>0</v>
      </c>
      <c r="M544" s="2" t="n">
        <v>1</v>
      </c>
    </row>
    <row r="545" customFormat="false" ht="15" hidden="false" customHeight="false" outlineLevel="0" collapsed="false">
      <c r="A545" s="2" t="s">
        <v>1252</v>
      </c>
      <c r="B545" s="2" t="s">
        <v>1253</v>
      </c>
      <c r="C545" s="2" t="n">
        <v>5</v>
      </c>
      <c r="D545" s="2" t="s">
        <v>1254</v>
      </c>
      <c r="E545" s="2" t="s">
        <v>1039</v>
      </c>
      <c r="F545" s="3" t="n">
        <v>45715.3680555556</v>
      </c>
      <c r="G545" s="2" t="s">
        <v>646</v>
      </c>
      <c r="H545" s="4" t="n">
        <v>0</v>
      </c>
      <c r="I545" s="2" t="s">
        <v>18</v>
      </c>
      <c r="J545" s="2" t="s">
        <v>19</v>
      </c>
      <c r="K545" s="2" t="n">
        <v>2</v>
      </c>
      <c r="L545" s="2" t="n">
        <v>0</v>
      </c>
      <c r="M545" s="2" t="n">
        <v>1</v>
      </c>
    </row>
    <row r="546" customFormat="false" ht="15" hidden="false" customHeight="false" outlineLevel="0" collapsed="false">
      <c r="A546" s="2" t="s">
        <v>1255</v>
      </c>
      <c r="B546" s="2" t="s">
        <v>1256</v>
      </c>
      <c r="C546" s="2" t="n">
        <v>5</v>
      </c>
      <c r="D546" s="2" t="s">
        <v>40</v>
      </c>
      <c r="E546" s="2" t="s">
        <v>1039</v>
      </c>
      <c r="F546" s="3" t="n">
        <v>45715.3715277778</v>
      </c>
      <c r="G546" s="2" t="s">
        <v>646</v>
      </c>
      <c r="H546" s="4" t="n">
        <v>0.4019</v>
      </c>
      <c r="I546" s="2" t="s">
        <v>23</v>
      </c>
      <c r="J546" s="2" t="s">
        <v>33</v>
      </c>
      <c r="K546" s="2" t="n">
        <v>12</v>
      </c>
      <c r="L546" s="2" t="n">
        <v>0</v>
      </c>
      <c r="M546" s="2" t="n">
        <v>1</v>
      </c>
    </row>
    <row r="547" customFormat="false" ht="15" hidden="false" customHeight="false" outlineLevel="0" collapsed="false">
      <c r="A547" s="2" t="s">
        <v>1257</v>
      </c>
      <c r="B547" s="2" t="s">
        <v>1258</v>
      </c>
      <c r="C547" s="2" t="n">
        <v>2</v>
      </c>
      <c r="D547" s="2" t="s">
        <v>498</v>
      </c>
      <c r="E547" s="2" t="s">
        <v>1039</v>
      </c>
      <c r="F547" s="3" t="n">
        <v>45715.3958333333</v>
      </c>
      <c r="G547" s="2" t="s">
        <v>646</v>
      </c>
      <c r="H547" s="4" t="n">
        <v>0</v>
      </c>
      <c r="I547" s="2" t="s">
        <v>18</v>
      </c>
      <c r="J547" s="2" t="s">
        <v>165</v>
      </c>
      <c r="K547" s="2" t="n">
        <v>13</v>
      </c>
      <c r="L547" s="2" t="n">
        <v>1</v>
      </c>
      <c r="M547" s="2" t="n">
        <v>1</v>
      </c>
    </row>
    <row r="548" customFormat="false" ht="15" hidden="false" customHeight="false" outlineLevel="0" collapsed="false">
      <c r="A548" s="2" t="s">
        <v>1259</v>
      </c>
      <c r="B548" s="2" t="s">
        <v>1260</v>
      </c>
      <c r="C548" s="2" t="n">
        <v>5</v>
      </c>
      <c r="D548" s="2" t="s">
        <v>1222</v>
      </c>
      <c r="E548" s="2" t="s">
        <v>1039</v>
      </c>
      <c r="F548" s="3" t="n">
        <v>45715.5180555556</v>
      </c>
      <c r="G548" s="2" t="s">
        <v>646</v>
      </c>
      <c r="H548" s="4" t="n">
        <v>0.8221</v>
      </c>
      <c r="I548" s="2" t="s">
        <v>23</v>
      </c>
      <c r="J548" s="2" t="s">
        <v>33</v>
      </c>
      <c r="K548" s="2" t="n">
        <v>3</v>
      </c>
      <c r="L548" s="2" t="n">
        <v>0</v>
      </c>
      <c r="M548" s="2" t="n">
        <v>1</v>
      </c>
    </row>
    <row r="549" customFormat="false" ht="15" hidden="false" customHeight="false" outlineLevel="0" collapsed="false">
      <c r="A549" s="2" t="s">
        <v>1261</v>
      </c>
      <c r="B549" s="2" t="s">
        <v>1262</v>
      </c>
      <c r="C549" s="2" t="n">
        <v>4</v>
      </c>
      <c r="D549" s="2" t="s">
        <v>15</v>
      </c>
      <c r="E549" s="2" t="s">
        <v>1039</v>
      </c>
      <c r="F549" s="3" t="n">
        <v>45715.8291666667</v>
      </c>
      <c r="G549" s="2" t="s">
        <v>646</v>
      </c>
      <c r="H549" s="4" t="n">
        <v>0</v>
      </c>
      <c r="I549" s="2" t="s">
        <v>18</v>
      </c>
      <c r="J549" s="2" t="s">
        <v>19</v>
      </c>
      <c r="K549" s="2" t="n">
        <v>2</v>
      </c>
      <c r="L549" s="2" t="n">
        <v>0</v>
      </c>
      <c r="M549" s="2" t="n">
        <v>1</v>
      </c>
    </row>
    <row r="550" customFormat="false" ht="15" hidden="false" customHeight="false" outlineLevel="0" collapsed="false">
      <c r="A550" s="2" t="s">
        <v>1263</v>
      </c>
      <c r="B550" s="2" t="s">
        <v>1264</v>
      </c>
      <c r="C550" s="2" t="n">
        <v>4</v>
      </c>
      <c r="D550" s="2" t="s">
        <v>1265</v>
      </c>
      <c r="E550" s="2" t="s">
        <v>1039</v>
      </c>
      <c r="F550" s="3" t="n">
        <v>45715.8701388889</v>
      </c>
      <c r="G550" s="2" t="s">
        <v>646</v>
      </c>
      <c r="H550" s="4" t="n">
        <v>0.7684</v>
      </c>
      <c r="I550" s="2" t="s">
        <v>23</v>
      </c>
      <c r="J550" s="2" t="s">
        <v>37</v>
      </c>
      <c r="K550" s="2" t="n">
        <v>6</v>
      </c>
      <c r="L550" s="2" t="n">
        <v>0</v>
      </c>
      <c r="M550" s="2" t="n">
        <v>1</v>
      </c>
    </row>
    <row r="551" customFormat="false" ht="15" hidden="false" customHeight="false" outlineLevel="0" collapsed="false">
      <c r="A551" s="2" t="s">
        <v>1266</v>
      </c>
      <c r="B551" s="2" t="s">
        <v>1267</v>
      </c>
      <c r="C551" s="2" t="n">
        <v>4</v>
      </c>
      <c r="D551" s="2" t="s">
        <v>36</v>
      </c>
      <c r="E551" s="2" t="s">
        <v>1039</v>
      </c>
      <c r="F551" s="3" t="n">
        <v>45715.9048611111</v>
      </c>
      <c r="G551" s="2" t="s">
        <v>646</v>
      </c>
      <c r="H551" s="4" t="n">
        <v>0.4404</v>
      </c>
      <c r="I551" s="2" t="s">
        <v>23</v>
      </c>
      <c r="J551" s="2" t="s">
        <v>37</v>
      </c>
      <c r="K551" s="2" t="n">
        <v>1</v>
      </c>
      <c r="L551" s="2" t="n">
        <v>0</v>
      </c>
      <c r="M551" s="2" t="n">
        <v>1</v>
      </c>
    </row>
    <row r="552" customFormat="false" ht="15" hidden="false" customHeight="false" outlineLevel="0" collapsed="false">
      <c r="A552" s="2" t="s">
        <v>1268</v>
      </c>
      <c r="B552" s="2" t="s">
        <v>1269</v>
      </c>
      <c r="C552" s="2" t="n">
        <v>3</v>
      </c>
      <c r="D552" s="2" t="s">
        <v>301</v>
      </c>
      <c r="E552" s="2" t="s">
        <v>1039</v>
      </c>
      <c r="F552" s="3" t="n">
        <v>45715.9569444444</v>
      </c>
      <c r="G552" s="2" t="s">
        <v>646</v>
      </c>
      <c r="H552" s="4" t="n">
        <v>0.2263</v>
      </c>
      <c r="I552" s="2" t="s">
        <v>23</v>
      </c>
      <c r="J552" s="2" t="s">
        <v>19</v>
      </c>
      <c r="K552" s="2" t="n">
        <v>1</v>
      </c>
      <c r="L552" s="2" t="n">
        <v>0</v>
      </c>
      <c r="M552" s="2" t="n">
        <v>1</v>
      </c>
    </row>
    <row r="553" customFormat="false" ht="15" hidden="false" customHeight="false" outlineLevel="0" collapsed="false">
      <c r="A553" s="2" t="s">
        <v>1270</v>
      </c>
      <c r="B553" s="2" t="s">
        <v>1271</v>
      </c>
      <c r="C553" s="2" t="n">
        <v>5</v>
      </c>
      <c r="D553" s="2" t="s">
        <v>47</v>
      </c>
      <c r="E553" s="2" t="s">
        <v>1039</v>
      </c>
      <c r="F553" s="3" t="n">
        <v>45715.9805555556</v>
      </c>
      <c r="G553" s="2" t="s">
        <v>646</v>
      </c>
      <c r="H553" s="4" t="n">
        <v>0.3089</v>
      </c>
      <c r="I553" s="2" t="s">
        <v>23</v>
      </c>
      <c r="J553" s="2" t="s">
        <v>19</v>
      </c>
      <c r="K553" s="2" t="n">
        <v>0</v>
      </c>
      <c r="L553" s="2" t="n">
        <v>0</v>
      </c>
      <c r="M553" s="2" t="n">
        <v>1</v>
      </c>
    </row>
    <row r="554" customFormat="false" ht="15" hidden="false" customHeight="false" outlineLevel="0" collapsed="false">
      <c r="A554" s="2" t="s">
        <v>1272</v>
      </c>
      <c r="B554" s="2" t="s">
        <v>1273</v>
      </c>
      <c r="C554" s="2" t="n">
        <v>3</v>
      </c>
      <c r="D554" s="2" t="s">
        <v>1274</v>
      </c>
      <c r="E554" s="2" t="s">
        <v>1039</v>
      </c>
      <c r="F554" s="3" t="n">
        <v>45716.1694444444</v>
      </c>
      <c r="G554" s="2" t="s">
        <v>646</v>
      </c>
      <c r="H554" s="4" t="n">
        <v>-0.6171</v>
      </c>
      <c r="I554" s="2" t="s">
        <v>84</v>
      </c>
      <c r="J554" s="2" t="s">
        <v>37</v>
      </c>
      <c r="K554" s="2" t="n">
        <v>2</v>
      </c>
      <c r="L554" s="2" t="n">
        <v>1</v>
      </c>
      <c r="M554" s="2" t="n">
        <v>1</v>
      </c>
    </row>
    <row r="555" customFormat="false" ht="15" hidden="false" customHeight="false" outlineLevel="0" collapsed="false">
      <c r="A555" s="2" t="s">
        <v>1275</v>
      </c>
      <c r="B555" s="2" t="s">
        <v>1276</v>
      </c>
      <c r="C555" s="2" t="n">
        <v>4</v>
      </c>
      <c r="D555" s="2" t="s">
        <v>96</v>
      </c>
      <c r="E555" s="2" t="s">
        <v>1039</v>
      </c>
      <c r="F555" s="3" t="n">
        <v>45716.1993055556</v>
      </c>
      <c r="G555" s="2" t="s">
        <v>646</v>
      </c>
      <c r="H555" s="4" t="n">
        <v>0.6369</v>
      </c>
      <c r="I555" s="2" t="s">
        <v>23</v>
      </c>
      <c r="J555" s="2" t="s">
        <v>19</v>
      </c>
      <c r="K555" s="2" t="n">
        <v>3</v>
      </c>
      <c r="L555" s="2" t="n">
        <v>0</v>
      </c>
      <c r="M555" s="2" t="n">
        <v>1</v>
      </c>
    </row>
    <row r="556" customFormat="false" ht="15" hidden="false" customHeight="false" outlineLevel="0" collapsed="false">
      <c r="A556" s="2" t="s">
        <v>1277</v>
      </c>
      <c r="B556" s="2" t="s">
        <v>1278</v>
      </c>
      <c r="C556" s="2" t="n">
        <v>5</v>
      </c>
      <c r="D556" s="2" t="s">
        <v>1279</v>
      </c>
      <c r="E556" s="2" t="s">
        <v>1039</v>
      </c>
      <c r="F556" s="3" t="n">
        <v>45716.2180555556</v>
      </c>
      <c r="G556" s="2" t="s">
        <v>646</v>
      </c>
      <c r="H556" s="4" t="n">
        <v>0.7783</v>
      </c>
      <c r="I556" s="2" t="s">
        <v>23</v>
      </c>
      <c r="J556" s="2" t="s">
        <v>37</v>
      </c>
      <c r="K556" s="2" t="n">
        <v>0</v>
      </c>
      <c r="L556" s="2" t="n">
        <v>0</v>
      </c>
      <c r="M556" s="2" t="n">
        <v>1</v>
      </c>
    </row>
    <row r="557" customFormat="false" ht="15" hidden="false" customHeight="false" outlineLevel="0" collapsed="false">
      <c r="A557" s="2" t="s">
        <v>1280</v>
      </c>
      <c r="B557" s="2" t="s">
        <v>1281</v>
      </c>
      <c r="C557" s="2" t="n">
        <v>3</v>
      </c>
      <c r="D557" s="2" t="s">
        <v>301</v>
      </c>
      <c r="E557" s="2" t="s">
        <v>1039</v>
      </c>
      <c r="F557" s="3" t="n">
        <v>45716.225</v>
      </c>
      <c r="G557" s="2" t="s">
        <v>646</v>
      </c>
      <c r="H557" s="4" t="n">
        <v>0.2263</v>
      </c>
      <c r="I557" s="2" t="s">
        <v>23</v>
      </c>
      <c r="J557" s="2" t="s">
        <v>19</v>
      </c>
      <c r="K557" s="2" t="n">
        <v>5</v>
      </c>
      <c r="L557" s="2" t="n">
        <v>0</v>
      </c>
      <c r="M557" s="2" t="n">
        <v>1</v>
      </c>
    </row>
    <row r="558" customFormat="false" ht="15" hidden="false" customHeight="false" outlineLevel="0" collapsed="false">
      <c r="A558" s="2" t="s">
        <v>1282</v>
      </c>
      <c r="B558" s="2" t="s">
        <v>1283</v>
      </c>
      <c r="C558" s="2" t="n">
        <v>5</v>
      </c>
      <c r="D558" s="2" t="s">
        <v>90</v>
      </c>
      <c r="E558" s="2" t="s">
        <v>1039</v>
      </c>
      <c r="F558" s="3" t="n">
        <v>45716.3041666667</v>
      </c>
      <c r="G558" s="2" t="s">
        <v>646</v>
      </c>
      <c r="H558" s="4" t="n">
        <v>0.6249</v>
      </c>
      <c r="I558" s="2" t="s">
        <v>23</v>
      </c>
      <c r="J558" s="2" t="s">
        <v>37</v>
      </c>
      <c r="K558" s="2" t="n">
        <v>12</v>
      </c>
      <c r="L558" s="2" t="n">
        <v>0</v>
      </c>
      <c r="M558" s="2" t="n">
        <v>1</v>
      </c>
    </row>
    <row r="559" customFormat="false" ht="15" hidden="false" customHeight="false" outlineLevel="0" collapsed="false">
      <c r="A559" s="2" t="s">
        <v>1284</v>
      </c>
      <c r="B559" s="2" t="s">
        <v>1285</v>
      </c>
      <c r="C559" s="2" t="n">
        <v>5</v>
      </c>
      <c r="D559" s="2" t="s">
        <v>1286</v>
      </c>
      <c r="E559" s="2" t="s">
        <v>1039</v>
      </c>
      <c r="F559" s="3" t="n">
        <v>45716.4604166667</v>
      </c>
      <c r="G559" s="2" t="s">
        <v>646</v>
      </c>
      <c r="H559" s="4" t="n">
        <v>0.4019</v>
      </c>
      <c r="I559" s="2" t="s">
        <v>23</v>
      </c>
      <c r="J559" s="2" t="s">
        <v>33</v>
      </c>
      <c r="K559" s="2" t="n">
        <v>7</v>
      </c>
      <c r="L559" s="2" t="n">
        <v>0</v>
      </c>
      <c r="M559" s="2" t="n">
        <v>1</v>
      </c>
    </row>
    <row r="560" customFormat="false" ht="15" hidden="false" customHeight="false" outlineLevel="0" collapsed="false">
      <c r="A560" s="2" t="s">
        <v>1287</v>
      </c>
      <c r="B560" s="2" t="s">
        <v>1288</v>
      </c>
      <c r="C560" s="2" t="n">
        <v>5</v>
      </c>
      <c r="D560" s="2" t="s">
        <v>96</v>
      </c>
      <c r="E560" s="2" t="s">
        <v>1039</v>
      </c>
      <c r="F560" s="3" t="n">
        <v>45716.5638888889</v>
      </c>
      <c r="G560" s="2" t="s">
        <v>646</v>
      </c>
      <c r="H560" s="4" t="n">
        <v>0.6369</v>
      </c>
      <c r="I560" s="2" t="s">
        <v>23</v>
      </c>
      <c r="J560" s="2" t="s">
        <v>19</v>
      </c>
      <c r="K560" s="2" t="n">
        <v>2</v>
      </c>
      <c r="L560" s="2" t="n">
        <v>0</v>
      </c>
      <c r="M560" s="2" t="n">
        <v>1</v>
      </c>
    </row>
    <row r="561" customFormat="false" ht="15" hidden="false" customHeight="false" outlineLevel="0" collapsed="false">
      <c r="A561" s="2" t="s">
        <v>1289</v>
      </c>
      <c r="B561" s="2" t="s">
        <v>1290</v>
      </c>
      <c r="C561" s="2" t="n">
        <v>4</v>
      </c>
      <c r="D561" s="2" t="s">
        <v>47</v>
      </c>
      <c r="E561" s="2" t="s">
        <v>1039</v>
      </c>
      <c r="F561" s="3" t="n">
        <v>45716.58125</v>
      </c>
      <c r="G561" s="2" t="s">
        <v>646</v>
      </c>
      <c r="H561" s="4" t="n">
        <v>0.3089</v>
      </c>
      <c r="I561" s="2" t="s">
        <v>23</v>
      </c>
      <c r="J561" s="2" t="s">
        <v>19</v>
      </c>
      <c r="K561" s="2" t="n">
        <v>2</v>
      </c>
      <c r="L561" s="2" t="n">
        <v>0</v>
      </c>
      <c r="M561" s="2" t="n">
        <v>1</v>
      </c>
    </row>
    <row r="562" customFormat="false" ht="15" hidden="false" customHeight="false" outlineLevel="0" collapsed="false">
      <c r="A562" s="2" t="s">
        <v>1291</v>
      </c>
      <c r="B562" s="2" t="s">
        <v>1292</v>
      </c>
      <c r="C562" s="2" t="n">
        <v>5</v>
      </c>
      <c r="D562" s="2" t="s">
        <v>1249</v>
      </c>
      <c r="E562" s="2" t="s">
        <v>1039</v>
      </c>
      <c r="F562" s="3" t="n">
        <v>45716.5840277778</v>
      </c>
      <c r="G562" s="2" t="s">
        <v>646</v>
      </c>
      <c r="H562" s="4" t="n">
        <v>0.8519</v>
      </c>
      <c r="I562" s="2" t="s">
        <v>23</v>
      </c>
      <c r="J562" s="2" t="s">
        <v>37</v>
      </c>
      <c r="K562" s="2" t="n">
        <v>14</v>
      </c>
      <c r="L562" s="2" t="n">
        <v>0</v>
      </c>
      <c r="M562" s="2" t="n">
        <v>1</v>
      </c>
    </row>
    <row r="563" customFormat="false" ht="15" hidden="false" customHeight="false" outlineLevel="0" collapsed="false">
      <c r="A563" s="2" t="s">
        <v>1293</v>
      </c>
      <c r="B563" s="2" t="s">
        <v>1294</v>
      </c>
      <c r="C563" s="2" t="n">
        <v>3</v>
      </c>
      <c r="D563" s="2" t="s">
        <v>87</v>
      </c>
      <c r="E563" s="2" t="s">
        <v>1039</v>
      </c>
      <c r="F563" s="3" t="n">
        <v>45716.8395833333</v>
      </c>
      <c r="G563" s="2" t="s">
        <v>646</v>
      </c>
      <c r="H563" s="4" t="n">
        <v>0</v>
      </c>
      <c r="I563" s="2" t="s">
        <v>18</v>
      </c>
      <c r="J563" s="2" t="s">
        <v>19</v>
      </c>
      <c r="K563" s="2" t="n">
        <v>0</v>
      </c>
      <c r="L563" s="2" t="n">
        <v>0</v>
      </c>
      <c r="M563" s="2" t="n">
        <v>1</v>
      </c>
    </row>
    <row r="564" customFormat="false" ht="15" hidden="false" customHeight="false" outlineLevel="0" collapsed="false">
      <c r="A564" s="2" t="s">
        <v>1295</v>
      </c>
      <c r="B564" s="2" t="s">
        <v>1296</v>
      </c>
      <c r="C564" s="2" t="n">
        <v>4</v>
      </c>
      <c r="D564" s="2" t="s">
        <v>40</v>
      </c>
      <c r="E564" s="2" t="s">
        <v>1039</v>
      </c>
      <c r="F564" s="3" t="n">
        <v>45716.84375</v>
      </c>
      <c r="G564" s="2" t="s">
        <v>646</v>
      </c>
      <c r="H564" s="4" t="n">
        <v>0.4019</v>
      </c>
      <c r="I564" s="2" t="s">
        <v>23</v>
      </c>
      <c r="J564" s="2" t="s">
        <v>33</v>
      </c>
      <c r="K564" s="2" t="n">
        <v>6</v>
      </c>
      <c r="L564" s="2" t="n">
        <v>0</v>
      </c>
      <c r="M564" s="2" t="n">
        <v>1</v>
      </c>
    </row>
    <row r="565" customFormat="false" ht="15" hidden="false" customHeight="false" outlineLevel="0" collapsed="false">
      <c r="A565" s="2" t="s">
        <v>1297</v>
      </c>
      <c r="B565" s="2" t="s">
        <v>1298</v>
      </c>
      <c r="C565" s="2" t="n">
        <v>3</v>
      </c>
      <c r="D565" s="2" t="s">
        <v>99</v>
      </c>
      <c r="E565" s="2" t="s">
        <v>1039</v>
      </c>
      <c r="F565" s="3" t="n">
        <v>45717.1458333333</v>
      </c>
      <c r="G565" s="2" t="s">
        <v>1299</v>
      </c>
      <c r="H565" s="4" t="n">
        <v>-0.3089</v>
      </c>
      <c r="I565" s="2" t="s">
        <v>84</v>
      </c>
      <c r="J565" s="2" t="s">
        <v>19</v>
      </c>
      <c r="K565" s="2" t="n">
        <v>0</v>
      </c>
      <c r="L565" s="2" t="n">
        <v>0</v>
      </c>
      <c r="M565" s="2" t="n">
        <v>1</v>
      </c>
    </row>
    <row r="566" customFormat="false" ht="15" hidden="false" customHeight="false" outlineLevel="0" collapsed="false">
      <c r="A566" s="2" t="s">
        <v>1300</v>
      </c>
      <c r="B566" s="2" t="s">
        <v>1301</v>
      </c>
      <c r="C566" s="2" t="n">
        <v>5</v>
      </c>
      <c r="D566" s="2" t="s">
        <v>90</v>
      </c>
      <c r="E566" s="2" t="s">
        <v>1039</v>
      </c>
      <c r="F566" s="3" t="n">
        <v>45717.1930555556</v>
      </c>
      <c r="G566" s="2" t="s">
        <v>1299</v>
      </c>
      <c r="H566" s="4" t="n">
        <v>0.6249</v>
      </c>
      <c r="I566" s="2" t="s">
        <v>23</v>
      </c>
      <c r="J566" s="2" t="s">
        <v>37</v>
      </c>
      <c r="K566" s="2" t="n">
        <v>0</v>
      </c>
      <c r="L566" s="2" t="n">
        <v>0</v>
      </c>
      <c r="M566" s="2" t="n">
        <v>1</v>
      </c>
    </row>
    <row r="567" customFormat="false" ht="15" hidden="false" customHeight="false" outlineLevel="0" collapsed="false">
      <c r="A567" s="2" t="s">
        <v>1302</v>
      </c>
      <c r="B567" s="2" t="s">
        <v>1303</v>
      </c>
      <c r="C567" s="2" t="n">
        <v>5</v>
      </c>
      <c r="D567" s="2" t="s">
        <v>127</v>
      </c>
      <c r="E567" s="2" t="s">
        <v>1039</v>
      </c>
      <c r="F567" s="3" t="n">
        <v>45717.2368055556</v>
      </c>
      <c r="G567" s="2" t="s">
        <v>1299</v>
      </c>
      <c r="H567" s="4" t="n">
        <v>0.9359</v>
      </c>
      <c r="I567" s="2" t="s">
        <v>23</v>
      </c>
      <c r="J567" s="2" t="s">
        <v>37</v>
      </c>
      <c r="K567" s="2" t="n">
        <v>5</v>
      </c>
      <c r="L567" s="2" t="n">
        <v>0</v>
      </c>
      <c r="M567" s="2" t="n">
        <v>1</v>
      </c>
    </row>
    <row r="568" customFormat="false" ht="15" hidden="false" customHeight="false" outlineLevel="0" collapsed="false">
      <c r="A568" s="2" t="s">
        <v>1304</v>
      </c>
      <c r="B568" s="2" t="s">
        <v>1305</v>
      </c>
      <c r="C568" s="2" t="n">
        <v>5</v>
      </c>
      <c r="D568" s="2" t="s">
        <v>1286</v>
      </c>
      <c r="E568" s="2" t="s">
        <v>1039</v>
      </c>
      <c r="F568" s="3" t="n">
        <v>45717.2534722222</v>
      </c>
      <c r="G568" s="2" t="s">
        <v>1299</v>
      </c>
      <c r="H568" s="4" t="n">
        <v>0.4019</v>
      </c>
      <c r="I568" s="2" t="s">
        <v>23</v>
      </c>
      <c r="J568" s="2" t="s">
        <v>33</v>
      </c>
      <c r="K568" s="2" t="n">
        <v>2</v>
      </c>
      <c r="L568" s="2" t="n">
        <v>0</v>
      </c>
      <c r="M568" s="2" t="n">
        <v>1</v>
      </c>
    </row>
    <row r="569" customFormat="false" ht="15" hidden="false" customHeight="false" outlineLevel="0" collapsed="false">
      <c r="A569" s="2" t="s">
        <v>1306</v>
      </c>
      <c r="B569" s="2" t="s">
        <v>1307</v>
      </c>
      <c r="C569" s="2" t="n">
        <v>3</v>
      </c>
      <c r="D569" s="2" t="s">
        <v>99</v>
      </c>
      <c r="E569" s="2" t="s">
        <v>1039</v>
      </c>
      <c r="F569" s="3" t="n">
        <v>45717.2555555556</v>
      </c>
      <c r="G569" s="2" t="s">
        <v>1299</v>
      </c>
      <c r="H569" s="4" t="n">
        <v>-0.3089</v>
      </c>
      <c r="I569" s="2" t="s">
        <v>84</v>
      </c>
      <c r="J569" s="2" t="s">
        <v>19</v>
      </c>
      <c r="K569" s="2" t="n">
        <v>0</v>
      </c>
      <c r="L569" s="2" t="n">
        <v>0</v>
      </c>
      <c r="M569" s="2" t="n">
        <v>1</v>
      </c>
    </row>
    <row r="570" customFormat="false" ht="15" hidden="false" customHeight="false" outlineLevel="0" collapsed="false">
      <c r="A570" s="2" t="s">
        <v>1308</v>
      </c>
      <c r="B570" s="2" t="s">
        <v>1309</v>
      </c>
      <c r="C570" s="2" t="n">
        <v>5</v>
      </c>
      <c r="D570" s="2" t="s">
        <v>40</v>
      </c>
      <c r="E570" s="2" t="s">
        <v>1039</v>
      </c>
      <c r="F570" s="3" t="n">
        <v>45717.3638888889</v>
      </c>
      <c r="G570" s="2" t="s">
        <v>1299</v>
      </c>
      <c r="H570" s="4" t="n">
        <v>0.4019</v>
      </c>
      <c r="I570" s="2" t="s">
        <v>23</v>
      </c>
      <c r="J570" s="2" t="s">
        <v>33</v>
      </c>
      <c r="K570" s="2" t="n">
        <v>4</v>
      </c>
      <c r="L570" s="2" t="n">
        <v>0</v>
      </c>
      <c r="M570" s="2" t="n">
        <v>1</v>
      </c>
    </row>
    <row r="571" customFormat="false" ht="15" hidden="false" customHeight="false" outlineLevel="0" collapsed="false">
      <c r="A571" s="2" t="s">
        <v>1310</v>
      </c>
      <c r="B571" s="2" t="s">
        <v>1311</v>
      </c>
      <c r="C571" s="2" t="n">
        <v>5</v>
      </c>
      <c r="D571" s="2" t="s">
        <v>828</v>
      </c>
      <c r="E571" s="2" t="s">
        <v>1039</v>
      </c>
      <c r="F571" s="3" t="n">
        <v>45717.3875</v>
      </c>
      <c r="G571" s="2" t="s">
        <v>1299</v>
      </c>
      <c r="H571" s="4" t="n">
        <v>0.8519</v>
      </c>
      <c r="I571" s="2" t="s">
        <v>23</v>
      </c>
      <c r="J571" s="2" t="s">
        <v>37</v>
      </c>
      <c r="K571" s="2" t="n">
        <v>20</v>
      </c>
      <c r="L571" s="2" t="n">
        <v>0</v>
      </c>
      <c r="M571" s="2" t="n">
        <v>1</v>
      </c>
    </row>
    <row r="572" customFormat="false" ht="15" hidden="false" customHeight="false" outlineLevel="0" collapsed="false">
      <c r="A572" s="2" t="s">
        <v>1312</v>
      </c>
      <c r="B572" s="2" t="s">
        <v>1313</v>
      </c>
      <c r="C572" s="2" t="n">
        <v>3</v>
      </c>
      <c r="D572" s="2" t="s">
        <v>721</v>
      </c>
      <c r="E572" s="2" t="s">
        <v>1039</v>
      </c>
      <c r="F572" s="3" t="n">
        <v>45717.4194444444</v>
      </c>
      <c r="G572" s="2" t="s">
        <v>1299</v>
      </c>
      <c r="H572" s="4" t="n">
        <v>-0.4588</v>
      </c>
      <c r="I572" s="2" t="s">
        <v>84</v>
      </c>
      <c r="J572" s="2" t="s">
        <v>37</v>
      </c>
      <c r="K572" s="2" t="n">
        <v>3</v>
      </c>
      <c r="L572" s="2" t="n">
        <v>0</v>
      </c>
      <c r="M572" s="2" t="n">
        <v>1</v>
      </c>
    </row>
    <row r="573" customFormat="false" ht="15" hidden="false" customHeight="false" outlineLevel="0" collapsed="false">
      <c r="A573" s="2" t="s">
        <v>1314</v>
      </c>
      <c r="B573" s="2" t="s">
        <v>1315</v>
      </c>
      <c r="C573" s="2" t="n">
        <v>4</v>
      </c>
      <c r="D573" s="2" t="s">
        <v>40</v>
      </c>
      <c r="E573" s="2" t="s">
        <v>1039</v>
      </c>
      <c r="F573" s="3" t="n">
        <v>45717.5298611111</v>
      </c>
      <c r="G573" s="2" t="s">
        <v>1299</v>
      </c>
      <c r="H573" s="4" t="n">
        <v>0.4019</v>
      </c>
      <c r="I573" s="2" t="s">
        <v>23</v>
      </c>
      <c r="J573" s="2" t="s">
        <v>33</v>
      </c>
      <c r="K573" s="2" t="n">
        <v>1</v>
      </c>
      <c r="L573" s="2" t="n">
        <v>0</v>
      </c>
      <c r="M573" s="2" t="n">
        <v>1</v>
      </c>
    </row>
    <row r="574" customFormat="false" ht="15" hidden="false" customHeight="false" outlineLevel="0" collapsed="false">
      <c r="A574" s="2" t="s">
        <v>1316</v>
      </c>
      <c r="B574" s="2" t="s">
        <v>1317</v>
      </c>
      <c r="C574" s="2" t="n">
        <v>2</v>
      </c>
      <c r="D574" s="2" t="s">
        <v>482</v>
      </c>
      <c r="E574" s="2" t="s">
        <v>1039</v>
      </c>
      <c r="F574" s="3" t="n">
        <v>45717.5451388889</v>
      </c>
      <c r="G574" s="2" t="s">
        <v>1299</v>
      </c>
      <c r="H574" s="4" t="n">
        <v>-0.6808</v>
      </c>
      <c r="I574" s="2" t="s">
        <v>84</v>
      </c>
      <c r="J574" s="2" t="s">
        <v>110</v>
      </c>
      <c r="K574" s="2" t="n">
        <v>4</v>
      </c>
      <c r="L574" s="2" t="n">
        <v>1</v>
      </c>
      <c r="M574" s="2" t="n">
        <v>1</v>
      </c>
    </row>
    <row r="575" customFormat="false" ht="15" hidden="false" customHeight="false" outlineLevel="0" collapsed="false">
      <c r="A575" s="2" t="s">
        <v>1318</v>
      </c>
      <c r="B575" s="2" t="s">
        <v>1319</v>
      </c>
      <c r="C575" s="2" t="n">
        <v>1</v>
      </c>
      <c r="D575" s="2" t="s">
        <v>1320</v>
      </c>
      <c r="E575" s="2" t="s">
        <v>1039</v>
      </c>
      <c r="F575" s="3" t="n">
        <v>45717.6541666667</v>
      </c>
      <c r="G575" s="2" t="s">
        <v>1299</v>
      </c>
      <c r="H575" s="4" t="n">
        <v>0.2023</v>
      </c>
      <c r="I575" s="2" t="s">
        <v>23</v>
      </c>
      <c r="J575" s="2" t="s">
        <v>165</v>
      </c>
      <c r="K575" s="2" t="n">
        <v>4</v>
      </c>
      <c r="L575" s="2" t="n">
        <v>0</v>
      </c>
      <c r="M575" s="2" t="n">
        <v>1</v>
      </c>
    </row>
    <row r="576" customFormat="false" ht="15" hidden="false" customHeight="false" outlineLevel="0" collapsed="false">
      <c r="A576" s="2" t="s">
        <v>1321</v>
      </c>
      <c r="B576" s="2" t="s">
        <v>1322</v>
      </c>
      <c r="C576" s="2" t="n">
        <v>5</v>
      </c>
      <c r="D576" s="2" t="s">
        <v>90</v>
      </c>
      <c r="E576" s="2" t="s">
        <v>1039</v>
      </c>
      <c r="F576" s="3" t="n">
        <v>45717.8590277778</v>
      </c>
      <c r="G576" s="2" t="s">
        <v>1299</v>
      </c>
      <c r="H576" s="4" t="n">
        <v>0.6249</v>
      </c>
      <c r="I576" s="2" t="s">
        <v>23</v>
      </c>
      <c r="J576" s="2" t="s">
        <v>37</v>
      </c>
      <c r="K576" s="2" t="n">
        <v>1</v>
      </c>
      <c r="L576" s="2" t="n">
        <v>0</v>
      </c>
      <c r="M576" s="2" t="n">
        <v>1</v>
      </c>
    </row>
    <row r="577" customFormat="false" ht="15" hidden="false" customHeight="false" outlineLevel="0" collapsed="false">
      <c r="A577" s="2" t="s">
        <v>1323</v>
      </c>
      <c r="B577" s="2" t="s">
        <v>1324</v>
      </c>
      <c r="C577" s="2" t="n">
        <v>5</v>
      </c>
      <c r="D577" s="2" t="s">
        <v>116</v>
      </c>
      <c r="E577" s="2" t="s">
        <v>1039</v>
      </c>
      <c r="F577" s="3" t="n">
        <v>45718.1423611111</v>
      </c>
      <c r="G577" s="2" t="s">
        <v>1299</v>
      </c>
      <c r="H577" s="4" t="n">
        <v>0.9359</v>
      </c>
      <c r="I577" s="2" t="s">
        <v>23</v>
      </c>
      <c r="J577" s="2" t="s">
        <v>37</v>
      </c>
      <c r="K577" s="2" t="n">
        <v>2</v>
      </c>
      <c r="L577" s="2" t="n">
        <v>0</v>
      </c>
      <c r="M577" s="2" t="n">
        <v>1</v>
      </c>
    </row>
    <row r="578" customFormat="false" ht="15" hidden="false" customHeight="false" outlineLevel="0" collapsed="false">
      <c r="A578" s="2" t="s">
        <v>1325</v>
      </c>
      <c r="B578" s="2" t="s">
        <v>1326</v>
      </c>
      <c r="C578" s="2" t="n">
        <v>5</v>
      </c>
      <c r="D578" s="2" t="s">
        <v>40</v>
      </c>
      <c r="E578" s="2" t="s">
        <v>1039</v>
      </c>
      <c r="F578" s="3" t="n">
        <v>45718.2076388889</v>
      </c>
      <c r="G578" s="2" t="s">
        <v>1299</v>
      </c>
      <c r="H578" s="4" t="n">
        <v>0.4019</v>
      </c>
      <c r="I578" s="2" t="s">
        <v>23</v>
      </c>
      <c r="J578" s="2" t="s">
        <v>33</v>
      </c>
      <c r="K578" s="2" t="n">
        <v>3</v>
      </c>
      <c r="L578" s="2" t="n">
        <v>0</v>
      </c>
      <c r="M578" s="2" t="n">
        <v>1</v>
      </c>
    </row>
    <row r="579" customFormat="false" ht="15" hidden="false" customHeight="false" outlineLevel="0" collapsed="false">
      <c r="A579" s="2" t="s">
        <v>1327</v>
      </c>
      <c r="B579" s="2" t="s">
        <v>1328</v>
      </c>
      <c r="C579" s="2" t="n">
        <v>3</v>
      </c>
      <c r="D579" s="2" t="s">
        <v>99</v>
      </c>
      <c r="E579" s="2" t="s">
        <v>1039</v>
      </c>
      <c r="F579" s="3" t="n">
        <v>45718.2381944444</v>
      </c>
      <c r="G579" s="2" t="s">
        <v>1299</v>
      </c>
      <c r="H579" s="4" t="n">
        <v>-0.3089</v>
      </c>
      <c r="I579" s="2" t="s">
        <v>84</v>
      </c>
      <c r="J579" s="2" t="s">
        <v>19</v>
      </c>
      <c r="K579" s="2" t="n">
        <v>1</v>
      </c>
      <c r="L579" s="2" t="n">
        <v>1</v>
      </c>
      <c r="M579" s="2" t="n">
        <v>1</v>
      </c>
    </row>
    <row r="580" customFormat="false" ht="15" hidden="false" customHeight="false" outlineLevel="0" collapsed="false">
      <c r="A580" s="2" t="s">
        <v>1329</v>
      </c>
      <c r="B580" s="2" t="s">
        <v>1330</v>
      </c>
      <c r="C580" s="2" t="n">
        <v>5</v>
      </c>
      <c r="D580" s="2" t="s">
        <v>96</v>
      </c>
      <c r="E580" s="2" t="s">
        <v>1039</v>
      </c>
      <c r="F580" s="3" t="n">
        <v>45718.3243055556</v>
      </c>
      <c r="G580" s="2" t="s">
        <v>1299</v>
      </c>
      <c r="H580" s="4" t="n">
        <v>0.6369</v>
      </c>
      <c r="I580" s="2" t="s">
        <v>23</v>
      </c>
      <c r="J580" s="2" t="s">
        <v>19</v>
      </c>
      <c r="K580" s="2" t="n">
        <v>6</v>
      </c>
      <c r="L580" s="2" t="n">
        <v>0</v>
      </c>
      <c r="M580" s="2" t="n">
        <v>1</v>
      </c>
    </row>
    <row r="581" customFormat="false" ht="15" hidden="false" customHeight="false" outlineLevel="0" collapsed="false">
      <c r="A581" s="2" t="s">
        <v>1331</v>
      </c>
      <c r="B581" s="2" t="s">
        <v>1332</v>
      </c>
      <c r="C581" s="2" t="n">
        <v>5</v>
      </c>
      <c r="D581" s="2" t="s">
        <v>127</v>
      </c>
      <c r="E581" s="2" t="s">
        <v>1039</v>
      </c>
      <c r="F581" s="3" t="n">
        <v>45718.3548611111</v>
      </c>
      <c r="G581" s="2" t="s">
        <v>1299</v>
      </c>
      <c r="H581" s="4" t="n">
        <v>0.9359</v>
      </c>
      <c r="I581" s="2" t="s">
        <v>23</v>
      </c>
      <c r="J581" s="2" t="s">
        <v>37</v>
      </c>
      <c r="K581" s="2" t="n">
        <v>4</v>
      </c>
      <c r="L581" s="2" t="n">
        <v>0</v>
      </c>
      <c r="M581" s="2" t="n">
        <v>1</v>
      </c>
    </row>
    <row r="582" customFormat="false" ht="15" hidden="false" customHeight="false" outlineLevel="0" collapsed="false">
      <c r="A582" s="2" t="s">
        <v>1333</v>
      </c>
      <c r="B582" s="2" t="s">
        <v>1334</v>
      </c>
      <c r="C582" s="2" t="n">
        <v>2</v>
      </c>
      <c r="D582" s="2" t="s">
        <v>402</v>
      </c>
      <c r="E582" s="2" t="s">
        <v>1039</v>
      </c>
      <c r="F582" s="3" t="n">
        <v>45718.4458333333</v>
      </c>
      <c r="G582" s="2" t="s">
        <v>1299</v>
      </c>
      <c r="H582" s="4" t="n">
        <v>0</v>
      </c>
      <c r="I582" s="2" t="s">
        <v>18</v>
      </c>
      <c r="J582" s="2" t="s">
        <v>59</v>
      </c>
      <c r="K582" s="2" t="n">
        <v>5</v>
      </c>
      <c r="L582" s="2" t="n">
        <v>0</v>
      </c>
      <c r="M582" s="2" t="n">
        <v>1</v>
      </c>
    </row>
    <row r="583" customFormat="false" ht="15" hidden="false" customHeight="false" outlineLevel="0" collapsed="false">
      <c r="A583" s="2" t="s">
        <v>1335</v>
      </c>
      <c r="B583" s="2" t="s">
        <v>1336</v>
      </c>
      <c r="C583" s="2" t="n">
        <v>5</v>
      </c>
      <c r="D583" s="2" t="s">
        <v>40</v>
      </c>
      <c r="E583" s="2" t="s">
        <v>1039</v>
      </c>
      <c r="F583" s="3" t="n">
        <v>45718.61875</v>
      </c>
      <c r="G583" s="2" t="s">
        <v>1299</v>
      </c>
      <c r="H583" s="4" t="n">
        <v>0.4019</v>
      </c>
      <c r="I583" s="2" t="s">
        <v>23</v>
      </c>
      <c r="J583" s="2" t="s">
        <v>33</v>
      </c>
      <c r="K583" s="2" t="n">
        <v>3</v>
      </c>
      <c r="L583" s="2" t="n">
        <v>0</v>
      </c>
      <c r="M583" s="2" t="n">
        <v>1</v>
      </c>
    </row>
    <row r="584" customFormat="false" ht="15" hidden="false" customHeight="false" outlineLevel="0" collapsed="false">
      <c r="A584" s="2" t="s">
        <v>1337</v>
      </c>
      <c r="B584" s="2" t="s">
        <v>1338</v>
      </c>
      <c r="C584" s="2" t="n">
        <v>4</v>
      </c>
      <c r="D584" s="2" t="s">
        <v>22</v>
      </c>
      <c r="E584" s="2" t="s">
        <v>1039</v>
      </c>
      <c r="F584" s="3" t="n">
        <v>45718.6423611111</v>
      </c>
      <c r="G584" s="2" t="s">
        <v>1299</v>
      </c>
      <c r="H584" s="4" t="n">
        <v>0.2023</v>
      </c>
      <c r="I584" s="2" t="s">
        <v>23</v>
      </c>
      <c r="J584" s="2" t="s">
        <v>19</v>
      </c>
      <c r="K584" s="2" t="n">
        <v>2</v>
      </c>
      <c r="L584" s="2" t="n">
        <v>0</v>
      </c>
      <c r="M584" s="2" t="n">
        <v>1</v>
      </c>
    </row>
    <row r="585" customFormat="false" ht="15" hidden="false" customHeight="false" outlineLevel="0" collapsed="false">
      <c r="A585" s="2" t="s">
        <v>1339</v>
      </c>
      <c r="B585" s="2" t="s">
        <v>1340</v>
      </c>
      <c r="C585" s="2" t="n">
        <v>3</v>
      </c>
      <c r="D585" s="2" t="s">
        <v>22</v>
      </c>
      <c r="E585" s="2" t="s">
        <v>1039</v>
      </c>
      <c r="F585" s="3" t="n">
        <v>45718.6965277778</v>
      </c>
      <c r="G585" s="2" t="s">
        <v>1299</v>
      </c>
      <c r="H585" s="4" t="n">
        <v>0.2023</v>
      </c>
      <c r="I585" s="2" t="s">
        <v>23</v>
      </c>
      <c r="J585" s="2" t="s">
        <v>19</v>
      </c>
      <c r="K585" s="2" t="n">
        <v>11</v>
      </c>
      <c r="L585" s="2" t="n">
        <v>0</v>
      </c>
      <c r="M585" s="2" t="n">
        <v>1</v>
      </c>
    </row>
    <row r="586" customFormat="false" ht="15" hidden="false" customHeight="false" outlineLevel="0" collapsed="false">
      <c r="A586" s="2" t="s">
        <v>1341</v>
      </c>
      <c r="B586" s="2" t="s">
        <v>1342</v>
      </c>
      <c r="C586" s="2" t="n">
        <v>2</v>
      </c>
      <c r="D586" s="2" t="s">
        <v>109</v>
      </c>
      <c r="E586" s="2" t="s">
        <v>1039</v>
      </c>
      <c r="F586" s="3" t="n">
        <v>45718.7166666667</v>
      </c>
      <c r="G586" s="2" t="s">
        <v>1299</v>
      </c>
      <c r="H586" s="4" t="n">
        <v>0</v>
      </c>
      <c r="I586" s="2" t="s">
        <v>18</v>
      </c>
      <c r="J586" s="2" t="s">
        <v>110</v>
      </c>
      <c r="K586" s="2" t="n">
        <v>5</v>
      </c>
      <c r="L586" s="2" t="n">
        <v>0</v>
      </c>
      <c r="M586" s="2" t="n">
        <v>1</v>
      </c>
    </row>
    <row r="587" customFormat="false" ht="15" hidden="false" customHeight="false" outlineLevel="0" collapsed="false">
      <c r="A587" s="2" t="s">
        <v>1343</v>
      </c>
      <c r="B587" s="2" t="s">
        <v>1344</v>
      </c>
      <c r="C587" s="2" t="n">
        <v>5</v>
      </c>
      <c r="D587" s="2" t="s">
        <v>127</v>
      </c>
      <c r="E587" s="2" t="s">
        <v>1039</v>
      </c>
      <c r="F587" s="3" t="n">
        <v>45718.8986111111</v>
      </c>
      <c r="G587" s="2" t="s">
        <v>1299</v>
      </c>
      <c r="H587" s="4" t="n">
        <v>0.9359</v>
      </c>
      <c r="I587" s="2" t="s">
        <v>23</v>
      </c>
      <c r="J587" s="2" t="s">
        <v>37</v>
      </c>
      <c r="K587" s="2" t="n">
        <v>7</v>
      </c>
      <c r="L587" s="2" t="n">
        <v>0</v>
      </c>
      <c r="M587" s="2" t="n">
        <v>1</v>
      </c>
    </row>
    <row r="588" customFormat="false" ht="15" hidden="false" customHeight="false" outlineLevel="0" collapsed="false">
      <c r="A588" s="2" t="s">
        <v>1345</v>
      </c>
      <c r="B588" s="2" t="s">
        <v>1346</v>
      </c>
      <c r="C588" s="2" t="n">
        <v>4</v>
      </c>
      <c r="D588" s="2" t="s">
        <v>52</v>
      </c>
      <c r="E588" s="2" t="s">
        <v>1039</v>
      </c>
      <c r="F588" s="3" t="n">
        <v>45718.9298611111</v>
      </c>
      <c r="G588" s="2" t="s">
        <v>1299</v>
      </c>
      <c r="H588" s="4" t="n">
        <v>0.6369</v>
      </c>
      <c r="I588" s="2" t="s">
        <v>23</v>
      </c>
      <c r="J588" s="2" t="s">
        <v>19</v>
      </c>
      <c r="K588" s="2" t="n">
        <v>6</v>
      </c>
      <c r="L588" s="2" t="n">
        <v>0</v>
      </c>
      <c r="M588" s="2" t="n">
        <v>1</v>
      </c>
    </row>
    <row r="589" customFormat="false" ht="15" hidden="false" customHeight="false" outlineLevel="0" collapsed="false">
      <c r="A589" s="2" t="s">
        <v>1347</v>
      </c>
      <c r="B589" s="2" t="s">
        <v>1348</v>
      </c>
      <c r="C589" s="2" t="n">
        <v>1</v>
      </c>
      <c r="D589" s="2" t="s">
        <v>109</v>
      </c>
      <c r="E589" s="2" t="s">
        <v>1039</v>
      </c>
      <c r="F589" s="3" t="n">
        <v>45719.1479166667</v>
      </c>
      <c r="G589" s="2" t="s">
        <v>1299</v>
      </c>
      <c r="H589" s="4" t="n">
        <v>0</v>
      </c>
      <c r="I589" s="2" t="s">
        <v>18</v>
      </c>
      <c r="J589" s="2" t="s">
        <v>110</v>
      </c>
      <c r="K589" s="2" t="n">
        <v>2</v>
      </c>
      <c r="L589" s="2" t="n">
        <v>1</v>
      </c>
      <c r="M589" s="2" t="n">
        <v>1</v>
      </c>
    </row>
    <row r="590" customFormat="false" ht="15" hidden="false" customHeight="false" outlineLevel="0" collapsed="false">
      <c r="A590" s="2" t="s">
        <v>1349</v>
      </c>
      <c r="B590" s="2" t="s">
        <v>1350</v>
      </c>
      <c r="C590" s="2" t="n">
        <v>4</v>
      </c>
      <c r="D590" s="2" t="s">
        <v>52</v>
      </c>
      <c r="E590" s="2" t="s">
        <v>1039</v>
      </c>
      <c r="F590" s="3" t="n">
        <v>45719.3520833333</v>
      </c>
      <c r="G590" s="2" t="s">
        <v>1299</v>
      </c>
      <c r="H590" s="4" t="n">
        <v>0.6369</v>
      </c>
      <c r="I590" s="2" t="s">
        <v>23</v>
      </c>
      <c r="J590" s="2" t="s">
        <v>19</v>
      </c>
      <c r="K590" s="2" t="n">
        <v>3</v>
      </c>
      <c r="L590" s="2" t="n">
        <v>0</v>
      </c>
      <c r="M590" s="2" t="n">
        <v>1</v>
      </c>
    </row>
    <row r="591" customFormat="false" ht="15" hidden="false" customHeight="false" outlineLevel="0" collapsed="false">
      <c r="A591" s="2" t="s">
        <v>1351</v>
      </c>
      <c r="B591" s="2" t="s">
        <v>1352</v>
      </c>
      <c r="C591" s="2" t="n">
        <v>3</v>
      </c>
      <c r="D591" s="2" t="s">
        <v>87</v>
      </c>
      <c r="E591" s="2" t="s">
        <v>1039</v>
      </c>
      <c r="F591" s="3" t="n">
        <v>45719.4118055556</v>
      </c>
      <c r="G591" s="2" t="s">
        <v>1299</v>
      </c>
      <c r="H591" s="4" t="n">
        <v>0</v>
      </c>
      <c r="I591" s="2" t="s">
        <v>18</v>
      </c>
      <c r="J591" s="2" t="s">
        <v>19</v>
      </c>
      <c r="K591" s="2" t="n">
        <v>3</v>
      </c>
      <c r="L591" s="2" t="n">
        <v>0</v>
      </c>
      <c r="M591" s="2" t="n">
        <v>1</v>
      </c>
    </row>
    <row r="592" customFormat="false" ht="15" hidden="false" customHeight="false" outlineLevel="0" collapsed="false">
      <c r="A592" s="2" t="s">
        <v>1353</v>
      </c>
      <c r="B592" s="2" t="s">
        <v>1354</v>
      </c>
      <c r="C592" s="2" t="n">
        <v>4</v>
      </c>
      <c r="D592" s="2" t="s">
        <v>36</v>
      </c>
      <c r="E592" s="2" t="s">
        <v>1039</v>
      </c>
      <c r="F592" s="3" t="n">
        <v>45719.5326388889</v>
      </c>
      <c r="G592" s="2" t="s">
        <v>1299</v>
      </c>
      <c r="H592" s="4" t="n">
        <v>0.4404</v>
      </c>
      <c r="I592" s="2" t="s">
        <v>23</v>
      </c>
      <c r="J592" s="2" t="s">
        <v>37</v>
      </c>
      <c r="K592" s="2" t="n">
        <v>4</v>
      </c>
      <c r="L592" s="2" t="n">
        <v>0</v>
      </c>
      <c r="M592" s="2" t="n">
        <v>1</v>
      </c>
    </row>
    <row r="593" customFormat="false" ht="15" hidden="false" customHeight="false" outlineLevel="0" collapsed="false">
      <c r="A593" s="2" t="s">
        <v>1355</v>
      </c>
      <c r="B593" s="2" t="s">
        <v>1356</v>
      </c>
      <c r="C593" s="2" t="n">
        <v>3</v>
      </c>
      <c r="D593" s="2" t="s">
        <v>22</v>
      </c>
      <c r="E593" s="2" t="s">
        <v>1039</v>
      </c>
      <c r="F593" s="3" t="n">
        <v>45719.5548611111</v>
      </c>
      <c r="G593" s="2" t="s">
        <v>1299</v>
      </c>
      <c r="H593" s="4" t="n">
        <v>0.2023</v>
      </c>
      <c r="I593" s="2" t="s">
        <v>23</v>
      </c>
      <c r="J593" s="2" t="s">
        <v>19</v>
      </c>
      <c r="K593" s="2" t="n">
        <v>3</v>
      </c>
      <c r="L593" s="2" t="n">
        <v>0</v>
      </c>
      <c r="M593" s="2" t="n">
        <v>1</v>
      </c>
    </row>
    <row r="594" customFormat="false" ht="15" hidden="false" customHeight="false" outlineLevel="0" collapsed="false">
      <c r="A594" s="2" t="s">
        <v>1357</v>
      </c>
      <c r="B594" s="2" t="s">
        <v>1358</v>
      </c>
      <c r="C594" s="2" t="n">
        <v>5</v>
      </c>
      <c r="D594" s="2" t="s">
        <v>62</v>
      </c>
      <c r="E594" s="2" t="s">
        <v>1039</v>
      </c>
      <c r="F594" s="3" t="n">
        <v>45719.55625</v>
      </c>
      <c r="G594" s="2" t="s">
        <v>1299</v>
      </c>
      <c r="H594" s="4" t="n">
        <v>0.7088</v>
      </c>
      <c r="I594" s="2" t="s">
        <v>23</v>
      </c>
      <c r="J594" s="2" t="s">
        <v>19</v>
      </c>
      <c r="K594" s="2" t="n">
        <v>4</v>
      </c>
      <c r="L594" s="2" t="n">
        <v>0</v>
      </c>
      <c r="M594" s="2" t="n">
        <v>1</v>
      </c>
    </row>
    <row r="595" customFormat="false" ht="15" hidden="false" customHeight="false" outlineLevel="0" collapsed="false">
      <c r="A595" s="2" t="s">
        <v>1359</v>
      </c>
      <c r="B595" s="2" t="s">
        <v>1360</v>
      </c>
      <c r="C595" s="2" t="n">
        <v>3</v>
      </c>
      <c r="D595" s="2" t="s">
        <v>87</v>
      </c>
      <c r="E595" s="2" t="s">
        <v>1039</v>
      </c>
      <c r="F595" s="3" t="n">
        <v>45719.64375</v>
      </c>
      <c r="G595" s="2" t="s">
        <v>1299</v>
      </c>
      <c r="H595" s="4" t="n">
        <v>0</v>
      </c>
      <c r="I595" s="2" t="s">
        <v>18</v>
      </c>
      <c r="J595" s="2" t="s">
        <v>19</v>
      </c>
      <c r="K595" s="2" t="n">
        <v>1</v>
      </c>
      <c r="L595" s="2" t="n">
        <v>0</v>
      </c>
      <c r="M595" s="2" t="n">
        <v>1</v>
      </c>
    </row>
    <row r="596" customFormat="false" ht="15" hidden="false" customHeight="false" outlineLevel="0" collapsed="false">
      <c r="A596" s="2" t="s">
        <v>1361</v>
      </c>
      <c r="B596" s="2" t="s">
        <v>1362</v>
      </c>
      <c r="C596" s="2" t="n">
        <v>5</v>
      </c>
      <c r="D596" s="2" t="s">
        <v>1363</v>
      </c>
      <c r="E596" s="2" t="s">
        <v>1039</v>
      </c>
      <c r="F596" s="3" t="n">
        <v>45719.7159722222</v>
      </c>
      <c r="G596" s="2" t="s">
        <v>1299</v>
      </c>
      <c r="H596" s="4" t="n">
        <v>0.6597</v>
      </c>
      <c r="I596" s="2" t="s">
        <v>23</v>
      </c>
      <c r="J596" s="2" t="s">
        <v>33</v>
      </c>
      <c r="K596" s="2" t="n">
        <v>0</v>
      </c>
      <c r="L596" s="2" t="n">
        <v>0</v>
      </c>
      <c r="M596" s="2" t="n">
        <v>1</v>
      </c>
    </row>
    <row r="597" customFormat="false" ht="15" hidden="false" customHeight="false" outlineLevel="0" collapsed="false">
      <c r="A597" s="2" t="s">
        <v>1364</v>
      </c>
      <c r="B597" s="2" t="s">
        <v>1365</v>
      </c>
      <c r="C597" s="2" t="n">
        <v>5</v>
      </c>
      <c r="D597" s="2" t="s">
        <v>127</v>
      </c>
      <c r="E597" s="2" t="s">
        <v>1039</v>
      </c>
      <c r="F597" s="3" t="n">
        <v>45719.9048611111</v>
      </c>
      <c r="G597" s="2" t="s">
        <v>1299</v>
      </c>
      <c r="H597" s="4" t="n">
        <v>0.9359</v>
      </c>
      <c r="I597" s="2" t="s">
        <v>23</v>
      </c>
      <c r="J597" s="2" t="s">
        <v>37</v>
      </c>
      <c r="K597" s="2" t="n">
        <v>1</v>
      </c>
      <c r="L597" s="2" t="n">
        <v>0</v>
      </c>
      <c r="M597" s="2" t="n">
        <v>1</v>
      </c>
    </row>
    <row r="598" customFormat="false" ht="15" hidden="false" customHeight="false" outlineLevel="0" collapsed="false">
      <c r="A598" s="2" t="s">
        <v>1366</v>
      </c>
      <c r="B598" s="2" t="s">
        <v>1367</v>
      </c>
      <c r="C598" s="2" t="n">
        <v>4</v>
      </c>
      <c r="D598" s="2" t="s">
        <v>90</v>
      </c>
      <c r="E598" s="2" t="s">
        <v>1039</v>
      </c>
      <c r="F598" s="3" t="n">
        <v>45719.9270833333</v>
      </c>
      <c r="G598" s="2" t="s">
        <v>1299</v>
      </c>
      <c r="H598" s="4" t="n">
        <v>0.6249</v>
      </c>
      <c r="I598" s="2" t="s">
        <v>23</v>
      </c>
      <c r="J598" s="2" t="s">
        <v>37</v>
      </c>
      <c r="K598" s="2" t="n">
        <v>0</v>
      </c>
      <c r="L598" s="2" t="n">
        <v>0</v>
      </c>
      <c r="M598" s="2" t="n">
        <v>1</v>
      </c>
    </row>
    <row r="599" customFormat="false" ht="15" hidden="false" customHeight="false" outlineLevel="0" collapsed="false">
      <c r="A599" s="2" t="s">
        <v>1368</v>
      </c>
      <c r="B599" s="2" t="s">
        <v>1369</v>
      </c>
      <c r="C599" s="2" t="n">
        <v>4</v>
      </c>
      <c r="D599" s="2" t="s">
        <v>90</v>
      </c>
      <c r="E599" s="2" t="s">
        <v>1039</v>
      </c>
      <c r="F599" s="3" t="n">
        <v>45719.9555555556</v>
      </c>
      <c r="G599" s="2" t="s">
        <v>1299</v>
      </c>
      <c r="H599" s="4" t="n">
        <v>0.6249</v>
      </c>
      <c r="I599" s="2" t="s">
        <v>23</v>
      </c>
      <c r="J599" s="2" t="s">
        <v>37</v>
      </c>
      <c r="K599" s="2" t="n">
        <v>3</v>
      </c>
      <c r="L599" s="2" t="n">
        <v>0</v>
      </c>
      <c r="M599" s="2" t="n">
        <v>1</v>
      </c>
    </row>
    <row r="600" customFormat="false" ht="15" hidden="false" customHeight="false" outlineLevel="0" collapsed="false">
      <c r="A600" s="2" t="s">
        <v>1370</v>
      </c>
      <c r="B600" s="2" t="s">
        <v>1371</v>
      </c>
      <c r="C600" s="2" t="n">
        <v>5</v>
      </c>
      <c r="D600" s="2" t="s">
        <v>26</v>
      </c>
      <c r="E600" s="2" t="s">
        <v>1039</v>
      </c>
      <c r="F600" s="3" t="n">
        <v>45720.2722222222</v>
      </c>
      <c r="G600" s="2" t="s">
        <v>1299</v>
      </c>
      <c r="H600" s="4" t="n">
        <v>0.8848</v>
      </c>
      <c r="I600" s="2" t="s">
        <v>23</v>
      </c>
      <c r="J600" s="2" t="s">
        <v>19</v>
      </c>
      <c r="K600" s="2" t="n">
        <v>5</v>
      </c>
      <c r="L600" s="2" t="n">
        <v>0</v>
      </c>
      <c r="M600" s="2" t="n">
        <v>0</v>
      </c>
    </row>
    <row r="601" customFormat="false" ht="15" hidden="false" customHeight="false" outlineLevel="0" collapsed="false">
      <c r="A601" s="2" t="s">
        <v>1372</v>
      </c>
      <c r="B601" s="2" t="s">
        <v>1373</v>
      </c>
      <c r="C601" s="2" t="n">
        <v>1</v>
      </c>
      <c r="D601" s="2" t="s">
        <v>1374</v>
      </c>
      <c r="E601" s="2" t="s">
        <v>1039</v>
      </c>
      <c r="F601" s="3" t="n">
        <v>45720.3277777778</v>
      </c>
      <c r="G601" s="2" t="s">
        <v>1299</v>
      </c>
      <c r="H601" s="4" t="n">
        <v>0.4404</v>
      </c>
      <c r="I601" s="2" t="s">
        <v>23</v>
      </c>
      <c r="J601" s="2" t="s">
        <v>59</v>
      </c>
      <c r="K601" s="2" t="n">
        <v>1</v>
      </c>
      <c r="L601" s="2" t="n">
        <v>0</v>
      </c>
      <c r="M601" s="2" t="n">
        <v>0</v>
      </c>
    </row>
    <row r="602" customFormat="false" ht="15" hidden="false" customHeight="false" outlineLevel="0" collapsed="false">
      <c r="A602" s="2" t="s">
        <v>1375</v>
      </c>
      <c r="B602" s="2" t="s">
        <v>1376</v>
      </c>
      <c r="C602" s="2" t="n">
        <v>1</v>
      </c>
      <c r="D602" s="2" t="s">
        <v>1377</v>
      </c>
      <c r="E602" s="2" t="s">
        <v>1039</v>
      </c>
      <c r="F602" s="3" t="n">
        <v>45720.5048611111</v>
      </c>
      <c r="G602" s="2" t="s">
        <v>1299</v>
      </c>
      <c r="H602" s="4" t="n">
        <v>0.4404</v>
      </c>
      <c r="I602" s="2" t="s">
        <v>23</v>
      </c>
      <c r="J602" s="2" t="s">
        <v>165</v>
      </c>
      <c r="K602" s="2" t="n">
        <v>5</v>
      </c>
      <c r="L602" s="2" t="n">
        <v>0</v>
      </c>
      <c r="M602" s="2" t="n">
        <v>0</v>
      </c>
    </row>
    <row r="603" customFormat="false" ht="15" hidden="false" customHeight="false" outlineLevel="0" collapsed="false">
      <c r="A603" s="2" t="s">
        <v>1378</v>
      </c>
      <c r="B603" s="2" t="s">
        <v>1379</v>
      </c>
      <c r="C603" s="2" t="n">
        <v>1</v>
      </c>
      <c r="D603" s="2" t="s">
        <v>1380</v>
      </c>
      <c r="E603" s="2" t="s">
        <v>1039</v>
      </c>
      <c r="F603" s="3" t="n">
        <v>45720.5166666667</v>
      </c>
      <c r="G603" s="2" t="s">
        <v>1299</v>
      </c>
      <c r="H603" s="4" t="n">
        <v>0</v>
      </c>
      <c r="I603" s="2" t="s">
        <v>18</v>
      </c>
      <c r="J603" s="2" t="s">
        <v>110</v>
      </c>
      <c r="K603" s="2" t="n">
        <v>6</v>
      </c>
      <c r="L603" s="2" t="n">
        <v>1</v>
      </c>
      <c r="M603" s="2" t="n">
        <v>0</v>
      </c>
    </row>
    <row r="604" customFormat="false" ht="15" hidden="false" customHeight="false" outlineLevel="0" collapsed="false">
      <c r="A604" s="2" t="s">
        <v>1381</v>
      </c>
      <c r="B604" s="2" t="s">
        <v>1382</v>
      </c>
      <c r="C604" s="2" t="n">
        <v>2</v>
      </c>
      <c r="D604" s="2" t="s">
        <v>109</v>
      </c>
      <c r="E604" s="2" t="s">
        <v>1039</v>
      </c>
      <c r="F604" s="3" t="n">
        <v>45720.5333333333</v>
      </c>
      <c r="G604" s="2" t="s">
        <v>1299</v>
      </c>
      <c r="H604" s="4" t="n">
        <v>0</v>
      </c>
      <c r="I604" s="2" t="s">
        <v>18</v>
      </c>
      <c r="J604" s="2" t="s">
        <v>110</v>
      </c>
      <c r="K604" s="2" t="n">
        <v>10</v>
      </c>
      <c r="L604" s="2" t="n">
        <v>1</v>
      </c>
      <c r="M604" s="2" t="n">
        <v>0</v>
      </c>
    </row>
    <row r="605" customFormat="false" ht="15" hidden="false" customHeight="false" outlineLevel="0" collapsed="false">
      <c r="A605" s="2" t="s">
        <v>1383</v>
      </c>
      <c r="B605" s="2" t="s">
        <v>1384</v>
      </c>
      <c r="C605" s="2" t="n">
        <v>5</v>
      </c>
      <c r="D605" s="2" t="s">
        <v>799</v>
      </c>
      <c r="E605" s="2" t="s">
        <v>1039</v>
      </c>
      <c r="F605" s="3" t="n">
        <v>45720.6083333333</v>
      </c>
      <c r="G605" s="2" t="s">
        <v>1299</v>
      </c>
      <c r="H605" s="4" t="n">
        <v>0.9606</v>
      </c>
      <c r="I605" s="2" t="s">
        <v>23</v>
      </c>
      <c r="J605" s="2" t="s">
        <v>37</v>
      </c>
      <c r="K605" s="2" t="n">
        <v>0</v>
      </c>
      <c r="L605" s="2" t="n">
        <v>0</v>
      </c>
      <c r="M605" s="2" t="n">
        <v>0</v>
      </c>
    </row>
    <row r="606" customFormat="false" ht="15" hidden="false" customHeight="false" outlineLevel="0" collapsed="false">
      <c r="A606" s="2" t="s">
        <v>1385</v>
      </c>
      <c r="B606" s="2" t="s">
        <v>1386</v>
      </c>
      <c r="C606" s="2" t="n">
        <v>5</v>
      </c>
      <c r="D606" s="2" t="s">
        <v>1387</v>
      </c>
      <c r="E606" s="2" t="s">
        <v>1039</v>
      </c>
      <c r="F606" s="3" t="n">
        <v>45720.6798611111</v>
      </c>
      <c r="G606" s="2" t="s">
        <v>1299</v>
      </c>
      <c r="H606" s="4" t="n">
        <v>0.9359</v>
      </c>
      <c r="I606" s="2" t="s">
        <v>23</v>
      </c>
      <c r="J606" s="2" t="s">
        <v>37</v>
      </c>
      <c r="K606" s="2" t="n">
        <v>0</v>
      </c>
      <c r="L606" s="2" t="n">
        <v>0</v>
      </c>
      <c r="M606" s="2" t="n">
        <v>0</v>
      </c>
    </row>
    <row r="607" customFormat="false" ht="15" hidden="false" customHeight="false" outlineLevel="0" collapsed="false">
      <c r="A607" s="2" t="s">
        <v>1388</v>
      </c>
      <c r="B607" s="2" t="s">
        <v>1389</v>
      </c>
      <c r="C607" s="2" t="n">
        <v>3</v>
      </c>
      <c r="D607" s="2" t="s">
        <v>301</v>
      </c>
      <c r="E607" s="2" t="s">
        <v>1039</v>
      </c>
      <c r="F607" s="3" t="n">
        <v>45720.7069444444</v>
      </c>
      <c r="G607" s="2" t="s">
        <v>1299</v>
      </c>
      <c r="H607" s="4" t="n">
        <v>0.2263</v>
      </c>
      <c r="I607" s="2" t="s">
        <v>23</v>
      </c>
      <c r="J607" s="2" t="s">
        <v>19</v>
      </c>
      <c r="K607" s="2" t="n">
        <v>0</v>
      </c>
      <c r="L607" s="2" t="n">
        <v>0</v>
      </c>
      <c r="M607" s="2" t="n">
        <v>0</v>
      </c>
    </row>
    <row r="608" customFormat="false" ht="15" hidden="false" customHeight="false" outlineLevel="0" collapsed="false">
      <c r="A608" s="2" t="s">
        <v>1390</v>
      </c>
      <c r="B608" s="2" t="s">
        <v>1391</v>
      </c>
      <c r="C608" s="2" t="n">
        <v>5</v>
      </c>
      <c r="D608" s="2" t="s">
        <v>127</v>
      </c>
      <c r="E608" s="2" t="s">
        <v>1039</v>
      </c>
      <c r="F608" s="3" t="n">
        <v>45720.7388888889</v>
      </c>
      <c r="G608" s="2" t="s">
        <v>1299</v>
      </c>
      <c r="H608" s="4" t="n">
        <v>0.9359</v>
      </c>
      <c r="I608" s="2" t="s">
        <v>23</v>
      </c>
      <c r="J608" s="2" t="s">
        <v>37</v>
      </c>
      <c r="K608" s="2" t="n">
        <v>1</v>
      </c>
      <c r="L608" s="2" t="n">
        <v>0</v>
      </c>
      <c r="M608" s="2" t="n">
        <v>0</v>
      </c>
    </row>
    <row r="609" customFormat="false" ht="15" hidden="false" customHeight="false" outlineLevel="0" collapsed="false">
      <c r="A609" s="2" t="s">
        <v>1392</v>
      </c>
      <c r="B609" s="2" t="s">
        <v>1393</v>
      </c>
      <c r="C609" s="2" t="n">
        <v>5</v>
      </c>
      <c r="D609" s="2" t="s">
        <v>90</v>
      </c>
      <c r="E609" s="2" t="s">
        <v>1039</v>
      </c>
      <c r="F609" s="3" t="n">
        <v>45720.8736111111</v>
      </c>
      <c r="G609" s="2" t="s">
        <v>1299</v>
      </c>
      <c r="H609" s="4" t="n">
        <v>0.6249</v>
      </c>
      <c r="I609" s="2" t="s">
        <v>23</v>
      </c>
      <c r="J609" s="2" t="s">
        <v>37</v>
      </c>
      <c r="K609" s="2" t="n">
        <v>0</v>
      </c>
      <c r="L609" s="2" t="n">
        <v>0</v>
      </c>
      <c r="M609" s="2" t="n">
        <v>0</v>
      </c>
    </row>
    <row r="610" customFormat="false" ht="15" hidden="false" customHeight="false" outlineLevel="0" collapsed="false">
      <c r="A610" s="2" t="s">
        <v>1394</v>
      </c>
      <c r="B610" s="2" t="s">
        <v>1395</v>
      </c>
      <c r="C610" s="2" t="n">
        <v>5</v>
      </c>
      <c r="D610" s="2" t="s">
        <v>251</v>
      </c>
      <c r="E610" s="2" t="s">
        <v>1039</v>
      </c>
      <c r="F610" s="3" t="n">
        <v>45721.0673611111</v>
      </c>
      <c r="G610" s="2" t="s">
        <v>1299</v>
      </c>
      <c r="H610" s="4" t="n">
        <v>0.8651</v>
      </c>
      <c r="I610" s="2" t="s">
        <v>23</v>
      </c>
      <c r="J610" s="2" t="s">
        <v>19</v>
      </c>
      <c r="K610" s="2" t="n">
        <v>4</v>
      </c>
      <c r="L610" s="2" t="n">
        <v>0</v>
      </c>
      <c r="M610" s="2" t="n">
        <v>0</v>
      </c>
    </row>
    <row r="611" customFormat="false" ht="15" hidden="false" customHeight="false" outlineLevel="0" collapsed="false">
      <c r="A611" s="2" t="s">
        <v>1396</v>
      </c>
      <c r="B611" s="2" t="s">
        <v>1397</v>
      </c>
      <c r="C611" s="2" t="n">
        <v>5</v>
      </c>
      <c r="D611" s="2" t="s">
        <v>47</v>
      </c>
      <c r="E611" s="2" t="s">
        <v>1039</v>
      </c>
      <c r="F611" s="3" t="n">
        <v>45721.1493055556</v>
      </c>
      <c r="G611" s="2" t="s">
        <v>1299</v>
      </c>
      <c r="H611" s="4" t="n">
        <v>0.3089</v>
      </c>
      <c r="I611" s="2" t="s">
        <v>23</v>
      </c>
      <c r="J611" s="2" t="s">
        <v>19</v>
      </c>
      <c r="K611" s="2" t="n">
        <v>3</v>
      </c>
      <c r="L611" s="2" t="n">
        <v>0</v>
      </c>
      <c r="M611" s="2" t="n">
        <v>0</v>
      </c>
    </row>
    <row r="612" customFormat="false" ht="15" hidden="false" customHeight="false" outlineLevel="0" collapsed="false">
      <c r="A612" s="2" t="s">
        <v>1398</v>
      </c>
      <c r="B612" s="2" t="s">
        <v>1399</v>
      </c>
      <c r="C612" s="2" t="n">
        <v>3</v>
      </c>
      <c r="D612" s="2" t="s">
        <v>1400</v>
      </c>
      <c r="E612" s="2" t="s">
        <v>1039</v>
      </c>
      <c r="F612" s="3" t="n">
        <v>45721.1826388889</v>
      </c>
      <c r="G612" s="2" t="s">
        <v>1299</v>
      </c>
      <c r="H612" s="4" t="n">
        <v>0.4019</v>
      </c>
      <c r="I612" s="2" t="s">
        <v>23</v>
      </c>
      <c r="J612" s="2" t="s">
        <v>19</v>
      </c>
      <c r="K612" s="2" t="n">
        <v>1</v>
      </c>
      <c r="L612" s="2" t="n">
        <v>0</v>
      </c>
      <c r="M612" s="2" t="n">
        <v>0</v>
      </c>
    </row>
    <row r="613" customFormat="false" ht="15" hidden="false" customHeight="false" outlineLevel="0" collapsed="false">
      <c r="A613" s="2" t="s">
        <v>1401</v>
      </c>
      <c r="B613" s="2" t="s">
        <v>1402</v>
      </c>
      <c r="C613" s="2" t="n">
        <v>4</v>
      </c>
      <c r="D613" s="2" t="s">
        <v>282</v>
      </c>
      <c r="E613" s="2" t="s">
        <v>1039</v>
      </c>
      <c r="F613" s="3" t="n">
        <v>45721.2361111111</v>
      </c>
      <c r="G613" s="2" t="s">
        <v>1299</v>
      </c>
      <c r="H613" s="4" t="n">
        <v>0.7992</v>
      </c>
      <c r="I613" s="2" t="s">
        <v>23</v>
      </c>
      <c r="J613" s="2" t="s">
        <v>19</v>
      </c>
      <c r="K613" s="2" t="n">
        <v>6</v>
      </c>
      <c r="L613" s="2" t="n">
        <v>0</v>
      </c>
      <c r="M613" s="2" t="n">
        <v>0</v>
      </c>
    </row>
    <row r="614" customFormat="false" ht="15" hidden="false" customHeight="false" outlineLevel="0" collapsed="false">
      <c r="A614" s="2" t="s">
        <v>1403</v>
      </c>
      <c r="B614" s="2" t="s">
        <v>1404</v>
      </c>
      <c r="C614" s="2" t="n">
        <v>5</v>
      </c>
      <c r="D614" s="2" t="s">
        <v>15</v>
      </c>
      <c r="E614" s="2" t="s">
        <v>1039</v>
      </c>
      <c r="F614" s="3" t="n">
        <v>45721.3097222222</v>
      </c>
      <c r="G614" s="2" t="s">
        <v>1299</v>
      </c>
      <c r="H614" s="4" t="n">
        <v>0</v>
      </c>
      <c r="I614" s="2" t="s">
        <v>18</v>
      </c>
      <c r="J614" s="2" t="s">
        <v>19</v>
      </c>
      <c r="K614" s="2" t="n">
        <v>0</v>
      </c>
      <c r="L614" s="2" t="n">
        <v>0</v>
      </c>
      <c r="M614" s="2" t="n">
        <v>0</v>
      </c>
    </row>
    <row r="615" customFormat="false" ht="15" hidden="false" customHeight="false" outlineLevel="0" collapsed="false">
      <c r="A615" s="2" t="s">
        <v>1405</v>
      </c>
      <c r="B615" s="2" t="s">
        <v>1406</v>
      </c>
      <c r="C615" s="2" t="n">
        <v>5</v>
      </c>
      <c r="D615" s="2" t="s">
        <v>96</v>
      </c>
      <c r="E615" s="2" t="s">
        <v>1039</v>
      </c>
      <c r="F615" s="3" t="n">
        <v>45721.3819444445</v>
      </c>
      <c r="G615" s="2" t="s">
        <v>1299</v>
      </c>
      <c r="H615" s="4" t="n">
        <v>0.6369</v>
      </c>
      <c r="I615" s="2" t="s">
        <v>23</v>
      </c>
      <c r="J615" s="2" t="s">
        <v>19</v>
      </c>
      <c r="K615" s="2" t="n">
        <v>2</v>
      </c>
      <c r="L615" s="2" t="n">
        <v>0</v>
      </c>
      <c r="M615" s="2" t="n">
        <v>0</v>
      </c>
    </row>
    <row r="616" customFormat="false" ht="15" hidden="false" customHeight="false" outlineLevel="0" collapsed="false">
      <c r="A616" s="2" t="s">
        <v>1407</v>
      </c>
      <c r="B616" s="2" t="s">
        <v>1408</v>
      </c>
      <c r="C616" s="2" t="n">
        <v>4</v>
      </c>
      <c r="D616" s="2" t="s">
        <v>62</v>
      </c>
      <c r="E616" s="2" t="s">
        <v>1039</v>
      </c>
      <c r="F616" s="3" t="n">
        <v>45721.4819444444</v>
      </c>
      <c r="G616" s="2" t="s">
        <v>1299</v>
      </c>
      <c r="H616" s="4" t="n">
        <v>0.7088</v>
      </c>
      <c r="I616" s="2" t="s">
        <v>23</v>
      </c>
      <c r="J616" s="2" t="s">
        <v>19</v>
      </c>
      <c r="K616" s="2" t="n">
        <v>14</v>
      </c>
      <c r="L616" s="2" t="n">
        <v>0</v>
      </c>
      <c r="M616" s="2" t="n">
        <v>0</v>
      </c>
    </row>
    <row r="617" customFormat="false" ht="15" hidden="false" customHeight="false" outlineLevel="0" collapsed="false">
      <c r="A617" s="2" t="s">
        <v>1409</v>
      </c>
      <c r="B617" s="2" t="s">
        <v>1410</v>
      </c>
      <c r="C617" s="2" t="n">
        <v>4</v>
      </c>
      <c r="D617" s="2" t="s">
        <v>62</v>
      </c>
      <c r="E617" s="2" t="s">
        <v>1039</v>
      </c>
      <c r="F617" s="3" t="n">
        <v>45721.6708333333</v>
      </c>
      <c r="G617" s="2" t="s">
        <v>1299</v>
      </c>
      <c r="H617" s="4" t="n">
        <v>0.7088</v>
      </c>
      <c r="I617" s="2" t="s">
        <v>23</v>
      </c>
      <c r="J617" s="2" t="s">
        <v>19</v>
      </c>
      <c r="K617" s="2" t="n">
        <v>1</v>
      </c>
      <c r="L617" s="2" t="n">
        <v>0</v>
      </c>
      <c r="M617" s="2" t="n">
        <v>0</v>
      </c>
    </row>
    <row r="618" customFormat="false" ht="15" hidden="false" customHeight="false" outlineLevel="0" collapsed="false">
      <c r="A618" s="2" t="s">
        <v>1411</v>
      </c>
      <c r="B618" s="2" t="s">
        <v>777</v>
      </c>
      <c r="C618" s="2" t="n">
        <v>1</v>
      </c>
      <c r="D618" s="2" t="s">
        <v>733</v>
      </c>
      <c r="E618" s="2" t="s">
        <v>1039</v>
      </c>
      <c r="F618" s="3" t="n">
        <v>45721.7625</v>
      </c>
      <c r="G618" s="2" t="s">
        <v>1299</v>
      </c>
      <c r="H618" s="4" t="n">
        <v>-0.2846</v>
      </c>
      <c r="I618" s="2" t="s">
        <v>84</v>
      </c>
      <c r="J618" s="2" t="s">
        <v>37</v>
      </c>
      <c r="K618" s="2" t="n">
        <v>1</v>
      </c>
      <c r="L618" s="2" t="n">
        <v>0</v>
      </c>
      <c r="M618" s="2" t="n">
        <v>0</v>
      </c>
    </row>
    <row r="619" customFormat="false" ht="15" hidden="false" customHeight="false" outlineLevel="0" collapsed="false">
      <c r="A619" s="2" t="s">
        <v>1412</v>
      </c>
      <c r="B619" s="2" t="s">
        <v>1413</v>
      </c>
      <c r="C619" s="2" t="n">
        <v>5</v>
      </c>
      <c r="D619" s="2" t="s">
        <v>62</v>
      </c>
      <c r="E619" s="2" t="s">
        <v>1039</v>
      </c>
      <c r="F619" s="3" t="n">
        <v>45721.8618055556</v>
      </c>
      <c r="G619" s="2" t="s">
        <v>1299</v>
      </c>
      <c r="H619" s="4" t="n">
        <v>0.7088</v>
      </c>
      <c r="I619" s="2" t="s">
        <v>23</v>
      </c>
      <c r="J619" s="2" t="s">
        <v>19</v>
      </c>
      <c r="K619" s="2" t="n">
        <v>0</v>
      </c>
      <c r="L619" s="2" t="n">
        <v>0</v>
      </c>
      <c r="M619" s="2" t="n">
        <v>0</v>
      </c>
    </row>
    <row r="620" customFormat="false" ht="15" hidden="false" customHeight="false" outlineLevel="0" collapsed="false">
      <c r="A620" s="2" t="s">
        <v>1414</v>
      </c>
      <c r="B620" s="2" t="s">
        <v>1415</v>
      </c>
      <c r="C620" s="2" t="n">
        <v>5</v>
      </c>
      <c r="D620" s="2" t="s">
        <v>1217</v>
      </c>
      <c r="E620" s="2" t="s">
        <v>1039</v>
      </c>
      <c r="F620" s="3" t="n">
        <v>45721.9597222222</v>
      </c>
      <c r="G620" s="2" t="s">
        <v>1299</v>
      </c>
      <c r="H620" s="4" t="n">
        <v>0.8748</v>
      </c>
      <c r="I620" s="2" t="s">
        <v>23</v>
      </c>
      <c r="J620" s="2" t="s">
        <v>37</v>
      </c>
      <c r="K620" s="2" t="n">
        <v>8</v>
      </c>
      <c r="L620" s="2" t="n">
        <v>0</v>
      </c>
      <c r="M620" s="2" t="n">
        <v>0</v>
      </c>
    </row>
    <row r="621" customFormat="false" ht="15" hidden="false" customHeight="false" outlineLevel="0" collapsed="false">
      <c r="A621" s="2" t="s">
        <v>1416</v>
      </c>
      <c r="B621" s="2" t="s">
        <v>1417</v>
      </c>
      <c r="C621" s="2" t="n">
        <v>5</v>
      </c>
      <c r="D621" s="2" t="s">
        <v>325</v>
      </c>
      <c r="E621" s="2" t="s">
        <v>1039</v>
      </c>
      <c r="F621" s="3" t="n">
        <v>45721.9930555556</v>
      </c>
      <c r="G621" s="2" t="s">
        <v>1299</v>
      </c>
      <c r="H621" s="4" t="n">
        <v>0.9612</v>
      </c>
      <c r="I621" s="2" t="s">
        <v>23</v>
      </c>
      <c r="J621" s="2" t="s">
        <v>37</v>
      </c>
      <c r="K621" s="2" t="n">
        <v>0</v>
      </c>
      <c r="L621" s="2" t="n">
        <v>0</v>
      </c>
      <c r="M621" s="2" t="n">
        <v>0</v>
      </c>
    </row>
    <row r="622" customFormat="false" ht="15" hidden="false" customHeight="false" outlineLevel="0" collapsed="false">
      <c r="A622" s="2" t="s">
        <v>1418</v>
      </c>
      <c r="B622" s="2" t="s">
        <v>1419</v>
      </c>
      <c r="C622" s="2" t="n">
        <v>5</v>
      </c>
      <c r="D622" s="2" t="s">
        <v>96</v>
      </c>
      <c r="E622" s="2" t="s">
        <v>1039</v>
      </c>
      <c r="F622" s="3" t="n">
        <v>45722.15</v>
      </c>
      <c r="G622" s="2" t="s">
        <v>1299</v>
      </c>
      <c r="H622" s="4" t="n">
        <v>0.6369</v>
      </c>
      <c r="I622" s="2" t="s">
        <v>23</v>
      </c>
      <c r="J622" s="2" t="s">
        <v>19</v>
      </c>
      <c r="K622" s="2" t="n">
        <v>1</v>
      </c>
      <c r="L622" s="2" t="n">
        <v>0</v>
      </c>
      <c r="M622" s="2" t="n">
        <v>0</v>
      </c>
    </row>
    <row r="623" customFormat="false" ht="15" hidden="false" customHeight="false" outlineLevel="0" collapsed="false">
      <c r="A623" s="2" t="s">
        <v>1420</v>
      </c>
      <c r="B623" s="2" t="s">
        <v>1421</v>
      </c>
      <c r="C623" s="2" t="n">
        <v>5</v>
      </c>
      <c r="D623" s="2" t="s">
        <v>15</v>
      </c>
      <c r="E623" s="2" t="s">
        <v>1039</v>
      </c>
      <c r="F623" s="3" t="n">
        <v>45722.1631944445</v>
      </c>
      <c r="G623" s="2" t="s">
        <v>1299</v>
      </c>
      <c r="H623" s="4" t="n">
        <v>0</v>
      </c>
      <c r="I623" s="2" t="s">
        <v>18</v>
      </c>
      <c r="J623" s="2" t="s">
        <v>19</v>
      </c>
      <c r="K623" s="2" t="n">
        <v>2</v>
      </c>
      <c r="L623" s="2" t="n">
        <v>0</v>
      </c>
      <c r="M623" s="2" t="n">
        <v>0</v>
      </c>
    </row>
    <row r="624" customFormat="false" ht="15" hidden="false" customHeight="false" outlineLevel="0" collapsed="false">
      <c r="A624" s="2" t="s">
        <v>1422</v>
      </c>
      <c r="B624" s="2" t="s">
        <v>1423</v>
      </c>
      <c r="C624" s="2" t="n">
        <v>5</v>
      </c>
      <c r="D624" s="2" t="s">
        <v>1424</v>
      </c>
      <c r="E624" s="2" t="s">
        <v>1039</v>
      </c>
      <c r="F624" s="3" t="n">
        <v>45722.1805555556</v>
      </c>
      <c r="G624" s="2" t="s">
        <v>1299</v>
      </c>
      <c r="H624" s="4" t="n">
        <v>0.3089</v>
      </c>
      <c r="I624" s="2" t="s">
        <v>23</v>
      </c>
      <c r="J624" s="2" t="s">
        <v>19</v>
      </c>
      <c r="K624" s="2" t="n">
        <v>5</v>
      </c>
      <c r="L624" s="2" t="n">
        <v>0</v>
      </c>
      <c r="M624" s="2" t="n">
        <v>0</v>
      </c>
    </row>
    <row r="625" customFormat="false" ht="15" hidden="false" customHeight="false" outlineLevel="0" collapsed="false">
      <c r="A625" s="2" t="s">
        <v>1425</v>
      </c>
      <c r="B625" s="2" t="s">
        <v>1426</v>
      </c>
      <c r="C625" s="2" t="n">
        <v>1</v>
      </c>
      <c r="D625" s="2" t="s">
        <v>946</v>
      </c>
      <c r="E625" s="2" t="s">
        <v>1039</v>
      </c>
      <c r="F625" s="3" t="n">
        <v>45722.3013888889</v>
      </c>
      <c r="G625" s="2" t="s">
        <v>1299</v>
      </c>
      <c r="H625" s="4" t="n">
        <v>-0.25</v>
      </c>
      <c r="I625" s="2" t="s">
        <v>84</v>
      </c>
      <c r="J625" s="2" t="s">
        <v>37</v>
      </c>
      <c r="K625" s="2" t="n">
        <v>4</v>
      </c>
      <c r="L625" s="2" t="n">
        <v>0</v>
      </c>
      <c r="M625" s="2" t="n">
        <v>0</v>
      </c>
    </row>
    <row r="626" customFormat="false" ht="15" hidden="false" customHeight="false" outlineLevel="0" collapsed="false">
      <c r="A626" s="2" t="s">
        <v>1427</v>
      </c>
      <c r="B626" s="2" t="s">
        <v>1428</v>
      </c>
      <c r="C626" s="2" t="n">
        <v>4</v>
      </c>
      <c r="D626" s="2" t="s">
        <v>22</v>
      </c>
      <c r="E626" s="2" t="s">
        <v>1039</v>
      </c>
      <c r="F626" s="3" t="n">
        <v>45722.4513888889</v>
      </c>
      <c r="G626" s="2" t="s">
        <v>1299</v>
      </c>
      <c r="H626" s="4" t="n">
        <v>0.2023</v>
      </c>
      <c r="I626" s="2" t="s">
        <v>23</v>
      </c>
      <c r="J626" s="2" t="s">
        <v>19</v>
      </c>
      <c r="K626" s="2" t="n">
        <v>4</v>
      </c>
      <c r="L626" s="2" t="n">
        <v>0</v>
      </c>
      <c r="M626" s="2" t="n">
        <v>0</v>
      </c>
    </row>
    <row r="627" customFormat="false" ht="15" hidden="false" customHeight="false" outlineLevel="0" collapsed="false">
      <c r="A627" s="2" t="s">
        <v>1429</v>
      </c>
      <c r="B627" s="2" t="s">
        <v>342</v>
      </c>
      <c r="C627" s="2" t="n">
        <v>4</v>
      </c>
      <c r="D627" s="2" t="s">
        <v>507</v>
      </c>
      <c r="E627" s="2" t="s">
        <v>1039</v>
      </c>
      <c r="F627" s="3" t="n">
        <v>45722.5131944444</v>
      </c>
      <c r="G627" s="2" t="s">
        <v>1299</v>
      </c>
      <c r="H627" s="4" t="n">
        <v>0.5574</v>
      </c>
      <c r="I627" s="2" t="s">
        <v>23</v>
      </c>
      <c r="J627" s="2" t="s">
        <v>33</v>
      </c>
      <c r="K627" s="2" t="n">
        <v>3</v>
      </c>
      <c r="L627" s="2" t="n">
        <v>0</v>
      </c>
      <c r="M627" s="2" t="n">
        <v>0</v>
      </c>
    </row>
    <row r="628" customFormat="false" ht="15" hidden="false" customHeight="false" outlineLevel="0" collapsed="false">
      <c r="A628" s="2" t="s">
        <v>1430</v>
      </c>
      <c r="B628" s="2" t="s">
        <v>1431</v>
      </c>
      <c r="C628" s="2" t="n">
        <v>5</v>
      </c>
      <c r="D628" s="2" t="s">
        <v>121</v>
      </c>
      <c r="E628" s="2" t="s">
        <v>1039</v>
      </c>
      <c r="F628" s="3" t="n">
        <v>45722.80625</v>
      </c>
      <c r="G628" s="2" t="s">
        <v>1299</v>
      </c>
      <c r="H628" s="4" t="n">
        <v>0.607</v>
      </c>
      <c r="I628" s="2" t="s">
        <v>23</v>
      </c>
      <c r="J628" s="2" t="s">
        <v>33</v>
      </c>
      <c r="K628" s="2" t="n">
        <v>2</v>
      </c>
      <c r="L628" s="2" t="n">
        <v>0</v>
      </c>
      <c r="M628" s="2" t="n">
        <v>0</v>
      </c>
    </row>
    <row r="629" customFormat="false" ht="15" hidden="false" customHeight="false" outlineLevel="0" collapsed="false">
      <c r="A629" s="2" t="s">
        <v>1432</v>
      </c>
      <c r="B629" s="2" t="s">
        <v>1433</v>
      </c>
      <c r="C629" s="2" t="n">
        <v>3</v>
      </c>
      <c r="D629" s="2" t="s">
        <v>87</v>
      </c>
      <c r="E629" s="2" t="s">
        <v>1039</v>
      </c>
      <c r="F629" s="3" t="n">
        <v>45722.9097222222</v>
      </c>
      <c r="G629" s="2" t="s">
        <v>1299</v>
      </c>
      <c r="H629" s="4" t="n">
        <v>0</v>
      </c>
      <c r="I629" s="2" t="s">
        <v>18</v>
      </c>
      <c r="J629" s="2" t="s">
        <v>19</v>
      </c>
      <c r="K629" s="2" t="n">
        <v>10</v>
      </c>
      <c r="L629" s="2" t="n">
        <v>0</v>
      </c>
      <c r="M629" s="2" t="n">
        <v>0</v>
      </c>
    </row>
    <row r="630" customFormat="false" ht="15" hidden="false" customHeight="false" outlineLevel="0" collapsed="false">
      <c r="A630" s="2" t="s">
        <v>1434</v>
      </c>
      <c r="B630" s="2" t="s">
        <v>1435</v>
      </c>
      <c r="C630" s="2" t="n">
        <v>4</v>
      </c>
      <c r="D630" s="2" t="s">
        <v>99</v>
      </c>
      <c r="E630" s="2" t="s">
        <v>1039</v>
      </c>
      <c r="F630" s="3" t="n">
        <v>45722.9361111111</v>
      </c>
      <c r="G630" s="2" t="s">
        <v>1299</v>
      </c>
      <c r="H630" s="4" t="n">
        <v>-0.3089</v>
      </c>
      <c r="I630" s="2" t="s">
        <v>84</v>
      </c>
      <c r="J630" s="2" t="s">
        <v>19</v>
      </c>
      <c r="K630" s="2" t="n">
        <v>2</v>
      </c>
      <c r="L630" s="2" t="n">
        <v>0</v>
      </c>
      <c r="M630" s="2" t="n">
        <v>0</v>
      </c>
    </row>
    <row r="631" customFormat="false" ht="15" hidden="false" customHeight="false" outlineLevel="0" collapsed="false">
      <c r="A631" s="2" t="s">
        <v>1436</v>
      </c>
      <c r="B631" s="2" t="s">
        <v>1437</v>
      </c>
      <c r="C631" s="2" t="n">
        <v>5</v>
      </c>
      <c r="D631" s="2" t="s">
        <v>90</v>
      </c>
      <c r="E631" s="2" t="s">
        <v>1039</v>
      </c>
      <c r="F631" s="3" t="n">
        <v>45722.9423611111</v>
      </c>
      <c r="G631" s="2" t="s">
        <v>1299</v>
      </c>
      <c r="H631" s="4" t="n">
        <v>0.6249</v>
      </c>
      <c r="I631" s="2" t="s">
        <v>23</v>
      </c>
      <c r="J631" s="2" t="s">
        <v>37</v>
      </c>
      <c r="K631" s="2" t="n">
        <v>12</v>
      </c>
      <c r="L631" s="2" t="n">
        <v>0</v>
      </c>
      <c r="M631" s="2" t="n">
        <v>0</v>
      </c>
    </row>
    <row r="632" customFormat="false" ht="15" hidden="false" customHeight="false" outlineLevel="0" collapsed="false">
      <c r="A632" s="2" t="s">
        <v>1438</v>
      </c>
      <c r="B632" s="2" t="s">
        <v>1439</v>
      </c>
      <c r="C632" s="2" t="n">
        <v>5</v>
      </c>
      <c r="D632" s="2" t="s">
        <v>90</v>
      </c>
      <c r="E632" s="2" t="s">
        <v>1039</v>
      </c>
      <c r="F632" s="3" t="n">
        <v>45722.9791666667</v>
      </c>
      <c r="G632" s="2" t="s">
        <v>1299</v>
      </c>
      <c r="H632" s="4" t="n">
        <v>0.6249</v>
      </c>
      <c r="I632" s="2" t="s">
        <v>23</v>
      </c>
      <c r="J632" s="2" t="s">
        <v>37</v>
      </c>
      <c r="K632" s="2" t="n">
        <v>0</v>
      </c>
      <c r="L632" s="2" t="n">
        <v>0</v>
      </c>
      <c r="M632" s="2" t="n">
        <v>0</v>
      </c>
    </row>
    <row r="633" customFormat="false" ht="15" hidden="false" customHeight="false" outlineLevel="0" collapsed="false">
      <c r="A633" s="2" t="s">
        <v>1440</v>
      </c>
      <c r="B633" s="2" t="s">
        <v>1441</v>
      </c>
      <c r="C633" s="2" t="n">
        <v>5</v>
      </c>
      <c r="D633" s="2" t="s">
        <v>52</v>
      </c>
      <c r="E633" s="2" t="s">
        <v>1039</v>
      </c>
      <c r="F633" s="3" t="n">
        <v>45723.0881944444</v>
      </c>
      <c r="G633" s="2" t="s">
        <v>1299</v>
      </c>
      <c r="H633" s="4" t="n">
        <v>0.6369</v>
      </c>
      <c r="I633" s="2" t="s">
        <v>23</v>
      </c>
      <c r="J633" s="2" t="s">
        <v>19</v>
      </c>
      <c r="K633" s="2" t="n">
        <v>0</v>
      </c>
      <c r="L633" s="2" t="n">
        <v>0</v>
      </c>
      <c r="M633" s="2" t="n">
        <v>0</v>
      </c>
    </row>
    <row r="634" customFormat="false" ht="15" hidden="false" customHeight="false" outlineLevel="0" collapsed="false">
      <c r="A634" s="2" t="s">
        <v>1442</v>
      </c>
      <c r="B634" s="2" t="s">
        <v>1443</v>
      </c>
      <c r="C634" s="2" t="n">
        <v>2</v>
      </c>
      <c r="D634" s="2" t="s">
        <v>133</v>
      </c>
      <c r="E634" s="2" t="s">
        <v>1039</v>
      </c>
      <c r="F634" s="3" t="n">
        <v>45723.2479166667</v>
      </c>
      <c r="G634" s="2" t="s">
        <v>1299</v>
      </c>
      <c r="H634" s="4" t="n">
        <v>-0.5719</v>
      </c>
      <c r="I634" s="2" t="s">
        <v>84</v>
      </c>
      <c r="J634" s="2" t="s">
        <v>33</v>
      </c>
      <c r="K634" s="2" t="n">
        <v>7</v>
      </c>
      <c r="L634" s="2" t="n">
        <v>0</v>
      </c>
      <c r="M634" s="2" t="n">
        <v>0</v>
      </c>
    </row>
    <row r="635" customFormat="false" ht="15" hidden="false" customHeight="false" outlineLevel="0" collapsed="false">
      <c r="A635" s="2" t="s">
        <v>1444</v>
      </c>
      <c r="B635" s="2" t="s">
        <v>1445</v>
      </c>
      <c r="C635" s="2" t="n">
        <v>5</v>
      </c>
      <c r="D635" s="2" t="s">
        <v>90</v>
      </c>
      <c r="E635" s="2" t="s">
        <v>1039</v>
      </c>
      <c r="F635" s="3" t="n">
        <v>45723.2708333333</v>
      </c>
      <c r="G635" s="2" t="s">
        <v>1299</v>
      </c>
      <c r="H635" s="4" t="n">
        <v>0.6249</v>
      </c>
      <c r="I635" s="2" t="s">
        <v>23</v>
      </c>
      <c r="J635" s="2" t="s">
        <v>37</v>
      </c>
      <c r="K635" s="2" t="n">
        <v>0</v>
      </c>
      <c r="L635" s="2" t="n">
        <v>0</v>
      </c>
      <c r="M635" s="2" t="n">
        <v>0</v>
      </c>
    </row>
    <row r="636" customFormat="false" ht="15" hidden="false" customHeight="false" outlineLevel="0" collapsed="false">
      <c r="A636" s="2" t="s">
        <v>1446</v>
      </c>
      <c r="B636" s="2" t="s">
        <v>1447</v>
      </c>
      <c r="C636" s="2" t="n">
        <v>4</v>
      </c>
      <c r="D636" s="2" t="s">
        <v>99</v>
      </c>
      <c r="E636" s="2" t="s">
        <v>1039</v>
      </c>
      <c r="F636" s="3" t="n">
        <v>45723.4847222222</v>
      </c>
      <c r="G636" s="2" t="s">
        <v>1299</v>
      </c>
      <c r="H636" s="4" t="n">
        <v>-0.3089</v>
      </c>
      <c r="I636" s="2" t="s">
        <v>84</v>
      </c>
      <c r="J636" s="2" t="s">
        <v>19</v>
      </c>
      <c r="K636" s="2" t="n">
        <v>1</v>
      </c>
      <c r="L636" s="2" t="n">
        <v>0</v>
      </c>
      <c r="M636" s="2" t="n">
        <v>0</v>
      </c>
    </row>
    <row r="637" customFormat="false" ht="15" hidden="false" customHeight="false" outlineLevel="0" collapsed="false">
      <c r="A637" s="2" t="s">
        <v>1448</v>
      </c>
      <c r="B637" s="2" t="s">
        <v>1449</v>
      </c>
      <c r="C637" s="2" t="n">
        <v>4</v>
      </c>
      <c r="D637" s="2" t="s">
        <v>40</v>
      </c>
      <c r="E637" s="2" t="s">
        <v>1039</v>
      </c>
      <c r="F637" s="3" t="n">
        <v>45723.6291666667</v>
      </c>
      <c r="G637" s="2" t="s">
        <v>1299</v>
      </c>
      <c r="H637" s="4" t="n">
        <v>0.4019</v>
      </c>
      <c r="I637" s="2" t="s">
        <v>23</v>
      </c>
      <c r="J637" s="2" t="s">
        <v>33</v>
      </c>
      <c r="K637" s="2" t="n">
        <v>5</v>
      </c>
      <c r="L637" s="2" t="n">
        <v>0</v>
      </c>
      <c r="M637" s="2" t="n">
        <v>0</v>
      </c>
    </row>
    <row r="638" customFormat="false" ht="15" hidden="false" customHeight="false" outlineLevel="0" collapsed="false">
      <c r="A638" s="2" t="s">
        <v>1450</v>
      </c>
      <c r="B638" s="2" t="s">
        <v>1451</v>
      </c>
      <c r="C638" s="2" t="n">
        <v>4</v>
      </c>
      <c r="D638" s="2" t="s">
        <v>15</v>
      </c>
      <c r="E638" s="2" t="s">
        <v>1039</v>
      </c>
      <c r="F638" s="3" t="n">
        <v>45723.6354166667</v>
      </c>
      <c r="G638" s="2" t="s">
        <v>1299</v>
      </c>
      <c r="H638" s="4" t="n">
        <v>0</v>
      </c>
      <c r="I638" s="2" t="s">
        <v>18</v>
      </c>
      <c r="J638" s="2" t="s">
        <v>19</v>
      </c>
      <c r="K638" s="2" t="n">
        <v>0</v>
      </c>
      <c r="L638" s="2" t="n">
        <v>0</v>
      </c>
      <c r="M638" s="2" t="n">
        <v>0</v>
      </c>
    </row>
    <row r="639" customFormat="false" ht="15" hidden="false" customHeight="false" outlineLevel="0" collapsed="false">
      <c r="A639" s="2" t="s">
        <v>1452</v>
      </c>
      <c r="B639" s="2" t="s">
        <v>1453</v>
      </c>
      <c r="C639" s="2" t="n">
        <v>3</v>
      </c>
      <c r="D639" s="2" t="s">
        <v>301</v>
      </c>
      <c r="E639" s="2" t="s">
        <v>1039</v>
      </c>
      <c r="F639" s="3" t="n">
        <v>45723.6680555556</v>
      </c>
      <c r="G639" s="2" t="s">
        <v>1299</v>
      </c>
      <c r="H639" s="4" t="n">
        <v>0.2263</v>
      </c>
      <c r="I639" s="2" t="s">
        <v>23</v>
      </c>
      <c r="J639" s="2" t="s">
        <v>19</v>
      </c>
      <c r="K639" s="2" t="n">
        <v>3</v>
      </c>
      <c r="L639" s="2" t="n">
        <v>0</v>
      </c>
      <c r="M639" s="2" t="n">
        <v>0</v>
      </c>
    </row>
    <row r="640" customFormat="false" ht="15" hidden="false" customHeight="false" outlineLevel="0" collapsed="false">
      <c r="A640" s="2" t="s">
        <v>1454</v>
      </c>
      <c r="B640" s="2" t="s">
        <v>1455</v>
      </c>
      <c r="C640" s="2" t="n">
        <v>5</v>
      </c>
      <c r="D640" s="2" t="s">
        <v>1240</v>
      </c>
      <c r="E640" s="2" t="s">
        <v>1039</v>
      </c>
      <c r="F640" s="3" t="n">
        <v>45723.9458333333</v>
      </c>
      <c r="G640" s="2" t="s">
        <v>1299</v>
      </c>
      <c r="H640" s="4" t="n">
        <v>0.6369</v>
      </c>
      <c r="I640" s="2" t="s">
        <v>23</v>
      </c>
      <c r="J640" s="2" t="s">
        <v>19</v>
      </c>
      <c r="K640" s="2" t="n">
        <v>5</v>
      </c>
      <c r="L640" s="2" t="n">
        <v>0</v>
      </c>
      <c r="M640" s="2" t="n">
        <v>0</v>
      </c>
    </row>
    <row r="641" customFormat="false" ht="15" hidden="false" customHeight="false" outlineLevel="0" collapsed="false">
      <c r="A641" s="2" t="s">
        <v>1456</v>
      </c>
      <c r="B641" s="2" t="s">
        <v>1457</v>
      </c>
      <c r="C641" s="2" t="n">
        <v>5</v>
      </c>
      <c r="D641" s="2" t="s">
        <v>15</v>
      </c>
      <c r="E641" s="2" t="s">
        <v>1039</v>
      </c>
      <c r="F641" s="3" t="n">
        <v>45723.9680555556</v>
      </c>
      <c r="G641" s="2" t="s">
        <v>1299</v>
      </c>
      <c r="H641" s="4" t="n">
        <v>0</v>
      </c>
      <c r="I641" s="2" t="s">
        <v>18</v>
      </c>
      <c r="J641" s="2" t="s">
        <v>19</v>
      </c>
      <c r="K641" s="2" t="n">
        <v>0</v>
      </c>
      <c r="L641" s="2" t="n">
        <v>0</v>
      </c>
      <c r="M641" s="2" t="n">
        <v>0</v>
      </c>
    </row>
    <row r="642" customFormat="false" ht="15" hidden="false" customHeight="false" outlineLevel="0" collapsed="false">
      <c r="A642" s="2" t="s">
        <v>1458</v>
      </c>
      <c r="B642" s="2" t="s">
        <v>1459</v>
      </c>
      <c r="C642" s="2" t="n">
        <v>3</v>
      </c>
      <c r="D642" s="2" t="s">
        <v>301</v>
      </c>
      <c r="E642" s="2" t="s">
        <v>1039</v>
      </c>
      <c r="F642" s="3" t="n">
        <v>45724.0333333333</v>
      </c>
      <c r="G642" s="2" t="s">
        <v>1299</v>
      </c>
      <c r="H642" s="4" t="n">
        <v>0.2263</v>
      </c>
      <c r="I642" s="2" t="s">
        <v>23</v>
      </c>
      <c r="J642" s="2" t="s">
        <v>19</v>
      </c>
      <c r="K642" s="2" t="n">
        <v>2</v>
      </c>
      <c r="L642" s="2" t="n">
        <v>0</v>
      </c>
      <c r="M642" s="2" t="n">
        <v>0</v>
      </c>
    </row>
    <row r="643" customFormat="false" ht="15" hidden="false" customHeight="false" outlineLevel="0" collapsed="false">
      <c r="A643" s="2" t="s">
        <v>1460</v>
      </c>
      <c r="B643" s="2" t="s">
        <v>1461</v>
      </c>
      <c r="C643" s="2" t="n">
        <v>4</v>
      </c>
      <c r="D643" s="2" t="s">
        <v>652</v>
      </c>
      <c r="E643" s="2" t="s">
        <v>1039</v>
      </c>
      <c r="F643" s="3" t="n">
        <v>45724.1486111111</v>
      </c>
      <c r="G643" s="2" t="s">
        <v>1299</v>
      </c>
      <c r="H643" s="4" t="n">
        <v>0.8555</v>
      </c>
      <c r="I643" s="2" t="s">
        <v>23</v>
      </c>
      <c r="J643" s="2" t="s">
        <v>19</v>
      </c>
      <c r="K643" s="2" t="n">
        <v>4</v>
      </c>
      <c r="L643" s="2" t="n">
        <v>0</v>
      </c>
      <c r="M643" s="2" t="n">
        <v>0</v>
      </c>
    </row>
    <row r="644" customFormat="false" ht="15" hidden="false" customHeight="false" outlineLevel="0" collapsed="false">
      <c r="A644" s="2" t="s">
        <v>1462</v>
      </c>
      <c r="B644" s="2" t="s">
        <v>1463</v>
      </c>
      <c r="C644" s="2" t="n">
        <v>3</v>
      </c>
      <c r="D644" s="2" t="s">
        <v>1029</v>
      </c>
      <c r="E644" s="2" t="s">
        <v>1039</v>
      </c>
      <c r="F644" s="3" t="n">
        <v>45724.1784722222</v>
      </c>
      <c r="G644" s="2" t="s">
        <v>1299</v>
      </c>
      <c r="H644" s="4" t="n">
        <v>0.1154</v>
      </c>
      <c r="I644" s="2" t="s">
        <v>23</v>
      </c>
      <c r="J644" s="2" t="s">
        <v>19</v>
      </c>
      <c r="K644" s="2" t="n">
        <v>2</v>
      </c>
      <c r="L644" s="2" t="n">
        <v>0</v>
      </c>
      <c r="M644" s="2" t="n">
        <v>0</v>
      </c>
    </row>
    <row r="645" customFormat="false" ht="15" hidden="false" customHeight="false" outlineLevel="0" collapsed="false">
      <c r="A645" s="2" t="s">
        <v>1464</v>
      </c>
      <c r="B645" s="2" t="s">
        <v>1465</v>
      </c>
      <c r="C645" s="2" t="n">
        <v>5</v>
      </c>
      <c r="D645" s="2" t="s">
        <v>76</v>
      </c>
      <c r="E645" s="2" t="s">
        <v>1039</v>
      </c>
      <c r="F645" s="3" t="n">
        <v>45724.2416666667</v>
      </c>
      <c r="G645" s="2" t="s">
        <v>1299</v>
      </c>
      <c r="H645" s="4" t="n">
        <v>0.607</v>
      </c>
      <c r="I645" s="2" t="s">
        <v>23</v>
      </c>
      <c r="J645" s="2" t="s">
        <v>33</v>
      </c>
      <c r="K645" s="2" t="n">
        <v>7</v>
      </c>
      <c r="L645" s="2" t="n">
        <v>0</v>
      </c>
      <c r="M645" s="2" t="n">
        <v>0</v>
      </c>
    </row>
    <row r="646" customFormat="false" ht="15" hidden="false" customHeight="false" outlineLevel="0" collapsed="false">
      <c r="A646" s="2" t="s">
        <v>1466</v>
      </c>
      <c r="B646" s="2" t="s">
        <v>1467</v>
      </c>
      <c r="C646" s="2" t="n">
        <v>5</v>
      </c>
      <c r="D646" s="2" t="s">
        <v>90</v>
      </c>
      <c r="E646" s="2" t="s">
        <v>1039</v>
      </c>
      <c r="F646" s="3" t="n">
        <v>45724.3694444444</v>
      </c>
      <c r="G646" s="2" t="s">
        <v>1299</v>
      </c>
      <c r="H646" s="4" t="n">
        <v>0.6249</v>
      </c>
      <c r="I646" s="2" t="s">
        <v>23</v>
      </c>
      <c r="J646" s="2" t="s">
        <v>37</v>
      </c>
      <c r="K646" s="2" t="n">
        <v>2</v>
      </c>
      <c r="L646" s="2" t="n">
        <v>0</v>
      </c>
      <c r="M646" s="2" t="n">
        <v>0</v>
      </c>
    </row>
    <row r="647" customFormat="false" ht="15" hidden="false" customHeight="false" outlineLevel="0" collapsed="false">
      <c r="A647" s="2" t="s">
        <v>1468</v>
      </c>
      <c r="B647" s="2" t="s">
        <v>1469</v>
      </c>
      <c r="C647" s="2" t="n">
        <v>5</v>
      </c>
      <c r="D647" s="2" t="s">
        <v>127</v>
      </c>
      <c r="E647" s="2" t="s">
        <v>1039</v>
      </c>
      <c r="F647" s="3" t="n">
        <v>45724.3833333333</v>
      </c>
      <c r="G647" s="2" t="s">
        <v>1299</v>
      </c>
      <c r="H647" s="4" t="n">
        <v>0.9359</v>
      </c>
      <c r="I647" s="2" t="s">
        <v>23</v>
      </c>
      <c r="J647" s="2" t="s">
        <v>37</v>
      </c>
      <c r="K647" s="2" t="n">
        <v>0</v>
      </c>
      <c r="L647" s="2" t="n">
        <v>0</v>
      </c>
      <c r="M647" s="2" t="n">
        <v>0</v>
      </c>
    </row>
    <row r="648" customFormat="false" ht="15" hidden="false" customHeight="false" outlineLevel="0" collapsed="false">
      <c r="A648" s="2" t="s">
        <v>1470</v>
      </c>
      <c r="B648" s="2" t="s">
        <v>1471</v>
      </c>
      <c r="C648" s="2" t="n">
        <v>5</v>
      </c>
      <c r="D648" s="2" t="s">
        <v>127</v>
      </c>
      <c r="E648" s="2" t="s">
        <v>1039</v>
      </c>
      <c r="F648" s="3" t="n">
        <v>45724.4104166667</v>
      </c>
      <c r="G648" s="2" t="s">
        <v>1299</v>
      </c>
      <c r="H648" s="4" t="n">
        <v>0.9359</v>
      </c>
      <c r="I648" s="2" t="s">
        <v>23</v>
      </c>
      <c r="J648" s="2" t="s">
        <v>37</v>
      </c>
      <c r="K648" s="2" t="n">
        <v>3</v>
      </c>
      <c r="L648" s="2" t="n">
        <v>0</v>
      </c>
      <c r="M648" s="2" t="n">
        <v>0</v>
      </c>
    </row>
    <row r="649" customFormat="false" ht="15" hidden="false" customHeight="false" outlineLevel="0" collapsed="false">
      <c r="A649" s="2" t="s">
        <v>1472</v>
      </c>
      <c r="B649" s="2" t="s">
        <v>1473</v>
      </c>
      <c r="C649" s="2" t="n">
        <v>1</v>
      </c>
      <c r="D649" s="2" t="s">
        <v>234</v>
      </c>
      <c r="E649" s="2" t="s">
        <v>1039</v>
      </c>
      <c r="F649" s="3" t="n">
        <v>45724.4625</v>
      </c>
      <c r="G649" s="2" t="s">
        <v>1299</v>
      </c>
      <c r="H649" s="4" t="n">
        <v>0</v>
      </c>
      <c r="I649" s="2" t="s">
        <v>18</v>
      </c>
      <c r="J649" s="2" t="s">
        <v>165</v>
      </c>
      <c r="K649" s="2" t="n">
        <v>1</v>
      </c>
      <c r="L649" s="2" t="n">
        <v>1</v>
      </c>
      <c r="M649" s="2" t="n">
        <v>0</v>
      </c>
    </row>
    <row r="650" customFormat="false" ht="15" hidden="false" customHeight="false" outlineLevel="0" collapsed="false">
      <c r="A650" s="2" t="s">
        <v>1474</v>
      </c>
      <c r="B650" s="2" t="s">
        <v>1475</v>
      </c>
      <c r="C650" s="2" t="n">
        <v>5</v>
      </c>
      <c r="D650" s="2" t="s">
        <v>90</v>
      </c>
      <c r="E650" s="2" t="s">
        <v>1039</v>
      </c>
      <c r="F650" s="3" t="n">
        <v>45724.6618055556</v>
      </c>
      <c r="G650" s="2" t="s">
        <v>1299</v>
      </c>
      <c r="H650" s="4" t="n">
        <v>0.6249</v>
      </c>
      <c r="I650" s="2" t="s">
        <v>23</v>
      </c>
      <c r="J650" s="2" t="s">
        <v>37</v>
      </c>
      <c r="K650" s="2" t="n">
        <v>7</v>
      </c>
      <c r="L650" s="2" t="n">
        <v>0</v>
      </c>
      <c r="M650" s="2" t="n">
        <v>0</v>
      </c>
    </row>
    <row r="651" customFormat="false" ht="15" hidden="false" customHeight="false" outlineLevel="0" collapsed="false">
      <c r="A651" s="2" t="s">
        <v>1476</v>
      </c>
      <c r="B651" s="2" t="s">
        <v>1477</v>
      </c>
      <c r="C651" s="2" t="n">
        <v>2</v>
      </c>
      <c r="D651" s="2" t="s">
        <v>1478</v>
      </c>
      <c r="E651" s="2" t="s">
        <v>1039</v>
      </c>
      <c r="F651" s="3" t="n">
        <v>45724.7381944444</v>
      </c>
      <c r="G651" s="2" t="s">
        <v>1299</v>
      </c>
      <c r="H651" s="4" t="n">
        <v>-0.5023</v>
      </c>
      <c r="I651" s="2" t="s">
        <v>84</v>
      </c>
      <c r="J651" s="2" t="s">
        <v>33</v>
      </c>
      <c r="K651" s="2" t="n">
        <v>17</v>
      </c>
      <c r="L651" s="2" t="n">
        <v>1</v>
      </c>
      <c r="M651" s="2" t="n">
        <v>0</v>
      </c>
    </row>
    <row r="652" customFormat="false" ht="15" hidden="false" customHeight="false" outlineLevel="0" collapsed="false">
      <c r="A652" s="2" t="s">
        <v>1479</v>
      </c>
      <c r="B652" s="2" t="s">
        <v>1480</v>
      </c>
      <c r="C652" s="2" t="n">
        <v>5</v>
      </c>
      <c r="D652" s="2" t="s">
        <v>47</v>
      </c>
      <c r="E652" s="2" t="s">
        <v>1039</v>
      </c>
      <c r="F652" s="3" t="n">
        <v>45724.7701388889</v>
      </c>
      <c r="G652" s="2" t="s">
        <v>1299</v>
      </c>
      <c r="H652" s="4" t="n">
        <v>0.3089</v>
      </c>
      <c r="I652" s="2" t="s">
        <v>23</v>
      </c>
      <c r="J652" s="2" t="s">
        <v>19</v>
      </c>
      <c r="K652" s="2" t="n">
        <v>6</v>
      </c>
      <c r="L652" s="2" t="n">
        <v>0</v>
      </c>
      <c r="M652" s="2" t="n">
        <v>0</v>
      </c>
    </row>
    <row r="653" customFormat="false" ht="15" hidden="false" customHeight="false" outlineLevel="0" collapsed="false">
      <c r="A653" s="2" t="s">
        <v>1481</v>
      </c>
      <c r="B653" s="2" t="s">
        <v>1482</v>
      </c>
      <c r="C653" s="2" t="n">
        <v>2</v>
      </c>
      <c r="D653" s="2" t="s">
        <v>701</v>
      </c>
      <c r="E653" s="2" t="s">
        <v>1039</v>
      </c>
      <c r="F653" s="3" t="n">
        <v>45724.8243055556</v>
      </c>
      <c r="G653" s="2" t="s">
        <v>1299</v>
      </c>
      <c r="H653" s="4" t="n">
        <v>-0.7184</v>
      </c>
      <c r="I653" s="2" t="s">
        <v>84</v>
      </c>
      <c r="J653" s="2" t="s">
        <v>37</v>
      </c>
      <c r="K653" s="2" t="n">
        <v>0</v>
      </c>
      <c r="L653" s="2" t="n">
        <v>1</v>
      </c>
      <c r="M653" s="2" t="n">
        <v>0</v>
      </c>
    </row>
    <row r="654" customFormat="false" ht="15" hidden="false" customHeight="false" outlineLevel="0" collapsed="false">
      <c r="A654" s="2" t="s">
        <v>1483</v>
      </c>
      <c r="B654" s="2" t="s">
        <v>1484</v>
      </c>
      <c r="C654" s="2" t="n">
        <v>4</v>
      </c>
      <c r="D654" s="2" t="s">
        <v>389</v>
      </c>
      <c r="E654" s="2" t="s">
        <v>1039</v>
      </c>
      <c r="F654" s="3" t="n">
        <v>45724.825</v>
      </c>
      <c r="G654" s="2" t="s">
        <v>1299</v>
      </c>
      <c r="H654" s="4" t="n">
        <v>0.8519</v>
      </c>
      <c r="I654" s="2" t="s">
        <v>23</v>
      </c>
      <c r="J654" s="2" t="s">
        <v>37</v>
      </c>
      <c r="K654" s="2" t="n">
        <v>10</v>
      </c>
      <c r="L654" s="2" t="n">
        <v>0</v>
      </c>
      <c r="M654" s="2" t="n">
        <v>0</v>
      </c>
    </row>
    <row r="655" customFormat="false" ht="15" hidden="false" customHeight="false" outlineLevel="0" collapsed="false">
      <c r="A655" s="2" t="s">
        <v>1485</v>
      </c>
      <c r="B655" s="2" t="s">
        <v>1486</v>
      </c>
      <c r="C655" s="2" t="n">
        <v>4</v>
      </c>
      <c r="D655" s="2" t="s">
        <v>1052</v>
      </c>
      <c r="E655" s="2" t="s">
        <v>1039</v>
      </c>
      <c r="F655" s="3" t="n">
        <v>45724.8909722222</v>
      </c>
      <c r="G655" s="2" t="s">
        <v>1299</v>
      </c>
      <c r="H655" s="4" t="n">
        <v>0.7088</v>
      </c>
      <c r="I655" s="2" t="s">
        <v>23</v>
      </c>
      <c r="J655" s="2" t="s">
        <v>19</v>
      </c>
      <c r="K655" s="2" t="n">
        <v>3</v>
      </c>
      <c r="L655" s="2" t="n">
        <v>0</v>
      </c>
      <c r="M655" s="2" t="n">
        <v>0</v>
      </c>
    </row>
    <row r="656" customFormat="false" ht="15" hidden="false" customHeight="false" outlineLevel="0" collapsed="false">
      <c r="A656" s="2" t="s">
        <v>1487</v>
      </c>
      <c r="B656" s="2" t="s">
        <v>1488</v>
      </c>
      <c r="C656" s="2" t="n">
        <v>3</v>
      </c>
      <c r="D656" s="2" t="s">
        <v>301</v>
      </c>
      <c r="E656" s="2" t="s">
        <v>1039</v>
      </c>
      <c r="F656" s="3" t="n">
        <v>45725.0194444444</v>
      </c>
      <c r="G656" s="2" t="s">
        <v>1299</v>
      </c>
      <c r="H656" s="4" t="n">
        <v>0.2263</v>
      </c>
      <c r="I656" s="2" t="s">
        <v>23</v>
      </c>
      <c r="J656" s="2" t="s">
        <v>19</v>
      </c>
      <c r="K656" s="2" t="n">
        <v>1</v>
      </c>
      <c r="L656" s="2" t="n">
        <v>0</v>
      </c>
      <c r="M656" s="2" t="n">
        <v>0</v>
      </c>
    </row>
    <row r="657" customFormat="false" ht="15" hidden="false" customHeight="false" outlineLevel="0" collapsed="false">
      <c r="A657" s="2" t="s">
        <v>1489</v>
      </c>
      <c r="B657" s="2" t="s">
        <v>1490</v>
      </c>
      <c r="C657" s="2" t="n">
        <v>3</v>
      </c>
      <c r="D657" s="2" t="s">
        <v>1491</v>
      </c>
      <c r="E657" s="2" t="s">
        <v>1039</v>
      </c>
      <c r="F657" s="3" t="n">
        <v>45725.0916666667</v>
      </c>
      <c r="G657" s="2" t="s">
        <v>1299</v>
      </c>
      <c r="H657" s="4" t="n">
        <v>-0.1174</v>
      </c>
      <c r="I657" s="2" t="s">
        <v>84</v>
      </c>
      <c r="J657" s="2" t="s">
        <v>19</v>
      </c>
      <c r="K657" s="2" t="n">
        <v>1</v>
      </c>
      <c r="L657" s="2" t="n">
        <v>0</v>
      </c>
      <c r="M657" s="2" t="n">
        <v>0</v>
      </c>
    </row>
    <row r="658" customFormat="false" ht="15" hidden="false" customHeight="false" outlineLevel="0" collapsed="false">
      <c r="A658" s="2" t="s">
        <v>1492</v>
      </c>
      <c r="B658" s="2" t="s">
        <v>1493</v>
      </c>
      <c r="C658" s="2" t="n">
        <v>5</v>
      </c>
      <c r="D658" s="2" t="s">
        <v>96</v>
      </c>
      <c r="E658" s="2" t="s">
        <v>1039</v>
      </c>
      <c r="F658" s="3" t="n">
        <v>45725.1423611111</v>
      </c>
      <c r="G658" s="2" t="s">
        <v>1299</v>
      </c>
      <c r="H658" s="4" t="n">
        <v>0.6369</v>
      </c>
      <c r="I658" s="2" t="s">
        <v>23</v>
      </c>
      <c r="J658" s="2" t="s">
        <v>19</v>
      </c>
      <c r="K658" s="2" t="n">
        <v>3</v>
      </c>
      <c r="L658" s="2" t="n">
        <v>0</v>
      </c>
      <c r="M658" s="2" t="n">
        <v>0</v>
      </c>
    </row>
    <row r="659" customFormat="false" ht="15" hidden="false" customHeight="false" outlineLevel="0" collapsed="false">
      <c r="A659" s="2" t="s">
        <v>1494</v>
      </c>
      <c r="B659" s="2" t="s">
        <v>1495</v>
      </c>
      <c r="C659" s="2" t="n">
        <v>1</v>
      </c>
      <c r="D659" s="2" t="s">
        <v>168</v>
      </c>
      <c r="E659" s="2" t="s">
        <v>1039</v>
      </c>
      <c r="F659" s="3" t="n">
        <v>45725.2222222222</v>
      </c>
      <c r="G659" s="2" t="s">
        <v>1299</v>
      </c>
      <c r="H659" s="4" t="n">
        <v>-0.1027</v>
      </c>
      <c r="I659" s="2" t="s">
        <v>84</v>
      </c>
      <c r="J659" s="2" t="s">
        <v>33</v>
      </c>
      <c r="K659" s="2" t="n">
        <v>0</v>
      </c>
      <c r="L659" s="2" t="n">
        <v>1</v>
      </c>
      <c r="M659" s="2" t="n">
        <v>0</v>
      </c>
    </row>
    <row r="660" customFormat="false" ht="15" hidden="false" customHeight="false" outlineLevel="0" collapsed="false">
      <c r="A660" s="2" t="s">
        <v>1496</v>
      </c>
      <c r="B660" s="2" t="s">
        <v>1497</v>
      </c>
      <c r="C660" s="2" t="n">
        <v>5</v>
      </c>
      <c r="D660" s="2" t="s">
        <v>104</v>
      </c>
      <c r="E660" s="2" t="s">
        <v>1039</v>
      </c>
      <c r="F660" s="3" t="n">
        <v>45725.3888888889</v>
      </c>
      <c r="G660" s="2" t="s">
        <v>1299</v>
      </c>
      <c r="H660" s="4" t="n">
        <v>0.8481</v>
      </c>
      <c r="I660" s="2" t="s">
        <v>23</v>
      </c>
      <c r="J660" s="2" t="s">
        <v>37</v>
      </c>
      <c r="K660" s="2" t="n">
        <v>1</v>
      </c>
      <c r="L660" s="2" t="n">
        <v>0</v>
      </c>
      <c r="M660" s="2" t="n">
        <v>0</v>
      </c>
    </row>
    <row r="661" customFormat="false" ht="15" hidden="false" customHeight="false" outlineLevel="0" collapsed="false">
      <c r="A661" s="2" t="s">
        <v>1498</v>
      </c>
      <c r="B661" s="2" t="s">
        <v>1499</v>
      </c>
      <c r="C661" s="2" t="n">
        <v>5</v>
      </c>
      <c r="D661" s="2" t="s">
        <v>90</v>
      </c>
      <c r="E661" s="2" t="s">
        <v>1039</v>
      </c>
      <c r="F661" s="3" t="n">
        <v>45725.5979166667</v>
      </c>
      <c r="G661" s="2" t="s">
        <v>1299</v>
      </c>
      <c r="H661" s="4" t="n">
        <v>0.6249</v>
      </c>
      <c r="I661" s="2" t="s">
        <v>23</v>
      </c>
      <c r="J661" s="2" t="s">
        <v>37</v>
      </c>
      <c r="K661" s="2" t="n">
        <v>1</v>
      </c>
      <c r="L661" s="2" t="n">
        <v>0</v>
      </c>
      <c r="M661" s="2" t="n">
        <v>0</v>
      </c>
    </row>
    <row r="662" customFormat="false" ht="15" hidden="false" customHeight="false" outlineLevel="0" collapsed="false">
      <c r="A662" s="2" t="s">
        <v>1500</v>
      </c>
      <c r="B662" s="2" t="s">
        <v>1501</v>
      </c>
      <c r="C662" s="2" t="n">
        <v>4</v>
      </c>
      <c r="D662" s="2" t="s">
        <v>87</v>
      </c>
      <c r="E662" s="2" t="s">
        <v>1039</v>
      </c>
      <c r="F662" s="3" t="n">
        <v>45725.6819444444</v>
      </c>
      <c r="G662" s="2" t="s">
        <v>1299</v>
      </c>
      <c r="H662" s="4" t="n">
        <v>0</v>
      </c>
      <c r="I662" s="2" t="s">
        <v>18</v>
      </c>
      <c r="J662" s="2" t="s">
        <v>19</v>
      </c>
      <c r="K662" s="2" t="n">
        <v>2</v>
      </c>
      <c r="L662" s="2" t="n">
        <v>0</v>
      </c>
      <c r="M662" s="2" t="n">
        <v>0</v>
      </c>
    </row>
    <row r="663" customFormat="false" ht="15" hidden="false" customHeight="false" outlineLevel="0" collapsed="false">
      <c r="A663" s="2" t="s">
        <v>1502</v>
      </c>
      <c r="B663" s="2" t="s">
        <v>1503</v>
      </c>
      <c r="C663" s="2" t="n">
        <v>5</v>
      </c>
      <c r="D663" s="2" t="s">
        <v>116</v>
      </c>
      <c r="E663" s="2" t="s">
        <v>1039</v>
      </c>
      <c r="F663" s="3" t="n">
        <v>45725.7979166667</v>
      </c>
      <c r="G663" s="2" t="s">
        <v>1299</v>
      </c>
      <c r="H663" s="4" t="n">
        <v>0.9359</v>
      </c>
      <c r="I663" s="2" t="s">
        <v>23</v>
      </c>
      <c r="J663" s="2" t="s">
        <v>37</v>
      </c>
      <c r="K663" s="2" t="n">
        <v>1</v>
      </c>
      <c r="L663" s="2" t="n">
        <v>0</v>
      </c>
      <c r="M663" s="2" t="n">
        <v>0</v>
      </c>
    </row>
    <row r="664" customFormat="false" ht="15" hidden="false" customHeight="false" outlineLevel="0" collapsed="false">
      <c r="A664" s="2" t="s">
        <v>1504</v>
      </c>
      <c r="B664" s="2" t="s">
        <v>1505</v>
      </c>
      <c r="C664" s="2" t="n">
        <v>5</v>
      </c>
      <c r="D664" s="2" t="s">
        <v>47</v>
      </c>
      <c r="E664" s="2" t="s">
        <v>1039</v>
      </c>
      <c r="F664" s="3" t="n">
        <v>45725.9770833333</v>
      </c>
      <c r="G664" s="2" t="s">
        <v>1299</v>
      </c>
      <c r="H664" s="4" t="n">
        <v>0.3089</v>
      </c>
      <c r="I664" s="2" t="s">
        <v>23</v>
      </c>
      <c r="J664" s="2" t="s">
        <v>19</v>
      </c>
      <c r="K664" s="2" t="n">
        <v>1</v>
      </c>
      <c r="L664" s="2" t="n">
        <v>0</v>
      </c>
      <c r="M664" s="2" t="n">
        <v>0</v>
      </c>
    </row>
    <row r="665" customFormat="false" ht="15" hidden="false" customHeight="false" outlineLevel="0" collapsed="false">
      <c r="A665" s="2" t="s">
        <v>1506</v>
      </c>
      <c r="B665" s="2" t="s">
        <v>1507</v>
      </c>
      <c r="C665" s="2" t="n">
        <v>1</v>
      </c>
      <c r="D665" s="2" t="s">
        <v>482</v>
      </c>
      <c r="E665" s="2" t="s">
        <v>1039</v>
      </c>
      <c r="F665" s="3" t="n">
        <v>45725.9840277778</v>
      </c>
      <c r="G665" s="2" t="s">
        <v>1299</v>
      </c>
      <c r="H665" s="4" t="n">
        <v>-0.6808</v>
      </c>
      <c r="I665" s="2" t="s">
        <v>84</v>
      </c>
      <c r="J665" s="2" t="s">
        <v>110</v>
      </c>
      <c r="K665" s="2" t="n">
        <v>1</v>
      </c>
      <c r="L665" s="2" t="n">
        <v>0</v>
      </c>
      <c r="M665" s="2" t="n">
        <v>0</v>
      </c>
    </row>
    <row r="666" customFormat="false" ht="15" hidden="false" customHeight="false" outlineLevel="0" collapsed="false">
      <c r="A666" s="2" t="s">
        <v>1508</v>
      </c>
      <c r="B666" s="2" t="s">
        <v>1509</v>
      </c>
      <c r="C666" s="2" t="n">
        <v>4</v>
      </c>
      <c r="D666" s="2" t="s">
        <v>62</v>
      </c>
      <c r="E666" s="2" t="s">
        <v>1039</v>
      </c>
      <c r="F666" s="3" t="n">
        <v>45726.0208333333</v>
      </c>
      <c r="G666" s="2" t="s">
        <v>1299</v>
      </c>
      <c r="H666" s="4" t="n">
        <v>0.7088</v>
      </c>
      <c r="I666" s="2" t="s">
        <v>23</v>
      </c>
      <c r="J666" s="2" t="s">
        <v>19</v>
      </c>
      <c r="K666" s="2" t="n">
        <v>1</v>
      </c>
      <c r="L666" s="2" t="n">
        <v>0</v>
      </c>
      <c r="M666" s="2" t="n">
        <v>0</v>
      </c>
    </row>
    <row r="667" customFormat="false" ht="15" hidden="false" customHeight="false" outlineLevel="0" collapsed="false">
      <c r="A667" s="2" t="s">
        <v>1510</v>
      </c>
      <c r="B667" s="2" t="s">
        <v>1511</v>
      </c>
      <c r="C667" s="2" t="n">
        <v>5</v>
      </c>
      <c r="D667" s="2" t="s">
        <v>52</v>
      </c>
      <c r="E667" s="2" t="s">
        <v>1039</v>
      </c>
      <c r="F667" s="3" t="n">
        <v>45726.0611111111</v>
      </c>
      <c r="G667" s="2" t="s">
        <v>1299</v>
      </c>
      <c r="H667" s="4" t="n">
        <v>0.6369</v>
      </c>
      <c r="I667" s="2" t="s">
        <v>23</v>
      </c>
      <c r="J667" s="2" t="s">
        <v>19</v>
      </c>
      <c r="K667" s="2" t="n">
        <v>0</v>
      </c>
      <c r="L667" s="2" t="n">
        <v>0</v>
      </c>
      <c r="M667" s="2" t="n">
        <v>0</v>
      </c>
    </row>
    <row r="668" customFormat="false" ht="15" hidden="false" customHeight="false" outlineLevel="0" collapsed="false">
      <c r="A668" s="2" t="s">
        <v>1512</v>
      </c>
      <c r="B668" s="2" t="s">
        <v>700</v>
      </c>
      <c r="C668" s="2" t="n">
        <v>5</v>
      </c>
      <c r="D668" s="2" t="s">
        <v>1212</v>
      </c>
      <c r="E668" s="2" t="s">
        <v>1039</v>
      </c>
      <c r="F668" s="3" t="n">
        <v>45726.2180555556</v>
      </c>
      <c r="G668" s="2" t="s">
        <v>1299</v>
      </c>
      <c r="H668" s="4" t="n">
        <v>0.8777</v>
      </c>
      <c r="I668" s="2" t="s">
        <v>23</v>
      </c>
      <c r="J668" s="2" t="s">
        <v>19</v>
      </c>
      <c r="K668" s="2" t="n">
        <v>8</v>
      </c>
      <c r="L668" s="2" t="n">
        <v>0</v>
      </c>
      <c r="M668" s="2" t="n">
        <v>0</v>
      </c>
    </row>
    <row r="669" customFormat="false" ht="15" hidden="false" customHeight="false" outlineLevel="0" collapsed="false">
      <c r="A669" s="2" t="s">
        <v>1513</v>
      </c>
      <c r="B669" s="2" t="s">
        <v>1514</v>
      </c>
      <c r="C669" s="2" t="n">
        <v>4</v>
      </c>
      <c r="D669" s="2" t="s">
        <v>40</v>
      </c>
      <c r="E669" s="2" t="s">
        <v>1039</v>
      </c>
      <c r="F669" s="3" t="n">
        <v>45726.325</v>
      </c>
      <c r="G669" s="2" t="s">
        <v>1299</v>
      </c>
      <c r="H669" s="4" t="n">
        <v>0.4019</v>
      </c>
      <c r="I669" s="2" t="s">
        <v>23</v>
      </c>
      <c r="J669" s="2" t="s">
        <v>33</v>
      </c>
      <c r="K669" s="2" t="n">
        <v>1</v>
      </c>
      <c r="L669" s="2" t="n">
        <v>0</v>
      </c>
      <c r="M669" s="2" t="n">
        <v>0</v>
      </c>
    </row>
    <row r="670" customFormat="false" ht="15" hidden="false" customHeight="false" outlineLevel="0" collapsed="false">
      <c r="A670" s="2" t="s">
        <v>1515</v>
      </c>
      <c r="B670" s="2" t="s">
        <v>1516</v>
      </c>
      <c r="C670" s="2" t="n">
        <v>5</v>
      </c>
      <c r="D670" s="2" t="s">
        <v>1517</v>
      </c>
      <c r="E670" s="2" t="s">
        <v>1039</v>
      </c>
      <c r="F670" s="3" t="n">
        <v>45726.3284722222</v>
      </c>
      <c r="G670" s="2" t="s">
        <v>1299</v>
      </c>
      <c r="H670" s="4" t="n">
        <v>0.4019</v>
      </c>
      <c r="I670" s="2" t="s">
        <v>23</v>
      </c>
      <c r="J670" s="2" t="s">
        <v>33</v>
      </c>
      <c r="K670" s="2" t="n">
        <v>0</v>
      </c>
      <c r="L670" s="2" t="n">
        <v>0</v>
      </c>
      <c r="M670" s="2" t="n">
        <v>0</v>
      </c>
    </row>
    <row r="671" customFormat="false" ht="15" hidden="false" customHeight="false" outlineLevel="0" collapsed="false">
      <c r="A671" s="2" t="s">
        <v>1518</v>
      </c>
      <c r="B671" s="2" t="s">
        <v>1519</v>
      </c>
      <c r="C671" s="2" t="n">
        <v>5</v>
      </c>
      <c r="D671" s="2" t="s">
        <v>96</v>
      </c>
      <c r="E671" s="2" t="s">
        <v>1039</v>
      </c>
      <c r="F671" s="3" t="n">
        <v>45726.5944444445</v>
      </c>
      <c r="G671" s="2" t="s">
        <v>1299</v>
      </c>
      <c r="H671" s="4" t="n">
        <v>0.6369</v>
      </c>
      <c r="I671" s="2" t="s">
        <v>23</v>
      </c>
      <c r="J671" s="2" t="s">
        <v>19</v>
      </c>
      <c r="K671" s="2" t="n">
        <v>0</v>
      </c>
      <c r="L671" s="2" t="n">
        <v>0</v>
      </c>
      <c r="M671" s="2" t="n">
        <v>0</v>
      </c>
    </row>
    <row r="672" customFormat="false" ht="15" hidden="false" customHeight="false" outlineLevel="0" collapsed="false">
      <c r="A672" s="2" t="s">
        <v>1520</v>
      </c>
      <c r="B672" s="2" t="s">
        <v>1521</v>
      </c>
      <c r="C672" s="2" t="n">
        <v>2</v>
      </c>
      <c r="D672" s="2" t="s">
        <v>397</v>
      </c>
      <c r="E672" s="2" t="s">
        <v>1039</v>
      </c>
      <c r="F672" s="3" t="n">
        <v>45726.99375</v>
      </c>
      <c r="G672" s="2" t="s">
        <v>1299</v>
      </c>
      <c r="H672" s="4" t="n">
        <v>0</v>
      </c>
      <c r="I672" s="2" t="s">
        <v>18</v>
      </c>
      <c r="J672" s="2" t="s">
        <v>110</v>
      </c>
      <c r="K672" s="2" t="n">
        <v>0</v>
      </c>
      <c r="L672" s="2" t="n">
        <v>0</v>
      </c>
      <c r="M672" s="2" t="n">
        <v>0</v>
      </c>
    </row>
    <row r="673" customFormat="false" ht="15" hidden="false" customHeight="false" outlineLevel="0" collapsed="false">
      <c r="A673" s="2" t="s">
        <v>1522</v>
      </c>
      <c r="B673" s="2" t="s">
        <v>1523</v>
      </c>
      <c r="C673" s="2" t="n">
        <v>4</v>
      </c>
      <c r="D673" s="2" t="s">
        <v>15</v>
      </c>
      <c r="E673" s="2" t="s">
        <v>1039</v>
      </c>
      <c r="F673" s="3" t="n">
        <v>45727.0194444444</v>
      </c>
      <c r="G673" s="2" t="s">
        <v>1299</v>
      </c>
      <c r="H673" s="4" t="n">
        <v>0</v>
      </c>
      <c r="I673" s="2" t="s">
        <v>18</v>
      </c>
      <c r="J673" s="2" t="s">
        <v>19</v>
      </c>
      <c r="K673" s="2" t="n">
        <v>1</v>
      </c>
      <c r="L673" s="2" t="n">
        <v>0</v>
      </c>
      <c r="M673" s="2" t="n">
        <v>0</v>
      </c>
    </row>
    <row r="674" customFormat="false" ht="15" hidden="false" customHeight="false" outlineLevel="0" collapsed="false">
      <c r="A674" s="2" t="s">
        <v>1524</v>
      </c>
      <c r="B674" s="2" t="s">
        <v>1525</v>
      </c>
      <c r="C674" s="2" t="n">
        <v>4</v>
      </c>
      <c r="D674" s="2" t="s">
        <v>40</v>
      </c>
      <c r="E674" s="2" t="s">
        <v>1039</v>
      </c>
      <c r="F674" s="3" t="n">
        <v>45727.1215277778</v>
      </c>
      <c r="G674" s="2" t="s">
        <v>1299</v>
      </c>
      <c r="H674" s="4" t="n">
        <v>0.4019</v>
      </c>
      <c r="I674" s="2" t="s">
        <v>23</v>
      </c>
      <c r="J674" s="2" t="s">
        <v>33</v>
      </c>
      <c r="K674" s="2" t="n">
        <v>1</v>
      </c>
      <c r="L674" s="2" t="n">
        <v>0</v>
      </c>
      <c r="M674" s="2" t="n">
        <v>0</v>
      </c>
    </row>
    <row r="675" customFormat="false" ht="15" hidden="false" customHeight="false" outlineLevel="0" collapsed="false">
      <c r="A675" s="2" t="s">
        <v>1526</v>
      </c>
      <c r="B675" s="2" t="s">
        <v>1527</v>
      </c>
      <c r="C675" s="2" t="n">
        <v>4</v>
      </c>
      <c r="D675" s="2" t="s">
        <v>62</v>
      </c>
      <c r="E675" s="2" t="s">
        <v>1039</v>
      </c>
      <c r="F675" s="3" t="n">
        <v>45727.4111111111</v>
      </c>
      <c r="G675" s="2" t="s">
        <v>1299</v>
      </c>
      <c r="H675" s="4" t="n">
        <v>0.7088</v>
      </c>
      <c r="I675" s="2" t="s">
        <v>23</v>
      </c>
      <c r="J675" s="2" t="s">
        <v>19</v>
      </c>
      <c r="K675" s="2" t="n">
        <v>0</v>
      </c>
      <c r="L675" s="2" t="n">
        <v>0</v>
      </c>
      <c r="M675" s="2" t="n">
        <v>0</v>
      </c>
    </row>
    <row r="676" customFormat="false" ht="15" hidden="false" customHeight="false" outlineLevel="0" collapsed="false">
      <c r="A676" s="2" t="s">
        <v>1528</v>
      </c>
      <c r="B676" s="2" t="s">
        <v>1529</v>
      </c>
      <c r="C676" s="2" t="n">
        <v>2</v>
      </c>
      <c r="D676" s="2" t="s">
        <v>32</v>
      </c>
      <c r="E676" s="2" t="s">
        <v>1039</v>
      </c>
      <c r="F676" s="3" t="n">
        <v>45727.4243055556</v>
      </c>
      <c r="G676" s="2" t="s">
        <v>1299</v>
      </c>
      <c r="H676" s="4" t="n">
        <v>0.2023</v>
      </c>
      <c r="I676" s="2" t="s">
        <v>23</v>
      </c>
      <c r="J676" s="2" t="s">
        <v>33</v>
      </c>
      <c r="K676" s="2" t="n">
        <v>1</v>
      </c>
      <c r="L676" s="2" t="n">
        <v>0</v>
      </c>
      <c r="M676" s="2" t="n">
        <v>0</v>
      </c>
    </row>
    <row r="677" customFormat="false" ht="15" hidden="false" customHeight="false" outlineLevel="0" collapsed="false">
      <c r="A677" s="2" t="s">
        <v>1530</v>
      </c>
      <c r="B677" s="2" t="s">
        <v>1531</v>
      </c>
      <c r="C677" s="2" t="n">
        <v>5</v>
      </c>
      <c r="D677" s="2" t="s">
        <v>62</v>
      </c>
      <c r="E677" s="2" t="s">
        <v>1039</v>
      </c>
      <c r="F677" s="3" t="n">
        <v>45727.5666666667</v>
      </c>
      <c r="G677" s="2" t="s">
        <v>1299</v>
      </c>
      <c r="H677" s="4" t="n">
        <v>0.7088</v>
      </c>
      <c r="I677" s="2" t="s">
        <v>23</v>
      </c>
      <c r="J677" s="2" t="s">
        <v>19</v>
      </c>
      <c r="K677" s="2" t="n">
        <v>2</v>
      </c>
      <c r="L677" s="2" t="n">
        <v>0</v>
      </c>
      <c r="M677" s="2" t="n">
        <v>0</v>
      </c>
    </row>
    <row r="678" customFormat="false" ht="15" hidden="false" customHeight="false" outlineLevel="0" collapsed="false">
      <c r="A678" s="2" t="s">
        <v>1532</v>
      </c>
      <c r="B678" s="2" t="s">
        <v>1533</v>
      </c>
      <c r="C678" s="2" t="n">
        <v>5</v>
      </c>
      <c r="D678" s="2" t="s">
        <v>1212</v>
      </c>
      <c r="E678" s="2" t="s">
        <v>1039</v>
      </c>
      <c r="F678" s="3" t="n">
        <v>45727.5694444445</v>
      </c>
      <c r="G678" s="2" t="s">
        <v>1299</v>
      </c>
      <c r="H678" s="4" t="n">
        <v>0.8777</v>
      </c>
      <c r="I678" s="2" t="s">
        <v>23</v>
      </c>
      <c r="J678" s="2" t="s">
        <v>19</v>
      </c>
      <c r="K678" s="2" t="n">
        <v>5</v>
      </c>
      <c r="L678" s="2" t="n">
        <v>0</v>
      </c>
      <c r="M678" s="2" t="n">
        <v>0</v>
      </c>
    </row>
    <row r="679" customFormat="false" ht="15" hidden="false" customHeight="false" outlineLevel="0" collapsed="false">
      <c r="A679" s="2" t="s">
        <v>1534</v>
      </c>
      <c r="B679" s="2" t="s">
        <v>1535</v>
      </c>
      <c r="C679" s="2" t="n">
        <v>5</v>
      </c>
      <c r="D679" s="2" t="s">
        <v>15</v>
      </c>
      <c r="E679" s="2" t="s">
        <v>1039</v>
      </c>
      <c r="F679" s="3" t="n">
        <v>45727.7541666667</v>
      </c>
      <c r="G679" s="2" t="s">
        <v>1299</v>
      </c>
      <c r="H679" s="4" t="n">
        <v>0</v>
      </c>
      <c r="I679" s="2" t="s">
        <v>18</v>
      </c>
      <c r="J679" s="2" t="s">
        <v>19</v>
      </c>
      <c r="K679" s="2" t="n">
        <v>1</v>
      </c>
      <c r="L679" s="2" t="n">
        <v>0</v>
      </c>
      <c r="M679" s="2" t="n">
        <v>0</v>
      </c>
    </row>
    <row r="680" customFormat="false" ht="15" hidden="false" customHeight="false" outlineLevel="0" collapsed="false">
      <c r="A680" s="2" t="s">
        <v>1536</v>
      </c>
      <c r="B680" s="2" t="s">
        <v>1537</v>
      </c>
      <c r="C680" s="2" t="n">
        <v>1</v>
      </c>
      <c r="D680" s="2" t="s">
        <v>721</v>
      </c>
      <c r="E680" s="2" t="s">
        <v>1039</v>
      </c>
      <c r="F680" s="3" t="n">
        <v>45728.0166666667</v>
      </c>
      <c r="G680" s="2" t="s">
        <v>1299</v>
      </c>
      <c r="H680" s="4" t="n">
        <v>-0.4588</v>
      </c>
      <c r="I680" s="2" t="s">
        <v>84</v>
      </c>
      <c r="J680" s="2" t="s">
        <v>37</v>
      </c>
      <c r="K680" s="2" t="n">
        <v>6</v>
      </c>
      <c r="L680" s="2" t="n">
        <v>1</v>
      </c>
      <c r="M680" s="2" t="n">
        <v>0</v>
      </c>
    </row>
    <row r="681" customFormat="false" ht="15" hidden="false" customHeight="false" outlineLevel="0" collapsed="false">
      <c r="A681" s="2" t="s">
        <v>1538</v>
      </c>
      <c r="B681" s="2" t="s">
        <v>1539</v>
      </c>
      <c r="C681" s="2" t="n">
        <v>5</v>
      </c>
      <c r="D681" s="2" t="s">
        <v>555</v>
      </c>
      <c r="E681" s="2" t="s">
        <v>1039</v>
      </c>
      <c r="F681" s="3" t="n">
        <v>45728.1125</v>
      </c>
      <c r="G681" s="2" t="s">
        <v>1299</v>
      </c>
      <c r="H681" s="4" t="n">
        <v>0.8221</v>
      </c>
      <c r="I681" s="2" t="s">
        <v>23</v>
      </c>
      <c r="J681" s="2" t="s">
        <v>33</v>
      </c>
      <c r="K681" s="2" t="n">
        <v>8</v>
      </c>
      <c r="L681" s="2" t="n">
        <v>0</v>
      </c>
      <c r="M681" s="2" t="n">
        <v>0</v>
      </c>
    </row>
    <row r="682" customFormat="false" ht="15" hidden="false" customHeight="false" outlineLevel="0" collapsed="false">
      <c r="A682" s="2" t="s">
        <v>1540</v>
      </c>
      <c r="B682" s="2" t="s">
        <v>1541</v>
      </c>
      <c r="C682" s="2" t="n">
        <v>5</v>
      </c>
      <c r="D682" s="2" t="s">
        <v>407</v>
      </c>
      <c r="E682" s="2" t="s">
        <v>1039</v>
      </c>
      <c r="F682" s="3" t="n">
        <v>45728.1222222222</v>
      </c>
      <c r="G682" s="2" t="s">
        <v>1299</v>
      </c>
      <c r="H682" s="4" t="n">
        <v>0.7783</v>
      </c>
      <c r="I682" s="2" t="s">
        <v>23</v>
      </c>
      <c r="J682" s="2" t="s">
        <v>37</v>
      </c>
      <c r="K682" s="2" t="n">
        <v>3</v>
      </c>
      <c r="L682" s="2" t="n">
        <v>0</v>
      </c>
      <c r="M682" s="2" t="n">
        <v>0</v>
      </c>
    </row>
    <row r="683" customFormat="false" ht="15" hidden="false" customHeight="false" outlineLevel="0" collapsed="false">
      <c r="A683" s="2" t="s">
        <v>1542</v>
      </c>
      <c r="B683" s="2" t="s">
        <v>1543</v>
      </c>
      <c r="C683" s="2" t="n">
        <v>4</v>
      </c>
      <c r="D683" s="2" t="s">
        <v>15</v>
      </c>
      <c r="E683" s="2" t="s">
        <v>1039</v>
      </c>
      <c r="F683" s="3" t="n">
        <v>45728.1486111111</v>
      </c>
      <c r="G683" s="2" t="s">
        <v>1299</v>
      </c>
      <c r="H683" s="4" t="n">
        <v>0</v>
      </c>
      <c r="I683" s="2" t="s">
        <v>18</v>
      </c>
      <c r="J683" s="2" t="s">
        <v>19</v>
      </c>
      <c r="K683" s="2" t="n">
        <v>2</v>
      </c>
      <c r="L683" s="2" t="n">
        <v>0</v>
      </c>
      <c r="M683" s="2" t="n">
        <v>0</v>
      </c>
    </row>
    <row r="684" customFormat="false" ht="15" hidden="false" customHeight="false" outlineLevel="0" collapsed="false">
      <c r="A684" s="2" t="s">
        <v>1544</v>
      </c>
      <c r="B684" s="2" t="s">
        <v>1545</v>
      </c>
      <c r="C684" s="2" t="n">
        <v>5</v>
      </c>
      <c r="D684" s="2" t="s">
        <v>130</v>
      </c>
      <c r="E684" s="2" t="s">
        <v>1039</v>
      </c>
      <c r="F684" s="3" t="n">
        <v>45728.2722222222</v>
      </c>
      <c r="G684" s="2" t="s">
        <v>1299</v>
      </c>
      <c r="H684" s="4" t="n">
        <v>0.6369</v>
      </c>
      <c r="I684" s="2" t="s">
        <v>23</v>
      </c>
      <c r="J684" s="2" t="s">
        <v>19</v>
      </c>
      <c r="K684" s="2" t="n">
        <v>0</v>
      </c>
      <c r="L684" s="2" t="n">
        <v>0</v>
      </c>
      <c r="M684" s="2" t="n">
        <v>0</v>
      </c>
    </row>
    <row r="685" customFormat="false" ht="15" hidden="false" customHeight="false" outlineLevel="0" collapsed="false">
      <c r="A685" s="2" t="s">
        <v>1546</v>
      </c>
      <c r="B685" s="2" t="s">
        <v>1547</v>
      </c>
      <c r="C685" s="2" t="n">
        <v>5</v>
      </c>
      <c r="D685" s="2" t="s">
        <v>269</v>
      </c>
      <c r="E685" s="2" t="s">
        <v>1039</v>
      </c>
      <c r="F685" s="3" t="n">
        <v>45728.3375</v>
      </c>
      <c r="G685" s="2" t="s">
        <v>1299</v>
      </c>
      <c r="H685" s="4" t="n">
        <v>0.8748</v>
      </c>
      <c r="I685" s="2" t="s">
        <v>23</v>
      </c>
      <c r="J685" s="2" t="s">
        <v>37</v>
      </c>
      <c r="K685" s="2" t="n">
        <v>6</v>
      </c>
      <c r="L685" s="2" t="n">
        <v>0</v>
      </c>
      <c r="M685" s="2" t="n">
        <v>0</v>
      </c>
    </row>
    <row r="686" customFormat="false" ht="15" hidden="false" customHeight="false" outlineLevel="0" collapsed="false">
      <c r="A686" s="2" t="s">
        <v>1548</v>
      </c>
      <c r="B686" s="2" t="s">
        <v>1549</v>
      </c>
      <c r="C686" s="2" t="n">
        <v>4</v>
      </c>
      <c r="D686" s="2" t="s">
        <v>301</v>
      </c>
      <c r="E686" s="2" t="s">
        <v>1039</v>
      </c>
      <c r="F686" s="3" t="n">
        <v>45728.3583333333</v>
      </c>
      <c r="G686" s="2" t="s">
        <v>1299</v>
      </c>
      <c r="H686" s="4" t="n">
        <v>0.2263</v>
      </c>
      <c r="I686" s="2" t="s">
        <v>23</v>
      </c>
      <c r="J686" s="2" t="s">
        <v>19</v>
      </c>
      <c r="K686" s="2" t="n">
        <v>1</v>
      </c>
      <c r="L686" s="2" t="n">
        <v>0</v>
      </c>
      <c r="M686" s="2" t="n">
        <v>0</v>
      </c>
    </row>
    <row r="687" customFormat="false" ht="15" hidden="false" customHeight="false" outlineLevel="0" collapsed="false">
      <c r="A687" s="2" t="s">
        <v>1550</v>
      </c>
      <c r="B687" s="2" t="s">
        <v>1551</v>
      </c>
      <c r="C687" s="2" t="n">
        <v>5</v>
      </c>
      <c r="D687" s="2" t="s">
        <v>96</v>
      </c>
      <c r="E687" s="2" t="s">
        <v>1039</v>
      </c>
      <c r="F687" s="3" t="n">
        <v>45728.3729166667</v>
      </c>
      <c r="G687" s="2" t="s">
        <v>1299</v>
      </c>
      <c r="H687" s="4" t="n">
        <v>0.6369</v>
      </c>
      <c r="I687" s="2" t="s">
        <v>23</v>
      </c>
      <c r="J687" s="2" t="s">
        <v>19</v>
      </c>
      <c r="K687" s="2" t="n">
        <v>2</v>
      </c>
      <c r="L687" s="2" t="n">
        <v>0</v>
      </c>
      <c r="M687" s="2" t="n">
        <v>0</v>
      </c>
    </row>
    <row r="688" customFormat="false" ht="15" hidden="false" customHeight="false" outlineLevel="0" collapsed="false">
      <c r="A688" s="2" t="s">
        <v>1552</v>
      </c>
      <c r="B688" s="2" t="s">
        <v>1553</v>
      </c>
      <c r="C688" s="2" t="n">
        <v>5</v>
      </c>
      <c r="D688" s="2" t="s">
        <v>15</v>
      </c>
      <c r="E688" s="2" t="s">
        <v>1039</v>
      </c>
      <c r="F688" s="3" t="n">
        <v>45728.5097222222</v>
      </c>
      <c r="G688" s="2" t="s">
        <v>1299</v>
      </c>
      <c r="H688" s="4" t="n">
        <v>0</v>
      </c>
      <c r="I688" s="2" t="s">
        <v>18</v>
      </c>
      <c r="J688" s="2" t="s">
        <v>19</v>
      </c>
      <c r="K688" s="2" t="n">
        <v>1</v>
      </c>
      <c r="L688" s="2" t="n">
        <v>0</v>
      </c>
      <c r="M688" s="2" t="n">
        <v>0</v>
      </c>
    </row>
    <row r="689" customFormat="false" ht="15" hidden="false" customHeight="false" outlineLevel="0" collapsed="false">
      <c r="A689" s="2" t="s">
        <v>1554</v>
      </c>
      <c r="B689" s="2" t="s">
        <v>1555</v>
      </c>
      <c r="C689" s="2" t="n">
        <v>4</v>
      </c>
      <c r="D689" s="2" t="s">
        <v>831</v>
      </c>
      <c r="E689" s="2" t="s">
        <v>1039</v>
      </c>
      <c r="F689" s="3" t="n">
        <v>45728.5902777778</v>
      </c>
      <c r="G689" s="2" t="s">
        <v>1299</v>
      </c>
      <c r="H689" s="4" t="n">
        <v>0.2023</v>
      </c>
      <c r="I689" s="2" t="s">
        <v>23</v>
      </c>
      <c r="J689" s="2" t="s">
        <v>19</v>
      </c>
      <c r="K689" s="2" t="n">
        <v>1</v>
      </c>
      <c r="L689" s="2" t="n">
        <v>0</v>
      </c>
      <c r="M689" s="2" t="n">
        <v>0</v>
      </c>
    </row>
    <row r="690" customFormat="false" ht="15" hidden="false" customHeight="false" outlineLevel="0" collapsed="false">
      <c r="A690" s="2" t="s">
        <v>1556</v>
      </c>
      <c r="B690" s="2" t="s">
        <v>1557</v>
      </c>
      <c r="C690" s="2" t="n">
        <v>5</v>
      </c>
      <c r="D690" s="2" t="s">
        <v>62</v>
      </c>
      <c r="E690" s="2" t="s">
        <v>1039</v>
      </c>
      <c r="F690" s="3" t="n">
        <v>45728.6847222222</v>
      </c>
      <c r="G690" s="2" t="s">
        <v>1299</v>
      </c>
      <c r="H690" s="4" t="n">
        <v>0.7088</v>
      </c>
      <c r="I690" s="2" t="s">
        <v>23</v>
      </c>
      <c r="J690" s="2" t="s">
        <v>19</v>
      </c>
      <c r="K690" s="2" t="n">
        <v>0</v>
      </c>
      <c r="L690" s="2" t="n">
        <v>0</v>
      </c>
      <c r="M690" s="2" t="n">
        <v>0</v>
      </c>
    </row>
    <row r="691" customFormat="false" ht="15" hidden="false" customHeight="false" outlineLevel="0" collapsed="false">
      <c r="A691" s="2" t="s">
        <v>1558</v>
      </c>
      <c r="B691" s="2" t="s">
        <v>1559</v>
      </c>
      <c r="C691" s="2" t="n">
        <v>4</v>
      </c>
      <c r="D691" s="2" t="s">
        <v>943</v>
      </c>
      <c r="E691" s="2" t="s">
        <v>1039</v>
      </c>
      <c r="F691" s="3" t="n">
        <v>45728.7798611111</v>
      </c>
      <c r="G691" s="2" t="s">
        <v>1299</v>
      </c>
      <c r="H691" s="4" t="n">
        <v>0.7549</v>
      </c>
      <c r="I691" s="2" t="s">
        <v>23</v>
      </c>
      <c r="J691" s="2" t="s">
        <v>19</v>
      </c>
      <c r="K691" s="2" t="n">
        <v>6</v>
      </c>
      <c r="L691" s="2" t="n">
        <v>0</v>
      </c>
      <c r="M691" s="2" t="n">
        <v>0</v>
      </c>
    </row>
    <row r="692" customFormat="false" ht="15" hidden="false" customHeight="false" outlineLevel="0" collapsed="false">
      <c r="A692" s="2" t="s">
        <v>1560</v>
      </c>
      <c r="B692" s="2" t="s">
        <v>1561</v>
      </c>
      <c r="C692" s="2" t="n">
        <v>5</v>
      </c>
      <c r="D692" s="2" t="s">
        <v>52</v>
      </c>
      <c r="E692" s="2" t="s">
        <v>1039</v>
      </c>
      <c r="F692" s="3" t="n">
        <v>45728.8451388889</v>
      </c>
      <c r="G692" s="2" t="s">
        <v>1299</v>
      </c>
      <c r="H692" s="4" t="n">
        <v>0.6369</v>
      </c>
      <c r="I692" s="2" t="s">
        <v>23</v>
      </c>
      <c r="J692" s="2" t="s">
        <v>19</v>
      </c>
      <c r="K692" s="2" t="n">
        <v>1</v>
      </c>
      <c r="L692" s="2" t="n">
        <v>0</v>
      </c>
      <c r="M692" s="2" t="n">
        <v>0</v>
      </c>
    </row>
    <row r="693" customFormat="false" ht="15" hidden="false" customHeight="false" outlineLevel="0" collapsed="false">
      <c r="A693" s="2" t="s">
        <v>1562</v>
      </c>
      <c r="B693" s="2" t="s">
        <v>1563</v>
      </c>
      <c r="C693" s="2" t="n">
        <v>5</v>
      </c>
      <c r="D693" s="2" t="s">
        <v>90</v>
      </c>
      <c r="E693" s="2" t="s">
        <v>1039</v>
      </c>
      <c r="F693" s="3" t="n">
        <v>45728.8555555556</v>
      </c>
      <c r="G693" s="2" t="s">
        <v>1299</v>
      </c>
      <c r="H693" s="4" t="n">
        <v>0.6249</v>
      </c>
      <c r="I693" s="2" t="s">
        <v>23</v>
      </c>
      <c r="J693" s="2" t="s">
        <v>37</v>
      </c>
      <c r="K693" s="2" t="n">
        <v>5</v>
      </c>
      <c r="L693" s="2" t="n">
        <v>0</v>
      </c>
      <c r="M693" s="2" t="n">
        <v>0</v>
      </c>
    </row>
    <row r="694" customFormat="false" ht="15" hidden="false" customHeight="false" outlineLevel="0" collapsed="false">
      <c r="A694" s="2" t="s">
        <v>1564</v>
      </c>
      <c r="B694" s="2" t="s">
        <v>1565</v>
      </c>
      <c r="C694" s="2" t="n">
        <v>5</v>
      </c>
      <c r="D694" s="2" t="s">
        <v>269</v>
      </c>
      <c r="E694" s="2" t="s">
        <v>1039</v>
      </c>
      <c r="F694" s="3" t="n">
        <v>45728.9576388889</v>
      </c>
      <c r="G694" s="2" t="s">
        <v>1299</v>
      </c>
      <c r="H694" s="4" t="n">
        <v>0.8748</v>
      </c>
      <c r="I694" s="2" t="s">
        <v>23</v>
      </c>
      <c r="J694" s="2" t="s">
        <v>37</v>
      </c>
      <c r="K694" s="2" t="n">
        <v>1</v>
      </c>
      <c r="L694" s="2" t="n">
        <v>0</v>
      </c>
      <c r="M694" s="2" t="n">
        <v>0</v>
      </c>
    </row>
    <row r="695" customFormat="false" ht="15" hidden="false" customHeight="false" outlineLevel="0" collapsed="false">
      <c r="A695" s="2" t="s">
        <v>1566</v>
      </c>
      <c r="B695" s="2" t="s">
        <v>1567</v>
      </c>
      <c r="C695" s="2" t="n">
        <v>3</v>
      </c>
      <c r="D695" s="2" t="s">
        <v>36</v>
      </c>
      <c r="E695" s="2" t="s">
        <v>1039</v>
      </c>
      <c r="F695" s="3" t="n">
        <v>45729.0548611111</v>
      </c>
      <c r="G695" s="2" t="s">
        <v>1299</v>
      </c>
      <c r="H695" s="4" t="n">
        <v>0.4404</v>
      </c>
      <c r="I695" s="2" t="s">
        <v>23</v>
      </c>
      <c r="J695" s="2" t="s">
        <v>37</v>
      </c>
      <c r="K695" s="2" t="n">
        <v>20</v>
      </c>
      <c r="L695" s="2" t="n">
        <v>0</v>
      </c>
      <c r="M695" s="2" t="n">
        <v>0</v>
      </c>
    </row>
    <row r="696" customFormat="false" ht="15" hidden="false" customHeight="false" outlineLevel="0" collapsed="false">
      <c r="A696" s="2" t="s">
        <v>1568</v>
      </c>
      <c r="B696" s="2" t="s">
        <v>1569</v>
      </c>
      <c r="C696" s="2" t="n">
        <v>4</v>
      </c>
      <c r="D696" s="2" t="s">
        <v>1237</v>
      </c>
      <c r="E696" s="2" t="s">
        <v>1039</v>
      </c>
      <c r="F696" s="3" t="n">
        <v>45729.0944444445</v>
      </c>
      <c r="G696" s="2" t="s">
        <v>1299</v>
      </c>
      <c r="H696" s="4" t="n">
        <v>-0.3089</v>
      </c>
      <c r="I696" s="2" t="s">
        <v>84</v>
      </c>
      <c r="J696" s="2" t="s">
        <v>19</v>
      </c>
      <c r="K696" s="2" t="n">
        <v>4</v>
      </c>
      <c r="L696" s="2" t="n">
        <v>0</v>
      </c>
      <c r="M696" s="2" t="n">
        <v>0</v>
      </c>
    </row>
    <row r="697" customFormat="false" ht="15" hidden="false" customHeight="false" outlineLevel="0" collapsed="false">
      <c r="A697" s="2" t="s">
        <v>1570</v>
      </c>
      <c r="B697" s="2" t="s">
        <v>1571</v>
      </c>
      <c r="C697" s="2" t="n">
        <v>3</v>
      </c>
      <c r="D697" s="2" t="s">
        <v>22</v>
      </c>
      <c r="E697" s="2" t="s">
        <v>1039</v>
      </c>
      <c r="F697" s="3" t="n">
        <v>45729.16875</v>
      </c>
      <c r="G697" s="2" t="s">
        <v>1299</v>
      </c>
      <c r="H697" s="4" t="n">
        <v>0.2023</v>
      </c>
      <c r="I697" s="2" t="s">
        <v>23</v>
      </c>
      <c r="J697" s="2" t="s">
        <v>19</v>
      </c>
      <c r="K697" s="2" t="n">
        <v>0</v>
      </c>
      <c r="L697" s="2" t="n">
        <v>0</v>
      </c>
      <c r="M697" s="2" t="n">
        <v>0</v>
      </c>
    </row>
    <row r="698" customFormat="false" ht="15" hidden="false" customHeight="false" outlineLevel="0" collapsed="false">
      <c r="A698" s="2" t="s">
        <v>1572</v>
      </c>
      <c r="B698" s="2" t="s">
        <v>1573</v>
      </c>
      <c r="C698" s="2" t="n">
        <v>5</v>
      </c>
      <c r="D698" s="2" t="s">
        <v>47</v>
      </c>
      <c r="E698" s="2" t="s">
        <v>1039</v>
      </c>
      <c r="F698" s="3" t="n">
        <v>45729.3847222222</v>
      </c>
      <c r="G698" s="2" t="s">
        <v>1299</v>
      </c>
      <c r="H698" s="4" t="n">
        <v>0.3089</v>
      </c>
      <c r="I698" s="2" t="s">
        <v>23</v>
      </c>
      <c r="J698" s="2" t="s">
        <v>19</v>
      </c>
      <c r="K698" s="2" t="n">
        <v>2</v>
      </c>
      <c r="L698" s="2" t="n">
        <v>0</v>
      </c>
      <c r="M698" s="2" t="n">
        <v>0</v>
      </c>
    </row>
    <row r="699" customFormat="false" ht="15" hidden="false" customHeight="false" outlineLevel="0" collapsed="false">
      <c r="A699" s="2" t="s">
        <v>1574</v>
      </c>
      <c r="B699" s="2" t="s">
        <v>1575</v>
      </c>
      <c r="C699" s="2" t="n">
        <v>2</v>
      </c>
      <c r="D699" s="2" t="s">
        <v>168</v>
      </c>
      <c r="E699" s="2" t="s">
        <v>1039</v>
      </c>
      <c r="F699" s="3" t="n">
        <v>45729.3958333333</v>
      </c>
      <c r="G699" s="2" t="s">
        <v>1299</v>
      </c>
      <c r="H699" s="4" t="n">
        <v>-0.1027</v>
      </c>
      <c r="I699" s="2" t="s">
        <v>84</v>
      </c>
      <c r="J699" s="2" t="s">
        <v>33</v>
      </c>
      <c r="K699" s="2" t="n">
        <v>3</v>
      </c>
      <c r="L699" s="2" t="n">
        <v>0</v>
      </c>
      <c r="M699" s="2" t="n">
        <v>0</v>
      </c>
    </row>
    <row r="700" customFormat="false" ht="15" hidden="false" customHeight="false" outlineLevel="0" collapsed="false">
      <c r="A700" s="2" t="s">
        <v>1576</v>
      </c>
      <c r="B700" s="2" t="s">
        <v>1577</v>
      </c>
      <c r="C700" s="2" t="n">
        <v>5</v>
      </c>
      <c r="D700" s="2" t="s">
        <v>52</v>
      </c>
      <c r="E700" s="2" t="s">
        <v>1039</v>
      </c>
      <c r="F700" s="3" t="n">
        <v>45729.56875</v>
      </c>
      <c r="G700" s="2" t="s">
        <v>1299</v>
      </c>
      <c r="H700" s="4" t="n">
        <v>0.6369</v>
      </c>
      <c r="I700" s="2" t="s">
        <v>23</v>
      </c>
      <c r="J700" s="2" t="s">
        <v>19</v>
      </c>
      <c r="K700" s="2" t="n">
        <v>1</v>
      </c>
      <c r="L700" s="2" t="n">
        <v>0</v>
      </c>
      <c r="M700" s="2" t="n">
        <v>0</v>
      </c>
    </row>
    <row r="701" customFormat="false" ht="15" hidden="false" customHeight="false" outlineLevel="0" collapsed="false">
      <c r="A701" s="2" t="s">
        <v>1578</v>
      </c>
      <c r="B701" s="2" t="s">
        <v>1579</v>
      </c>
      <c r="C701" s="2" t="n">
        <v>5</v>
      </c>
      <c r="D701" s="2" t="s">
        <v>15</v>
      </c>
      <c r="E701" s="2" t="s">
        <v>1039</v>
      </c>
      <c r="F701" s="3" t="n">
        <v>45729.6145833333</v>
      </c>
      <c r="G701" s="2" t="s">
        <v>1299</v>
      </c>
      <c r="H701" s="4" t="n">
        <v>0</v>
      </c>
      <c r="I701" s="2" t="s">
        <v>18</v>
      </c>
      <c r="J701" s="2" t="s">
        <v>19</v>
      </c>
      <c r="K701" s="2" t="n">
        <v>8</v>
      </c>
      <c r="L701" s="2" t="n">
        <v>0</v>
      </c>
      <c r="M701" s="2" t="n">
        <v>0</v>
      </c>
    </row>
    <row r="702" customFormat="false" ht="15" hidden="false" customHeight="false" outlineLevel="0" collapsed="false">
      <c r="A702" s="2" t="s">
        <v>1580</v>
      </c>
      <c r="B702" s="2" t="s">
        <v>1581</v>
      </c>
      <c r="C702" s="2" t="n">
        <v>5</v>
      </c>
      <c r="D702" s="2" t="s">
        <v>52</v>
      </c>
      <c r="E702" s="2" t="s">
        <v>1039</v>
      </c>
      <c r="F702" s="3" t="n">
        <v>45729.7534722222</v>
      </c>
      <c r="G702" s="2" t="s">
        <v>1299</v>
      </c>
      <c r="H702" s="4" t="n">
        <v>0.6369</v>
      </c>
      <c r="I702" s="2" t="s">
        <v>23</v>
      </c>
      <c r="J702" s="2" t="s">
        <v>19</v>
      </c>
      <c r="K702" s="2" t="n">
        <v>8</v>
      </c>
      <c r="L702" s="2" t="n">
        <v>0</v>
      </c>
      <c r="M702" s="2" t="n">
        <v>0</v>
      </c>
    </row>
    <row r="703" customFormat="false" ht="15" hidden="false" customHeight="false" outlineLevel="0" collapsed="false">
      <c r="A703" s="2" t="s">
        <v>1582</v>
      </c>
      <c r="B703" s="2" t="s">
        <v>1583</v>
      </c>
      <c r="C703" s="2" t="n">
        <v>5</v>
      </c>
      <c r="D703" s="2" t="s">
        <v>127</v>
      </c>
      <c r="E703" s="2" t="s">
        <v>1039</v>
      </c>
      <c r="F703" s="3" t="n">
        <v>45729.9701388889</v>
      </c>
      <c r="G703" s="2" t="s">
        <v>1299</v>
      </c>
      <c r="H703" s="4" t="n">
        <v>0.9359</v>
      </c>
      <c r="I703" s="2" t="s">
        <v>23</v>
      </c>
      <c r="J703" s="2" t="s">
        <v>37</v>
      </c>
      <c r="K703" s="2" t="n">
        <v>7</v>
      </c>
      <c r="L703" s="2" t="n">
        <v>0</v>
      </c>
      <c r="M703" s="2" t="n">
        <v>0</v>
      </c>
    </row>
    <row r="704" customFormat="false" ht="15" hidden="false" customHeight="false" outlineLevel="0" collapsed="false">
      <c r="A704" s="2" t="s">
        <v>1584</v>
      </c>
      <c r="B704" s="2" t="s">
        <v>1585</v>
      </c>
      <c r="C704" s="2" t="n">
        <v>4</v>
      </c>
      <c r="D704" s="2" t="s">
        <v>62</v>
      </c>
      <c r="E704" s="2" t="s">
        <v>1039</v>
      </c>
      <c r="F704" s="3" t="n">
        <v>45730.0277777778</v>
      </c>
      <c r="G704" s="2" t="s">
        <v>1299</v>
      </c>
      <c r="H704" s="4" t="n">
        <v>0.7088</v>
      </c>
      <c r="I704" s="2" t="s">
        <v>23</v>
      </c>
      <c r="J704" s="2" t="s">
        <v>19</v>
      </c>
      <c r="K704" s="2" t="n">
        <v>8</v>
      </c>
      <c r="L704" s="2" t="n">
        <v>0</v>
      </c>
      <c r="M704" s="2" t="n">
        <v>0</v>
      </c>
    </row>
    <row r="705" customFormat="false" ht="15" hidden="false" customHeight="false" outlineLevel="0" collapsed="false">
      <c r="A705" s="2" t="s">
        <v>1586</v>
      </c>
      <c r="B705" s="2" t="s">
        <v>1587</v>
      </c>
      <c r="C705" s="2" t="n">
        <v>4</v>
      </c>
      <c r="D705" s="2" t="s">
        <v>565</v>
      </c>
      <c r="E705" s="2" t="s">
        <v>1039</v>
      </c>
      <c r="F705" s="3" t="n">
        <v>45730.1611111111</v>
      </c>
      <c r="G705" s="2" t="s">
        <v>1299</v>
      </c>
      <c r="H705" s="4" t="n">
        <v>0.7549</v>
      </c>
      <c r="I705" s="2" t="s">
        <v>23</v>
      </c>
      <c r="J705" s="2" t="s">
        <v>19</v>
      </c>
      <c r="K705" s="2" t="n">
        <v>0</v>
      </c>
      <c r="L705" s="2" t="n">
        <v>0</v>
      </c>
      <c r="M705" s="2" t="n">
        <v>0</v>
      </c>
    </row>
    <row r="706" customFormat="false" ht="15" hidden="false" customHeight="false" outlineLevel="0" collapsed="false">
      <c r="A706" s="2" t="s">
        <v>1588</v>
      </c>
      <c r="B706" s="2" t="s">
        <v>1589</v>
      </c>
      <c r="C706" s="2" t="n">
        <v>5</v>
      </c>
      <c r="D706" s="2" t="s">
        <v>52</v>
      </c>
      <c r="E706" s="2" t="s">
        <v>1039</v>
      </c>
      <c r="F706" s="3" t="n">
        <v>45730.1972222222</v>
      </c>
      <c r="G706" s="2" t="s">
        <v>1299</v>
      </c>
      <c r="H706" s="4" t="n">
        <v>0.6369</v>
      </c>
      <c r="I706" s="2" t="s">
        <v>23</v>
      </c>
      <c r="J706" s="2" t="s">
        <v>19</v>
      </c>
      <c r="K706" s="2" t="n">
        <v>6</v>
      </c>
      <c r="L706" s="2" t="n">
        <v>0</v>
      </c>
      <c r="M706" s="2" t="n">
        <v>0</v>
      </c>
    </row>
    <row r="707" customFormat="false" ht="15" hidden="false" customHeight="false" outlineLevel="0" collapsed="false">
      <c r="A707" s="2" t="s">
        <v>1590</v>
      </c>
      <c r="B707" s="2" t="s">
        <v>1591</v>
      </c>
      <c r="C707" s="2" t="n">
        <v>4</v>
      </c>
      <c r="D707" s="2" t="s">
        <v>87</v>
      </c>
      <c r="E707" s="2" t="s">
        <v>1039</v>
      </c>
      <c r="F707" s="3" t="n">
        <v>45730.2333333333</v>
      </c>
      <c r="G707" s="2" t="s">
        <v>1299</v>
      </c>
      <c r="H707" s="4" t="n">
        <v>0</v>
      </c>
      <c r="I707" s="2" t="s">
        <v>18</v>
      </c>
      <c r="J707" s="2" t="s">
        <v>19</v>
      </c>
      <c r="K707" s="2" t="n">
        <v>10</v>
      </c>
      <c r="L707" s="2" t="n">
        <v>0</v>
      </c>
      <c r="M707" s="2" t="n">
        <v>0</v>
      </c>
    </row>
    <row r="708" customFormat="false" ht="15" hidden="false" customHeight="false" outlineLevel="0" collapsed="false">
      <c r="A708" s="2" t="s">
        <v>1592</v>
      </c>
      <c r="B708" s="2" t="s">
        <v>1593</v>
      </c>
      <c r="C708" s="2" t="n">
        <v>3</v>
      </c>
      <c r="D708" s="2" t="s">
        <v>99</v>
      </c>
      <c r="E708" s="2" t="s">
        <v>1039</v>
      </c>
      <c r="F708" s="3" t="n">
        <v>45730.2895833333</v>
      </c>
      <c r="G708" s="2" t="s">
        <v>1299</v>
      </c>
      <c r="H708" s="4" t="n">
        <v>-0.3089</v>
      </c>
      <c r="I708" s="2" t="s">
        <v>84</v>
      </c>
      <c r="J708" s="2" t="s">
        <v>19</v>
      </c>
      <c r="K708" s="2" t="n">
        <v>1</v>
      </c>
      <c r="L708" s="2" t="n">
        <v>0</v>
      </c>
      <c r="M708" s="2" t="n">
        <v>0</v>
      </c>
    </row>
    <row r="709" customFormat="false" ht="15" hidden="false" customHeight="false" outlineLevel="0" collapsed="false">
      <c r="A709" s="2" t="s">
        <v>1594</v>
      </c>
      <c r="B709" s="2" t="s">
        <v>1595</v>
      </c>
      <c r="C709" s="2" t="n">
        <v>5</v>
      </c>
      <c r="D709" s="2" t="s">
        <v>1167</v>
      </c>
      <c r="E709" s="2" t="s">
        <v>1039</v>
      </c>
      <c r="F709" s="3" t="n">
        <v>45730.2902777778</v>
      </c>
      <c r="G709" s="2" t="s">
        <v>1299</v>
      </c>
      <c r="H709" s="4" t="n">
        <v>0.8519</v>
      </c>
      <c r="I709" s="2" t="s">
        <v>23</v>
      </c>
      <c r="J709" s="2" t="s">
        <v>37</v>
      </c>
      <c r="K709" s="2" t="n">
        <v>1</v>
      </c>
      <c r="L709" s="2" t="n">
        <v>0</v>
      </c>
      <c r="M709" s="2" t="n">
        <v>0</v>
      </c>
    </row>
    <row r="710" customFormat="false" ht="15" hidden="false" customHeight="false" outlineLevel="0" collapsed="false">
      <c r="A710" s="2" t="s">
        <v>1596</v>
      </c>
      <c r="B710" s="2" t="s">
        <v>1597</v>
      </c>
      <c r="C710" s="2" t="n">
        <v>5</v>
      </c>
      <c r="D710" s="2" t="s">
        <v>52</v>
      </c>
      <c r="E710" s="2" t="s">
        <v>1039</v>
      </c>
      <c r="F710" s="3" t="n">
        <v>45730.3340277778</v>
      </c>
      <c r="G710" s="2" t="s">
        <v>1299</v>
      </c>
      <c r="H710" s="4" t="n">
        <v>0.6369</v>
      </c>
      <c r="I710" s="2" t="s">
        <v>23</v>
      </c>
      <c r="J710" s="2" t="s">
        <v>19</v>
      </c>
      <c r="K710" s="2" t="n">
        <v>2</v>
      </c>
      <c r="L710" s="2" t="n">
        <v>0</v>
      </c>
      <c r="M710" s="2" t="n">
        <v>0</v>
      </c>
    </row>
    <row r="711" customFormat="false" ht="15" hidden="false" customHeight="false" outlineLevel="0" collapsed="false">
      <c r="A711" s="2" t="s">
        <v>1598</v>
      </c>
      <c r="B711" s="2" t="s">
        <v>1599</v>
      </c>
      <c r="C711" s="2" t="n">
        <v>5</v>
      </c>
      <c r="D711" s="2" t="s">
        <v>1600</v>
      </c>
      <c r="E711" s="2" t="s">
        <v>1039</v>
      </c>
      <c r="F711" s="3" t="n">
        <v>45730.3826388889</v>
      </c>
      <c r="G711" s="2" t="s">
        <v>1299</v>
      </c>
      <c r="H711" s="4" t="n">
        <v>0.9647</v>
      </c>
      <c r="I711" s="2" t="s">
        <v>23</v>
      </c>
      <c r="J711" s="2" t="s">
        <v>37</v>
      </c>
      <c r="K711" s="2" t="n">
        <v>1</v>
      </c>
      <c r="L711" s="2" t="n">
        <v>0</v>
      </c>
      <c r="M711" s="2" t="n">
        <v>0</v>
      </c>
    </row>
    <row r="712" customFormat="false" ht="15" hidden="false" customHeight="false" outlineLevel="0" collapsed="false">
      <c r="A712" s="2" t="s">
        <v>1601</v>
      </c>
      <c r="B712" s="2" t="s">
        <v>1602</v>
      </c>
      <c r="C712" s="2" t="n">
        <v>5</v>
      </c>
      <c r="D712" s="2" t="s">
        <v>15</v>
      </c>
      <c r="E712" s="2" t="s">
        <v>1039</v>
      </c>
      <c r="F712" s="3" t="n">
        <v>45730.4569444444</v>
      </c>
      <c r="G712" s="2" t="s">
        <v>1299</v>
      </c>
      <c r="H712" s="4" t="n">
        <v>0</v>
      </c>
      <c r="I712" s="2" t="s">
        <v>18</v>
      </c>
      <c r="J712" s="2" t="s">
        <v>19</v>
      </c>
      <c r="K712" s="2" t="n">
        <v>10</v>
      </c>
      <c r="L712" s="2" t="n">
        <v>0</v>
      </c>
      <c r="M712" s="2" t="n">
        <v>0</v>
      </c>
    </row>
    <row r="713" customFormat="false" ht="15" hidden="false" customHeight="false" outlineLevel="0" collapsed="false">
      <c r="A713" s="2" t="s">
        <v>1603</v>
      </c>
      <c r="B713" s="2" t="s">
        <v>1604</v>
      </c>
      <c r="C713" s="2" t="n">
        <v>3</v>
      </c>
      <c r="D713" s="2" t="s">
        <v>1605</v>
      </c>
      <c r="E713" s="2" t="s">
        <v>1039</v>
      </c>
      <c r="F713" s="3" t="n">
        <v>45730.4576388889</v>
      </c>
      <c r="G713" s="2" t="s">
        <v>1299</v>
      </c>
      <c r="H713" s="4" t="n">
        <v>-0.5448</v>
      </c>
      <c r="I713" s="2" t="s">
        <v>84</v>
      </c>
      <c r="J713" s="2" t="s">
        <v>19</v>
      </c>
      <c r="K713" s="2" t="n">
        <v>2</v>
      </c>
      <c r="L713" s="2" t="n">
        <v>0</v>
      </c>
      <c r="M713" s="2" t="n">
        <v>0</v>
      </c>
    </row>
    <row r="714" customFormat="false" ht="15" hidden="false" customHeight="false" outlineLevel="0" collapsed="false">
      <c r="A714" s="2" t="s">
        <v>1606</v>
      </c>
      <c r="B714" s="2" t="s">
        <v>1607</v>
      </c>
      <c r="C714" s="2" t="n">
        <v>5</v>
      </c>
      <c r="D714" s="2" t="s">
        <v>90</v>
      </c>
      <c r="E714" s="2" t="s">
        <v>1039</v>
      </c>
      <c r="F714" s="3" t="n">
        <v>45730.5159722222</v>
      </c>
      <c r="G714" s="2" t="s">
        <v>1299</v>
      </c>
      <c r="H714" s="4" t="n">
        <v>0.6249</v>
      </c>
      <c r="I714" s="2" t="s">
        <v>23</v>
      </c>
      <c r="J714" s="2" t="s">
        <v>37</v>
      </c>
      <c r="K714" s="2" t="n">
        <v>5</v>
      </c>
      <c r="L714" s="2" t="n">
        <v>0</v>
      </c>
      <c r="M714" s="2" t="n">
        <v>0</v>
      </c>
    </row>
    <row r="715" customFormat="false" ht="15" hidden="false" customHeight="false" outlineLevel="0" collapsed="false">
      <c r="A715" s="2" t="s">
        <v>1608</v>
      </c>
      <c r="B715" s="2" t="s">
        <v>1609</v>
      </c>
      <c r="C715" s="2" t="n">
        <v>5</v>
      </c>
      <c r="D715" s="2" t="s">
        <v>40</v>
      </c>
      <c r="E715" s="2" t="s">
        <v>1039</v>
      </c>
      <c r="F715" s="3" t="n">
        <v>45730.5902777778</v>
      </c>
      <c r="G715" s="2" t="s">
        <v>1299</v>
      </c>
      <c r="H715" s="4" t="n">
        <v>0.4019</v>
      </c>
      <c r="I715" s="2" t="s">
        <v>23</v>
      </c>
      <c r="J715" s="2" t="s">
        <v>33</v>
      </c>
      <c r="K715" s="2" t="n">
        <v>10</v>
      </c>
      <c r="L715" s="2" t="n">
        <v>0</v>
      </c>
      <c r="M715" s="2" t="n">
        <v>0</v>
      </c>
    </row>
    <row r="716" customFormat="false" ht="15" hidden="false" customHeight="false" outlineLevel="0" collapsed="false">
      <c r="A716" s="2" t="s">
        <v>1610</v>
      </c>
      <c r="B716" s="2" t="s">
        <v>1611</v>
      </c>
      <c r="C716" s="2" t="n">
        <v>5</v>
      </c>
      <c r="D716" s="2" t="s">
        <v>1052</v>
      </c>
      <c r="E716" s="2" t="s">
        <v>1039</v>
      </c>
      <c r="F716" s="3" t="n">
        <v>45730.7284722222</v>
      </c>
      <c r="G716" s="2" t="s">
        <v>1299</v>
      </c>
      <c r="H716" s="4" t="n">
        <v>0.7088</v>
      </c>
      <c r="I716" s="2" t="s">
        <v>23</v>
      </c>
      <c r="J716" s="2" t="s">
        <v>19</v>
      </c>
      <c r="K716" s="2" t="n">
        <v>3</v>
      </c>
      <c r="L716" s="2" t="n">
        <v>0</v>
      </c>
      <c r="M716" s="2" t="n">
        <v>0</v>
      </c>
    </row>
    <row r="717" customFormat="false" ht="15" hidden="false" customHeight="false" outlineLevel="0" collapsed="false">
      <c r="A717" s="2" t="s">
        <v>1612</v>
      </c>
      <c r="B717" s="2" t="s">
        <v>1613</v>
      </c>
      <c r="C717" s="2" t="n">
        <v>5</v>
      </c>
      <c r="D717" s="2" t="s">
        <v>15</v>
      </c>
      <c r="E717" s="2" t="s">
        <v>1039</v>
      </c>
      <c r="F717" s="3" t="n">
        <v>45730.7611111111</v>
      </c>
      <c r="G717" s="2" t="s">
        <v>1299</v>
      </c>
      <c r="H717" s="4" t="n">
        <v>0</v>
      </c>
      <c r="I717" s="2" t="s">
        <v>18</v>
      </c>
      <c r="J717" s="2" t="s">
        <v>19</v>
      </c>
      <c r="K717" s="2" t="n">
        <v>3</v>
      </c>
      <c r="L717" s="2" t="n">
        <v>0</v>
      </c>
      <c r="M717" s="2" t="n">
        <v>0</v>
      </c>
    </row>
    <row r="718" customFormat="false" ht="15" hidden="false" customHeight="false" outlineLevel="0" collapsed="false">
      <c r="A718" s="2" t="s">
        <v>1614</v>
      </c>
      <c r="B718" s="2" t="s">
        <v>1615</v>
      </c>
      <c r="C718" s="2" t="n">
        <v>4</v>
      </c>
      <c r="D718" s="2" t="s">
        <v>47</v>
      </c>
      <c r="E718" s="2" t="s">
        <v>1039</v>
      </c>
      <c r="F718" s="3" t="n">
        <v>45730.7833333333</v>
      </c>
      <c r="G718" s="2" t="s">
        <v>1299</v>
      </c>
      <c r="H718" s="4" t="n">
        <v>0.3089</v>
      </c>
      <c r="I718" s="2" t="s">
        <v>23</v>
      </c>
      <c r="J718" s="2" t="s">
        <v>19</v>
      </c>
      <c r="K718" s="2" t="n">
        <v>7</v>
      </c>
      <c r="L718" s="2" t="n">
        <v>0</v>
      </c>
      <c r="M718" s="2" t="n">
        <v>0</v>
      </c>
    </row>
    <row r="719" customFormat="false" ht="15" hidden="false" customHeight="false" outlineLevel="0" collapsed="false">
      <c r="A719" s="2" t="s">
        <v>1616</v>
      </c>
      <c r="B719" s="2" t="s">
        <v>1617</v>
      </c>
      <c r="C719" s="2" t="n">
        <v>4</v>
      </c>
      <c r="D719" s="2" t="s">
        <v>127</v>
      </c>
      <c r="E719" s="2" t="s">
        <v>1039</v>
      </c>
      <c r="F719" s="3" t="n">
        <v>45730.8229166667</v>
      </c>
      <c r="G719" s="2" t="s">
        <v>1299</v>
      </c>
      <c r="H719" s="4" t="n">
        <v>0.9359</v>
      </c>
      <c r="I719" s="2" t="s">
        <v>23</v>
      </c>
      <c r="J719" s="2" t="s">
        <v>37</v>
      </c>
      <c r="K719" s="2" t="n">
        <v>1</v>
      </c>
      <c r="L719" s="2" t="n">
        <v>0</v>
      </c>
      <c r="M719" s="2" t="n">
        <v>0</v>
      </c>
    </row>
    <row r="720" customFormat="false" ht="15" hidden="false" customHeight="false" outlineLevel="0" collapsed="false">
      <c r="A720" s="2" t="s">
        <v>1618</v>
      </c>
      <c r="B720" s="2" t="s">
        <v>1619</v>
      </c>
      <c r="C720" s="2" t="n">
        <v>5</v>
      </c>
      <c r="D720" s="2" t="s">
        <v>96</v>
      </c>
      <c r="E720" s="2" t="s">
        <v>1039</v>
      </c>
      <c r="F720" s="3" t="n">
        <v>45730.9055555556</v>
      </c>
      <c r="G720" s="2" t="s">
        <v>1299</v>
      </c>
      <c r="H720" s="4" t="n">
        <v>0.6369</v>
      </c>
      <c r="I720" s="2" t="s">
        <v>23</v>
      </c>
      <c r="J720" s="2" t="s">
        <v>19</v>
      </c>
      <c r="K720" s="2" t="n">
        <v>2</v>
      </c>
      <c r="L720" s="2" t="n">
        <v>0</v>
      </c>
      <c r="M720" s="2" t="n">
        <v>0</v>
      </c>
    </row>
    <row r="721" customFormat="false" ht="15" hidden="false" customHeight="false" outlineLevel="0" collapsed="false">
      <c r="A721" s="2" t="s">
        <v>1620</v>
      </c>
      <c r="B721" s="2" t="s">
        <v>1621</v>
      </c>
      <c r="C721" s="2" t="n">
        <v>4</v>
      </c>
      <c r="D721" s="2" t="s">
        <v>1622</v>
      </c>
      <c r="E721" s="2" t="s">
        <v>1039</v>
      </c>
      <c r="F721" s="3" t="n">
        <v>45731.00625</v>
      </c>
      <c r="G721" s="2" t="s">
        <v>1299</v>
      </c>
      <c r="H721" s="4" t="n">
        <v>0.8555</v>
      </c>
      <c r="I721" s="2" t="s">
        <v>23</v>
      </c>
      <c r="J721" s="2" t="s">
        <v>19</v>
      </c>
      <c r="K721" s="2" t="n">
        <v>2</v>
      </c>
      <c r="L721" s="2" t="n">
        <v>0</v>
      </c>
      <c r="M721" s="2" t="n">
        <v>0</v>
      </c>
    </row>
    <row r="722" customFormat="false" ht="15" hidden="false" customHeight="false" outlineLevel="0" collapsed="false">
      <c r="A722" s="2" t="s">
        <v>1623</v>
      </c>
      <c r="B722" s="2" t="s">
        <v>1624</v>
      </c>
      <c r="C722" s="2" t="n">
        <v>5</v>
      </c>
      <c r="D722" s="2" t="s">
        <v>40</v>
      </c>
      <c r="E722" s="2" t="s">
        <v>1039</v>
      </c>
      <c r="F722" s="3" t="n">
        <v>45731.0673611111</v>
      </c>
      <c r="G722" s="2" t="s">
        <v>1299</v>
      </c>
      <c r="H722" s="4" t="n">
        <v>0.4019</v>
      </c>
      <c r="I722" s="2" t="s">
        <v>23</v>
      </c>
      <c r="J722" s="2" t="s">
        <v>33</v>
      </c>
      <c r="K722" s="2" t="n">
        <v>3</v>
      </c>
      <c r="L722" s="2" t="n">
        <v>0</v>
      </c>
      <c r="M722" s="2" t="n">
        <v>0</v>
      </c>
    </row>
    <row r="723" customFormat="false" ht="15" hidden="false" customHeight="false" outlineLevel="0" collapsed="false">
      <c r="A723" s="2" t="s">
        <v>1625</v>
      </c>
      <c r="B723" s="2" t="s">
        <v>1626</v>
      </c>
      <c r="C723" s="2" t="n">
        <v>4</v>
      </c>
      <c r="D723" s="2" t="s">
        <v>52</v>
      </c>
      <c r="E723" s="2" t="s">
        <v>1039</v>
      </c>
      <c r="F723" s="3" t="n">
        <v>45731.075</v>
      </c>
      <c r="G723" s="2" t="s">
        <v>1299</v>
      </c>
      <c r="H723" s="4" t="n">
        <v>0.6369</v>
      </c>
      <c r="I723" s="2" t="s">
        <v>23</v>
      </c>
      <c r="J723" s="2" t="s">
        <v>19</v>
      </c>
      <c r="K723" s="2" t="n">
        <v>10</v>
      </c>
      <c r="L723" s="2" t="n">
        <v>0</v>
      </c>
      <c r="M723" s="2" t="n">
        <v>0</v>
      </c>
    </row>
    <row r="724" customFormat="false" ht="15" hidden="false" customHeight="false" outlineLevel="0" collapsed="false">
      <c r="A724" s="2" t="s">
        <v>1627</v>
      </c>
      <c r="B724" s="2" t="s">
        <v>1628</v>
      </c>
      <c r="C724" s="2" t="n">
        <v>5</v>
      </c>
      <c r="D724" s="2" t="s">
        <v>40</v>
      </c>
      <c r="E724" s="2" t="s">
        <v>1039</v>
      </c>
      <c r="F724" s="3" t="n">
        <v>45731.2083333333</v>
      </c>
      <c r="G724" s="2" t="s">
        <v>1299</v>
      </c>
      <c r="H724" s="4" t="n">
        <v>0.4019</v>
      </c>
      <c r="I724" s="2" t="s">
        <v>23</v>
      </c>
      <c r="J724" s="2" t="s">
        <v>33</v>
      </c>
      <c r="K724" s="2" t="n">
        <v>2</v>
      </c>
      <c r="L724" s="2" t="n">
        <v>0</v>
      </c>
      <c r="M724" s="2" t="n">
        <v>0</v>
      </c>
    </row>
    <row r="725" customFormat="false" ht="15" hidden="false" customHeight="false" outlineLevel="0" collapsed="false">
      <c r="A725" s="2" t="s">
        <v>1629</v>
      </c>
      <c r="B725" s="2" t="s">
        <v>1630</v>
      </c>
      <c r="C725" s="2" t="n">
        <v>4</v>
      </c>
      <c r="D725" s="2" t="s">
        <v>96</v>
      </c>
      <c r="E725" s="2" t="s">
        <v>1039</v>
      </c>
      <c r="F725" s="3" t="n">
        <v>45731.21875</v>
      </c>
      <c r="G725" s="2" t="s">
        <v>1299</v>
      </c>
      <c r="H725" s="4" t="n">
        <v>0.6369</v>
      </c>
      <c r="I725" s="2" t="s">
        <v>23</v>
      </c>
      <c r="J725" s="2" t="s">
        <v>19</v>
      </c>
      <c r="K725" s="2" t="n">
        <v>1</v>
      </c>
      <c r="L725" s="2" t="n">
        <v>0</v>
      </c>
      <c r="M725" s="2" t="n">
        <v>0</v>
      </c>
    </row>
    <row r="726" customFormat="false" ht="15" hidden="false" customHeight="false" outlineLevel="0" collapsed="false">
      <c r="A726" s="2" t="s">
        <v>1631</v>
      </c>
      <c r="B726" s="2" t="s">
        <v>1632</v>
      </c>
      <c r="C726" s="2" t="n">
        <v>3</v>
      </c>
      <c r="D726" s="2" t="s">
        <v>301</v>
      </c>
      <c r="E726" s="2" t="s">
        <v>1039</v>
      </c>
      <c r="F726" s="3" t="n">
        <v>45731.2909722222</v>
      </c>
      <c r="G726" s="2" t="s">
        <v>1299</v>
      </c>
      <c r="H726" s="4" t="n">
        <v>0.2263</v>
      </c>
      <c r="I726" s="2" t="s">
        <v>23</v>
      </c>
      <c r="J726" s="2" t="s">
        <v>19</v>
      </c>
      <c r="K726" s="2" t="n">
        <v>3</v>
      </c>
      <c r="L726" s="2" t="n">
        <v>0</v>
      </c>
      <c r="M726" s="2" t="n">
        <v>0</v>
      </c>
    </row>
    <row r="727" customFormat="false" ht="15" hidden="false" customHeight="false" outlineLevel="0" collapsed="false">
      <c r="A727" s="2" t="s">
        <v>1633</v>
      </c>
      <c r="B727" s="2" t="s">
        <v>1634</v>
      </c>
      <c r="C727" s="2" t="n">
        <v>4</v>
      </c>
      <c r="D727" s="2" t="s">
        <v>15</v>
      </c>
      <c r="E727" s="2" t="s">
        <v>1039</v>
      </c>
      <c r="F727" s="3" t="n">
        <v>45731.3763888889</v>
      </c>
      <c r="G727" s="2" t="s">
        <v>1299</v>
      </c>
      <c r="H727" s="4" t="n">
        <v>0</v>
      </c>
      <c r="I727" s="2" t="s">
        <v>18</v>
      </c>
      <c r="J727" s="2" t="s">
        <v>19</v>
      </c>
      <c r="K727" s="2" t="n">
        <v>0</v>
      </c>
      <c r="L727" s="2" t="n">
        <v>0</v>
      </c>
      <c r="M727" s="2" t="n">
        <v>0</v>
      </c>
    </row>
    <row r="728" customFormat="false" ht="15" hidden="false" customHeight="false" outlineLevel="0" collapsed="false">
      <c r="A728" s="2" t="s">
        <v>1635</v>
      </c>
      <c r="B728" s="2" t="s">
        <v>1636</v>
      </c>
      <c r="C728" s="2" t="n">
        <v>4</v>
      </c>
      <c r="D728" s="2" t="s">
        <v>62</v>
      </c>
      <c r="E728" s="2" t="s">
        <v>1039</v>
      </c>
      <c r="F728" s="3" t="n">
        <v>45731.3847222222</v>
      </c>
      <c r="G728" s="2" t="s">
        <v>1299</v>
      </c>
      <c r="H728" s="4" t="n">
        <v>0.7088</v>
      </c>
      <c r="I728" s="2" t="s">
        <v>23</v>
      </c>
      <c r="J728" s="2" t="s">
        <v>19</v>
      </c>
      <c r="K728" s="2" t="n">
        <v>5</v>
      </c>
      <c r="L728" s="2" t="n">
        <v>0</v>
      </c>
      <c r="M728" s="2" t="n">
        <v>0</v>
      </c>
    </row>
    <row r="729" customFormat="false" ht="15" hidden="false" customHeight="false" outlineLevel="0" collapsed="false">
      <c r="A729" s="2" t="s">
        <v>1637</v>
      </c>
      <c r="B729" s="2" t="s">
        <v>1638</v>
      </c>
      <c r="C729" s="2" t="n">
        <v>5</v>
      </c>
      <c r="D729" s="2" t="s">
        <v>15</v>
      </c>
      <c r="E729" s="2" t="s">
        <v>1039</v>
      </c>
      <c r="F729" s="3" t="n">
        <v>45731.45625</v>
      </c>
      <c r="G729" s="2" t="s">
        <v>1299</v>
      </c>
      <c r="H729" s="4" t="n">
        <v>0</v>
      </c>
      <c r="I729" s="2" t="s">
        <v>18</v>
      </c>
      <c r="J729" s="2" t="s">
        <v>19</v>
      </c>
      <c r="K729" s="2" t="n">
        <v>5</v>
      </c>
      <c r="L729" s="2" t="n">
        <v>0</v>
      </c>
      <c r="M729" s="2" t="n">
        <v>0</v>
      </c>
    </row>
    <row r="730" customFormat="false" ht="15" hidden="false" customHeight="false" outlineLevel="0" collapsed="false">
      <c r="A730" s="2" t="s">
        <v>1639</v>
      </c>
      <c r="B730" s="2" t="s">
        <v>1640</v>
      </c>
      <c r="C730" s="2" t="n">
        <v>4</v>
      </c>
      <c r="D730" s="2" t="s">
        <v>127</v>
      </c>
      <c r="E730" s="2" t="s">
        <v>1039</v>
      </c>
      <c r="F730" s="3" t="n">
        <v>45731.4861111111</v>
      </c>
      <c r="G730" s="2" t="s">
        <v>1299</v>
      </c>
      <c r="H730" s="4" t="n">
        <v>0.9359</v>
      </c>
      <c r="I730" s="2" t="s">
        <v>23</v>
      </c>
      <c r="J730" s="2" t="s">
        <v>37</v>
      </c>
      <c r="K730" s="2" t="n">
        <v>13</v>
      </c>
      <c r="L730" s="2" t="n">
        <v>0</v>
      </c>
      <c r="M730" s="2" t="n">
        <v>0</v>
      </c>
    </row>
    <row r="731" customFormat="false" ht="15" hidden="false" customHeight="false" outlineLevel="0" collapsed="false">
      <c r="A731" s="2" t="s">
        <v>1641</v>
      </c>
      <c r="B731" s="2" t="s">
        <v>1642</v>
      </c>
      <c r="C731" s="2" t="n">
        <v>5</v>
      </c>
      <c r="D731" s="2" t="s">
        <v>943</v>
      </c>
      <c r="E731" s="2" t="s">
        <v>1039</v>
      </c>
      <c r="F731" s="3" t="n">
        <v>45731.5118055556</v>
      </c>
      <c r="G731" s="2" t="s">
        <v>1299</v>
      </c>
      <c r="H731" s="4" t="n">
        <v>0.7549</v>
      </c>
      <c r="I731" s="2" t="s">
        <v>23</v>
      </c>
      <c r="J731" s="2" t="s">
        <v>19</v>
      </c>
      <c r="K731" s="2" t="n">
        <v>0</v>
      </c>
      <c r="L731" s="2" t="n">
        <v>0</v>
      </c>
      <c r="M731" s="2" t="n">
        <v>0</v>
      </c>
    </row>
    <row r="732" customFormat="false" ht="15" hidden="false" customHeight="false" outlineLevel="0" collapsed="false">
      <c r="A732" s="2" t="s">
        <v>1643</v>
      </c>
      <c r="B732" s="2" t="s">
        <v>1644</v>
      </c>
      <c r="C732" s="2" t="n">
        <v>3</v>
      </c>
      <c r="D732" s="2" t="s">
        <v>22</v>
      </c>
      <c r="E732" s="2" t="s">
        <v>1039</v>
      </c>
      <c r="F732" s="3" t="n">
        <v>45731.5569444444</v>
      </c>
      <c r="G732" s="2" t="s">
        <v>1299</v>
      </c>
      <c r="H732" s="4" t="n">
        <v>0.2023</v>
      </c>
      <c r="I732" s="2" t="s">
        <v>23</v>
      </c>
      <c r="J732" s="2" t="s">
        <v>19</v>
      </c>
      <c r="K732" s="2" t="n">
        <v>1</v>
      </c>
      <c r="L732" s="2" t="n">
        <v>0</v>
      </c>
      <c r="M732" s="2" t="n">
        <v>0</v>
      </c>
    </row>
    <row r="733" customFormat="false" ht="15" hidden="false" customHeight="false" outlineLevel="0" collapsed="false">
      <c r="A733" s="2" t="s">
        <v>1645</v>
      </c>
      <c r="B733" s="2" t="s">
        <v>1646</v>
      </c>
      <c r="C733" s="2" t="n">
        <v>5</v>
      </c>
      <c r="D733" s="2" t="s">
        <v>40</v>
      </c>
      <c r="E733" s="2" t="s">
        <v>1039</v>
      </c>
      <c r="F733" s="3" t="n">
        <v>45731.6236111111</v>
      </c>
      <c r="G733" s="2" t="s">
        <v>1299</v>
      </c>
      <c r="H733" s="4" t="n">
        <v>0.4019</v>
      </c>
      <c r="I733" s="2" t="s">
        <v>23</v>
      </c>
      <c r="J733" s="2" t="s">
        <v>33</v>
      </c>
      <c r="K733" s="2" t="n">
        <v>7</v>
      </c>
      <c r="L733" s="2" t="n">
        <v>0</v>
      </c>
      <c r="M733" s="2" t="n">
        <v>0</v>
      </c>
    </row>
    <row r="734" customFormat="false" ht="15" hidden="false" customHeight="false" outlineLevel="0" collapsed="false">
      <c r="A734" s="2" t="s">
        <v>1647</v>
      </c>
      <c r="B734" s="2" t="s">
        <v>1648</v>
      </c>
      <c r="C734" s="2" t="n">
        <v>4</v>
      </c>
      <c r="D734" s="2" t="s">
        <v>96</v>
      </c>
      <c r="E734" s="2" t="s">
        <v>1039</v>
      </c>
      <c r="F734" s="3" t="n">
        <v>45731.8083333333</v>
      </c>
      <c r="G734" s="2" t="s">
        <v>1299</v>
      </c>
      <c r="H734" s="4" t="n">
        <v>0.6369</v>
      </c>
      <c r="I734" s="2" t="s">
        <v>23</v>
      </c>
      <c r="J734" s="2" t="s">
        <v>19</v>
      </c>
      <c r="K734" s="2" t="n">
        <v>0</v>
      </c>
      <c r="L734" s="2" t="n">
        <v>0</v>
      </c>
      <c r="M734" s="2" t="n">
        <v>0</v>
      </c>
    </row>
    <row r="735" customFormat="false" ht="15" hidden="false" customHeight="false" outlineLevel="0" collapsed="false">
      <c r="A735" s="2" t="s">
        <v>1649</v>
      </c>
      <c r="B735" s="2" t="s">
        <v>1650</v>
      </c>
      <c r="C735" s="2" t="n">
        <v>4</v>
      </c>
      <c r="D735" s="2" t="s">
        <v>90</v>
      </c>
      <c r="E735" s="2" t="s">
        <v>1039</v>
      </c>
      <c r="F735" s="3" t="n">
        <v>45731.9486111111</v>
      </c>
      <c r="G735" s="2" t="s">
        <v>1299</v>
      </c>
      <c r="H735" s="4" t="n">
        <v>0.6249</v>
      </c>
      <c r="I735" s="2" t="s">
        <v>23</v>
      </c>
      <c r="J735" s="2" t="s">
        <v>37</v>
      </c>
      <c r="K735" s="2" t="n">
        <v>0</v>
      </c>
      <c r="L735" s="2" t="n">
        <v>0</v>
      </c>
      <c r="M735" s="2" t="n">
        <v>0</v>
      </c>
    </row>
    <row r="736" customFormat="false" ht="15" hidden="false" customHeight="false" outlineLevel="0" collapsed="false">
      <c r="A736" s="2" t="s">
        <v>1651</v>
      </c>
      <c r="B736" s="2" t="s">
        <v>1652</v>
      </c>
      <c r="C736" s="2" t="n">
        <v>3</v>
      </c>
      <c r="D736" s="2" t="s">
        <v>99</v>
      </c>
      <c r="E736" s="2" t="s">
        <v>1039</v>
      </c>
      <c r="F736" s="3" t="n">
        <v>45732.0548611111</v>
      </c>
      <c r="G736" s="2" t="s">
        <v>1299</v>
      </c>
      <c r="H736" s="4" t="n">
        <v>-0.3089</v>
      </c>
      <c r="I736" s="2" t="s">
        <v>84</v>
      </c>
      <c r="J736" s="2" t="s">
        <v>19</v>
      </c>
      <c r="K736" s="2" t="n">
        <v>0</v>
      </c>
      <c r="L736" s="2" t="n">
        <v>0</v>
      </c>
      <c r="M736" s="2" t="n">
        <v>0</v>
      </c>
    </row>
    <row r="737" customFormat="false" ht="15" hidden="false" customHeight="false" outlineLevel="0" collapsed="false">
      <c r="A737" s="2" t="s">
        <v>1653</v>
      </c>
      <c r="B737" s="2" t="s">
        <v>1654</v>
      </c>
      <c r="C737" s="2" t="n">
        <v>5</v>
      </c>
      <c r="D737" s="2" t="s">
        <v>787</v>
      </c>
      <c r="E737" s="2" t="s">
        <v>1039</v>
      </c>
      <c r="F737" s="3" t="n">
        <v>45732.1076388889</v>
      </c>
      <c r="G737" s="2" t="s">
        <v>1299</v>
      </c>
      <c r="H737" s="4" t="n">
        <v>0.7475</v>
      </c>
      <c r="I737" s="2" t="s">
        <v>23</v>
      </c>
      <c r="J737" s="2" t="s">
        <v>37</v>
      </c>
      <c r="K737" s="2" t="n">
        <v>0</v>
      </c>
      <c r="L737" s="2" t="n">
        <v>0</v>
      </c>
      <c r="M737" s="2" t="n">
        <v>0</v>
      </c>
    </row>
    <row r="738" customFormat="false" ht="15" hidden="false" customHeight="false" outlineLevel="0" collapsed="false">
      <c r="A738" s="2" t="s">
        <v>1655</v>
      </c>
      <c r="B738" s="2" t="s">
        <v>1656</v>
      </c>
      <c r="C738" s="2" t="n">
        <v>5</v>
      </c>
      <c r="D738" s="2" t="s">
        <v>15</v>
      </c>
      <c r="E738" s="2" t="s">
        <v>1039</v>
      </c>
      <c r="F738" s="3" t="n">
        <v>45732.3006944444</v>
      </c>
      <c r="G738" s="2" t="s">
        <v>1299</v>
      </c>
      <c r="H738" s="4" t="n">
        <v>0</v>
      </c>
      <c r="I738" s="2" t="s">
        <v>18</v>
      </c>
      <c r="J738" s="2" t="s">
        <v>19</v>
      </c>
      <c r="K738" s="2" t="n">
        <v>7</v>
      </c>
      <c r="L738" s="2" t="n">
        <v>0</v>
      </c>
      <c r="M738" s="2" t="n">
        <v>0</v>
      </c>
    </row>
    <row r="739" customFormat="false" ht="15" hidden="false" customHeight="false" outlineLevel="0" collapsed="false">
      <c r="A739" s="2" t="s">
        <v>1657</v>
      </c>
      <c r="B739" s="2" t="s">
        <v>1658</v>
      </c>
      <c r="C739" s="2" t="n">
        <v>1</v>
      </c>
      <c r="D739" s="2" t="s">
        <v>1659</v>
      </c>
      <c r="E739" s="2" t="s">
        <v>1039</v>
      </c>
      <c r="F739" s="3" t="n">
        <v>45732.3145833333</v>
      </c>
      <c r="G739" s="2" t="s">
        <v>1299</v>
      </c>
      <c r="H739" s="4" t="n">
        <v>0</v>
      </c>
      <c r="I739" s="2" t="s">
        <v>18</v>
      </c>
      <c r="J739" s="2" t="s">
        <v>59</v>
      </c>
      <c r="K739" s="2" t="n">
        <v>4</v>
      </c>
      <c r="L739" s="2" t="n">
        <v>0</v>
      </c>
      <c r="M739" s="2" t="n">
        <v>0</v>
      </c>
    </row>
    <row r="740" customFormat="false" ht="15" hidden="false" customHeight="false" outlineLevel="0" collapsed="false">
      <c r="A740" s="2" t="s">
        <v>1660</v>
      </c>
      <c r="B740" s="2" t="s">
        <v>1661</v>
      </c>
      <c r="C740" s="2" t="n">
        <v>4</v>
      </c>
      <c r="D740" s="2" t="s">
        <v>52</v>
      </c>
      <c r="E740" s="2" t="s">
        <v>1039</v>
      </c>
      <c r="F740" s="3" t="n">
        <v>45732.3583333333</v>
      </c>
      <c r="G740" s="2" t="s">
        <v>1299</v>
      </c>
      <c r="H740" s="4" t="n">
        <v>0.6369</v>
      </c>
      <c r="I740" s="2" t="s">
        <v>23</v>
      </c>
      <c r="J740" s="2" t="s">
        <v>19</v>
      </c>
      <c r="K740" s="2" t="n">
        <v>9</v>
      </c>
      <c r="L740" s="2" t="n">
        <v>0</v>
      </c>
      <c r="M740" s="2" t="n">
        <v>0</v>
      </c>
    </row>
    <row r="741" customFormat="false" ht="15" hidden="false" customHeight="false" outlineLevel="0" collapsed="false">
      <c r="A741" s="2" t="s">
        <v>1662</v>
      </c>
      <c r="B741" s="2" t="s">
        <v>1663</v>
      </c>
      <c r="C741" s="2" t="n">
        <v>5</v>
      </c>
      <c r="D741" s="2" t="s">
        <v>799</v>
      </c>
      <c r="E741" s="2" t="s">
        <v>1039</v>
      </c>
      <c r="F741" s="3" t="n">
        <v>45732.4881944444</v>
      </c>
      <c r="G741" s="2" t="s">
        <v>1299</v>
      </c>
      <c r="H741" s="4" t="n">
        <v>0.9606</v>
      </c>
      <c r="I741" s="2" t="s">
        <v>23</v>
      </c>
      <c r="J741" s="2" t="s">
        <v>37</v>
      </c>
      <c r="K741" s="2" t="n">
        <v>7</v>
      </c>
      <c r="L741" s="2" t="n">
        <v>0</v>
      </c>
      <c r="M741" s="2" t="n">
        <v>0</v>
      </c>
    </row>
    <row r="742" customFormat="false" ht="15" hidden="false" customHeight="false" outlineLevel="0" collapsed="false">
      <c r="A742" s="2" t="s">
        <v>1664</v>
      </c>
      <c r="B742" s="2" t="s">
        <v>1665</v>
      </c>
      <c r="C742" s="2" t="n">
        <v>4</v>
      </c>
      <c r="D742" s="2" t="s">
        <v>52</v>
      </c>
      <c r="E742" s="2" t="s">
        <v>1039</v>
      </c>
      <c r="F742" s="3" t="n">
        <v>45732.5034722222</v>
      </c>
      <c r="G742" s="2" t="s">
        <v>1299</v>
      </c>
      <c r="H742" s="4" t="n">
        <v>0.6369</v>
      </c>
      <c r="I742" s="2" t="s">
        <v>23</v>
      </c>
      <c r="J742" s="2" t="s">
        <v>19</v>
      </c>
      <c r="K742" s="2" t="n">
        <v>1</v>
      </c>
      <c r="L742" s="2" t="n">
        <v>0</v>
      </c>
      <c r="M742" s="2" t="n">
        <v>0</v>
      </c>
    </row>
    <row r="743" customFormat="false" ht="15" hidden="false" customHeight="false" outlineLevel="0" collapsed="false">
      <c r="A743" s="2" t="s">
        <v>1666</v>
      </c>
      <c r="B743" s="2" t="s">
        <v>1667</v>
      </c>
      <c r="C743" s="2" t="n">
        <v>5</v>
      </c>
      <c r="D743" s="2" t="s">
        <v>52</v>
      </c>
      <c r="E743" s="2" t="s">
        <v>1039</v>
      </c>
      <c r="F743" s="3" t="n">
        <v>45732.58125</v>
      </c>
      <c r="G743" s="2" t="s">
        <v>1299</v>
      </c>
      <c r="H743" s="4" t="n">
        <v>0.6369</v>
      </c>
      <c r="I743" s="2" t="s">
        <v>23</v>
      </c>
      <c r="J743" s="2" t="s">
        <v>19</v>
      </c>
      <c r="K743" s="2" t="n">
        <v>0</v>
      </c>
      <c r="L743" s="2" t="n">
        <v>0</v>
      </c>
      <c r="M743" s="2" t="n">
        <v>0</v>
      </c>
    </row>
    <row r="744" customFormat="false" ht="15" hidden="false" customHeight="false" outlineLevel="0" collapsed="false">
      <c r="A744" s="2" t="s">
        <v>1668</v>
      </c>
      <c r="B744" s="2" t="s">
        <v>1669</v>
      </c>
      <c r="C744" s="2" t="n">
        <v>5</v>
      </c>
      <c r="D744" s="2" t="s">
        <v>40</v>
      </c>
      <c r="E744" s="2" t="s">
        <v>1039</v>
      </c>
      <c r="F744" s="3" t="n">
        <v>45732.6256944445</v>
      </c>
      <c r="G744" s="2" t="s">
        <v>1299</v>
      </c>
      <c r="H744" s="4" t="n">
        <v>0.4019</v>
      </c>
      <c r="I744" s="2" t="s">
        <v>23</v>
      </c>
      <c r="J744" s="2" t="s">
        <v>33</v>
      </c>
      <c r="K744" s="2" t="n">
        <v>11</v>
      </c>
      <c r="L744" s="2" t="n">
        <v>0</v>
      </c>
      <c r="M744" s="2" t="n">
        <v>0</v>
      </c>
    </row>
    <row r="745" customFormat="false" ht="15" hidden="false" customHeight="false" outlineLevel="0" collapsed="false">
      <c r="A745" s="2" t="s">
        <v>1670</v>
      </c>
      <c r="B745" s="2" t="s">
        <v>1671</v>
      </c>
      <c r="C745" s="2" t="n">
        <v>4</v>
      </c>
      <c r="D745" s="2" t="s">
        <v>787</v>
      </c>
      <c r="E745" s="2" t="s">
        <v>1039</v>
      </c>
      <c r="F745" s="3" t="n">
        <v>45732.6395833333</v>
      </c>
      <c r="G745" s="2" t="s">
        <v>1299</v>
      </c>
      <c r="H745" s="4" t="n">
        <v>0.7475</v>
      </c>
      <c r="I745" s="2" t="s">
        <v>23</v>
      </c>
      <c r="J745" s="2" t="s">
        <v>37</v>
      </c>
      <c r="K745" s="2" t="n">
        <v>1</v>
      </c>
      <c r="L745" s="2" t="n">
        <v>0</v>
      </c>
      <c r="M745" s="2" t="n">
        <v>0</v>
      </c>
    </row>
    <row r="746" customFormat="false" ht="15" hidden="false" customHeight="false" outlineLevel="0" collapsed="false">
      <c r="A746" s="2" t="s">
        <v>1672</v>
      </c>
      <c r="B746" s="2" t="s">
        <v>1673</v>
      </c>
      <c r="C746" s="2" t="n">
        <v>3</v>
      </c>
      <c r="D746" s="2" t="s">
        <v>1674</v>
      </c>
      <c r="E746" s="2" t="s">
        <v>1039</v>
      </c>
      <c r="F746" s="3" t="n">
        <v>45732.6472222222</v>
      </c>
      <c r="G746" s="2" t="s">
        <v>1299</v>
      </c>
      <c r="H746" s="4" t="n">
        <v>-0.438</v>
      </c>
      <c r="I746" s="2" t="s">
        <v>84</v>
      </c>
      <c r="J746" s="2" t="s">
        <v>19</v>
      </c>
      <c r="K746" s="2" t="n">
        <v>2</v>
      </c>
      <c r="L746" s="2" t="n">
        <v>0</v>
      </c>
      <c r="M746" s="2" t="n">
        <v>0</v>
      </c>
    </row>
    <row r="747" customFormat="false" ht="15" hidden="false" customHeight="false" outlineLevel="0" collapsed="false">
      <c r="A747" s="2" t="s">
        <v>1675</v>
      </c>
      <c r="B747" s="2" t="s">
        <v>1676</v>
      </c>
      <c r="C747" s="2" t="n">
        <v>4</v>
      </c>
      <c r="D747" s="2" t="s">
        <v>47</v>
      </c>
      <c r="E747" s="2" t="s">
        <v>1039</v>
      </c>
      <c r="F747" s="3" t="n">
        <v>45732.7263888889</v>
      </c>
      <c r="G747" s="2" t="s">
        <v>1299</v>
      </c>
      <c r="H747" s="4" t="n">
        <v>0.3089</v>
      </c>
      <c r="I747" s="2" t="s">
        <v>23</v>
      </c>
      <c r="J747" s="2" t="s">
        <v>19</v>
      </c>
      <c r="K747" s="2" t="n">
        <v>2</v>
      </c>
      <c r="L747" s="2" t="n">
        <v>0</v>
      </c>
      <c r="M747" s="2" t="n">
        <v>0</v>
      </c>
    </row>
    <row r="748" customFormat="false" ht="15" hidden="false" customHeight="false" outlineLevel="0" collapsed="false">
      <c r="A748" s="2" t="s">
        <v>1677</v>
      </c>
      <c r="B748" s="2" t="s">
        <v>1678</v>
      </c>
      <c r="C748" s="2" t="n">
        <v>4</v>
      </c>
      <c r="D748" s="2" t="s">
        <v>62</v>
      </c>
      <c r="E748" s="2" t="s">
        <v>1039</v>
      </c>
      <c r="F748" s="3" t="n">
        <v>45732.825</v>
      </c>
      <c r="G748" s="2" t="s">
        <v>1299</v>
      </c>
      <c r="H748" s="4" t="n">
        <v>0.7088</v>
      </c>
      <c r="I748" s="2" t="s">
        <v>23</v>
      </c>
      <c r="J748" s="2" t="s">
        <v>19</v>
      </c>
      <c r="K748" s="2" t="n">
        <v>1</v>
      </c>
      <c r="L748" s="2" t="n">
        <v>0</v>
      </c>
      <c r="M748" s="2" t="n">
        <v>0</v>
      </c>
    </row>
    <row r="749" customFormat="false" ht="15" hidden="false" customHeight="false" outlineLevel="0" collapsed="false">
      <c r="A749" s="2" t="s">
        <v>1679</v>
      </c>
      <c r="B749" s="2" t="s">
        <v>1680</v>
      </c>
      <c r="C749" s="2" t="n">
        <v>4</v>
      </c>
      <c r="D749" s="2" t="s">
        <v>127</v>
      </c>
      <c r="E749" s="2" t="s">
        <v>1039</v>
      </c>
      <c r="F749" s="3" t="n">
        <v>45732.8458333333</v>
      </c>
      <c r="G749" s="2" t="s">
        <v>1299</v>
      </c>
      <c r="H749" s="4" t="n">
        <v>0.9359</v>
      </c>
      <c r="I749" s="2" t="s">
        <v>23</v>
      </c>
      <c r="J749" s="2" t="s">
        <v>37</v>
      </c>
      <c r="K749" s="2" t="n">
        <v>2</v>
      </c>
      <c r="L749" s="2" t="n">
        <v>0</v>
      </c>
      <c r="M749" s="2" t="n">
        <v>0</v>
      </c>
    </row>
    <row r="750" customFormat="false" ht="15" hidden="false" customHeight="false" outlineLevel="0" collapsed="false">
      <c r="A750" s="2" t="s">
        <v>1681</v>
      </c>
      <c r="B750" s="2" t="s">
        <v>1682</v>
      </c>
      <c r="C750" s="2" t="n">
        <v>5</v>
      </c>
      <c r="D750" s="2" t="s">
        <v>1683</v>
      </c>
      <c r="E750" s="2" t="s">
        <v>1039</v>
      </c>
      <c r="F750" s="3" t="n">
        <v>45732.9416666667</v>
      </c>
      <c r="G750" s="2" t="s">
        <v>1299</v>
      </c>
      <c r="H750" s="4" t="n">
        <v>0.6369</v>
      </c>
      <c r="I750" s="2" t="s">
        <v>23</v>
      </c>
      <c r="J750" s="2" t="s">
        <v>19</v>
      </c>
      <c r="K750" s="2" t="n">
        <v>5</v>
      </c>
      <c r="L750" s="2" t="n">
        <v>0</v>
      </c>
      <c r="M750" s="2" t="n">
        <v>0</v>
      </c>
    </row>
    <row r="751" customFormat="false" ht="15" hidden="false" customHeight="false" outlineLevel="0" collapsed="false">
      <c r="A751" s="2" t="s">
        <v>1684</v>
      </c>
      <c r="B751" s="2" t="s">
        <v>1685</v>
      </c>
      <c r="C751" s="2" t="n">
        <v>3</v>
      </c>
      <c r="D751" s="2" t="s">
        <v>661</v>
      </c>
      <c r="E751" s="2" t="s">
        <v>1039</v>
      </c>
      <c r="F751" s="3" t="n">
        <v>45733.3034722222</v>
      </c>
      <c r="G751" s="2" t="s">
        <v>1299</v>
      </c>
      <c r="H751" s="4" t="n">
        <v>0</v>
      </c>
      <c r="I751" s="2" t="s">
        <v>18</v>
      </c>
      <c r="J751" s="2" t="s">
        <v>59</v>
      </c>
      <c r="K751" s="2" t="n">
        <v>7</v>
      </c>
      <c r="L751" s="2" t="n">
        <v>0</v>
      </c>
      <c r="M751" s="2" t="n">
        <v>0</v>
      </c>
    </row>
    <row r="752" customFormat="false" ht="15" hidden="false" customHeight="false" outlineLevel="0" collapsed="false">
      <c r="A752" s="2" t="s">
        <v>1686</v>
      </c>
      <c r="B752" s="2" t="s">
        <v>1687</v>
      </c>
      <c r="C752" s="2" t="n">
        <v>4</v>
      </c>
      <c r="D752" s="2" t="s">
        <v>62</v>
      </c>
      <c r="E752" s="2" t="s">
        <v>1039</v>
      </c>
      <c r="F752" s="3" t="n">
        <v>45733.3194444445</v>
      </c>
      <c r="G752" s="2" t="s">
        <v>1299</v>
      </c>
      <c r="H752" s="4" t="n">
        <v>0.7088</v>
      </c>
      <c r="I752" s="2" t="s">
        <v>23</v>
      </c>
      <c r="J752" s="2" t="s">
        <v>19</v>
      </c>
      <c r="K752" s="2" t="n">
        <v>0</v>
      </c>
      <c r="L752" s="2" t="n">
        <v>0</v>
      </c>
      <c r="M752" s="2" t="n">
        <v>0</v>
      </c>
    </row>
    <row r="753" customFormat="false" ht="15" hidden="false" customHeight="false" outlineLevel="0" collapsed="false">
      <c r="A753" s="2" t="s">
        <v>1688</v>
      </c>
      <c r="B753" s="2" t="s">
        <v>1689</v>
      </c>
      <c r="C753" s="2" t="n">
        <v>2</v>
      </c>
      <c r="D753" s="2" t="s">
        <v>179</v>
      </c>
      <c r="E753" s="2" t="s">
        <v>1039</v>
      </c>
      <c r="F753" s="3" t="n">
        <v>45733.6284722222</v>
      </c>
      <c r="G753" s="2" t="s">
        <v>1299</v>
      </c>
      <c r="H753" s="4" t="n">
        <v>-0.0258</v>
      </c>
      <c r="I753" s="2" t="s">
        <v>18</v>
      </c>
      <c r="J753" s="2" t="s">
        <v>59</v>
      </c>
      <c r="K753" s="2" t="n">
        <v>5</v>
      </c>
      <c r="L753" s="2" t="n">
        <v>1</v>
      </c>
      <c r="M753" s="2" t="n">
        <v>0</v>
      </c>
    </row>
    <row r="754" customFormat="false" ht="15" hidden="false" customHeight="false" outlineLevel="0" collapsed="false">
      <c r="A754" s="2" t="s">
        <v>1690</v>
      </c>
      <c r="B754" s="2" t="s">
        <v>1691</v>
      </c>
      <c r="C754" s="2" t="n">
        <v>1</v>
      </c>
      <c r="D754" s="2" t="s">
        <v>661</v>
      </c>
      <c r="E754" s="2" t="s">
        <v>1039</v>
      </c>
      <c r="F754" s="3" t="n">
        <v>45733.6618055556</v>
      </c>
      <c r="G754" s="2" t="s">
        <v>1299</v>
      </c>
      <c r="H754" s="4" t="n">
        <v>0</v>
      </c>
      <c r="I754" s="2" t="s">
        <v>18</v>
      </c>
      <c r="J754" s="2" t="s">
        <v>59</v>
      </c>
      <c r="K754" s="2" t="n">
        <v>13</v>
      </c>
      <c r="L754" s="2" t="n">
        <v>1</v>
      </c>
      <c r="M754" s="2" t="n">
        <v>0</v>
      </c>
    </row>
    <row r="755" customFormat="false" ht="15" hidden="false" customHeight="false" outlineLevel="0" collapsed="false">
      <c r="A755" s="2" t="s">
        <v>1692</v>
      </c>
      <c r="B755" s="2" t="s">
        <v>1693</v>
      </c>
      <c r="C755" s="2" t="n">
        <v>5</v>
      </c>
      <c r="D755" s="2" t="s">
        <v>62</v>
      </c>
      <c r="E755" s="2" t="s">
        <v>1039</v>
      </c>
      <c r="F755" s="3" t="n">
        <v>45733.7173611111</v>
      </c>
      <c r="G755" s="2" t="s">
        <v>1299</v>
      </c>
      <c r="H755" s="4" t="n">
        <v>0.7088</v>
      </c>
      <c r="I755" s="2" t="s">
        <v>23</v>
      </c>
      <c r="J755" s="2" t="s">
        <v>19</v>
      </c>
      <c r="K755" s="2" t="n">
        <v>0</v>
      </c>
      <c r="L755" s="2" t="n">
        <v>0</v>
      </c>
      <c r="M755" s="2" t="n">
        <v>0</v>
      </c>
    </row>
    <row r="756" customFormat="false" ht="15" hidden="false" customHeight="false" outlineLevel="0" collapsed="false">
      <c r="A756" s="2" t="s">
        <v>1694</v>
      </c>
      <c r="B756" s="2" t="s">
        <v>1695</v>
      </c>
      <c r="C756" s="2" t="n">
        <v>5</v>
      </c>
      <c r="D756" s="2" t="s">
        <v>52</v>
      </c>
      <c r="E756" s="2" t="s">
        <v>1039</v>
      </c>
      <c r="F756" s="3" t="n">
        <v>45733.925</v>
      </c>
      <c r="G756" s="2" t="s">
        <v>1299</v>
      </c>
      <c r="H756" s="4" t="n">
        <v>0.6369</v>
      </c>
      <c r="I756" s="2" t="s">
        <v>23</v>
      </c>
      <c r="J756" s="2" t="s">
        <v>19</v>
      </c>
      <c r="K756" s="2" t="n">
        <v>3</v>
      </c>
      <c r="L756" s="2" t="n">
        <v>0</v>
      </c>
      <c r="M756" s="2" t="n">
        <v>0</v>
      </c>
    </row>
    <row r="757" customFormat="false" ht="15" hidden="false" customHeight="false" outlineLevel="0" collapsed="false">
      <c r="A757" s="2" t="s">
        <v>1696</v>
      </c>
      <c r="B757" s="2" t="s">
        <v>1697</v>
      </c>
      <c r="C757" s="2" t="n">
        <v>5</v>
      </c>
      <c r="D757" s="2" t="s">
        <v>1698</v>
      </c>
      <c r="E757" s="2" t="s">
        <v>1039</v>
      </c>
      <c r="F757" s="3" t="n">
        <v>45733.9465277778</v>
      </c>
      <c r="G757" s="2" t="s">
        <v>1299</v>
      </c>
      <c r="H757" s="4" t="n">
        <v>0.7845</v>
      </c>
      <c r="I757" s="2" t="s">
        <v>23</v>
      </c>
      <c r="J757" s="2" t="s">
        <v>33</v>
      </c>
      <c r="K757" s="2" t="n">
        <v>1</v>
      </c>
      <c r="L757" s="2" t="n">
        <v>0</v>
      </c>
      <c r="M757" s="2" t="n">
        <v>0</v>
      </c>
    </row>
    <row r="758" customFormat="false" ht="15" hidden="false" customHeight="false" outlineLevel="0" collapsed="false">
      <c r="A758" s="2" t="s">
        <v>1699</v>
      </c>
      <c r="B758" s="2" t="s">
        <v>1700</v>
      </c>
      <c r="C758" s="2" t="n">
        <v>1</v>
      </c>
      <c r="D758" s="2" t="s">
        <v>168</v>
      </c>
      <c r="E758" s="2" t="s">
        <v>1039</v>
      </c>
      <c r="F758" s="3" t="n">
        <v>45733.9597222222</v>
      </c>
      <c r="G758" s="2" t="s">
        <v>1299</v>
      </c>
      <c r="H758" s="4" t="n">
        <v>-0.1027</v>
      </c>
      <c r="I758" s="2" t="s">
        <v>84</v>
      </c>
      <c r="J758" s="2" t="s">
        <v>33</v>
      </c>
      <c r="K758" s="2" t="n">
        <v>2</v>
      </c>
      <c r="L758" s="2" t="n">
        <v>1</v>
      </c>
      <c r="M758" s="2" t="n">
        <v>0</v>
      </c>
    </row>
    <row r="759" customFormat="false" ht="15" hidden="false" customHeight="false" outlineLevel="0" collapsed="false">
      <c r="A759" s="2" t="s">
        <v>1701</v>
      </c>
      <c r="B759" s="2" t="s">
        <v>1702</v>
      </c>
      <c r="C759" s="2" t="n">
        <v>5</v>
      </c>
      <c r="D759" s="2" t="s">
        <v>15</v>
      </c>
      <c r="E759" s="2" t="s">
        <v>1039</v>
      </c>
      <c r="F759" s="3" t="n">
        <v>45734.0159722222</v>
      </c>
      <c r="G759" s="2" t="s">
        <v>1299</v>
      </c>
      <c r="H759" s="4" t="n">
        <v>0</v>
      </c>
      <c r="I759" s="2" t="s">
        <v>18</v>
      </c>
      <c r="J759" s="2" t="s">
        <v>19</v>
      </c>
      <c r="K759" s="2" t="n">
        <v>1</v>
      </c>
      <c r="L759" s="2" t="n">
        <v>0</v>
      </c>
      <c r="M759" s="2" t="n">
        <v>0</v>
      </c>
    </row>
    <row r="760" customFormat="false" ht="15" hidden="false" customHeight="false" outlineLevel="0" collapsed="false">
      <c r="A760" s="2" t="s">
        <v>1703</v>
      </c>
      <c r="B760" s="2" t="s">
        <v>1704</v>
      </c>
      <c r="C760" s="2" t="n">
        <v>4</v>
      </c>
      <c r="D760" s="2" t="s">
        <v>1705</v>
      </c>
      <c r="E760" s="2" t="s">
        <v>1039</v>
      </c>
      <c r="F760" s="3" t="n">
        <v>45734.0708333333</v>
      </c>
      <c r="G760" s="2" t="s">
        <v>1299</v>
      </c>
      <c r="H760" s="4" t="n">
        <v>-0.2283</v>
      </c>
      <c r="I760" s="2" t="s">
        <v>84</v>
      </c>
      <c r="J760" s="2" t="s">
        <v>19</v>
      </c>
      <c r="K760" s="2" t="n">
        <v>8</v>
      </c>
      <c r="L760" s="2" t="n">
        <v>0</v>
      </c>
      <c r="M760" s="2" t="n">
        <v>0</v>
      </c>
    </row>
    <row r="761" customFormat="false" ht="15" hidden="false" customHeight="false" outlineLevel="0" collapsed="false">
      <c r="A761" s="2" t="s">
        <v>1706</v>
      </c>
      <c r="B761" s="2" t="s">
        <v>1707</v>
      </c>
      <c r="C761" s="2" t="n">
        <v>4</v>
      </c>
      <c r="D761" s="2" t="s">
        <v>87</v>
      </c>
      <c r="E761" s="2" t="s">
        <v>1039</v>
      </c>
      <c r="F761" s="3" t="n">
        <v>45734.1930555556</v>
      </c>
      <c r="G761" s="2" t="s">
        <v>1299</v>
      </c>
      <c r="H761" s="4" t="n">
        <v>0</v>
      </c>
      <c r="I761" s="2" t="s">
        <v>18</v>
      </c>
      <c r="J761" s="2" t="s">
        <v>19</v>
      </c>
      <c r="K761" s="2" t="n">
        <v>5</v>
      </c>
      <c r="L761" s="2" t="n">
        <v>0</v>
      </c>
      <c r="M761" s="2" t="n">
        <v>0</v>
      </c>
    </row>
    <row r="762" customFormat="false" ht="15" hidden="false" customHeight="false" outlineLevel="0" collapsed="false">
      <c r="A762" s="2" t="s">
        <v>1708</v>
      </c>
      <c r="B762" s="2" t="s">
        <v>1709</v>
      </c>
      <c r="C762" s="2" t="n">
        <v>5</v>
      </c>
      <c r="D762" s="2" t="s">
        <v>674</v>
      </c>
      <c r="E762" s="2" t="s">
        <v>1039</v>
      </c>
      <c r="F762" s="3" t="n">
        <v>45734.2680555556</v>
      </c>
      <c r="G762" s="2" t="s">
        <v>1299</v>
      </c>
      <c r="H762" s="4" t="n">
        <v>0.9481</v>
      </c>
      <c r="I762" s="2" t="s">
        <v>23</v>
      </c>
      <c r="J762" s="2" t="s">
        <v>37</v>
      </c>
      <c r="K762" s="2" t="n">
        <v>1</v>
      </c>
      <c r="L762" s="2" t="n">
        <v>0</v>
      </c>
      <c r="M762" s="2" t="n">
        <v>0</v>
      </c>
    </row>
    <row r="763" customFormat="false" ht="15" hidden="false" customHeight="false" outlineLevel="0" collapsed="false">
      <c r="A763" s="2" t="s">
        <v>1710</v>
      </c>
      <c r="B763" s="2" t="s">
        <v>1711</v>
      </c>
      <c r="C763" s="2" t="n">
        <v>3</v>
      </c>
      <c r="D763" s="2" t="s">
        <v>301</v>
      </c>
      <c r="E763" s="2" t="s">
        <v>1039</v>
      </c>
      <c r="F763" s="3" t="n">
        <v>45734.2743055556</v>
      </c>
      <c r="G763" s="2" t="s">
        <v>1299</v>
      </c>
      <c r="H763" s="4" t="n">
        <v>0.2263</v>
      </c>
      <c r="I763" s="2" t="s">
        <v>23</v>
      </c>
      <c r="J763" s="2" t="s">
        <v>19</v>
      </c>
      <c r="K763" s="2" t="n">
        <v>1</v>
      </c>
      <c r="L763" s="2" t="n">
        <v>0</v>
      </c>
      <c r="M763" s="2" t="n">
        <v>0</v>
      </c>
    </row>
    <row r="764" customFormat="false" ht="15" hidden="false" customHeight="false" outlineLevel="0" collapsed="false">
      <c r="A764" s="2" t="s">
        <v>1712</v>
      </c>
      <c r="B764" s="2" t="s">
        <v>1713</v>
      </c>
      <c r="C764" s="2" t="n">
        <v>5</v>
      </c>
      <c r="D764" s="2" t="s">
        <v>1714</v>
      </c>
      <c r="E764" s="2" t="s">
        <v>1039</v>
      </c>
      <c r="F764" s="3" t="n">
        <v>45734.4034722222</v>
      </c>
      <c r="G764" s="2" t="s">
        <v>1299</v>
      </c>
      <c r="H764" s="4" t="n">
        <v>0.9359</v>
      </c>
      <c r="I764" s="2" t="s">
        <v>23</v>
      </c>
      <c r="J764" s="2" t="s">
        <v>37</v>
      </c>
      <c r="K764" s="2" t="n">
        <v>1</v>
      </c>
      <c r="L764" s="2" t="n">
        <v>0</v>
      </c>
      <c r="M764" s="2" t="n">
        <v>0</v>
      </c>
    </row>
    <row r="765" customFormat="false" ht="15" hidden="false" customHeight="false" outlineLevel="0" collapsed="false">
      <c r="A765" s="2" t="s">
        <v>1715</v>
      </c>
      <c r="B765" s="2" t="s">
        <v>1716</v>
      </c>
      <c r="C765" s="2" t="n">
        <v>4</v>
      </c>
      <c r="D765" s="2" t="s">
        <v>99</v>
      </c>
      <c r="E765" s="2" t="s">
        <v>1039</v>
      </c>
      <c r="F765" s="3" t="n">
        <v>45734.50625</v>
      </c>
      <c r="G765" s="2" t="s">
        <v>1299</v>
      </c>
      <c r="H765" s="4" t="n">
        <v>-0.3089</v>
      </c>
      <c r="I765" s="2" t="s">
        <v>84</v>
      </c>
      <c r="J765" s="2" t="s">
        <v>19</v>
      </c>
      <c r="K765" s="2" t="n">
        <v>8</v>
      </c>
      <c r="L765" s="2" t="n">
        <v>0</v>
      </c>
      <c r="M765" s="2" t="n">
        <v>0</v>
      </c>
    </row>
    <row r="766" customFormat="false" ht="15" hidden="false" customHeight="false" outlineLevel="0" collapsed="false">
      <c r="A766" s="2" t="s">
        <v>1717</v>
      </c>
      <c r="B766" s="2" t="s">
        <v>1718</v>
      </c>
      <c r="C766" s="2" t="n">
        <v>5</v>
      </c>
      <c r="D766" s="2" t="s">
        <v>40</v>
      </c>
      <c r="E766" s="2" t="s">
        <v>1039</v>
      </c>
      <c r="F766" s="3" t="n">
        <v>45734.5715277778</v>
      </c>
      <c r="G766" s="2" t="s">
        <v>1299</v>
      </c>
      <c r="H766" s="4" t="n">
        <v>0.4019</v>
      </c>
      <c r="I766" s="2" t="s">
        <v>23</v>
      </c>
      <c r="J766" s="2" t="s">
        <v>33</v>
      </c>
      <c r="K766" s="2" t="n">
        <v>2</v>
      </c>
      <c r="L766" s="2" t="n">
        <v>0</v>
      </c>
      <c r="M766" s="2" t="n">
        <v>0</v>
      </c>
    </row>
    <row r="767" customFormat="false" ht="15" hidden="false" customHeight="false" outlineLevel="0" collapsed="false">
      <c r="A767" s="2" t="s">
        <v>1719</v>
      </c>
      <c r="B767" s="2" t="s">
        <v>1720</v>
      </c>
      <c r="C767" s="2" t="n">
        <v>3</v>
      </c>
      <c r="D767" s="2" t="s">
        <v>22</v>
      </c>
      <c r="E767" s="2" t="s">
        <v>1039</v>
      </c>
      <c r="F767" s="3" t="n">
        <v>45734.6291666667</v>
      </c>
      <c r="G767" s="2" t="s">
        <v>1299</v>
      </c>
      <c r="H767" s="4" t="n">
        <v>0.2023</v>
      </c>
      <c r="I767" s="2" t="s">
        <v>23</v>
      </c>
      <c r="J767" s="2" t="s">
        <v>19</v>
      </c>
      <c r="K767" s="2" t="n">
        <v>2</v>
      </c>
      <c r="L767" s="2" t="n">
        <v>0</v>
      </c>
      <c r="M767" s="2" t="n">
        <v>0</v>
      </c>
    </row>
    <row r="768" customFormat="false" ht="15" hidden="false" customHeight="false" outlineLevel="0" collapsed="false">
      <c r="A768" s="2" t="s">
        <v>1721</v>
      </c>
      <c r="B768" s="2" t="s">
        <v>1722</v>
      </c>
      <c r="C768" s="2" t="n">
        <v>5</v>
      </c>
      <c r="D768" s="2" t="s">
        <v>52</v>
      </c>
      <c r="E768" s="2" t="s">
        <v>1039</v>
      </c>
      <c r="F768" s="3" t="n">
        <v>45734.7152777778</v>
      </c>
      <c r="G768" s="2" t="s">
        <v>1299</v>
      </c>
      <c r="H768" s="4" t="n">
        <v>0.6369</v>
      </c>
      <c r="I768" s="2" t="s">
        <v>23</v>
      </c>
      <c r="J768" s="2" t="s">
        <v>19</v>
      </c>
      <c r="K768" s="2" t="n">
        <v>2</v>
      </c>
      <c r="L768" s="2" t="n">
        <v>0</v>
      </c>
      <c r="M768" s="2" t="n">
        <v>0</v>
      </c>
    </row>
    <row r="769" customFormat="false" ht="15" hidden="false" customHeight="false" outlineLevel="0" collapsed="false">
      <c r="A769" s="2" t="s">
        <v>1723</v>
      </c>
      <c r="B769" s="2" t="s">
        <v>1724</v>
      </c>
      <c r="C769" s="2" t="n">
        <v>3</v>
      </c>
      <c r="D769" s="2" t="s">
        <v>1725</v>
      </c>
      <c r="E769" s="2" t="s">
        <v>1039</v>
      </c>
      <c r="F769" s="3" t="n">
        <v>45734.7180555556</v>
      </c>
      <c r="G769" s="2" t="s">
        <v>1299</v>
      </c>
      <c r="H769" s="4" t="n">
        <v>0.4404</v>
      </c>
      <c r="I769" s="2" t="s">
        <v>23</v>
      </c>
      <c r="J769" s="2" t="s">
        <v>59</v>
      </c>
      <c r="K769" s="2" t="n">
        <v>2</v>
      </c>
      <c r="L769" s="2" t="n">
        <v>0</v>
      </c>
      <c r="M769" s="2" t="n">
        <v>0</v>
      </c>
    </row>
    <row r="770" customFormat="false" ht="15" hidden="false" customHeight="false" outlineLevel="0" collapsed="false">
      <c r="A770" s="2" t="s">
        <v>1726</v>
      </c>
      <c r="B770" s="2" t="s">
        <v>1727</v>
      </c>
      <c r="C770" s="2" t="n">
        <v>5</v>
      </c>
      <c r="D770" s="2" t="s">
        <v>127</v>
      </c>
      <c r="E770" s="2" t="s">
        <v>1039</v>
      </c>
      <c r="F770" s="3" t="n">
        <v>45735.04375</v>
      </c>
      <c r="G770" s="2" t="s">
        <v>1299</v>
      </c>
      <c r="H770" s="4" t="n">
        <v>0.9359</v>
      </c>
      <c r="I770" s="2" t="s">
        <v>23</v>
      </c>
      <c r="J770" s="2" t="s">
        <v>37</v>
      </c>
      <c r="K770" s="2" t="n">
        <v>2</v>
      </c>
      <c r="L770" s="2" t="n">
        <v>0</v>
      </c>
      <c r="M770" s="2" t="n">
        <v>0</v>
      </c>
    </row>
    <row r="771" customFormat="false" ht="15" hidden="false" customHeight="false" outlineLevel="0" collapsed="false">
      <c r="A771" s="2" t="s">
        <v>1728</v>
      </c>
      <c r="B771" s="2" t="s">
        <v>1729</v>
      </c>
      <c r="C771" s="2" t="n">
        <v>5</v>
      </c>
      <c r="D771" s="2" t="s">
        <v>90</v>
      </c>
      <c r="E771" s="2" t="s">
        <v>1039</v>
      </c>
      <c r="F771" s="3" t="n">
        <v>45735.4</v>
      </c>
      <c r="G771" s="2" t="s">
        <v>1299</v>
      </c>
      <c r="H771" s="4" t="n">
        <v>0.6249</v>
      </c>
      <c r="I771" s="2" t="s">
        <v>23</v>
      </c>
      <c r="J771" s="2" t="s">
        <v>37</v>
      </c>
      <c r="K771" s="2" t="n">
        <v>3</v>
      </c>
      <c r="L771" s="2" t="n">
        <v>0</v>
      </c>
      <c r="M771" s="2" t="n">
        <v>0</v>
      </c>
    </row>
    <row r="772" customFormat="false" ht="15" hidden="false" customHeight="false" outlineLevel="0" collapsed="false">
      <c r="A772" s="2" t="s">
        <v>1730</v>
      </c>
      <c r="B772" s="2" t="s">
        <v>1731</v>
      </c>
      <c r="C772" s="2" t="n">
        <v>4</v>
      </c>
      <c r="D772" s="2" t="s">
        <v>62</v>
      </c>
      <c r="E772" s="2" t="s">
        <v>1039</v>
      </c>
      <c r="F772" s="3" t="n">
        <v>45735.4666666667</v>
      </c>
      <c r="G772" s="2" t="s">
        <v>1299</v>
      </c>
      <c r="H772" s="4" t="n">
        <v>0.7088</v>
      </c>
      <c r="I772" s="2" t="s">
        <v>23</v>
      </c>
      <c r="J772" s="2" t="s">
        <v>19</v>
      </c>
      <c r="K772" s="2" t="n">
        <v>0</v>
      </c>
      <c r="L772" s="2" t="n">
        <v>0</v>
      </c>
      <c r="M772" s="2" t="n">
        <v>0</v>
      </c>
    </row>
    <row r="773" customFormat="false" ht="15" hidden="false" customHeight="false" outlineLevel="0" collapsed="false">
      <c r="A773" s="2" t="s">
        <v>1732</v>
      </c>
      <c r="B773" s="2" t="s">
        <v>1733</v>
      </c>
      <c r="C773" s="2" t="n">
        <v>3</v>
      </c>
      <c r="D773" s="2" t="s">
        <v>234</v>
      </c>
      <c r="E773" s="2" t="s">
        <v>1039</v>
      </c>
      <c r="F773" s="3" t="n">
        <v>45735.5805555556</v>
      </c>
      <c r="G773" s="2" t="s">
        <v>1299</v>
      </c>
      <c r="H773" s="4" t="n">
        <v>0</v>
      </c>
      <c r="I773" s="2" t="s">
        <v>18</v>
      </c>
      <c r="J773" s="2" t="s">
        <v>165</v>
      </c>
      <c r="K773" s="2" t="n">
        <v>9</v>
      </c>
      <c r="L773" s="2" t="n">
        <v>0</v>
      </c>
      <c r="M773" s="2" t="n">
        <v>0</v>
      </c>
    </row>
    <row r="774" customFormat="false" ht="15" hidden="false" customHeight="false" outlineLevel="0" collapsed="false">
      <c r="A774" s="2" t="s">
        <v>1734</v>
      </c>
      <c r="B774" s="2" t="s">
        <v>1735</v>
      </c>
      <c r="C774" s="2" t="n">
        <v>5</v>
      </c>
      <c r="D774" s="2" t="s">
        <v>1254</v>
      </c>
      <c r="E774" s="2" t="s">
        <v>1039</v>
      </c>
      <c r="F774" s="3" t="n">
        <v>45735.7194444445</v>
      </c>
      <c r="G774" s="2" t="s">
        <v>1299</v>
      </c>
      <c r="H774" s="4" t="n">
        <v>0</v>
      </c>
      <c r="I774" s="2" t="s">
        <v>18</v>
      </c>
      <c r="J774" s="2" t="s">
        <v>19</v>
      </c>
      <c r="K774" s="2" t="n">
        <v>0</v>
      </c>
      <c r="L774" s="2" t="n">
        <v>0</v>
      </c>
      <c r="M774" s="2" t="n">
        <v>0</v>
      </c>
    </row>
    <row r="775" customFormat="false" ht="15" hidden="false" customHeight="false" outlineLevel="0" collapsed="false">
      <c r="A775" s="2" t="s">
        <v>1736</v>
      </c>
      <c r="B775" s="2" t="s">
        <v>1737</v>
      </c>
      <c r="C775" s="2" t="n">
        <v>4</v>
      </c>
      <c r="D775" s="2" t="s">
        <v>787</v>
      </c>
      <c r="E775" s="2" t="s">
        <v>1039</v>
      </c>
      <c r="F775" s="3" t="n">
        <v>45735.7583333333</v>
      </c>
      <c r="G775" s="2" t="s">
        <v>1299</v>
      </c>
      <c r="H775" s="4" t="n">
        <v>0.7475</v>
      </c>
      <c r="I775" s="2" t="s">
        <v>23</v>
      </c>
      <c r="J775" s="2" t="s">
        <v>37</v>
      </c>
      <c r="K775" s="2" t="n">
        <v>12</v>
      </c>
      <c r="L775" s="2" t="n">
        <v>0</v>
      </c>
      <c r="M775" s="2" t="n">
        <v>0</v>
      </c>
    </row>
    <row r="776" customFormat="false" ht="15" hidden="false" customHeight="false" outlineLevel="0" collapsed="false">
      <c r="A776" s="2" t="s">
        <v>1738</v>
      </c>
      <c r="B776" s="2" t="s">
        <v>1739</v>
      </c>
      <c r="C776" s="2" t="n">
        <v>4</v>
      </c>
      <c r="D776" s="2" t="s">
        <v>40</v>
      </c>
      <c r="E776" s="2" t="s">
        <v>1039</v>
      </c>
      <c r="F776" s="3" t="n">
        <v>45735.7861111111</v>
      </c>
      <c r="G776" s="2" t="s">
        <v>1299</v>
      </c>
      <c r="H776" s="4" t="n">
        <v>0.4019</v>
      </c>
      <c r="I776" s="2" t="s">
        <v>23</v>
      </c>
      <c r="J776" s="2" t="s">
        <v>33</v>
      </c>
      <c r="K776" s="2" t="n">
        <v>1</v>
      </c>
      <c r="L776" s="2" t="n">
        <v>0</v>
      </c>
      <c r="M776" s="2" t="n">
        <v>0</v>
      </c>
    </row>
    <row r="777" customFormat="false" ht="15" hidden="false" customHeight="false" outlineLevel="0" collapsed="false">
      <c r="A777" s="2" t="s">
        <v>1740</v>
      </c>
      <c r="B777" s="2" t="s">
        <v>1741</v>
      </c>
      <c r="C777" s="2" t="n">
        <v>5</v>
      </c>
      <c r="D777" s="2" t="s">
        <v>127</v>
      </c>
      <c r="E777" s="2" t="s">
        <v>1039</v>
      </c>
      <c r="F777" s="3" t="n">
        <v>45735.8173611111</v>
      </c>
      <c r="G777" s="2" t="s">
        <v>1299</v>
      </c>
      <c r="H777" s="4" t="n">
        <v>0.9359</v>
      </c>
      <c r="I777" s="2" t="s">
        <v>23</v>
      </c>
      <c r="J777" s="2" t="s">
        <v>37</v>
      </c>
      <c r="K777" s="2" t="n">
        <v>12</v>
      </c>
      <c r="L777" s="2" t="n">
        <v>0</v>
      </c>
      <c r="M777" s="2" t="n">
        <v>0</v>
      </c>
    </row>
    <row r="778" customFormat="false" ht="15" hidden="false" customHeight="false" outlineLevel="0" collapsed="false">
      <c r="A778" s="2" t="s">
        <v>1742</v>
      </c>
      <c r="B778" s="2" t="s">
        <v>1743</v>
      </c>
      <c r="C778" s="2" t="n">
        <v>5</v>
      </c>
      <c r="D778" s="2" t="s">
        <v>807</v>
      </c>
      <c r="E778" s="2" t="s">
        <v>1039</v>
      </c>
      <c r="F778" s="3" t="n">
        <v>45735.8680555556</v>
      </c>
      <c r="G778" s="2" t="s">
        <v>1299</v>
      </c>
      <c r="H778" s="4" t="n">
        <v>0.6369</v>
      </c>
      <c r="I778" s="2" t="s">
        <v>23</v>
      </c>
      <c r="J778" s="2" t="s">
        <v>19</v>
      </c>
      <c r="K778" s="2" t="n">
        <v>3</v>
      </c>
      <c r="L778" s="2" t="n">
        <v>0</v>
      </c>
      <c r="M778" s="2" t="n">
        <v>0</v>
      </c>
    </row>
    <row r="779" customFormat="false" ht="15" hidden="false" customHeight="false" outlineLevel="0" collapsed="false">
      <c r="A779" s="2" t="s">
        <v>1744</v>
      </c>
      <c r="B779" s="2" t="s">
        <v>1745</v>
      </c>
      <c r="C779" s="2" t="n">
        <v>5</v>
      </c>
      <c r="D779" s="2" t="s">
        <v>15</v>
      </c>
      <c r="E779" s="2" t="s">
        <v>1039</v>
      </c>
      <c r="F779" s="3" t="n">
        <v>45735.9236111111</v>
      </c>
      <c r="G779" s="2" t="s">
        <v>1299</v>
      </c>
      <c r="H779" s="4" t="n">
        <v>0</v>
      </c>
      <c r="I779" s="2" t="s">
        <v>18</v>
      </c>
      <c r="J779" s="2" t="s">
        <v>19</v>
      </c>
      <c r="K779" s="2" t="n">
        <v>2</v>
      </c>
      <c r="L779" s="2" t="n">
        <v>0</v>
      </c>
      <c r="M779" s="2" t="n">
        <v>0</v>
      </c>
    </row>
    <row r="780" customFormat="false" ht="15" hidden="false" customHeight="false" outlineLevel="0" collapsed="false">
      <c r="A780" s="2" t="s">
        <v>1746</v>
      </c>
      <c r="B780" s="2" t="s">
        <v>1747</v>
      </c>
      <c r="C780" s="2" t="n">
        <v>5</v>
      </c>
      <c r="D780" s="2" t="s">
        <v>47</v>
      </c>
      <c r="E780" s="2" t="s">
        <v>1039</v>
      </c>
      <c r="F780" s="3" t="n">
        <v>45736.0902777778</v>
      </c>
      <c r="G780" s="2" t="s">
        <v>1299</v>
      </c>
      <c r="H780" s="4" t="n">
        <v>0.3089</v>
      </c>
      <c r="I780" s="2" t="s">
        <v>23</v>
      </c>
      <c r="J780" s="2" t="s">
        <v>19</v>
      </c>
      <c r="K780" s="2" t="n">
        <v>2</v>
      </c>
      <c r="L780" s="2" t="n">
        <v>0</v>
      </c>
      <c r="M780" s="2" t="n">
        <v>0</v>
      </c>
    </row>
    <row r="781" customFormat="false" ht="15" hidden="false" customHeight="false" outlineLevel="0" collapsed="false">
      <c r="A781" s="2" t="s">
        <v>1748</v>
      </c>
      <c r="B781" s="2" t="s">
        <v>1749</v>
      </c>
      <c r="C781" s="2" t="n">
        <v>4</v>
      </c>
      <c r="D781" s="2" t="s">
        <v>15</v>
      </c>
      <c r="E781" s="2" t="s">
        <v>1039</v>
      </c>
      <c r="F781" s="3" t="n">
        <v>45736.0944444445</v>
      </c>
      <c r="G781" s="2" t="s">
        <v>1299</v>
      </c>
      <c r="H781" s="4" t="n">
        <v>0</v>
      </c>
      <c r="I781" s="2" t="s">
        <v>18</v>
      </c>
      <c r="J781" s="2" t="s">
        <v>19</v>
      </c>
      <c r="K781" s="2" t="n">
        <v>1</v>
      </c>
      <c r="L781" s="2" t="n">
        <v>0</v>
      </c>
      <c r="M781" s="2" t="n">
        <v>0</v>
      </c>
    </row>
    <row r="782" customFormat="false" ht="15" hidden="false" customHeight="false" outlineLevel="0" collapsed="false">
      <c r="A782" s="2" t="s">
        <v>1750</v>
      </c>
      <c r="B782" s="2" t="s">
        <v>1751</v>
      </c>
      <c r="C782" s="2" t="n">
        <v>5</v>
      </c>
      <c r="D782" s="2" t="s">
        <v>62</v>
      </c>
      <c r="E782" s="2" t="s">
        <v>1039</v>
      </c>
      <c r="F782" s="3" t="n">
        <v>45736.1152777778</v>
      </c>
      <c r="G782" s="2" t="s">
        <v>1299</v>
      </c>
      <c r="H782" s="4" t="n">
        <v>0.7088</v>
      </c>
      <c r="I782" s="2" t="s">
        <v>23</v>
      </c>
      <c r="J782" s="2" t="s">
        <v>19</v>
      </c>
      <c r="K782" s="2" t="n">
        <v>2</v>
      </c>
      <c r="L782" s="2" t="n">
        <v>0</v>
      </c>
      <c r="M782" s="2" t="n">
        <v>0</v>
      </c>
    </row>
    <row r="783" customFormat="false" ht="15" hidden="false" customHeight="false" outlineLevel="0" collapsed="false">
      <c r="A783" s="2" t="s">
        <v>1752</v>
      </c>
      <c r="B783" s="2" t="s">
        <v>1753</v>
      </c>
      <c r="C783" s="2" t="n">
        <v>4</v>
      </c>
      <c r="D783" s="2" t="s">
        <v>76</v>
      </c>
      <c r="E783" s="2" t="s">
        <v>1039</v>
      </c>
      <c r="F783" s="3" t="n">
        <v>45736.4229166667</v>
      </c>
      <c r="G783" s="2" t="s">
        <v>1299</v>
      </c>
      <c r="H783" s="4" t="n">
        <v>0.607</v>
      </c>
      <c r="I783" s="2" t="s">
        <v>23</v>
      </c>
      <c r="J783" s="2" t="s">
        <v>33</v>
      </c>
      <c r="K783" s="2" t="n">
        <v>1</v>
      </c>
      <c r="L783" s="2" t="n">
        <v>1</v>
      </c>
      <c r="M783" s="2" t="n">
        <v>0</v>
      </c>
    </row>
    <row r="784" customFormat="false" ht="15" hidden="false" customHeight="false" outlineLevel="0" collapsed="false">
      <c r="A784" s="2" t="s">
        <v>1754</v>
      </c>
      <c r="B784" s="2" t="s">
        <v>1755</v>
      </c>
      <c r="C784" s="2" t="n">
        <v>5</v>
      </c>
      <c r="D784" s="2" t="s">
        <v>127</v>
      </c>
      <c r="E784" s="2" t="s">
        <v>1039</v>
      </c>
      <c r="F784" s="3" t="n">
        <v>45736.4694444445</v>
      </c>
      <c r="G784" s="2" t="s">
        <v>1299</v>
      </c>
      <c r="H784" s="4" t="n">
        <v>0.9359</v>
      </c>
      <c r="I784" s="2" t="s">
        <v>23</v>
      </c>
      <c r="J784" s="2" t="s">
        <v>37</v>
      </c>
      <c r="K784" s="2" t="n">
        <v>1</v>
      </c>
      <c r="L784" s="2" t="n">
        <v>0</v>
      </c>
      <c r="M784" s="2" t="n">
        <v>0</v>
      </c>
    </row>
    <row r="785" customFormat="false" ht="15" hidden="false" customHeight="false" outlineLevel="0" collapsed="false">
      <c r="A785" s="2" t="s">
        <v>1756</v>
      </c>
      <c r="B785" s="2" t="s">
        <v>1757</v>
      </c>
      <c r="C785" s="2" t="n">
        <v>4</v>
      </c>
      <c r="D785" s="2" t="s">
        <v>674</v>
      </c>
      <c r="E785" s="2" t="s">
        <v>1039</v>
      </c>
      <c r="F785" s="3" t="n">
        <v>45736.6298611111</v>
      </c>
      <c r="G785" s="2" t="s">
        <v>1299</v>
      </c>
      <c r="H785" s="4" t="n">
        <v>0.9481</v>
      </c>
      <c r="I785" s="2" t="s">
        <v>23</v>
      </c>
      <c r="J785" s="2" t="s">
        <v>37</v>
      </c>
      <c r="K785" s="2" t="n">
        <v>3</v>
      </c>
      <c r="L785" s="2" t="n">
        <v>0</v>
      </c>
      <c r="M785" s="2" t="n">
        <v>0</v>
      </c>
    </row>
    <row r="786" customFormat="false" ht="15" hidden="false" customHeight="false" outlineLevel="0" collapsed="false">
      <c r="A786" s="2" t="s">
        <v>1758</v>
      </c>
      <c r="B786" s="2" t="s">
        <v>1759</v>
      </c>
      <c r="C786" s="2" t="n">
        <v>2</v>
      </c>
      <c r="D786" s="2" t="s">
        <v>1034</v>
      </c>
      <c r="E786" s="2" t="s">
        <v>1039</v>
      </c>
      <c r="F786" s="3" t="n">
        <v>45736.8194444445</v>
      </c>
      <c r="G786" s="2" t="s">
        <v>1299</v>
      </c>
      <c r="H786" s="4" t="n">
        <v>0</v>
      </c>
      <c r="I786" s="2" t="s">
        <v>18</v>
      </c>
      <c r="J786" s="2" t="s">
        <v>110</v>
      </c>
      <c r="K786" s="2" t="n">
        <v>4</v>
      </c>
      <c r="L786" s="2" t="n">
        <v>1</v>
      </c>
      <c r="M786" s="2" t="n">
        <v>0</v>
      </c>
    </row>
    <row r="787" customFormat="false" ht="15" hidden="false" customHeight="false" outlineLevel="0" collapsed="false">
      <c r="A787" s="2" t="s">
        <v>1760</v>
      </c>
      <c r="B787" s="2" t="s">
        <v>1761</v>
      </c>
      <c r="C787" s="2" t="n">
        <v>3</v>
      </c>
      <c r="D787" s="2" t="s">
        <v>87</v>
      </c>
      <c r="E787" s="2" t="s">
        <v>1039</v>
      </c>
      <c r="F787" s="3" t="n">
        <v>45736.9708333333</v>
      </c>
      <c r="G787" s="2" t="s">
        <v>1299</v>
      </c>
      <c r="H787" s="4" t="n">
        <v>0</v>
      </c>
      <c r="I787" s="2" t="s">
        <v>18</v>
      </c>
      <c r="J787" s="2" t="s">
        <v>19</v>
      </c>
      <c r="K787" s="2" t="n">
        <v>0</v>
      </c>
      <c r="L787" s="2" t="n">
        <v>0</v>
      </c>
      <c r="M787" s="2" t="n">
        <v>0</v>
      </c>
    </row>
    <row r="788" customFormat="false" ht="15" hidden="false" customHeight="false" outlineLevel="0" collapsed="false">
      <c r="A788" s="2" t="s">
        <v>1762</v>
      </c>
      <c r="B788" s="2" t="s">
        <v>1763</v>
      </c>
      <c r="C788" s="2" t="n">
        <v>4</v>
      </c>
      <c r="D788" s="2" t="s">
        <v>127</v>
      </c>
      <c r="E788" s="2" t="s">
        <v>1039</v>
      </c>
      <c r="F788" s="3" t="n">
        <v>45737.0604166667</v>
      </c>
      <c r="G788" s="2" t="s">
        <v>1299</v>
      </c>
      <c r="H788" s="4" t="n">
        <v>0.9359</v>
      </c>
      <c r="I788" s="2" t="s">
        <v>23</v>
      </c>
      <c r="J788" s="2" t="s">
        <v>37</v>
      </c>
      <c r="K788" s="2" t="n">
        <v>2</v>
      </c>
      <c r="L788" s="2" t="n">
        <v>0</v>
      </c>
      <c r="M788" s="2" t="n">
        <v>0</v>
      </c>
    </row>
    <row r="789" customFormat="false" ht="15" hidden="false" customHeight="false" outlineLevel="0" collapsed="false">
      <c r="A789" s="2" t="s">
        <v>1764</v>
      </c>
      <c r="B789" s="2" t="s">
        <v>1765</v>
      </c>
      <c r="C789" s="2" t="n">
        <v>3</v>
      </c>
      <c r="D789" s="2" t="s">
        <v>560</v>
      </c>
      <c r="E789" s="2" t="s">
        <v>1039</v>
      </c>
      <c r="F789" s="3" t="n">
        <v>45737.1548611111</v>
      </c>
      <c r="G789" s="2" t="s">
        <v>1299</v>
      </c>
      <c r="H789" s="4" t="n">
        <v>0</v>
      </c>
      <c r="I789" s="2" t="s">
        <v>18</v>
      </c>
      <c r="J789" s="2" t="s">
        <v>19</v>
      </c>
      <c r="K789" s="2" t="n">
        <v>0</v>
      </c>
      <c r="L789" s="2" t="n">
        <v>0</v>
      </c>
      <c r="M789" s="2" t="n">
        <v>0</v>
      </c>
    </row>
    <row r="790" customFormat="false" ht="15" hidden="false" customHeight="false" outlineLevel="0" collapsed="false">
      <c r="A790" s="2" t="s">
        <v>1766</v>
      </c>
      <c r="B790" s="2" t="s">
        <v>1767</v>
      </c>
      <c r="C790" s="2" t="n">
        <v>5</v>
      </c>
      <c r="D790" s="2" t="s">
        <v>96</v>
      </c>
      <c r="E790" s="2" t="s">
        <v>1039</v>
      </c>
      <c r="F790" s="3" t="n">
        <v>45737.25</v>
      </c>
      <c r="G790" s="2" t="s">
        <v>1299</v>
      </c>
      <c r="H790" s="4" t="n">
        <v>0.6369</v>
      </c>
      <c r="I790" s="2" t="s">
        <v>23</v>
      </c>
      <c r="J790" s="2" t="s">
        <v>19</v>
      </c>
      <c r="K790" s="2" t="n">
        <v>0</v>
      </c>
      <c r="L790" s="2" t="n">
        <v>0</v>
      </c>
      <c r="M790" s="2" t="n">
        <v>0</v>
      </c>
    </row>
    <row r="791" customFormat="false" ht="15" hidden="false" customHeight="false" outlineLevel="0" collapsed="false">
      <c r="A791" s="2" t="s">
        <v>1768</v>
      </c>
      <c r="B791" s="2" t="s">
        <v>1769</v>
      </c>
      <c r="C791" s="2" t="n">
        <v>5</v>
      </c>
      <c r="D791" s="2" t="s">
        <v>96</v>
      </c>
      <c r="E791" s="2" t="s">
        <v>1039</v>
      </c>
      <c r="F791" s="3" t="n">
        <v>45737.2972222222</v>
      </c>
      <c r="G791" s="2" t="s">
        <v>1299</v>
      </c>
      <c r="H791" s="4" t="n">
        <v>0.6369</v>
      </c>
      <c r="I791" s="2" t="s">
        <v>23</v>
      </c>
      <c r="J791" s="2" t="s">
        <v>19</v>
      </c>
      <c r="K791" s="2" t="n">
        <v>1</v>
      </c>
      <c r="L791" s="2" t="n">
        <v>0</v>
      </c>
      <c r="M791" s="2" t="n">
        <v>0</v>
      </c>
    </row>
    <row r="792" customFormat="false" ht="15" hidden="false" customHeight="false" outlineLevel="0" collapsed="false">
      <c r="A792" s="2" t="s">
        <v>1770</v>
      </c>
      <c r="B792" s="2" t="s">
        <v>1771</v>
      </c>
      <c r="C792" s="2" t="n">
        <v>4</v>
      </c>
      <c r="D792" s="2" t="s">
        <v>22</v>
      </c>
      <c r="E792" s="2" t="s">
        <v>1039</v>
      </c>
      <c r="F792" s="3" t="n">
        <v>45737.3083333333</v>
      </c>
      <c r="G792" s="2" t="s">
        <v>1299</v>
      </c>
      <c r="H792" s="4" t="n">
        <v>0.2023</v>
      </c>
      <c r="I792" s="2" t="s">
        <v>23</v>
      </c>
      <c r="J792" s="2" t="s">
        <v>19</v>
      </c>
      <c r="K792" s="2" t="n">
        <v>0</v>
      </c>
      <c r="L792" s="2" t="n">
        <v>0</v>
      </c>
      <c r="M792" s="2" t="n">
        <v>0</v>
      </c>
    </row>
    <row r="793" customFormat="false" ht="15" hidden="false" customHeight="false" outlineLevel="0" collapsed="false">
      <c r="A793" s="2" t="s">
        <v>1772</v>
      </c>
      <c r="B793" s="2" t="s">
        <v>1773</v>
      </c>
      <c r="C793" s="2" t="n">
        <v>5</v>
      </c>
      <c r="D793" s="2" t="s">
        <v>47</v>
      </c>
      <c r="E793" s="2" t="s">
        <v>1039</v>
      </c>
      <c r="F793" s="3" t="n">
        <v>45737.3284722222</v>
      </c>
      <c r="G793" s="2" t="s">
        <v>1299</v>
      </c>
      <c r="H793" s="4" t="n">
        <v>0.3089</v>
      </c>
      <c r="I793" s="2" t="s">
        <v>23</v>
      </c>
      <c r="J793" s="2" t="s">
        <v>19</v>
      </c>
      <c r="K793" s="2" t="n">
        <v>2</v>
      </c>
      <c r="L793" s="2" t="n">
        <v>0</v>
      </c>
      <c r="M793" s="2" t="n">
        <v>0</v>
      </c>
    </row>
    <row r="794" customFormat="false" ht="15" hidden="false" customHeight="false" outlineLevel="0" collapsed="false">
      <c r="A794" s="2" t="s">
        <v>1774</v>
      </c>
      <c r="B794" s="2" t="s">
        <v>1775</v>
      </c>
      <c r="C794" s="2" t="n">
        <v>3</v>
      </c>
      <c r="D794" s="2" t="s">
        <v>301</v>
      </c>
      <c r="E794" s="2" t="s">
        <v>1039</v>
      </c>
      <c r="F794" s="3" t="n">
        <v>45737.4895833333</v>
      </c>
      <c r="G794" s="2" t="s">
        <v>1299</v>
      </c>
      <c r="H794" s="4" t="n">
        <v>0.2263</v>
      </c>
      <c r="I794" s="2" t="s">
        <v>23</v>
      </c>
      <c r="J794" s="2" t="s">
        <v>19</v>
      </c>
      <c r="K794" s="2" t="n">
        <v>2</v>
      </c>
      <c r="L794" s="2" t="n">
        <v>0</v>
      </c>
      <c r="M794" s="2" t="n">
        <v>0</v>
      </c>
    </row>
    <row r="795" customFormat="false" ht="15" hidden="false" customHeight="false" outlineLevel="0" collapsed="false">
      <c r="A795" s="2" t="s">
        <v>1776</v>
      </c>
      <c r="B795" s="2" t="s">
        <v>1777</v>
      </c>
      <c r="C795" s="2" t="n">
        <v>3</v>
      </c>
      <c r="D795" s="2" t="s">
        <v>99</v>
      </c>
      <c r="E795" s="2" t="s">
        <v>1039</v>
      </c>
      <c r="F795" s="3" t="n">
        <v>45737.6013888889</v>
      </c>
      <c r="G795" s="2" t="s">
        <v>1299</v>
      </c>
      <c r="H795" s="4" t="n">
        <v>-0.3089</v>
      </c>
      <c r="I795" s="2" t="s">
        <v>84</v>
      </c>
      <c r="J795" s="2" t="s">
        <v>19</v>
      </c>
      <c r="K795" s="2" t="n">
        <v>9</v>
      </c>
      <c r="L795" s="2" t="n">
        <v>0</v>
      </c>
      <c r="M795" s="2" t="n">
        <v>0</v>
      </c>
    </row>
    <row r="796" customFormat="false" ht="15" hidden="false" customHeight="false" outlineLevel="0" collapsed="false">
      <c r="A796" s="2" t="s">
        <v>1778</v>
      </c>
      <c r="B796" s="2" t="s">
        <v>1779</v>
      </c>
      <c r="C796" s="2" t="n">
        <v>4</v>
      </c>
      <c r="D796" s="2" t="s">
        <v>90</v>
      </c>
      <c r="E796" s="2" t="s">
        <v>1039</v>
      </c>
      <c r="F796" s="3" t="n">
        <v>45737.81875</v>
      </c>
      <c r="G796" s="2" t="s">
        <v>1299</v>
      </c>
      <c r="H796" s="4" t="n">
        <v>0.6249</v>
      </c>
      <c r="I796" s="2" t="s">
        <v>23</v>
      </c>
      <c r="J796" s="2" t="s">
        <v>37</v>
      </c>
      <c r="K796" s="2" t="n">
        <v>1</v>
      </c>
      <c r="L796" s="2" t="n">
        <v>0</v>
      </c>
      <c r="M796" s="2" t="n">
        <v>0</v>
      </c>
    </row>
    <row r="797" customFormat="false" ht="15" hidden="false" customHeight="false" outlineLevel="0" collapsed="false">
      <c r="A797" s="2" t="s">
        <v>1780</v>
      </c>
      <c r="B797" s="2" t="s">
        <v>1781</v>
      </c>
      <c r="C797" s="2" t="n">
        <v>5</v>
      </c>
      <c r="D797" s="2" t="s">
        <v>90</v>
      </c>
      <c r="E797" s="2" t="s">
        <v>1039</v>
      </c>
      <c r="F797" s="3" t="n">
        <v>45738.0527777778</v>
      </c>
      <c r="G797" s="2" t="s">
        <v>1299</v>
      </c>
      <c r="H797" s="4" t="n">
        <v>0.6249</v>
      </c>
      <c r="I797" s="2" t="s">
        <v>23</v>
      </c>
      <c r="J797" s="2" t="s">
        <v>37</v>
      </c>
      <c r="K797" s="2" t="n">
        <v>3</v>
      </c>
      <c r="L797" s="2" t="n">
        <v>0</v>
      </c>
      <c r="M797" s="2" t="n">
        <v>0</v>
      </c>
    </row>
    <row r="798" customFormat="false" ht="15" hidden="false" customHeight="false" outlineLevel="0" collapsed="false">
      <c r="A798" s="2" t="s">
        <v>1782</v>
      </c>
      <c r="B798" s="2" t="s">
        <v>1783</v>
      </c>
      <c r="C798" s="2" t="n">
        <v>4</v>
      </c>
      <c r="D798" s="2" t="s">
        <v>90</v>
      </c>
      <c r="E798" s="2" t="s">
        <v>1039</v>
      </c>
      <c r="F798" s="3" t="n">
        <v>45738.1798611111</v>
      </c>
      <c r="G798" s="2" t="s">
        <v>1299</v>
      </c>
      <c r="H798" s="4" t="n">
        <v>0.6249</v>
      </c>
      <c r="I798" s="2" t="s">
        <v>23</v>
      </c>
      <c r="J798" s="2" t="s">
        <v>37</v>
      </c>
      <c r="K798" s="2" t="n">
        <v>3</v>
      </c>
      <c r="L798" s="2" t="n">
        <v>0</v>
      </c>
      <c r="M798" s="2" t="n">
        <v>0</v>
      </c>
    </row>
    <row r="799" customFormat="false" ht="15" hidden="false" customHeight="false" outlineLevel="0" collapsed="false">
      <c r="A799" s="2" t="s">
        <v>1784</v>
      </c>
      <c r="B799" s="2" t="s">
        <v>1785</v>
      </c>
      <c r="C799" s="2" t="n">
        <v>5</v>
      </c>
      <c r="D799" s="2" t="s">
        <v>1683</v>
      </c>
      <c r="E799" s="2" t="s">
        <v>1039</v>
      </c>
      <c r="F799" s="3" t="n">
        <v>45738.1805555556</v>
      </c>
      <c r="G799" s="2" t="s">
        <v>1299</v>
      </c>
      <c r="H799" s="4" t="n">
        <v>0.6369</v>
      </c>
      <c r="I799" s="2" t="s">
        <v>23</v>
      </c>
      <c r="J799" s="2" t="s">
        <v>19</v>
      </c>
      <c r="K799" s="2" t="n">
        <v>0</v>
      </c>
      <c r="L799" s="2" t="n">
        <v>0</v>
      </c>
      <c r="M799" s="2" t="n">
        <v>0</v>
      </c>
    </row>
    <row r="800" customFormat="false" ht="15" hidden="false" customHeight="false" outlineLevel="0" collapsed="false">
      <c r="A800" s="2" t="s">
        <v>1786</v>
      </c>
      <c r="B800" s="2" t="s">
        <v>1787</v>
      </c>
      <c r="C800" s="2" t="n">
        <v>4</v>
      </c>
      <c r="D800" s="2" t="s">
        <v>22</v>
      </c>
      <c r="E800" s="2" t="s">
        <v>1039</v>
      </c>
      <c r="F800" s="3" t="n">
        <v>45738.2486111111</v>
      </c>
      <c r="G800" s="2" t="s">
        <v>1299</v>
      </c>
      <c r="H800" s="4" t="n">
        <v>0.2023</v>
      </c>
      <c r="I800" s="2" t="s">
        <v>23</v>
      </c>
      <c r="J800" s="2" t="s">
        <v>19</v>
      </c>
      <c r="K800" s="2" t="n">
        <v>1</v>
      </c>
      <c r="L800" s="2" t="n">
        <v>0</v>
      </c>
      <c r="M800" s="2" t="n">
        <v>0</v>
      </c>
    </row>
    <row r="801" customFormat="false" ht="15" hidden="false" customHeight="false" outlineLevel="0" collapsed="false">
      <c r="A801" s="2" t="s">
        <v>1788</v>
      </c>
      <c r="B801" s="2" t="s">
        <v>1789</v>
      </c>
      <c r="C801" s="2" t="n">
        <v>3</v>
      </c>
      <c r="D801" s="2" t="s">
        <v>301</v>
      </c>
      <c r="E801" s="2" t="s">
        <v>1039</v>
      </c>
      <c r="F801" s="3" t="n">
        <v>45738.3395833333</v>
      </c>
      <c r="G801" s="2" t="s">
        <v>1299</v>
      </c>
      <c r="H801" s="4" t="n">
        <v>0.2263</v>
      </c>
      <c r="I801" s="2" t="s">
        <v>23</v>
      </c>
      <c r="J801" s="2" t="s">
        <v>19</v>
      </c>
      <c r="K801" s="2" t="n">
        <v>0</v>
      </c>
      <c r="L801" s="2" t="n">
        <v>0</v>
      </c>
      <c r="M801" s="2" t="n">
        <v>0</v>
      </c>
    </row>
    <row r="802" customFormat="false" ht="15" hidden="false" customHeight="false" outlineLevel="0" collapsed="false">
      <c r="A802" s="2" t="s">
        <v>1790</v>
      </c>
      <c r="B802" s="2" t="s">
        <v>1791</v>
      </c>
      <c r="C802" s="2" t="n">
        <v>5</v>
      </c>
      <c r="D802" s="2" t="s">
        <v>127</v>
      </c>
      <c r="E802" s="2" t="s">
        <v>1039</v>
      </c>
      <c r="F802" s="3" t="n">
        <v>45738.5875</v>
      </c>
      <c r="G802" s="2" t="s">
        <v>1299</v>
      </c>
      <c r="H802" s="4" t="n">
        <v>0.9359</v>
      </c>
      <c r="I802" s="2" t="s">
        <v>23</v>
      </c>
      <c r="J802" s="2" t="s">
        <v>37</v>
      </c>
      <c r="K802" s="2" t="n">
        <v>0</v>
      </c>
      <c r="L802" s="2" t="n">
        <v>0</v>
      </c>
      <c r="M802" s="2" t="n">
        <v>0</v>
      </c>
    </row>
    <row r="803" customFormat="false" ht="15" hidden="false" customHeight="false" outlineLevel="0" collapsed="false">
      <c r="A803" s="2" t="s">
        <v>1792</v>
      </c>
      <c r="B803" s="2" t="s">
        <v>1793</v>
      </c>
      <c r="C803" s="2" t="n">
        <v>3</v>
      </c>
      <c r="D803" s="2" t="s">
        <v>99</v>
      </c>
      <c r="E803" s="2" t="s">
        <v>1039</v>
      </c>
      <c r="F803" s="3" t="n">
        <v>45738.5986111111</v>
      </c>
      <c r="G803" s="2" t="s">
        <v>1299</v>
      </c>
      <c r="H803" s="4" t="n">
        <v>-0.3089</v>
      </c>
      <c r="I803" s="2" t="s">
        <v>84</v>
      </c>
      <c r="J803" s="2" t="s">
        <v>19</v>
      </c>
      <c r="K803" s="2" t="n">
        <v>1</v>
      </c>
      <c r="L803" s="2" t="n">
        <v>0</v>
      </c>
      <c r="M803" s="2" t="n">
        <v>0</v>
      </c>
    </row>
    <row r="804" customFormat="false" ht="15" hidden="false" customHeight="false" outlineLevel="0" collapsed="false">
      <c r="A804" s="2" t="s">
        <v>1794</v>
      </c>
      <c r="B804" s="2" t="s">
        <v>1795</v>
      </c>
      <c r="C804" s="2" t="n">
        <v>2</v>
      </c>
      <c r="D804" s="2" t="s">
        <v>83</v>
      </c>
      <c r="E804" s="2" t="s">
        <v>1039</v>
      </c>
      <c r="F804" s="3" t="n">
        <v>45738.79375</v>
      </c>
      <c r="G804" s="2" t="s">
        <v>1299</v>
      </c>
      <c r="H804" s="4" t="n">
        <v>-0.6166</v>
      </c>
      <c r="I804" s="2" t="s">
        <v>84</v>
      </c>
      <c r="J804" s="2" t="s">
        <v>59</v>
      </c>
      <c r="K804" s="2" t="n">
        <v>11</v>
      </c>
      <c r="L804" s="2" t="n">
        <v>1</v>
      </c>
      <c r="M804" s="2" t="n">
        <v>0</v>
      </c>
    </row>
    <row r="805" customFormat="false" ht="15" hidden="false" customHeight="false" outlineLevel="0" collapsed="false">
      <c r="A805" s="2" t="s">
        <v>1796</v>
      </c>
      <c r="B805" s="2" t="s">
        <v>743</v>
      </c>
      <c r="C805" s="2" t="n">
        <v>5</v>
      </c>
      <c r="D805" s="2" t="s">
        <v>1797</v>
      </c>
      <c r="E805" s="2" t="s">
        <v>1039</v>
      </c>
      <c r="F805" s="3" t="n">
        <v>45738.9472222222</v>
      </c>
      <c r="G805" s="2" t="s">
        <v>1299</v>
      </c>
      <c r="H805" s="4" t="n">
        <v>0.4019</v>
      </c>
      <c r="I805" s="2" t="s">
        <v>23</v>
      </c>
      <c r="J805" s="2" t="s">
        <v>33</v>
      </c>
      <c r="K805" s="2" t="n">
        <v>4</v>
      </c>
      <c r="L805" s="2" t="n">
        <v>0</v>
      </c>
      <c r="M805" s="2" t="n">
        <v>0</v>
      </c>
    </row>
    <row r="806" customFormat="false" ht="15" hidden="false" customHeight="false" outlineLevel="0" collapsed="false">
      <c r="A806" s="2" t="s">
        <v>1798</v>
      </c>
      <c r="B806" s="2" t="s">
        <v>1799</v>
      </c>
      <c r="C806" s="2" t="n">
        <v>1</v>
      </c>
      <c r="D806" s="2" t="s">
        <v>357</v>
      </c>
      <c r="E806" s="2" t="s">
        <v>1039</v>
      </c>
      <c r="F806" s="3" t="n">
        <v>45738.9854166667</v>
      </c>
      <c r="G806" s="2" t="s">
        <v>1299</v>
      </c>
      <c r="H806" s="4" t="n">
        <v>0</v>
      </c>
      <c r="I806" s="2" t="s">
        <v>18</v>
      </c>
      <c r="J806" s="2" t="s">
        <v>165</v>
      </c>
      <c r="K806" s="2" t="n">
        <v>3</v>
      </c>
      <c r="L806" s="2" t="n">
        <v>0</v>
      </c>
      <c r="M806" s="2" t="n">
        <v>0</v>
      </c>
    </row>
    <row r="807" customFormat="false" ht="15" hidden="false" customHeight="false" outlineLevel="0" collapsed="false">
      <c r="A807" s="2" t="s">
        <v>1800</v>
      </c>
      <c r="B807" s="2" t="s">
        <v>1801</v>
      </c>
      <c r="C807" s="2" t="n">
        <v>5</v>
      </c>
      <c r="D807" s="2" t="s">
        <v>47</v>
      </c>
      <c r="E807" s="2" t="s">
        <v>1039</v>
      </c>
      <c r="F807" s="3" t="n">
        <v>45739.0013888889</v>
      </c>
      <c r="G807" s="2" t="s">
        <v>1299</v>
      </c>
      <c r="H807" s="4" t="n">
        <v>0.3089</v>
      </c>
      <c r="I807" s="2" t="s">
        <v>23</v>
      </c>
      <c r="J807" s="2" t="s">
        <v>19</v>
      </c>
      <c r="K807" s="2" t="n">
        <v>3</v>
      </c>
      <c r="L807" s="2" t="n">
        <v>0</v>
      </c>
      <c r="M807" s="2" t="n">
        <v>0</v>
      </c>
    </row>
    <row r="808" customFormat="false" ht="15" hidden="false" customHeight="false" outlineLevel="0" collapsed="false">
      <c r="A808" s="2" t="s">
        <v>1802</v>
      </c>
      <c r="B808" s="2" t="s">
        <v>1803</v>
      </c>
      <c r="C808" s="2" t="n">
        <v>1</v>
      </c>
      <c r="D808" s="2" t="s">
        <v>1034</v>
      </c>
      <c r="E808" s="2" t="s">
        <v>1039</v>
      </c>
      <c r="F808" s="3" t="n">
        <v>45739.0208333333</v>
      </c>
      <c r="G808" s="2" t="s">
        <v>1299</v>
      </c>
      <c r="H808" s="4" t="n">
        <v>0</v>
      </c>
      <c r="I808" s="2" t="s">
        <v>18</v>
      </c>
      <c r="J808" s="2" t="s">
        <v>110</v>
      </c>
      <c r="K808" s="2" t="n">
        <v>5</v>
      </c>
      <c r="L808" s="2" t="n">
        <v>0</v>
      </c>
      <c r="M808" s="2" t="n">
        <v>0</v>
      </c>
    </row>
    <row r="809" customFormat="false" ht="15" hidden="false" customHeight="false" outlineLevel="0" collapsed="false">
      <c r="A809" s="2" t="s">
        <v>1804</v>
      </c>
      <c r="B809" s="2" t="s">
        <v>1805</v>
      </c>
      <c r="C809" s="2" t="n">
        <v>5</v>
      </c>
      <c r="D809" s="2" t="s">
        <v>1424</v>
      </c>
      <c r="E809" s="2" t="s">
        <v>1039</v>
      </c>
      <c r="F809" s="3" t="n">
        <v>45739.0708333333</v>
      </c>
      <c r="G809" s="2" t="s">
        <v>1299</v>
      </c>
      <c r="H809" s="4" t="n">
        <v>0.3089</v>
      </c>
      <c r="I809" s="2" t="s">
        <v>23</v>
      </c>
      <c r="J809" s="2" t="s">
        <v>19</v>
      </c>
      <c r="K809" s="2" t="n">
        <v>0</v>
      </c>
      <c r="L809" s="2" t="n">
        <v>0</v>
      </c>
      <c r="M809" s="2" t="n">
        <v>0</v>
      </c>
    </row>
    <row r="810" customFormat="false" ht="15" hidden="false" customHeight="false" outlineLevel="0" collapsed="false">
      <c r="A810" s="2" t="s">
        <v>1806</v>
      </c>
      <c r="B810" s="2" t="s">
        <v>1807</v>
      </c>
      <c r="C810" s="2" t="n">
        <v>5</v>
      </c>
      <c r="D810" s="2" t="s">
        <v>1622</v>
      </c>
      <c r="E810" s="2" t="s">
        <v>1039</v>
      </c>
      <c r="F810" s="3" t="n">
        <v>45739.1055555556</v>
      </c>
      <c r="G810" s="2" t="s">
        <v>1299</v>
      </c>
      <c r="H810" s="4" t="n">
        <v>0.8555</v>
      </c>
      <c r="I810" s="2" t="s">
        <v>23</v>
      </c>
      <c r="J810" s="2" t="s">
        <v>19</v>
      </c>
      <c r="K810" s="2" t="n">
        <v>4</v>
      </c>
      <c r="L810" s="2" t="n">
        <v>0</v>
      </c>
      <c r="M810" s="2" t="n">
        <v>0</v>
      </c>
    </row>
    <row r="811" customFormat="false" ht="15" hidden="false" customHeight="false" outlineLevel="0" collapsed="false">
      <c r="A811" s="2" t="s">
        <v>1808</v>
      </c>
      <c r="B811" s="2" t="s">
        <v>1809</v>
      </c>
      <c r="C811" s="2" t="n">
        <v>5</v>
      </c>
      <c r="D811" s="2" t="s">
        <v>90</v>
      </c>
      <c r="E811" s="2" t="s">
        <v>1039</v>
      </c>
      <c r="F811" s="3" t="n">
        <v>45739.2083333333</v>
      </c>
      <c r="G811" s="2" t="s">
        <v>1299</v>
      </c>
      <c r="H811" s="4" t="n">
        <v>0.6249</v>
      </c>
      <c r="I811" s="2" t="s">
        <v>23</v>
      </c>
      <c r="J811" s="2" t="s">
        <v>37</v>
      </c>
      <c r="K811" s="2" t="n">
        <v>7</v>
      </c>
      <c r="L811" s="2" t="n">
        <v>0</v>
      </c>
      <c r="M811" s="2" t="n">
        <v>0</v>
      </c>
    </row>
    <row r="812" customFormat="false" ht="15" hidden="false" customHeight="false" outlineLevel="0" collapsed="false">
      <c r="A812" s="2" t="s">
        <v>1810</v>
      </c>
      <c r="B812" s="2" t="s">
        <v>1811</v>
      </c>
      <c r="C812" s="2" t="n">
        <v>4</v>
      </c>
      <c r="D812" s="2" t="s">
        <v>1363</v>
      </c>
      <c r="E812" s="2" t="s">
        <v>1039</v>
      </c>
      <c r="F812" s="3" t="n">
        <v>45739.3590277778</v>
      </c>
      <c r="G812" s="2" t="s">
        <v>1299</v>
      </c>
      <c r="H812" s="4" t="n">
        <v>0.6597</v>
      </c>
      <c r="I812" s="2" t="s">
        <v>23</v>
      </c>
      <c r="J812" s="2" t="s">
        <v>33</v>
      </c>
      <c r="K812" s="2" t="n">
        <v>3</v>
      </c>
      <c r="L812" s="2" t="n">
        <v>0</v>
      </c>
      <c r="M812" s="2" t="n">
        <v>0</v>
      </c>
    </row>
    <row r="813" customFormat="false" ht="15" hidden="false" customHeight="false" outlineLevel="0" collapsed="false">
      <c r="A813" s="2" t="s">
        <v>1812</v>
      </c>
      <c r="B813" s="2" t="s">
        <v>1813</v>
      </c>
      <c r="C813" s="2" t="n">
        <v>3</v>
      </c>
      <c r="D813" s="2" t="s">
        <v>58</v>
      </c>
      <c r="E813" s="2" t="s">
        <v>1039</v>
      </c>
      <c r="F813" s="3" t="n">
        <v>45739.3715277778</v>
      </c>
      <c r="G813" s="2" t="s">
        <v>1299</v>
      </c>
      <c r="H813" s="4" t="n">
        <v>0</v>
      </c>
      <c r="I813" s="2" t="s">
        <v>18</v>
      </c>
      <c r="J813" s="2" t="s">
        <v>59</v>
      </c>
      <c r="K813" s="2" t="n">
        <v>6</v>
      </c>
      <c r="L813" s="2" t="n">
        <v>0</v>
      </c>
      <c r="M813" s="2" t="n">
        <v>0</v>
      </c>
    </row>
    <row r="814" customFormat="false" ht="15" hidden="false" customHeight="false" outlineLevel="0" collapsed="false">
      <c r="A814" s="2" t="s">
        <v>1814</v>
      </c>
      <c r="B814" s="2" t="s">
        <v>1815</v>
      </c>
      <c r="C814" s="2" t="n">
        <v>3</v>
      </c>
      <c r="D814" s="2" t="s">
        <v>99</v>
      </c>
      <c r="E814" s="2" t="s">
        <v>1039</v>
      </c>
      <c r="F814" s="3" t="n">
        <v>45739.4173611111</v>
      </c>
      <c r="G814" s="2" t="s">
        <v>1299</v>
      </c>
      <c r="H814" s="4" t="n">
        <v>-0.3089</v>
      </c>
      <c r="I814" s="2" t="s">
        <v>84</v>
      </c>
      <c r="J814" s="2" t="s">
        <v>19</v>
      </c>
      <c r="K814" s="2" t="n">
        <v>2</v>
      </c>
      <c r="L814" s="2" t="n">
        <v>0</v>
      </c>
      <c r="M814" s="2" t="n">
        <v>0</v>
      </c>
    </row>
    <row r="815" customFormat="false" ht="15" hidden="false" customHeight="false" outlineLevel="0" collapsed="false">
      <c r="A815" s="2" t="s">
        <v>1816</v>
      </c>
      <c r="B815" s="2" t="s">
        <v>1817</v>
      </c>
      <c r="C815" s="2" t="n">
        <v>5</v>
      </c>
      <c r="D815" s="2" t="s">
        <v>96</v>
      </c>
      <c r="E815" s="2" t="s">
        <v>1039</v>
      </c>
      <c r="F815" s="3" t="n">
        <v>45739.5694444445</v>
      </c>
      <c r="G815" s="2" t="s">
        <v>1299</v>
      </c>
      <c r="H815" s="4" t="n">
        <v>0.6369</v>
      </c>
      <c r="I815" s="2" t="s">
        <v>23</v>
      </c>
      <c r="J815" s="2" t="s">
        <v>19</v>
      </c>
      <c r="K815" s="2" t="n">
        <v>20</v>
      </c>
      <c r="L815" s="2" t="n">
        <v>0</v>
      </c>
      <c r="M815" s="2" t="n">
        <v>0</v>
      </c>
    </row>
    <row r="816" customFormat="false" ht="15" hidden="false" customHeight="false" outlineLevel="0" collapsed="false">
      <c r="A816" s="2" t="s">
        <v>1818</v>
      </c>
      <c r="B816" s="2" t="s">
        <v>1819</v>
      </c>
      <c r="C816" s="2" t="n">
        <v>4</v>
      </c>
      <c r="D816" s="2" t="s">
        <v>1820</v>
      </c>
      <c r="E816" s="2" t="s">
        <v>1039</v>
      </c>
      <c r="F816" s="3" t="n">
        <v>45739.6631944445</v>
      </c>
      <c r="G816" s="2" t="s">
        <v>1299</v>
      </c>
      <c r="H816" s="4" t="n">
        <v>0.7269</v>
      </c>
      <c r="I816" s="2" t="s">
        <v>23</v>
      </c>
      <c r="J816" s="2" t="s">
        <v>19</v>
      </c>
      <c r="K816" s="2" t="n">
        <v>4</v>
      </c>
      <c r="L816" s="2" t="n">
        <v>0</v>
      </c>
      <c r="M816" s="2" t="n">
        <v>0</v>
      </c>
    </row>
    <row r="817" customFormat="false" ht="15" hidden="false" customHeight="false" outlineLevel="0" collapsed="false">
      <c r="A817" s="2" t="s">
        <v>1821</v>
      </c>
      <c r="B817" s="2" t="s">
        <v>1822</v>
      </c>
      <c r="C817" s="2" t="n">
        <v>5</v>
      </c>
      <c r="D817" s="2" t="s">
        <v>40</v>
      </c>
      <c r="E817" s="2" t="s">
        <v>1039</v>
      </c>
      <c r="F817" s="3" t="n">
        <v>45739.7895833333</v>
      </c>
      <c r="G817" s="2" t="s">
        <v>1299</v>
      </c>
      <c r="H817" s="4" t="n">
        <v>0.4019</v>
      </c>
      <c r="I817" s="2" t="s">
        <v>23</v>
      </c>
      <c r="J817" s="2" t="s">
        <v>33</v>
      </c>
      <c r="K817" s="2" t="n">
        <v>1</v>
      </c>
      <c r="L817" s="2" t="n">
        <v>0</v>
      </c>
      <c r="M817" s="2" t="n">
        <v>0</v>
      </c>
    </row>
    <row r="818" customFormat="false" ht="15" hidden="false" customHeight="false" outlineLevel="0" collapsed="false">
      <c r="A818" s="2" t="s">
        <v>1823</v>
      </c>
      <c r="B818" s="2" t="s">
        <v>1824</v>
      </c>
      <c r="C818" s="2" t="n">
        <v>4</v>
      </c>
      <c r="D818" s="2" t="s">
        <v>1825</v>
      </c>
      <c r="E818" s="2" t="s">
        <v>1039</v>
      </c>
      <c r="F818" s="3" t="n">
        <v>45739.9041666667</v>
      </c>
      <c r="G818" s="2" t="s">
        <v>1299</v>
      </c>
      <c r="H818" s="4" t="n">
        <v>-0.6834</v>
      </c>
      <c r="I818" s="2" t="s">
        <v>84</v>
      </c>
      <c r="J818" s="2" t="s">
        <v>19</v>
      </c>
      <c r="K818" s="2" t="n">
        <v>3</v>
      </c>
      <c r="L818" s="2" t="n">
        <v>1</v>
      </c>
      <c r="M818" s="2" t="n">
        <v>0</v>
      </c>
    </row>
    <row r="819" customFormat="false" ht="15" hidden="false" customHeight="false" outlineLevel="0" collapsed="false">
      <c r="A819" s="2" t="s">
        <v>1826</v>
      </c>
      <c r="B819" s="2" t="s">
        <v>1827</v>
      </c>
      <c r="C819" s="2" t="n">
        <v>1</v>
      </c>
      <c r="D819" s="2" t="s">
        <v>1828</v>
      </c>
      <c r="E819" s="2" t="s">
        <v>1039</v>
      </c>
      <c r="F819" s="3" t="n">
        <v>45739.9729166667</v>
      </c>
      <c r="G819" s="2" t="s">
        <v>1299</v>
      </c>
      <c r="H819" s="4" t="n">
        <v>-0.8052</v>
      </c>
      <c r="I819" s="2" t="s">
        <v>84</v>
      </c>
      <c r="J819" s="2" t="s">
        <v>37</v>
      </c>
      <c r="K819" s="2" t="n">
        <v>1</v>
      </c>
      <c r="L819" s="2" t="n">
        <v>0</v>
      </c>
      <c r="M819" s="2" t="n">
        <v>0</v>
      </c>
    </row>
    <row r="820" customFormat="false" ht="15" hidden="false" customHeight="false" outlineLevel="0" collapsed="false">
      <c r="A820" s="2" t="s">
        <v>1829</v>
      </c>
      <c r="B820" s="2" t="s">
        <v>1830</v>
      </c>
      <c r="C820" s="2" t="n">
        <v>3</v>
      </c>
      <c r="D820" s="2" t="s">
        <v>22</v>
      </c>
      <c r="E820" s="2" t="s">
        <v>1039</v>
      </c>
      <c r="F820" s="3" t="n">
        <v>45739.9979166667</v>
      </c>
      <c r="G820" s="2" t="s">
        <v>1299</v>
      </c>
      <c r="H820" s="4" t="n">
        <v>0.2023</v>
      </c>
      <c r="I820" s="2" t="s">
        <v>23</v>
      </c>
      <c r="J820" s="2" t="s">
        <v>19</v>
      </c>
      <c r="K820" s="2" t="n">
        <v>5</v>
      </c>
      <c r="L820" s="2" t="n">
        <v>0</v>
      </c>
      <c r="M820" s="2" t="n">
        <v>0</v>
      </c>
    </row>
    <row r="821" customFormat="false" ht="15" hidden="false" customHeight="false" outlineLevel="0" collapsed="false">
      <c r="A821" s="2" t="s">
        <v>1831</v>
      </c>
      <c r="B821" s="2" t="s">
        <v>1832</v>
      </c>
      <c r="C821" s="2" t="n">
        <v>4</v>
      </c>
      <c r="D821" s="2" t="s">
        <v>40</v>
      </c>
      <c r="E821" s="2" t="s">
        <v>1039</v>
      </c>
      <c r="F821" s="3" t="n">
        <v>45740.0375</v>
      </c>
      <c r="G821" s="2" t="s">
        <v>1299</v>
      </c>
      <c r="H821" s="4" t="n">
        <v>0.4019</v>
      </c>
      <c r="I821" s="2" t="s">
        <v>23</v>
      </c>
      <c r="J821" s="2" t="s">
        <v>33</v>
      </c>
      <c r="K821" s="2" t="n">
        <v>0</v>
      </c>
      <c r="L821" s="2" t="n">
        <v>0</v>
      </c>
      <c r="M821" s="2" t="n">
        <v>0</v>
      </c>
    </row>
    <row r="822" customFormat="false" ht="15" hidden="false" customHeight="false" outlineLevel="0" collapsed="false">
      <c r="A822" s="2" t="s">
        <v>1833</v>
      </c>
      <c r="B822" s="2" t="s">
        <v>1834</v>
      </c>
      <c r="C822" s="2" t="n">
        <v>5</v>
      </c>
      <c r="D822" s="2" t="s">
        <v>127</v>
      </c>
      <c r="E822" s="2" t="s">
        <v>1039</v>
      </c>
      <c r="F822" s="3" t="n">
        <v>45740.5805555556</v>
      </c>
      <c r="G822" s="2" t="s">
        <v>1299</v>
      </c>
      <c r="H822" s="4" t="n">
        <v>0.9359</v>
      </c>
      <c r="I822" s="2" t="s">
        <v>23</v>
      </c>
      <c r="J822" s="2" t="s">
        <v>37</v>
      </c>
      <c r="K822" s="2" t="n">
        <v>1</v>
      </c>
      <c r="L822" s="2" t="n">
        <v>0</v>
      </c>
      <c r="M822" s="2" t="n">
        <v>0</v>
      </c>
    </row>
    <row r="823" customFormat="false" ht="15" hidden="false" customHeight="false" outlineLevel="0" collapsed="false">
      <c r="A823" s="2" t="s">
        <v>1835</v>
      </c>
      <c r="B823" s="2" t="s">
        <v>1836</v>
      </c>
      <c r="C823" s="2" t="n">
        <v>5</v>
      </c>
      <c r="D823" s="2" t="s">
        <v>40</v>
      </c>
      <c r="E823" s="2" t="s">
        <v>1039</v>
      </c>
      <c r="F823" s="3" t="n">
        <v>45740.6659722222</v>
      </c>
      <c r="G823" s="2" t="s">
        <v>1299</v>
      </c>
      <c r="H823" s="4" t="n">
        <v>0.4019</v>
      </c>
      <c r="I823" s="2" t="s">
        <v>23</v>
      </c>
      <c r="J823" s="2" t="s">
        <v>33</v>
      </c>
      <c r="K823" s="2" t="n">
        <v>1</v>
      </c>
      <c r="L823" s="2" t="n">
        <v>0</v>
      </c>
      <c r="M823" s="2" t="n">
        <v>0</v>
      </c>
    </row>
    <row r="824" customFormat="false" ht="15" hidden="false" customHeight="false" outlineLevel="0" collapsed="false">
      <c r="A824" s="2" t="s">
        <v>1837</v>
      </c>
      <c r="B824" s="2" t="s">
        <v>1838</v>
      </c>
      <c r="C824" s="2" t="n">
        <v>3</v>
      </c>
      <c r="D824" s="2" t="s">
        <v>36</v>
      </c>
      <c r="E824" s="2" t="s">
        <v>1039</v>
      </c>
      <c r="F824" s="3" t="n">
        <v>45740.7111111111</v>
      </c>
      <c r="G824" s="2" t="s">
        <v>1299</v>
      </c>
      <c r="H824" s="4" t="n">
        <v>0.4404</v>
      </c>
      <c r="I824" s="2" t="s">
        <v>23</v>
      </c>
      <c r="J824" s="2" t="s">
        <v>37</v>
      </c>
      <c r="K824" s="2" t="n">
        <v>3</v>
      </c>
      <c r="L824" s="2" t="n">
        <v>0</v>
      </c>
      <c r="M824" s="2" t="n">
        <v>0</v>
      </c>
    </row>
    <row r="825" customFormat="false" ht="15" hidden="false" customHeight="false" outlineLevel="0" collapsed="false">
      <c r="A825" s="2" t="s">
        <v>1839</v>
      </c>
      <c r="B825" s="2" t="s">
        <v>1840</v>
      </c>
      <c r="C825" s="2" t="n">
        <v>4</v>
      </c>
      <c r="D825" s="2" t="s">
        <v>40</v>
      </c>
      <c r="E825" s="2" t="s">
        <v>1039</v>
      </c>
      <c r="F825" s="3" t="n">
        <v>45740.7173611111</v>
      </c>
      <c r="G825" s="2" t="s">
        <v>1299</v>
      </c>
      <c r="H825" s="4" t="n">
        <v>0.4019</v>
      </c>
      <c r="I825" s="2" t="s">
        <v>23</v>
      </c>
      <c r="J825" s="2" t="s">
        <v>33</v>
      </c>
      <c r="K825" s="2" t="n">
        <v>4</v>
      </c>
      <c r="L825" s="2" t="n">
        <v>0</v>
      </c>
      <c r="M825" s="2" t="n">
        <v>0</v>
      </c>
    </row>
    <row r="826" customFormat="false" ht="15" hidden="false" customHeight="false" outlineLevel="0" collapsed="false">
      <c r="A826" s="2" t="s">
        <v>1841</v>
      </c>
      <c r="B826" s="2" t="s">
        <v>1842</v>
      </c>
      <c r="C826" s="2" t="n">
        <v>5</v>
      </c>
      <c r="D826" s="2" t="s">
        <v>62</v>
      </c>
      <c r="E826" s="2" t="s">
        <v>1039</v>
      </c>
      <c r="F826" s="3" t="n">
        <v>45740.7493055556</v>
      </c>
      <c r="G826" s="2" t="s">
        <v>1299</v>
      </c>
      <c r="H826" s="4" t="n">
        <v>0.7088</v>
      </c>
      <c r="I826" s="2" t="s">
        <v>23</v>
      </c>
      <c r="J826" s="2" t="s">
        <v>19</v>
      </c>
      <c r="K826" s="2" t="n">
        <v>1</v>
      </c>
      <c r="L826" s="2" t="n">
        <v>0</v>
      </c>
      <c r="M826" s="2" t="n">
        <v>0</v>
      </c>
    </row>
    <row r="827" customFormat="false" ht="15" hidden="false" customHeight="false" outlineLevel="0" collapsed="false">
      <c r="A827" s="2" t="s">
        <v>1843</v>
      </c>
      <c r="B827" s="2" t="s">
        <v>1844</v>
      </c>
      <c r="C827" s="2" t="n">
        <v>5</v>
      </c>
      <c r="D827" s="2" t="s">
        <v>76</v>
      </c>
      <c r="E827" s="2" t="s">
        <v>1039</v>
      </c>
      <c r="F827" s="3" t="n">
        <v>45740.7513888889</v>
      </c>
      <c r="G827" s="2" t="s">
        <v>1299</v>
      </c>
      <c r="H827" s="4" t="n">
        <v>0.607</v>
      </c>
      <c r="I827" s="2" t="s">
        <v>23</v>
      </c>
      <c r="J827" s="2" t="s">
        <v>33</v>
      </c>
      <c r="K827" s="2" t="n">
        <v>8</v>
      </c>
      <c r="L827" s="2" t="n">
        <v>0</v>
      </c>
      <c r="M827" s="2" t="n">
        <v>0</v>
      </c>
    </row>
    <row r="828" customFormat="false" ht="15" hidden="false" customHeight="false" outlineLevel="0" collapsed="false">
      <c r="A828" s="2" t="s">
        <v>1845</v>
      </c>
      <c r="B828" s="2" t="s">
        <v>1846</v>
      </c>
      <c r="C828" s="2" t="n">
        <v>3</v>
      </c>
      <c r="D828" s="2" t="s">
        <v>99</v>
      </c>
      <c r="E828" s="2" t="s">
        <v>1039</v>
      </c>
      <c r="F828" s="3" t="n">
        <v>45740.8083333333</v>
      </c>
      <c r="G828" s="2" t="s">
        <v>1299</v>
      </c>
      <c r="H828" s="4" t="n">
        <v>-0.3089</v>
      </c>
      <c r="I828" s="2" t="s">
        <v>84</v>
      </c>
      <c r="J828" s="2" t="s">
        <v>19</v>
      </c>
      <c r="K828" s="2" t="n">
        <v>0</v>
      </c>
      <c r="L828" s="2" t="n">
        <v>0</v>
      </c>
      <c r="M828" s="2" t="n">
        <v>0</v>
      </c>
    </row>
    <row r="829" customFormat="false" ht="15" hidden="false" customHeight="false" outlineLevel="0" collapsed="false">
      <c r="A829" s="2" t="s">
        <v>1847</v>
      </c>
      <c r="B829" s="2" t="s">
        <v>1848</v>
      </c>
      <c r="C829" s="2" t="n">
        <v>5</v>
      </c>
      <c r="D829" s="2" t="s">
        <v>96</v>
      </c>
      <c r="E829" s="2" t="s">
        <v>1039</v>
      </c>
      <c r="F829" s="3" t="n">
        <v>45740.8277777778</v>
      </c>
      <c r="G829" s="2" t="s">
        <v>1299</v>
      </c>
      <c r="H829" s="4" t="n">
        <v>0.6369</v>
      </c>
      <c r="I829" s="2" t="s">
        <v>23</v>
      </c>
      <c r="J829" s="2" t="s">
        <v>19</v>
      </c>
      <c r="K829" s="2" t="n">
        <v>13</v>
      </c>
      <c r="L829" s="2" t="n">
        <v>0</v>
      </c>
      <c r="M829" s="2" t="n">
        <v>0</v>
      </c>
    </row>
    <row r="830" customFormat="false" ht="15" hidden="false" customHeight="false" outlineLevel="0" collapsed="false">
      <c r="A830" s="2" t="s">
        <v>1849</v>
      </c>
      <c r="B830" s="2" t="s">
        <v>1850</v>
      </c>
      <c r="C830" s="2" t="n">
        <v>3</v>
      </c>
      <c r="D830" s="2" t="s">
        <v>99</v>
      </c>
      <c r="E830" s="2" t="s">
        <v>1039</v>
      </c>
      <c r="F830" s="3" t="n">
        <v>45740.8534722222</v>
      </c>
      <c r="G830" s="2" t="s">
        <v>1299</v>
      </c>
      <c r="H830" s="4" t="n">
        <v>-0.3089</v>
      </c>
      <c r="I830" s="2" t="s">
        <v>84</v>
      </c>
      <c r="J830" s="2" t="s">
        <v>19</v>
      </c>
      <c r="K830" s="2" t="n">
        <v>0</v>
      </c>
      <c r="L830" s="2" t="n">
        <v>0</v>
      </c>
      <c r="M830" s="2" t="n">
        <v>0</v>
      </c>
    </row>
    <row r="831" customFormat="false" ht="15" hidden="false" customHeight="false" outlineLevel="0" collapsed="false">
      <c r="A831" s="2" t="s">
        <v>1851</v>
      </c>
      <c r="B831" s="2" t="s">
        <v>1852</v>
      </c>
      <c r="C831" s="2" t="n">
        <v>5</v>
      </c>
      <c r="D831" s="2" t="s">
        <v>336</v>
      </c>
      <c r="E831" s="2" t="s">
        <v>1039</v>
      </c>
      <c r="F831" s="3" t="n">
        <v>45740.9444444445</v>
      </c>
      <c r="G831" s="2" t="s">
        <v>1299</v>
      </c>
      <c r="H831" s="4" t="n">
        <v>0.7088</v>
      </c>
      <c r="I831" s="2" t="s">
        <v>23</v>
      </c>
      <c r="J831" s="2" t="s">
        <v>19</v>
      </c>
      <c r="K831" s="2" t="n">
        <v>1</v>
      </c>
      <c r="L831" s="2" t="n">
        <v>0</v>
      </c>
      <c r="M831" s="2" t="n">
        <v>0</v>
      </c>
    </row>
    <row r="832" customFormat="false" ht="15" hidden="false" customHeight="false" outlineLevel="0" collapsed="false">
      <c r="A832" s="2" t="s">
        <v>1853</v>
      </c>
      <c r="B832" s="2" t="s">
        <v>1854</v>
      </c>
      <c r="C832" s="2" t="n">
        <v>4</v>
      </c>
      <c r="D832" s="2" t="s">
        <v>52</v>
      </c>
      <c r="E832" s="2" t="s">
        <v>1039</v>
      </c>
      <c r="F832" s="3" t="n">
        <v>45741.0770833333</v>
      </c>
      <c r="G832" s="2" t="s">
        <v>1299</v>
      </c>
      <c r="H832" s="4" t="n">
        <v>0.6369</v>
      </c>
      <c r="I832" s="2" t="s">
        <v>23</v>
      </c>
      <c r="J832" s="2" t="s">
        <v>19</v>
      </c>
      <c r="K832" s="2" t="n">
        <v>1</v>
      </c>
      <c r="L832" s="2" t="n">
        <v>0</v>
      </c>
      <c r="M832" s="2" t="n">
        <v>0</v>
      </c>
    </row>
    <row r="833" customFormat="false" ht="15" hidden="false" customHeight="false" outlineLevel="0" collapsed="false">
      <c r="A833" s="2" t="s">
        <v>1855</v>
      </c>
      <c r="B833" s="2" t="s">
        <v>1856</v>
      </c>
      <c r="C833" s="2" t="n">
        <v>3</v>
      </c>
      <c r="D833" s="2" t="s">
        <v>22</v>
      </c>
      <c r="E833" s="2" t="s">
        <v>1039</v>
      </c>
      <c r="F833" s="3" t="n">
        <v>45741.1104166667</v>
      </c>
      <c r="G833" s="2" t="s">
        <v>1299</v>
      </c>
      <c r="H833" s="4" t="n">
        <v>0.2023</v>
      </c>
      <c r="I833" s="2" t="s">
        <v>23</v>
      </c>
      <c r="J833" s="2" t="s">
        <v>19</v>
      </c>
      <c r="K833" s="2" t="n">
        <v>2</v>
      </c>
      <c r="L833" s="2" t="n">
        <v>0</v>
      </c>
      <c r="M833" s="2" t="n">
        <v>0</v>
      </c>
    </row>
    <row r="834" customFormat="false" ht="15" hidden="false" customHeight="false" outlineLevel="0" collapsed="false">
      <c r="A834" s="2" t="s">
        <v>1857</v>
      </c>
      <c r="B834" s="2" t="s">
        <v>1858</v>
      </c>
      <c r="C834" s="2" t="n">
        <v>5</v>
      </c>
      <c r="D834" s="2" t="s">
        <v>52</v>
      </c>
      <c r="E834" s="2" t="s">
        <v>1039</v>
      </c>
      <c r="F834" s="3" t="n">
        <v>45741.1138888889</v>
      </c>
      <c r="G834" s="2" t="s">
        <v>1299</v>
      </c>
      <c r="H834" s="4" t="n">
        <v>0.6369</v>
      </c>
      <c r="I834" s="2" t="s">
        <v>23</v>
      </c>
      <c r="J834" s="2" t="s">
        <v>19</v>
      </c>
      <c r="K834" s="2" t="n">
        <v>0</v>
      </c>
      <c r="L834" s="2" t="n">
        <v>0</v>
      </c>
      <c r="M834" s="2" t="n">
        <v>0</v>
      </c>
    </row>
    <row r="835" customFormat="false" ht="15" hidden="false" customHeight="false" outlineLevel="0" collapsed="false">
      <c r="A835" s="2" t="s">
        <v>1859</v>
      </c>
      <c r="B835" s="2" t="s">
        <v>1860</v>
      </c>
      <c r="C835" s="2" t="n">
        <v>4</v>
      </c>
      <c r="D835" s="2" t="s">
        <v>15</v>
      </c>
      <c r="E835" s="2" t="s">
        <v>1039</v>
      </c>
      <c r="F835" s="3" t="n">
        <v>45741.1347222222</v>
      </c>
      <c r="G835" s="2" t="s">
        <v>1299</v>
      </c>
      <c r="H835" s="4" t="n">
        <v>0</v>
      </c>
      <c r="I835" s="2" t="s">
        <v>18</v>
      </c>
      <c r="J835" s="2" t="s">
        <v>19</v>
      </c>
      <c r="K835" s="2" t="n">
        <v>0</v>
      </c>
      <c r="L835" s="2" t="n">
        <v>0</v>
      </c>
      <c r="M835" s="2" t="n">
        <v>0</v>
      </c>
    </row>
    <row r="836" customFormat="false" ht="15" hidden="false" customHeight="false" outlineLevel="0" collapsed="false">
      <c r="A836" s="2" t="s">
        <v>1861</v>
      </c>
      <c r="B836" s="2" t="s">
        <v>1862</v>
      </c>
      <c r="C836" s="2" t="n">
        <v>1</v>
      </c>
      <c r="D836" s="2" t="s">
        <v>1863</v>
      </c>
      <c r="E836" s="2" t="s">
        <v>1039</v>
      </c>
      <c r="F836" s="3" t="n">
        <v>45741.3444444445</v>
      </c>
      <c r="G836" s="2" t="s">
        <v>1299</v>
      </c>
      <c r="H836" s="4" t="n">
        <v>0.128</v>
      </c>
      <c r="I836" s="2" t="s">
        <v>23</v>
      </c>
      <c r="J836" s="2" t="s">
        <v>33</v>
      </c>
      <c r="K836" s="2" t="n">
        <v>0</v>
      </c>
      <c r="L836" s="2" t="n">
        <v>0</v>
      </c>
      <c r="M836" s="2" t="n">
        <v>0</v>
      </c>
    </row>
    <row r="837" customFormat="false" ht="15" hidden="false" customHeight="false" outlineLevel="0" collapsed="false">
      <c r="A837" s="2" t="s">
        <v>1864</v>
      </c>
      <c r="B837" s="2" t="s">
        <v>1865</v>
      </c>
      <c r="C837" s="2" t="n">
        <v>5</v>
      </c>
      <c r="D837" s="2" t="s">
        <v>96</v>
      </c>
      <c r="E837" s="2" t="s">
        <v>1039</v>
      </c>
      <c r="F837" s="3" t="n">
        <v>45741.3527777778</v>
      </c>
      <c r="G837" s="2" t="s">
        <v>1299</v>
      </c>
      <c r="H837" s="4" t="n">
        <v>0.6369</v>
      </c>
      <c r="I837" s="2" t="s">
        <v>23</v>
      </c>
      <c r="J837" s="2" t="s">
        <v>19</v>
      </c>
      <c r="K837" s="2" t="n">
        <v>0</v>
      </c>
      <c r="L837" s="2" t="n">
        <v>0</v>
      </c>
      <c r="M837" s="2" t="n">
        <v>0</v>
      </c>
    </row>
    <row r="838" customFormat="false" ht="15" hidden="false" customHeight="false" outlineLevel="0" collapsed="false">
      <c r="A838" s="2" t="s">
        <v>1866</v>
      </c>
      <c r="B838" s="2" t="s">
        <v>1867</v>
      </c>
      <c r="C838" s="2" t="n">
        <v>4</v>
      </c>
      <c r="D838" s="2" t="s">
        <v>99</v>
      </c>
      <c r="E838" s="2" t="s">
        <v>1039</v>
      </c>
      <c r="F838" s="3" t="n">
        <v>45741.4229166667</v>
      </c>
      <c r="G838" s="2" t="s">
        <v>1299</v>
      </c>
      <c r="H838" s="4" t="n">
        <v>-0.3089</v>
      </c>
      <c r="I838" s="2" t="s">
        <v>84</v>
      </c>
      <c r="J838" s="2" t="s">
        <v>19</v>
      </c>
      <c r="K838" s="2" t="n">
        <v>6</v>
      </c>
      <c r="L838" s="2" t="n">
        <v>0</v>
      </c>
      <c r="M838" s="2" t="n">
        <v>0</v>
      </c>
    </row>
    <row r="839" customFormat="false" ht="15" hidden="false" customHeight="false" outlineLevel="0" collapsed="false">
      <c r="A839" s="2" t="s">
        <v>1868</v>
      </c>
      <c r="B839" s="2" t="s">
        <v>1869</v>
      </c>
      <c r="C839" s="2" t="n">
        <v>3</v>
      </c>
      <c r="D839" s="2" t="s">
        <v>36</v>
      </c>
      <c r="E839" s="2" t="s">
        <v>1039</v>
      </c>
      <c r="F839" s="3" t="n">
        <v>45741.4868055556</v>
      </c>
      <c r="G839" s="2" t="s">
        <v>1299</v>
      </c>
      <c r="H839" s="4" t="n">
        <v>0.4404</v>
      </c>
      <c r="I839" s="2" t="s">
        <v>23</v>
      </c>
      <c r="J839" s="2" t="s">
        <v>37</v>
      </c>
      <c r="K839" s="2" t="n">
        <v>5</v>
      </c>
      <c r="L839" s="2" t="n">
        <v>0</v>
      </c>
      <c r="M839" s="2" t="n">
        <v>0</v>
      </c>
    </row>
    <row r="840" customFormat="false" ht="15" hidden="false" customHeight="false" outlineLevel="0" collapsed="false">
      <c r="A840" s="2" t="s">
        <v>1870</v>
      </c>
      <c r="B840" s="2" t="s">
        <v>1871</v>
      </c>
      <c r="C840" s="2" t="n">
        <v>5</v>
      </c>
      <c r="D840" s="2" t="s">
        <v>40</v>
      </c>
      <c r="E840" s="2" t="s">
        <v>1039</v>
      </c>
      <c r="F840" s="3" t="n">
        <v>45741.5729166667</v>
      </c>
      <c r="G840" s="2" t="s">
        <v>1299</v>
      </c>
      <c r="H840" s="4" t="n">
        <v>0.4019</v>
      </c>
      <c r="I840" s="2" t="s">
        <v>23</v>
      </c>
      <c r="J840" s="2" t="s">
        <v>33</v>
      </c>
      <c r="K840" s="2" t="n">
        <v>4</v>
      </c>
      <c r="L840" s="2" t="n">
        <v>0</v>
      </c>
      <c r="M840" s="2" t="n">
        <v>0</v>
      </c>
    </row>
    <row r="841" customFormat="false" ht="15" hidden="false" customHeight="false" outlineLevel="0" collapsed="false">
      <c r="A841" s="2" t="s">
        <v>1872</v>
      </c>
      <c r="B841" s="2" t="s">
        <v>1873</v>
      </c>
      <c r="C841" s="2" t="n">
        <v>5</v>
      </c>
      <c r="D841" s="2" t="s">
        <v>29</v>
      </c>
      <c r="E841" s="2" t="s">
        <v>1039</v>
      </c>
      <c r="F841" s="3" t="n">
        <v>45741.6236111111</v>
      </c>
      <c r="G841" s="2" t="s">
        <v>1299</v>
      </c>
      <c r="H841" s="4" t="n">
        <v>0.6369</v>
      </c>
      <c r="I841" s="2" t="s">
        <v>23</v>
      </c>
      <c r="J841" s="2" t="s">
        <v>19</v>
      </c>
      <c r="K841" s="2" t="n">
        <v>3</v>
      </c>
      <c r="L841" s="2" t="n">
        <v>0</v>
      </c>
      <c r="M841" s="2" t="n">
        <v>0</v>
      </c>
    </row>
    <row r="842" customFormat="false" ht="15" hidden="false" customHeight="false" outlineLevel="0" collapsed="false">
      <c r="A842" s="2" t="s">
        <v>1874</v>
      </c>
      <c r="B842" s="2" t="s">
        <v>1875</v>
      </c>
      <c r="C842" s="2" t="n">
        <v>1</v>
      </c>
      <c r="D842" s="2" t="s">
        <v>168</v>
      </c>
      <c r="E842" s="2" t="s">
        <v>1039</v>
      </c>
      <c r="F842" s="3" t="n">
        <v>45741.6868055556</v>
      </c>
      <c r="G842" s="2" t="s">
        <v>1299</v>
      </c>
      <c r="H842" s="4" t="n">
        <v>-0.1027</v>
      </c>
      <c r="I842" s="2" t="s">
        <v>84</v>
      </c>
      <c r="J842" s="2" t="s">
        <v>33</v>
      </c>
      <c r="K842" s="2" t="n">
        <v>5</v>
      </c>
      <c r="L842" s="2" t="n">
        <v>0</v>
      </c>
      <c r="M842" s="2" t="n">
        <v>0</v>
      </c>
    </row>
    <row r="843" customFormat="false" ht="15" hidden="false" customHeight="false" outlineLevel="0" collapsed="false">
      <c r="A843" s="2" t="s">
        <v>1876</v>
      </c>
      <c r="B843" s="2" t="s">
        <v>1877</v>
      </c>
      <c r="C843" s="2" t="n">
        <v>5</v>
      </c>
      <c r="D843" s="2" t="s">
        <v>1878</v>
      </c>
      <c r="E843" s="2" t="s">
        <v>1039</v>
      </c>
      <c r="F843" s="3" t="n">
        <v>45741.8916666667</v>
      </c>
      <c r="G843" s="2" t="s">
        <v>1299</v>
      </c>
      <c r="H843" s="4" t="n">
        <v>0.9516</v>
      </c>
      <c r="I843" s="2" t="s">
        <v>23</v>
      </c>
      <c r="J843" s="2" t="s">
        <v>37</v>
      </c>
      <c r="K843" s="2" t="n">
        <v>4</v>
      </c>
      <c r="L843" s="2" t="n">
        <v>0</v>
      </c>
      <c r="M843" s="2" t="n">
        <v>0</v>
      </c>
    </row>
    <row r="844" customFormat="false" ht="15" hidden="false" customHeight="false" outlineLevel="0" collapsed="false">
      <c r="A844" s="2" t="s">
        <v>1879</v>
      </c>
      <c r="B844" s="2" t="s">
        <v>1880</v>
      </c>
      <c r="C844" s="2" t="n">
        <v>4</v>
      </c>
      <c r="D844" s="2" t="s">
        <v>15</v>
      </c>
      <c r="E844" s="2" t="s">
        <v>1039</v>
      </c>
      <c r="F844" s="3" t="n">
        <v>45741.9666666667</v>
      </c>
      <c r="G844" s="2" t="s">
        <v>1299</v>
      </c>
      <c r="H844" s="4" t="n">
        <v>0</v>
      </c>
      <c r="I844" s="2" t="s">
        <v>18</v>
      </c>
      <c r="J844" s="2" t="s">
        <v>19</v>
      </c>
      <c r="K844" s="2" t="n">
        <v>2</v>
      </c>
      <c r="L844" s="2" t="n">
        <v>0</v>
      </c>
      <c r="M844" s="2" t="n">
        <v>0</v>
      </c>
    </row>
    <row r="845" customFormat="false" ht="15" hidden="false" customHeight="false" outlineLevel="0" collapsed="false">
      <c r="A845" s="2" t="s">
        <v>1881</v>
      </c>
      <c r="B845" s="2" t="s">
        <v>1882</v>
      </c>
      <c r="C845" s="2" t="n">
        <v>5</v>
      </c>
      <c r="D845" s="2" t="s">
        <v>62</v>
      </c>
      <c r="E845" s="2" t="s">
        <v>1039</v>
      </c>
      <c r="F845" s="3" t="n">
        <v>45741.9972222222</v>
      </c>
      <c r="G845" s="2" t="s">
        <v>1299</v>
      </c>
      <c r="H845" s="4" t="n">
        <v>0.7088</v>
      </c>
      <c r="I845" s="2" t="s">
        <v>23</v>
      </c>
      <c r="J845" s="2" t="s">
        <v>19</v>
      </c>
      <c r="K845" s="2" t="n">
        <v>6</v>
      </c>
      <c r="L845" s="2" t="n">
        <v>0</v>
      </c>
      <c r="M845" s="2" t="n">
        <v>0</v>
      </c>
    </row>
    <row r="846" customFormat="false" ht="15" hidden="false" customHeight="false" outlineLevel="0" collapsed="false">
      <c r="A846" s="2" t="s">
        <v>1883</v>
      </c>
      <c r="B846" s="2" t="s">
        <v>1884</v>
      </c>
      <c r="C846" s="2" t="n">
        <v>3</v>
      </c>
      <c r="D846" s="2" t="s">
        <v>301</v>
      </c>
      <c r="E846" s="2" t="s">
        <v>1039</v>
      </c>
      <c r="F846" s="3" t="n">
        <v>45742.3069444444</v>
      </c>
      <c r="G846" s="2" t="s">
        <v>1299</v>
      </c>
      <c r="H846" s="4" t="n">
        <v>0.2263</v>
      </c>
      <c r="I846" s="2" t="s">
        <v>23</v>
      </c>
      <c r="J846" s="2" t="s">
        <v>19</v>
      </c>
      <c r="K846" s="2" t="n">
        <v>8</v>
      </c>
      <c r="L846" s="2" t="n">
        <v>0</v>
      </c>
      <c r="M846" s="2" t="n">
        <v>0</v>
      </c>
    </row>
    <row r="847" customFormat="false" ht="15" hidden="false" customHeight="false" outlineLevel="0" collapsed="false">
      <c r="A847" s="2" t="s">
        <v>1885</v>
      </c>
      <c r="B847" s="2" t="s">
        <v>1886</v>
      </c>
      <c r="C847" s="2" t="n">
        <v>5</v>
      </c>
      <c r="D847" s="2" t="s">
        <v>1698</v>
      </c>
      <c r="E847" s="2" t="s">
        <v>1039</v>
      </c>
      <c r="F847" s="3" t="n">
        <v>45742.3381944444</v>
      </c>
      <c r="G847" s="2" t="s">
        <v>1299</v>
      </c>
      <c r="H847" s="4" t="n">
        <v>0.7845</v>
      </c>
      <c r="I847" s="2" t="s">
        <v>23</v>
      </c>
      <c r="J847" s="2" t="s">
        <v>33</v>
      </c>
      <c r="K847" s="2" t="n">
        <v>2</v>
      </c>
      <c r="L847" s="2" t="n">
        <v>0</v>
      </c>
      <c r="M847" s="2" t="n">
        <v>0</v>
      </c>
    </row>
    <row r="848" customFormat="false" ht="15" hidden="false" customHeight="false" outlineLevel="0" collapsed="false">
      <c r="A848" s="2" t="s">
        <v>1887</v>
      </c>
      <c r="B848" s="2" t="s">
        <v>1888</v>
      </c>
      <c r="C848" s="2" t="n">
        <v>4</v>
      </c>
      <c r="D848" s="2" t="s">
        <v>1889</v>
      </c>
      <c r="E848" s="2" t="s">
        <v>1039</v>
      </c>
      <c r="F848" s="3" t="n">
        <v>45742.3534722222</v>
      </c>
      <c r="G848" s="2" t="s">
        <v>1299</v>
      </c>
      <c r="H848" s="4" t="n">
        <v>0.7906</v>
      </c>
      <c r="I848" s="2" t="s">
        <v>23</v>
      </c>
      <c r="J848" s="2" t="s">
        <v>37</v>
      </c>
      <c r="K848" s="2" t="n">
        <v>11</v>
      </c>
      <c r="L848" s="2" t="n">
        <v>0</v>
      </c>
      <c r="M848" s="2" t="n">
        <v>0</v>
      </c>
    </row>
    <row r="849" customFormat="false" ht="15" hidden="false" customHeight="false" outlineLevel="0" collapsed="false">
      <c r="A849" s="2" t="s">
        <v>1890</v>
      </c>
      <c r="B849" s="2" t="s">
        <v>1891</v>
      </c>
      <c r="C849" s="2" t="n">
        <v>3</v>
      </c>
      <c r="D849" s="2" t="s">
        <v>87</v>
      </c>
      <c r="E849" s="2" t="s">
        <v>1039</v>
      </c>
      <c r="F849" s="3" t="n">
        <v>45742.4923611111</v>
      </c>
      <c r="G849" s="2" t="s">
        <v>1299</v>
      </c>
      <c r="H849" s="4" t="n">
        <v>0</v>
      </c>
      <c r="I849" s="2" t="s">
        <v>18</v>
      </c>
      <c r="J849" s="2" t="s">
        <v>19</v>
      </c>
      <c r="K849" s="2" t="n">
        <v>4</v>
      </c>
      <c r="L849" s="2" t="n">
        <v>0</v>
      </c>
      <c r="M849" s="2" t="n">
        <v>0</v>
      </c>
    </row>
    <row r="850" customFormat="false" ht="15" hidden="false" customHeight="false" outlineLevel="0" collapsed="false">
      <c r="A850" s="2" t="s">
        <v>1892</v>
      </c>
      <c r="B850" s="2" t="s">
        <v>1893</v>
      </c>
      <c r="C850" s="2" t="n">
        <v>5</v>
      </c>
      <c r="D850" s="2" t="s">
        <v>40</v>
      </c>
      <c r="E850" s="2" t="s">
        <v>1039</v>
      </c>
      <c r="F850" s="3" t="n">
        <v>45742.6777777778</v>
      </c>
      <c r="G850" s="2" t="s">
        <v>1299</v>
      </c>
      <c r="H850" s="4" t="n">
        <v>0.4019</v>
      </c>
      <c r="I850" s="2" t="s">
        <v>23</v>
      </c>
      <c r="J850" s="2" t="s">
        <v>33</v>
      </c>
      <c r="K850" s="2" t="n">
        <v>3</v>
      </c>
      <c r="L850" s="2" t="n">
        <v>0</v>
      </c>
      <c r="M850" s="2" t="n">
        <v>0</v>
      </c>
    </row>
    <row r="851" customFormat="false" ht="15" hidden="false" customHeight="false" outlineLevel="0" collapsed="false">
      <c r="A851" s="2" t="s">
        <v>1894</v>
      </c>
      <c r="B851" s="2" t="s">
        <v>1895</v>
      </c>
      <c r="C851" s="2" t="n">
        <v>4</v>
      </c>
      <c r="D851" s="2" t="s">
        <v>90</v>
      </c>
      <c r="E851" s="2" t="s">
        <v>1039</v>
      </c>
      <c r="F851" s="3" t="n">
        <v>45742.7152777778</v>
      </c>
      <c r="G851" s="2" t="s">
        <v>1299</v>
      </c>
      <c r="H851" s="4" t="n">
        <v>0.6249</v>
      </c>
      <c r="I851" s="2" t="s">
        <v>23</v>
      </c>
      <c r="J851" s="2" t="s">
        <v>37</v>
      </c>
      <c r="K851" s="2" t="n">
        <v>6</v>
      </c>
      <c r="L851" s="2" t="n">
        <v>0</v>
      </c>
      <c r="M851" s="2" t="n">
        <v>0</v>
      </c>
    </row>
    <row r="852" customFormat="false" ht="15" hidden="false" customHeight="false" outlineLevel="0" collapsed="false">
      <c r="A852" s="2" t="s">
        <v>1896</v>
      </c>
      <c r="B852" s="2" t="s">
        <v>1897</v>
      </c>
      <c r="C852" s="2" t="n">
        <v>5</v>
      </c>
      <c r="D852" s="2" t="s">
        <v>127</v>
      </c>
      <c r="E852" s="2" t="s">
        <v>1039</v>
      </c>
      <c r="F852" s="3" t="n">
        <v>45742.9027777778</v>
      </c>
      <c r="G852" s="2" t="s">
        <v>1299</v>
      </c>
      <c r="H852" s="4" t="n">
        <v>0.9359</v>
      </c>
      <c r="I852" s="2" t="s">
        <v>23</v>
      </c>
      <c r="J852" s="2" t="s">
        <v>37</v>
      </c>
      <c r="K852" s="2" t="n">
        <v>0</v>
      </c>
      <c r="L852" s="2" t="n">
        <v>0</v>
      </c>
      <c r="M852" s="2" t="n">
        <v>0</v>
      </c>
    </row>
    <row r="853" customFormat="false" ht="15" hidden="false" customHeight="false" outlineLevel="0" collapsed="false">
      <c r="A853" s="2" t="s">
        <v>1898</v>
      </c>
      <c r="B853" s="2" t="s">
        <v>1899</v>
      </c>
      <c r="C853" s="2" t="n">
        <v>5</v>
      </c>
      <c r="D853" s="2" t="s">
        <v>40</v>
      </c>
      <c r="E853" s="2" t="s">
        <v>1039</v>
      </c>
      <c r="F853" s="3" t="n">
        <v>45742.9368055556</v>
      </c>
      <c r="G853" s="2" t="s">
        <v>1299</v>
      </c>
      <c r="H853" s="4" t="n">
        <v>0.4019</v>
      </c>
      <c r="I853" s="2" t="s">
        <v>23</v>
      </c>
      <c r="J853" s="2" t="s">
        <v>33</v>
      </c>
      <c r="K853" s="2" t="n">
        <v>11</v>
      </c>
      <c r="L853" s="2" t="n">
        <v>0</v>
      </c>
      <c r="M853" s="2" t="n">
        <v>0</v>
      </c>
    </row>
    <row r="854" customFormat="false" ht="15" hidden="false" customHeight="false" outlineLevel="0" collapsed="false">
      <c r="A854" s="2" t="s">
        <v>1900</v>
      </c>
      <c r="B854" s="2" t="s">
        <v>1901</v>
      </c>
      <c r="C854" s="2" t="n">
        <v>4</v>
      </c>
      <c r="D854" s="2" t="s">
        <v>251</v>
      </c>
      <c r="E854" s="2" t="s">
        <v>1039</v>
      </c>
      <c r="F854" s="3" t="n">
        <v>45742.9944444444</v>
      </c>
      <c r="G854" s="2" t="s">
        <v>1299</v>
      </c>
      <c r="H854" s="4" t="n">
        <v>0.8651</v>
      </c>
      <c r="I854" s="2" t="s">
        <v>23</v>
      </c>
      <c r="J854" s="2" t="s">
        <v>19</v>
      </c>
      <c r="K854" s="2" t="n">
        <v>2</v>
      </c>
      <c r="L854" s="2" t="n">
        <v>0</v>
      </c>
      <c r="M854" s="2" t="n">
        <v>0</v>
      </c>
    </row>
    <row r="855" customFormat="false" ht="15" hidden="false" customHeight="false" outlineLevel="0" collapsed="false">
      <c r="A855" s="2" t="s">
        <v>1902</v>
      </c>
      <c r="B855" s="2" t="s">
        <v>1903</v>
      </c>
      <c r="C855" s="2" t="n">
        <v>5</v>
      </c>
      <c r="D855" s="2" t="s">
        <v>15</v>
      </c>
      <c r="E855" s="2" t="s">
        <v>1039</v>
      </c>
      <c r="F855" s="3" t="n">
        <v>45743.0854166667</v>
      </c>
      <c r="G855" s="2" t="s">
        <v>1299</v>
      </c>
      <c r="H855" s="4" t="n">
        <v>0</v>
      </c>
      <c r="I855" s="2" t="s">
        <v>18</v>
      </c>
      <c r="J855" s="2" t="s">
        <v>19</v>
      </c>
      <c r="K855" s="2" t="n">
        <v>5</v>
      </c>
      <c r="L855" s="2" t="n">
        <v>0</v>
      </c>
      <c r="M855" s="2" t="n">
        <v>0</v>
      </c>
    </row>
    <row r="856" customFormat="false" ht="15" hidden="false" customHeight="false" outlineLevel="0" collapsed="false">
      <c r="A856" s="2" t="s">
        <v>1904</v>
      </c>
      <c r="B856" s="2" t="s">
        <v>1905</v>
      </c>
      <c r="C856" s="2" t="n">
        <v>2</v>
      </c>
      <c r="D856" s="2" t="s">
        <v>516</v>
      </c>
      <c r="E856" s="2" t="s">
        <v>1039</v>
      </c>
      <c r="F856" s="3" t="n">
        <v>45743.2944444444</v>
      </c>
      <c r="G856" s="2" t="s">
        <v>1299</v>
      </c>
      <c r="H856" s="4" t="n">
        <v>0</v>
      </c>
      <c r="I856" s="2" t="s">
        <v>18</v>
      </c>
      <c r="J856" s="2" t="s">
        <v>59</v>
      </c>
      <c r="K856" s="2" t="n">
        <v>8</v>
      </c>
      <c r="L856" s="2" t="n">
        <v>0</v>
      </c>
      <c r="M856" s="2" t="n">
        <v>0</v>
      </c>
    </row>
    <row r="857" customFormat="false" ht="15" hidden="false" customHeight="false" outlineLevel="0" collapsed="false">
      <c r="A857" s="2" t="s">
        <v>1906</v>
      </c>
      <c r="B857" s="2" t="s">
        <v>1907</v>
      </c>
      <c r="C857" s="2" t="n">
        <v>4</v>
      </c>
      <c r="D857" s="2" t="s">
        <v>1052</v>
      </c>
      <c r="E857" s="2" t="s">
        <v>1039</v>
      </c>
      <c r="F857" s="3" t="n">
        <v>45743.3743055556</v>
      </c>
      <c r="G857" s="2" t="s">
        <v>1299</v>
      </c>
      <c r="H857" s="4" t="n">
        <v>0.7088</v>
      </c>
      <c r="I857" s="2" t="s">
        <v>23</v>
      </c>
      <c r="J857" s="2" t="s">
        <v>19</v>
      </c>
      <c r="K857" s="2" t="n">
        <v>6</v>
      </c>
      <c r="L857" s="2" t="n">
        <v>0</v>
      </c>
      <c r="M857" s="2" t="n">
        <v>0</v>
      </c>
    </row>
    <row r="858" customFormat="false" ht="15" hidden="false" customHeight="false" outlineLevel="0" collapsed="false">
      <c r="A858" s="2" t="s">
        <v>1908</v>
      </c>
      <c r="B858" s="2" t="s">
        <v>1909</v>
      </c>
      <c r="C858" s="2" t="n">
        <v>5</v>
      </c>
      <c r="D858" s="2" t="s">
        <v>52</v>
      </c>
      <c r="E858" s="2" t="s">
        <v>1039</v>
      </c>
      <c r="F858" s="3" t="n">
        <v>45743.5270833333</v>
      </c>
      <c r="G858" s="2" t="s">
        <v>1299</v>
      </c>
      <c r="H858" s="4" t="n">
        <v>0.6369</v>
      </c>
      <c r="I858" s="2" t="s">
        <v>23</v>
      </c>
      <c r="J858" s="2" t="s">
        <v>19</v>
      </c>
      <c r="K858" s="2" t="n">
        <v>5</v>
      </c>
      <c r="L858" s="2" t="n">
        <v>0</v>
      </c>
      <c r="M858" s="2" t="n">
        <v>0</v>
      </c>
    </row>
    <row r="859" customFormat="false" ht="15" hidden="false" customHeight="false" outlineLevel="0" collapsed="false">
      <c r="A859" s="2" t="s">
        <v>1910</v>
      </c>
      <c r="B859" s="2" t="s">
        <v>1911</v>
      </c>
      <c r="C859" s="2" t="n">
        <v>1</v>
      </c>
      <c r="D859" s="2" t="s">
        <v>1912</v>
      </c>
      <c r="E859" s="2" t="s">
        <v>1039</v>
      </c>
      <c r="F859" s="3" t="n">
        <v>45743.5527777778</v>
      </c>
      <c r="G859" s="2" t="s">
        <v>1299</v>
      </c>
      <c r="H859" s="4" t="n">
        <v>-0.4404</v>
      </c>
      <c r="I859" s="2" t="s">
        <v>84</v>
      </c>
      <c r="J859" s="2" t="s">
        <v>33</v>
      </c>
      <c r="K859" s="2" t="n">
        <v>4</v>
      </c>
      <c r="L859" s="2" t="n">
        <v>0</v>
      </c>
      <c r="M859" s="2" t="n">
        <v>0</v>
      </c>
    </row>
    <row r="860" customFormat="false" ht="15" hidden="false" customHeight="false" outlineLevel="0" collapsed="false">
      <c r="A860" s="2" t="s">
        <v>1913</v>
      </c>
      <c r="B860" s="2" t="s">
        <v>1914</v>
      </c>
      <c r="C860" s="2" t="n">
        <v>5</v>
      </c>
      <c r="D860" s="2" t="s">
        <v>1197</v>
      </c>
      <c r="E860" s="2" t="s">
        <v>1039</v>
      </c>
      <c r="F860" s="3" t="n">
        <v>45743.5965277778</v>
      </c>
      <c r="G860" s="2" t="s">
        <v>1299</v>
      </c>
      <c r="H860" s="4" t="n">
        <v>0.3089</v>
      </c>
      <c r="I860" s="2" t="s">
        <v>23</v>
      </c>
      <c r="J860" s="2" t="s">
        <v>19</v>
      </c>
      <c r="K860" s="2" t="n">
        <v>1</v>
      </c>
      <c r="L860" s="2" t="n">
        <v>0</v>
      </c>
      <c r="M860" s="2" t="n">
        <v>0</v>
      </c>
    </row>
    <row r="861" customFormat="false" ht="15" hidden="false" customHeight="false" outlineLevel="0" collapsed="false">
      <c r="A861" s="2" t="s">
        <v>1915</v>
      </c>
      <c r="B861" s="2" t="s">
        <v>1916</v>
      </c>
      <c r="C861" s="2" t="n">
        <v>4</v>
      </c>
      <c r="D861" s="2" t="s">
        <v>62</v>
      </c>
      <c r="E861" s="2" t="s">
        <v>1039</v>
      </c>
      <c r="F861" s="3" t="n">
        <v>45743.6048611111</v>
      </c>
      <c r="G861" s="2" t="s">
        <v>1299</v>
      </c>
      <c r="H861" s="4" t="n">
        <v>0.7088</v>
      </c>
      <c r="I861" s="2" t="s">
        <v>23</v>
      </c>
      <c r="J861" s="2" t="s">
        <v>19</v>
      </c>
      <c r="K861" s="2" t="n">
        <v>2</v>
      </c>
      <c r="L861" s="2" t="n">
        <v>0</v>
      </c>
      <c r="M861" s="2" t="n">
        <v>0</v>
      </c>
    </row>
    <row r="862" customFormat="false" ht="15" hidden="false" customHeight="false" outlineLevel="0" collapsed="false">
      <c r="A862" s="2" t="s">
        <v>1917</v>
      </c>
      <c r="B862" s="2" t="s">
        <v>1918</v>
      </c>
      <c r="C862" s="2" t="n">
        <v>3</v>
      </c>
      <c r="D862" s="2" t="s">
        <v>22</v>
      </c>
      <c r="E862" s="2" t="s">
        <v>1039</v>
      </c>
      <c r="F862" s="3" t="n">
        <v>45743.6541666667</v>
      </c>
      <c r="G862" s="2" t="s">
        <v>1299</v>
      </c>
      <c r="H862" s="4" t="n">
        <v>0.2023</v>
      </c>
      <c r="I862" s="2" t="s">
        <v>23</v>
      </c>
      <c r="J862" s="2" t="s">
        <v>19</v>
      </c>
      <c r="K862" s="2" t="n">
        <v>7</v>
      </c>
      <c r="L862" s="2" t="n">
        <v>0</v>
      </c>
      <c r="M862" s="2" t="n">
        <v>0</v>
      </c>
    </row>
    <row r="863" customFormat="false" ht="15" hidden="false" customHeight="false" outlineLevel="0" collapsed="false">
      <c r="A863" s="2" t="s">
        <v>1919</v>
      </c>
      <c r="B863" s="2" t="s">
        <v>1695</v>
      </c>
      <c r="C863" s="2" t="n">
        <v>4</v>
      </c>
      <c r="D863" s="2" t="s">
        <v>282</v>
      </c>
      <c r="E863" s="2" t="s">
        <v>1039</v>
      </c>
      <c r="F863" s="3" t="n">
        <v>45743.6618055556</v>
      </c>
      <c r="G863" s="2" t="s">
        <v>1299</v>
      </c>
      <c r="H863" s="4" t="n">
        <v>0.7992</v>
      </c>
      <c r="I863" s="2" t="s">
        <v>23</v>
      </c>
      <c r="J863" s="2" t="s">
        <v>19</v>
      </c>
      <c r="K863" s="2" t="n">
        <v>0</v>
      </c>
      <c r="L863" s="2" t="n">
        <v>0</v>
      </c>
      <c r="M863" s="2" t="n">
        <v>0</v>
      </c>
    </row>
    <row r="864" customFormat="false" ht="15" hidden="false" customHeight="false" outlineLevel="0" collapsed="false">
      <c r="A864" s="2" t="s">
        <v>1920</v>
      </c>
      <c r="B864" s="2" t="s">
        <v>1921</v>
      </c>
      <c r="C864" s="2" t="n">
        <v>3</v>
      </c>
      <c r="D864" s="2" t="s">
        <v>99</v>
      </c>
      <c r="E864" s="2" t="s">
        <v>1039</v>
      </c>
      <c r="F864" s="3" t="n">
        <v>45743.7277777778</v>
      </c>
      <c r="G864" s="2" t="s">
        <v>1299</v>
      </c>
      <c r="H864" s="4" t="n">
        <v>-0.3089</v>
      </c>
      <c r="I864" s="2" t="s">
        <v>84</v>
      </c>
      <c r="J864" s="2" t="s">
        <v>19</v>
      </c>
      <c r="K864" s="2" t="n">
        <v>1</v>
      </c>
      <c r="L864" s="2" t="n">
        <v>0</v>
      </c>
      <c r="M864" s="2" t="n">
        <v>0</v>
      </c>
    </row>
    <row r="865" customFormat="false" ht="15" hidden="false" customHeight="false" outlineLevel="0" collapsed="false">
      <c r="A865" s="2" t="s">
        <v>1922</v>
      </c>
      <c r="B865" s="2" t="s">
        <v>1923</v>
      </c>
      <c r="C865" s="2" t="n">
        <v>3</v>
      </c>
      <c r="D865" s="2" t="s">
        <v>99</v>
      </c>
      <c r="E865" s="2" t="s">
        <v>1039</v>
      </c>
      <c r="F865" s="3" t="n">
        <v>45743.7791666667</v>
      </c>
      <c r="G865" s="2" t="s">
        <v>1299</v>
      </c>
      <c r="H865" s="4" t="n">
        <v>-0.3089</v>
      </c>
      <c r="I865" s="2" t="s">
        <v>84</v>
      </c>
      <c r="J865" s="2" t="s">
        <v>19</v>
      </c>
      <c r="K865" s="2" t="n">
        <v>1</v>
      </c>
      <c r="L865" s="2" t="n">
        <v>0</v>
      </c>
      <c r="M865" s="2" t="n">
        <v>0</v>
      </c>
    </row>
    <row r="866" customFormat="false" ht="15" hidden="false" customHeight="false" outlineLevel="0" collapsed="false">
      <c r="A866" s="2" t="s">
        <v>1924</v>
      </c>
      <c r="B866" s="2" t="s">
        <v>1925</v>
      </c>
      <c r="C866" s="2" t="n">
        <v>4</v>
      </c>
      <c r="D866" s="2" t="s">
        <v>52</v>
      </c>
      <c r="E866" s="2" t="s">
        <v>1039</v>
      </c>
      <c r="F866" s="3" t="n">
        <v>45744.0472222222</v>
      </c>
      <c r="G866" s="2" t="s">
        <v>1299</v>
      </c>
      <c r="H866" s="4" t="n">
        <v>0.6369</v>
      </c>
      <c r="I866" s="2" t="s">
        <v>23</v>
      </c>
      <c r="J866" s="2" t="s">
        <v>19</v>
      </c>
      <c r="K866" s="2" t="n">
        <v>1</v>
      </c>
      <c r="L866" s="2" t="n">
        <v>0</v>
      </c>
      <c r="M866" s="2" t="n">
        <v>0</v>
      </c>
    </row>
    <row r="867" customFormat="false" ht="15" hidden="false" customHeight="false" outlineLevel="0" collapsed="false">
      <c r="A867" s="2" t="s">
        <v>1926</v>
      </c>
      <c r="B867" s="2" t="s">
        <v>1927</v>
      </c>
      <c r="C867" s="2" t="n">
        <v>4</v>
      </c>
      <c r="D867" s="2" t="s">
        <v>90</v>
      </c>
      <c r="E867" s="2" t="s">
        <v>1039</v>
      </c>
      <c r="F867" s="3" t="n">
        <v>45744.2569444445</v>
      </c>
      <c r="G867" s="2" t="s">
        <v>1299</v>
      </c>
      <c r="H867" s="4" t="n">
        <v>0.6249</v>
      </c>
      <c r="I867" s="2" t="s">
        <v>23</v>
      </c>
      <c r="J867" s="2" t="s">
        <v>37</v>
      </c>
      <c r="K867" s="2" t="n">
        <v>3</v>
      </c>
      <c r="L867" s="2" t="n">
        <v>0</v>
      </c>
      <c r="M867" s="2" t="n">
        <v>0</v>
      </c>
    </row>
    <row r="868" customFormat="false" ht="15" hidden="false" customHeight="false" outlineLevel="0" collapsed="false">
      <c r="A868" s="2" t="s">
        <v>1928</v>
      </c>
      <c r="B868" s="2" t="s">
        <v>1929</v>
      </c>
      <c r="C868" s="2" t="n">
        <v>5</v>
      </c>
      <c r="D868" s="2" t="s">
        <v>52</v>
      </c>
      <c r="E868" s="2" t="s">
        <v>1039</v>
      </c>
      <c r="F868" s="3" t="n">
        <v>45744.3659722222</v>
      </c>
      <c r="G868" s="2" t="s">
        <v>1299</v>
      </c>
      <c r="H868" s="4" t="n">
        <v>0.6369</v>
      </c>
      <c r="I868" s="2" t="s">
        <v>23</v>
      </c>
      <c r="J868" s="2" t="s">
        <v>19</v>
      </c>
      <c r="K868" s="2" t="n">
        <v>5</v>
      </c>
      <c r="L868" s="2" t="n">
        <v>0</v>
      </c>
      <c r="M868" s="2" t="n">
        <v>0</v>
      </c>
    </row>
    <row r="869" customFormat="false" ht="15" hidden="false" customHeight="false" outlineLevel="0" collapsed="false">
      <c r="A869" s="2" t="s">
        <v>1930</v>
      </c>
      <c r="B869" s="2" t="s">
        <v>1931</v>
      </c>
      <c r="C869" s="2" t="n">
        <v>5</v>
      </c>
      <c r="D869" s="2" t="s">
        <v>1279</v>
      </c>
      <c r="E869" s="2" t="s">
        <v>1039</v>
      </c>
      <c r="F869" s="3" t="n">
        <v>45744.4458333333</v>
      </c>
      <c r="G869" s="2" t="s">
        <v>1299</v>
      </c>
      <c r="H869" s="4" t="n">
        <v>0.7783</v>
      </c>
      <c r="I869" s="2" t="s">
        <v>23</v>
      </c>
      <c r="J869" s="2" t="s">
        <v>37</v>
      </c>
      <c r="K869" s="2" t="n">
        <v>0</v>
      </c>
      <c r="L869" s="2" t="n">
        <v>0</v>
      </c>
      <c r="M869" s="2" t="n">
        <v>0</v>
      </c>
    </row>
    <row r="870" customFormat="false" ht="15" hidden="false" customHeight="false" outlineLevel="0" collapsed="false">
      <c r="A870" s="2" t="s">
        <v>1932</v>
      </c>
      <c r="B870" s="2" t="s">
        <v>1933</v>
      </c>
      <c r="C870" s="2" t="n">
        <v>5</v>
      </c>
      <c r="D870" s="2" t="s">
        <v>47</v>
      </c>
      <c r="E870" s="2" t="s">
        <v>1039</v>
      </c>
      <c r="F870" s="3" t="n">
        <v>45744.5465277778</v>
      </c>
      <c r="G870" s="2" t="s">
        <v>1299</v>
      </c>
      <c r="H870" s="4" t="n">
        <v>0.3089</v>
      </c>
      <c r="I870" s="2" t="s">
        <v>23</v>
      </c>
      <c r="J870" s="2" t="s">
        <v>19</v>
      </c>
      <c r="K870" s="2" t="n">
        <v>11</v>
      </c>
      <c r="L870" s="2" t="n">
        <v>0</v>
      </c>
      <c r="M870" s="2" t="n">
        <v>0</v>
      </c>
    </row>
    <row r="871" customFormat="false" ht="15" hidden="false" customHeight="false" outlineLevel="0" collapsed="false">
      <c r="A871" s="2" t="s">
        <v>1934</v>
      </c>
      <c r="B871" s="2" t="s">
        <v>1935</v>
      </c>
      <c r="C871" s="2" t="n">
        <v>5</v>
      </c>
      <c r="D871" s="2" t="s">
        <v>96</v>
      </c>
      <c r="E871" s="2" t="s">
        <v>1039</v>
      </c>
      <c r="F871" s="3" t="n">
        <v>45744.5951388889</v>
      </c>
      <c r="G871" s="2" t="s">
        <v>1299</v>
      </c>
      <c r="H871" s="4" t="n">
        <v>0.6369</v>
      </c>
      <c r="I871" s="2" t="s">
        <v>23</v>
      </c>
      <c r="J871" s="2" t="s">
        <v>19</v>
      </c>
      <c r="K871" s="2" t="n">
        <v>5</v>
      </c>
      <c r="L871" s="2" t="n">
        <v>0</v>
      </c>
      <c r="M871" s="2" t="n">
        <v>0</v>
      </c>
    </row>
    <row r="872" customFormat="false" ht="15" hidden="false" customHeight="false" outlineLevel="0" collapsed="false">
      <c r="A872" s="2" t="s">
        <v>1936</v>
      </c>
      <c r="B872" s="2" t="s">
        <v>1937</v>
      </c>
      <c r="C872" s="2" t="n">
        <v>4</v>
      </c>
      <c r="D872" s="2" t="s">
        <v>87</v>
      </c>
      <c r="E872" s="2" t="s">
        <v>1039</v>
      </c>
      <c r="F872" s="3" t="n">
        <v>45744.6</v>
      </c>
      <c r="G872" s="2" t="s">
        <v>1299</v>
      </c>
      <c r="H872" s="4" t="n">
        <v>0</v>
      </c>
      <c r="I872" s="2" t="s">
        <v>18</v>
      </c>
      <c r="J872" s="2" t="s">
        <v>19</v>
      </c>
      <c r="K872" s="2" t="n">
        <v>1</v>
      </c>
      <c r="L872" s="2" t="n">
        <v>0</v>
      </c>
      <c r="M872" s="2" t="n">
        <v>0</v>
      </c>
    </row>
    <row r="873" customFormat="false" ht="15" hidden="false" customHeight="false" outlineLevel="0" collapsed="false">
      <c r="A873" s="2" t="s">
        <v>1938</v>
      </c>
      <c r="B873" s="2" t="s">
        <v>1939</v>
      </c>
      <c r="C873" s="2" t="n">
        <v>5</v>
      </c>
      <c r="D873" s="2" t="s">
        <v>52</v>
      </c>
      <c r="E873" s="2" t="s">
        <v>1039</v>
      </c>
      <c r="F873" s="3" t="n">
        <v>45744.6</v>
      </c>
      <c r="G873" s="2" t="s">
        <v>1299</v>
      </c>
      <c r="H873" s="4" t="n">
        <v>0.6369</v>
      </c>
      <c r="I873" s="2" t="s">
        <v>23</v>
      </c>
      <c r="J873" s="2" t="s">
        <v>19</v>
      </c>
      <c r="K873" s="2" t="n">
        <v>2</v>
      </c>
      <c r="L873" s="2" t="n">
        <v>0</v>
      </c>
      <c r="M873" s="2" t="n">
        <v>0</v>
      </c>
    </row>
    <row r="874" customFormat="false" ht="15" hidden="false" customHeight="false" outlineLevel="0" collapsed="false">
      <c r="A874" s="2" t="s">
        <v>1940</v>
      </c>
      <c r="B874" s="2" t="s">
        <v>1941</v>
      </c>
      <c r="C874" s="2" t="n">
        <v>1</v>
      </c>
      <c r="D874" s="2" t="s">
        <v>1942</v>
      </c>
      <c r="E874" s="2" t="s">
        <v>1039</v>
      </c>
      <c r="F874" s="3" t="n">
        <v>45744.9131944445</v>
      </c>
      <c r="G874" s="2" t="s">
        <v>1299</v>
      </c>
      <c r="H874" s="4" t="n">
        <v>0</v>
      </c>
      <c r="I874" s="2" t="s">
        <v>18</v>
      </c>
      <c r="J874" s="2" t="s">
        <v>165</v>
      </c>
      <c r="K874" s="2" t="n">
        <v>8</v>
      </c>
      <c r="L874" s="2" t="n">
        <v>1</v>
      </c>
      <c r="M874" s="2" t="n">
        <v>0</v>
      </c>
    </row>
    <row r="875" customFormat="false" ht="15" hidden="false" customHeight="false" outlineLevel="0" collapsed="false">
      <c r="A875" s="2" t="s">
        <v>1943</v>
      </c>
      <c r="B875" s="2" t="s">
        <v>1944</v>
      </c>
      <c r="C875" s="2" t="n">
        <v>5</v>
      </c>
      <c r="D875" s="2" t="s">
        <v>47</v>
      </c>
      <c r="E875" s="2" t="s">
        <v>1039</v>
      </c>
      <c r="F875" s="3" t="n">
        <v>45744.9270833333</v>
      </c>
      <c r="G875" s="2" t="s">
        <v>1299</v>
      </c>
      <c r="H875" s="4" t="n">
        <v>0.3089</v>
      </c>
      <c r="I875" s="2" t="s">
        <v>23</v>
      </c>
      <c r="J875" s="2" t="s">
        <v>19</v>
      </c>
      <c r="K875" s="2" t="n">
        <v>7</v>
      </c>
      <c r="L875" s="2" t="n">
        <v>0</v>
      </c>
      <c r="M875" s="2" t="n">
        <v>0</v>
      </c>
    </row>
    <row r="876" customFormat="false" ht="15" hidden="false" customHeight="false" outlineLevel="0" collapsed="false">
      <c r="A876" s="2" t="s">
        <v>1945</v>
      </c>
      <c r="B876" s="2" t="s">
        <v>1946</v>
      </c>
      <c r="C876" s="2" t="n">
        <v>3</v>
      </c>
      <c r="D876" s="2" t="s">
        <v>36</v>
      </c>
      <c r="E876" s="2" t="s">
        <v>1039</v>
      </c>
      <c r="F876" s="3" t="n">
        <v>45745.09375</v>
      </c>
      <c r="G876" s="2" t="s">
        <v>1299</v>
      </c>
      <c r="H876" s="4" t="n">
        <v>0.4404</v>
      </c>
      <c r="I876" s="2" t="s">
        <v>23</v>
      </c>
      <c r="J876" s="2" t="s">
        <v>37</v>
      </c>
      <c r="K876" s="2" t="n">
        <v>2</v>
      </c>
      <c r="L876" s="2" t="n">
        <v>0</v>
      </c>
      <c r="M876" s="2" t="n">
        <v>0</v>
      </c>
    </row>
    <row r="877" customFormat="false" ht="15" hidden="false" customHeight="false" outlineLevel="0" collapsed="false">
      <c r="A877" s="2" t="s">
        <v>1947</v>
      </c>
      <c r="B877" s="2" t="s">
        <v>1948</v>
      </c>
      <c r="C877" s="2" t="n">
        <v>5</v>
      </c>
      <c r="D877" s="2" t="s">
        <v>1949</v>
      </c>
      <c r="E877" s="2" t="s">
        <v>1039</v>
      </c>
      <c r="F877" s="3" t="n">
        <v>45745.11875</v>
      </c>
      <c r="G877" s="2" t="s">
        <v>1299</v>
      </c>
      <c r="H877" s="4" t="n">
        <v>0</v>
      </c>
      <c r="I877" s="2" t="s">
        <v>18</v>
      </c>
      <c r="J877" s="2" t="s">
        <v>19</v>
      </c>
      <c r="K877" s="2" t="n">
        <v>7</v>
      </c>
      <c r="L877" s="2" t="n">
        <v>0</v>
      </c>
      <c r="M877" s="2" t="n">
        <v>0</v>
      </c>
    </row>
    <row r="878" customFormat="false" ht="15" hidden="false" customHeight="false" outlineLevel="0" collapsed="false">
      <c r="A878" s="2" t="s">
        <v>1950</v>
      </c>
      <c r="B878" s="2" t="s">
        <v>1951</v>
      </c>
      <c r="C878" s="2" t="n">
        <v>3</v>
      </c>
      <c r="D878" s="2" t="s">
        <v>1952</v>
      </c>
      <c r="E878" s="2" t="s">
        <v>1039</v>
      </c>
      <c r="F878" s="3" t="n">
        <v>45745.3152777778</v>
      </c>
      <c r="G878" s="2" t="s">
        <v>1299</v>
      </c>
      <c r="H878" s="4" t="n">
        <v>0.5859</v>
      </c>
      <c r="I878" s="2" t="s">
        <v>23</v>
      </c>
      <c r="J878" s="2" t="s">
        <v>37</v>
      </c>
      <c r="K878" s="2" t="n">
        <v>9</v>
      </c>
      <c r="L878" s="2" t="n">
        <v>0</v>
      </c>
      <c r="M878" s="2" t="n">
        <v>0</v>
      </c>
    </row>
    <row r="879" customFormat="false" ht="15" hidden="false" customHeight="false" outlineLevel="0" collapsed="false">
      <c r="A879" s="2" t="s">
        <v>1953</v>
      </c>
      <c r="B879" s="2" t="s">
        <v>1954</v>
      </c>
      <c r="C879" s="2" t="n">
        <v>5</v>
      </c>
      <c r="D879" s="2" t="s">
        <v>15</v>
      </c>
      <c r="E879" s="2" t="s">
        <v>1039</v>
      </c>
      <c r="F879" s="3" t="n">
        <v>45745.4541666667</v>
      </c>
      <c r="G879" s="2" t="s">
        <v>1299</v>
      </c>
      <c r="H879" s="4" t="n">
        <v>0</v>
      </c>
      <c r="I879" s="2" t="s">
        <v>18</v>
      </c>
      <c r="J879" s="2" t="s">
        <v>19</v>
      </c>
      <c r="K879" s="2" t="n">
        <v>3</v>
      </c>
      <c r="L879" s="2" t="n">
        <v>0</v>
      </c>
      <c r="M879" s="2" t="n">
        <v>0</v>
      </c>
    </row>
    <row r="880" customFormat="false" ht="15" hidden="false" customHeight="false" outlineLevel="0" collapsed="false">
      <c r="A880" s="2" t="s">
        <v>1955</v>
      </c>
      <c r="B880" s="2" t="s">
        <v>1956</v>
      </c>
      <c r="C880" s="2" t="n">
        <v>5</v>
      </c>
      <c r="D880" s="2" t="s">
        <v>62</v>
      </c>
      <c r="E880" s="2" t="s">
        <v>1039</v>
      </c>
      <c r="F880" s="3" t="n">
        <v>45745.4743055556</v>
      </c>
      <c r="G880" s="2" t="s">
        <v>1299</v>
      </c>
      <c r="H880" s="4" t="n">
        <v>0.7088</v>
      </c>
      <c r="I880" s="2" t="s">
        <v>23</v>
      </c>
      <c r="J880" s="2" t="s">
        <v>19</v>
      </c>
      <c r="K880" s="2" t="n">
        <v>1</v>
      </c>
      <c r="L880" s="2" t="n">
        <v>0</v>
      </c>
      <c r="M880" s="2" t="n">
        <v>0</v>
      </c>
    </row>
    <row r="881" customFormat="false" ht="15" hidden="false" customHeight="false" outlineLevel="0" collapsed="false">
      <c r="A881" s="2" t="s">
        <v>1957</v>
      </c>
      <c r="B881" s="2" t="s">
        <v>1958</v>
      </c>
      <c r="C881" s="2" t="n">
        <v>4</v>
      </c>
      <c r="D881" s="2" t="s">
        <v>47</v>
      </c>
      <c r="E881" s="2" t="s">
        <v>1039</v>
      </c>
      <c r="F881" s="3" t="n">
        <v>45745.4909722222</v>
      </c>
      <c r="G881" s="2" t="s">
        <v>1299</v>
      </c>
      <c r="H881" s="4" t="n">
        <v>0.3089</v>
      </c>
      <c r="I881" s="2" t="s">
        <v>23</v>
      </c>
      <c r="J881" s="2" t="s">
        <v>19</v>
      </c>
      <c r="K881" s="2" t="n">
        <v>1</v>
      </c>
      <c r="L881" s="2" t="n">
        <v>0</v>
      </c>
      <c r="M881" s="2" t="n">
        <v>0</v>
      </c>
    </row>
    <row r="882" customFormat="false" ht="15" hidden="false" customHeight="false" outlineLevel="0" collapsed="false">
      <c r="A882" s="2" t="s">
        <v>1959</v>
      </c>
      <c r="B882" s="2" t="s">
        <v>1960</v>
      </c>
      <c r="C882" s="2" t="n">
        <v>4</v>
      </c>
      <c r="D882" s="2" t="s">
        <v>1683</v>
      </c>
      <c r="E882" s="2" t="s">
        <v>1039</v>
      </c>
      <c r="F882" s="3" t="n">
        <v>45745.4965277778</v>
      </c>
      <c r="G882" s="2" t="s">
        <v>1299</v>
      </c>
      <c r="H882" s="4" t="n">
        <v>0.6369</v>
      </c>
      <c r="I882" s="2" t="s">
        <v>23</v>
      </c>
      <c r="J882" s="2" t="s">
        <v>19</v>
      </c>
      <c r="K882" s="2" t="n">
        <v>2</v>
      </c>
      <c r="L882" s="2" t="n">
        <v>0</v>
      </c>
      <c r="M882" s="2" t="n">
        <v>0</v>
      </c>
    </row>
    <row r="883" customFormat="false" ht="15" hidden="false" customHeight="false" outlineLevel="0" collapsed="false">
      <c r="A883" s="2" t="s">
        <v>1961</v>
      </c>
      <c r="B883" s="2" t="s">
        <v>1962</v>
      </c>
      <c r="C883" s="2" t="n">
        <v>5</v>
      </c>
      <c r="D883" s="2" t="s">
        <v>127</v>
      </c>
      <c r="E883" s="2" t="s">
        <v>1039</v>
      </c>
      <c r="F883" s="3" t="n">
        <v>45745.5409722222</v>
      </c>
      <c r="G883" s="2" t="s">
        <v>1299</v>
      </c>
      <c r="H883" s="4" t="n">
        <v>0.9359</v>
      </c>
      <c r="I883" s="2" t="s">
        <v>23</v>
      </c>
      <c r="J883" s="2" t="s">
        <v>37</v>
      </c>
      <c r="K883" s="2" t="n">
        <v>1</v>
      </c>
      <c r="L883" s="2" t="n">
        <v>0</v>
      </c>
      <c r="M883" s="2" t="n">
        <v>0</v>
      </c>
    </row>
    <row r="884" customFormat="false" ht="15" hidden="false" customHeight="false" outlineLevel="0" collapsed="false">
      <c r="A884" s="2" t="s">
        <v>1963</v>
      </c>
      <c r="B884" s="2" t="s">
        <v>1964</v>
      </c>
      <c r="C884" s="2" t="n">
        <v>5</v>
      </c>
      <c r="D884" s="2" t="s">
        <v>15</v>
      </c>
      <c r="E884" s="2" t="s">
        <v>1039</v>
      </c>
      <c r="F884" s="3" t="n">
        <v>45745.8166666667</v>
      </c>
      <c r="G884" s="2" t="s">
        <v>1299</v>
      </c>
      <c r="H884" s="4" t="n">
        <v>0</v>
      </c>
      <c r="I884" s="2" t="s">
        <v>18</v>
      </c>
      <c r="J884" s="2" t="s">
        <v>19</v>
      </c>
      <c r="K884" s="2" t="n">
        <v>5</v>
      </c>
      <c r="L884" s="2" t="n">
        <v>0</v>
      </c>
      <c r="M884" s="2" t="n">
        <v>0</v>
      </c>
    </row>
    <row r="885" customFormat="false" ht="15" hidden="false" customHeight="false" outlineLevel="0" collapsed="false">
      <c r="A885" s="2" t="s">
        <v>1965</v>
      </c>
      <c r="B885" s="2" t="s">
        <v>1966</v>
      </c>
      <c r="C885" s="2" t="n">
        <v>3</v>
      </c>
      <c r="D885" s="2" t="s">
        <v>113</v>
      </c>
      <c r="E885" s="2" t="s">
        <v>1039</v>
      </c>
      <c r="F885" s="3" t="n">
        <v>45745.8381944444</v>
      </c>
      <c r="G885" s="2" t="s">
        <v>1299</v>
      </c>
      <c r="H885" s="4" t="n">
        <v>-0.431</v>
      </c>
      <c r="I885" s="2" t="s">
        <v>84</v>
      </c>
      <c r="J885" s="2" t="s">
        <v>19</v>
      </c>
      <c r="K885" s="2" t="n">
        <v>0</v>
      </c>
      <c r="L885" s="2" t="n">
        <v>0</v>
      </c>
      <c r="M885" s="2" t="n">
        <v>0</v>
      </c>
    </row>
    <row r="886" customFormat="false" ht="15" hidden="false" customHeight="false" outlineLevel="0" collapsed="false">
      <c r="A886" s="2" t="s">
        <v>1967</v>
      </c>
      <c r="B886" s="2" t="s">
        <v>1968</v>
      </c>
      <c r="C886" s="2" t="n">
        <v>4</v>
      </c>
      <c r="D886" s="2" t="s">
        <v>40</v>
      </c>
      <c r="E886" s="2" t="s">
        <v>1039</v>
      </c>
      <c r="F886" s="3" t="n">
        <v>45745.8708333333</v>
      </c>
      <c r="G886" s="2" t="s">
        <v>1299</v>
      </c>
      <c r="H886" s="4" t="n">
        <v>0.4019</v>
      </c>
      <c r="I886" s="2" t="s">
        <v>23</v>
      </c>
      <c r="J886" s="2" t="s">
        <v>33</v>
      </c>
      <c r="K886" s="2" t="n">
        <v>0</v>
      </c>
      <c r="L886" s="2" t="n">
        <v>0</v>
      </c>
      <c r="M886" s="2" t="n">
        <v>0</v>
      </c>
    </row>
    <row r="887" customFormat="false" ht="15" hidden="false" customHeight="false" outlineLevel="0" collapsed="false">
      <c r="A887" s="2" t="s">
        <v>1969</v>
      </c>
      <c r="B887" s="2" t="s">
        <v>1970</v>
      </c>
      <c r="C887" s="2" t="n">
        <v>5</v>
      </c>
      <c r="D887" s="2" t="s">
        <v>90</v>
      </c>
      <c r="E887" s="2" t="s">
        <v>1039</v>
      </c>
      <c r="F887" s="3" t="n">
        <v>45745.9340277778</v>
      </c>
      <c r="G887" s="2" t="s">
        <v>1299</v>
      </c>
      <c r="H887" s="4" t="n">
        <v>0.6249</v>
      </c>
      <c r="I887" s="2" t="s">
        <v>23</v>
      </c>
      <c r="J887" s="2" t="s">
        <v>37</v>
      </c>
      <c r="K887" s="2" t="n">
        <v>1</v>
      </c>
      <c r="L887" s="2" t="n">
        <v>0</v>
      </c>
      <c r="M887" s="2" t="n">
        <v>0</v>
      </c>
    </row>
    <row r="888" customFormat="false" ht="15" hidden="false" customHeight="false" outlineLevel="0" collapsed="false">
      <c r="A888" s="2" t="s">
        <v>1971</v>
      </c>
      <c r="B888" s="2" t="s">
        <v>1972</v>
      </c>
      <c r="C888" s="2" t="n">
        <v>5</v>
      </c>
      <c r="D888" s="2" t="s">
        <v>1973</v>
      </c>
      <c r="E888" s="2" t="s">
        <v>1039</v>
      </c>
      <c r="F888" s="3" t="n">
        <v>45746.1791666667</v>
      </c>
      <c r="G888" s="2" t="s">
        <v>1299</v>
      </c>
      <c r="H888" s="4" t="n">
        <v>0.9612</v>
      </c>
      <c r="I888" s="2" t="s">
        <v>23</v>
      </c>
      <c r="J888" s="2" t="s">
        <v>37</v>
      </c>
      <c r="K888" s="2" t="n">
        <v>2</v>
      </c>
      <c r="L888" s="2" t="n">
        <v>1</v>
      </c>
      <c r="M888" s="2" t="n">
        <v>0</v>
      </c>
    </row>
    <row r="889" customFormat="false" ht="15" hidden="false" customHeight="false" outlineLevel="0" collapsed="false">
      <c r="A889" s="2" t="s">
        <v>1974</v>
      </c>
      <c r="B889" s="2" t="s">
        <v>1975</v>
      </c>
      <c r="C889" s="2" t="n">
        <v>5</v>
      </c>
      <c r="D889" s="2" t="s">
        <v>47</v>
      </c>
      <c r="E889" s="2" t="s">
        <v>1039</v>
      </c>
      <c r="F889" s="3" t="n">
        <v>45746.3666666667</v>
      </c>
      <c r="G889" s="2" t="s">
        <v>1299</v>
      </c>
      <c r="H889" s="4" t="n">
        <v>0.3089</v>
      </c>
      <c r="I889" s="2" t="s">
        <v>23</v>
      </c>
      <c r="J889" s="2" t="s">
        <v>19</v>
      </c>
      <c r="K889" s="2" t="n">
        <v>6</v>
      </c>
      <c r="L889" s="2" t="n">
        <v>0</v>
      </c>
      <c r="M889" s="2" t="n">
        <v>0</v>
      </c>
    </row>
    <row r="890" customFormat="false" ht="15" hidden="false" customHeight="false" outlineLevel="0" collapsed="false">
      <c r="A890" s="2" t="s">
        <v>1976</v>
      </c>
      <c r="B890" s="2" t="s">
        <v>1977</v>
      </c>
      <c r="C890" s="2" t="n">
        <v>5</v>
      </c>
      <c r="D890" s="2" t="s">
        <v>127</v>
      </c>
      <c r="E890" s="2" t="s">
        <v>1039</v>
      </c>
      <c r="F890" s="3" t="n">
        <v>45746.4361111111</v>
      </c>
      <c r="G890" s="2" t="s">
        <v>1299</v>
      </c>
      <c r="H890" s="4" t="n">
        <v>0.9359</v>
      </c>
      <c r="I890" s="2" t="s">
        <v>23</v>
      </c>
      <c r="J890" s="2" t="s">
        <v>37</v>
      </c>
      <c r="K890" s="2" t="n">
        <v>4</v>
      </c>
      <c r="L890" s="2" t="n">
        <v>0</v>
      </c>
      <c r="M890" s="2" t="n">
        <v>0</v>
      </c>
    </row>
    <row r="891" customFormat="false" ht="15" hidden="false" customHeight="false" outlineLevel="0" collapsed="false">
      <c r="A891" s="2" t="s">
        <v>1978</v>
      </c>
      <c r="B891" s="2" t="s">
        <v>1979</v>
      </c>
      <c r="C891" s="2" t="n">
        <v>4</v>
      </c>
      <c r="D891" s="2" t="s">
        <v>99</v>
      </c>
      <c r="E891" s="2" t="s">
        <v>1039</v>
      </c>
      <c r="F891" s="3" t="n">
        <v>45746.4770833333</v>
      </c>
      <c r="G891" s="2" t="s">
        <v>1299</v>
      </c>
      <c r="H891" s="4" t="n">
        <v>-0.3089</v>
      </c>
      <c r="I891" s="2" t="s">
        <v>84</v>
      </c>
      <c r="J891" s="2" t="s">
        <v>19</v>
      </c>
      <c r="K891" s="2" t="n">
        <v>1</v>
      </c>
      <c r="L891" s="2" t="n">
        <v>0</v>
      </c>
      <c r="M891" s="2" t="n">
        <v>0</v>
      </c>
    </row>
    <row r="892" customFormat="false" ht="15" hidden="false" customHeight="false" outlineLevel="0" collapsed="false">
      <c r="A892" s="2" t="s">
        <v>1980</v>
      </c>
      <c r="B892" s="2" t="s">
        <v>1981</v>
      </c>
      <c r="C892" s="2" t="n">
        <v>1</v>
      </c>
      <c r="D892" s="2" t="s">
        <v>199</v>
      </c>
      <c r="E892" s="2" t="s">
        <v>1039</v>
      </c>
      <c r="F892" s="3" t="n">
        <v>45746.5430555556</v>
      </c>
      <c r="G892" s="2" t="s">
        <v>1299</v>
      </c>
      <c r="H892" s="4" t="n">
        <v>-0.7424</v>
      </c>
      <c r="I892" s="2" t="s">
        <v>84</v>
      </c>
      <c r="J892" s="2" t="s">
        <v>59</v>
      </c>
      <c r="K892" s="2" t="n">
        <v>4</v>
      </c>
      <c r="L892" s="2" t="n">
        <v>1</v>
      </c>
      <c r="M892" s="2" t="n">
        <v>0</v>
      </c>
    </row>
    <row r="893" customFormat="false" ht="15" hidden="false" customHeight="false" outlineLevel="0" collapsed="false">
      <c r="A893" s="2" t="s">
        <v>1982</v>
      </c>
      <c r="B893" s="2" t="s">
        <v>1983</v>
      </c>
      <c r="C893" s="2" t="n">
        <v>4</v>
      </c>
      <c r="D893" s="2" t="s">
        <v>1052</v>
      </c>
      <c r="E893" s="2" t="s">
        <v>1039</v>
      </c>
      <c r="F893" s="3" t="n">
        <v>45746.5451388889</v>
      </c>
      <c r="G893" s="2" t="s">
        <v>1299</v>
      </c>
      <c r="H893" s="4" t="n">
        <v>0.7088</v>
      </c>
      <c r="I893" s="2" t="s">
        <v>23</v>
      </c>
      <c r="J893" s="2" t="s">
        <v>19</v>
      </c>
      <c r="K893" s="2" t="n">
        <v>1</v>
      </c>
      <c r="L893" s="2" t="n">
        <v>0</v>
      </c>
      <c r="M893" s="2" t="n">
        <v>0</v>
      </c>
    </row>
    <row r="894" customFormat="false" ht="15" hidden="false" customHeight="false" outlineLevel="0" collapsed="false">
      <c r="A894" s="2" t="s">
        <v>1984</v>
      </c>
      <c r="B894" s="2" t="s">
        <v>1985</v>
      </c>
      <c r="C894" s="2" t="n">
        <v>3</v>
      </c>
      <c r="D894" s="2" t="s">
        <v>87</v>
      </c>
      <c r="E894" s="2" t="s">
        <v>1039</v>
      </c>
      <c r="F894" s="3" t="n">
        <v>45746.5513888889</v>
      </c>
      <c r="G894" s="2" t="s">
        <v>1299</v>
      </c>
      <c r="H894" s="4" t="n">
        <v>0</v>
      </c>
      <c r="I894" s="2" t="s">
        <v>18</v>
      </c>
      <c r="J894" s="2" t="s">
        <v>19</v>
      </c>
      <c r="K894" s="2" t="n">
        <v>1</v>
      </c>
      <c r="L894" s="2" t="n">
        <v>0</v>
      </c>
      <c r="M894" s="2" t="n">
        <v>0</v>
      </c>
    </row>
    <row r="895" customFormat="false" ht="15" hidden="false" customHeight="false" outlineLevel="0" collapsed="false">
      <c r="A895" s="2" t="s">
        <v>1986</v>
      </c>
      <c r="B895" s="2" t="s">
        <v>1987</v>
      </c>
      <c r="C895" s="2" t="n">
        <v>5</v>
      </c>
      <c r="D895" s="2" t="s">
        <v>127</v>
      </c>
      <c r="E895" s="2" t="s">
        <v>1039</v>
      </c>
      <c r="F895" s="3" t="n">
        <v>45746.55625</v>
      </c>
      <c r="G895" s="2" t="s">
        <v>1299</v>
      </c>
      <c r="H895" s="4" t="n">
        <v>0.9359</v>
      </c>
      <c r="I895" s="2" t="s">
        <v>23</v>
      </c>
      <c r="J895" s="2" t="s">
        <v>37</v>
      </c>
      <c r="K895" s="2" t="n">
        <v>2</v>
      </c>
      <c r="L895" s="2" t="n">
        <v>0</v>
      </c>
      <c r="M895" s="2" t="n">
        <v>0</v>
      </c>
    </row>
    <row r="896" customFormat="false" ht="15" hidden="false" customHeight="false" outlineLevel="0" collapsed="false">
      <c r="A896" s="2" t="s">
        <v>1988</v>
      </c>
      <c r="B896" s="2" t="s">
        <v>1989</v>
      </c>
      <c r="C896" s="2" t="n">
        <v>4</v>
      </c>
      <c r="D896" s="2" t="s">
        <v>90</v>
      </c>
      <c r="E896" s="2" t="s">
        <v>1039</v>
      </c>
      <c r="F896" s="3" t="n">
        <v>45746.55625</v>
      </c>
      <c r="G896" s="2" t="s">
        <v>1299</v>
      </c>
      <c r="H896" s="4" t="n">
        <v>0.6249</v>
      </c>
      <c r="I896" s="2" t="s">
        <v>23</v>
      </c>
      <c r="J896" s="2" t="s">
        <v>37</v>
      </c>
      <c r="K896" s="2" t="n">
        <v>1</v>
      </c>
      <c r="L896" s="2" t="n">
        <v>0</v>
      </c>
      <c r="M896" s="2" t="n">
        <v>0</v>
      </c>
    </row>
    <row r="897" customFormat="false" ht="15" hidden="false" customHeight="false" outlineLevel="0" collapsed="false">
      <c r="A897" s="2" t="s">
        <v>1990</v>
      </c>
      <c r="B897" s="2" t="s">
        <v>1991</v>
      </c>
      <c r="C897" s="2" t="n">
        <v>5</v>
      </c>
      <c r="D897" s="2" t="s">
        <v>1197</v>
      </c>
      <c r="E897" s="2" t="s">
        <v>1039</v>
      </c>
      <c r="F897" s="3" t="n">
        <v>45746.5708333333</v>
      </c>
      <c r="G897" s="2" t="s">
        <v>1299</v>
      </c>
      <c r="H897" s="4" t="n">
        <v>0.3089</v>
      </c>
      <c r="I897" s="2" t="s">
        <v>23</v>
      </c>
      <c r="J897" s="2" t="s">
        <v>19</v>
      </c>
      <c r="K897" s="2" t="n">
        <v>2</v>
      </c>
      <c r="L897" s="2" t="n">
        <v>0</v>
      </c>
      <c r="M897" s="2" t="n">
        <v>0</v>
      </c>
    </row>
    <row r="898" customFormat="false" ht="15" hidden="false" customHeight="false" outlineLevel="0" collapsed="false">
      <c r="A898" s="2" t="s">
        <v>1992</v>
      </c>
      <c r="B898" s="2" t="s">
        <v>1993</v>
      </c>
      <c r="C898" s="2" t="n">
        <v>5</v>
      </c>
      <c r="D898" s="2" t="s">
        <v>116</v>
      </c>
      <c r="E898" s="2" t="s">
        <v>1039</v>
      </c>
      <c r="F898" s="3" t="n">
        <v>45746.6715277778</v>
      </c>
      <c r="G898" s="2" t="s">
        <v>1299</v>
      </c>
      <c r="H898" s="4" t="n">
        <v>0.9359</v>
      </c>
      <c r="I898" s="2" t="s">
        <v>23</v>
      </c>
      <c r="J898" s="2" t="s">
        <v>37</v>
      </c>
      <c r="K898" s="2" t="n">
        <v>2</v>
      </c>
      <c r="L898" s="2" t="n">
        <v>0</v>
      </c>
      <c r="M898" s="2" t="n">
        <v>0</v>
      </c>
    </row>
    <row r="899" customFormat="false" ht="15" hidden="false" customHeight="false" outlineLevel="0" collapsed="false">
      <c r="A899" s="2" t="s">
        <v>1994</v>
      </c>
      <c r="B899" s="2" t="s">
        <v>1995</v>
      </c>
      <c r="C899" s="2" t="n">
        <v>4</v>
      </c>
      <c r="D899" s="2" t="s">
        <v>1996</v>
      </c>
      <c r="E899" s="2" t="s">
        <v>1039</v>
      </c>
      <c r="F899" s="3" t="n">
        <v>45747.45625</v>
      </c>
      <c r="G899" s="2" t="s">
        <v>1299</v>
      </c>
      <c r="H899" s="4" t="n">
        <v>-0.5448</v>
      </c>
      <c r="I899" s="2" t="s">
        <v>84</v>
      </c>
      <c r="J899" s="2" t="s">
        <v>33</v>
      </c>
      <c r="K899" s="2" t="n">
        <v>5</v>
      </c>
      <c r="L899" s="2" t="n">
        <v>0</v>
      </c>
      <c r="M899" s="2" t="n">
        <v>0</v>
      </c>
    </row>
    <row r="900" customFormat="false" ht="15" hidden="false" customHeight="false" outlineLevel="0" collapsed="false">
      <c r="A900" s="2" t="s">
        <v>1997</v>
      </c>
      <c r="B900" s="2" t="s">
        <v>1998</v>
      </c>
      <c r="C900" s="2" t="n">
        <v>3</v>
      </c>
      <c r="D900" s="2" t="s">
        <v>87</v>
      </c>
      <c r="E900" s="2" t="s">
        <v>1039</v>
      </c>
      <c r="F900" s="3" t="n">
        <v>45747.4826388889</v>
      </c>
      <c r="G900" s="2" t="s">
        <v>1299</v>
      </c>
      <c r="H900" s="4" t="n">
        <v>0</v>
      </c>
      <c r="I900" s="2" t="s">
        <v>18</v>
      </c>
      <c r="J900" s="2" t="s">
        <v>19</v>
      </c>
      <c r="K900" s="2" t="n">
        <v>3</v>
      </c>
      <c r="L900" s="2" t="n">
        <v>0</v>
      </c>
      <c r="M900" s="2" t="n">
        <v>0</v>
      </c>
    </row>
    <row r="901" customFormat="false" ht="15" hidden="false" customHeight="false" outlineLevel="0" collapsed="false">
      <c r="A901" s="2" t="s">
        <v>1999</v>
      </c>
      <c r="B901" s="2" t="s">
        <v>2000</v>
      </c>
      <c r="C901" s="2" t="n">
        <v>3</v>
      </c>
      <c r="D901" s="2" t="s">
        <v>99</v>
      </c>
      <c r="E901" s="2" t="s">
        <v>1039</v>
      </c>
      <c r="F901" s="3" t="n">
        <v>45747.4875</v>
      </c>
      <c r="G901" s="2" t="s">
        <v>1299</v>
      </c>
      <c r="H901" s="4" t="n">
        <v>-0.3089</v>
      </c>
      <c r="I901" s="2" t="s">
        <v>84</v>
      </c>
      <c r="J901" s="2" t="s">
        <v>19</v>
      </c>
      <c r="K901" s="2" t="n">
        <v>9</v>
      </c>
      <c r="L901" s="2" t="n">
        <v>0</v>
      </c>
      <c r="M901" s="2" t="n">
        <v>0</v>
      </c>
    </row>
    <row r="902" customFormat="false" ht="15" hidden="false" customHeight="false" outlineLevel="0" collapsed="false">
      <c r="A902" s="2" t="s">
        <v>2001</v>
      </c>
      <c r="B902" s="2" t="s">
        <v>2002</v>
      </c>
      <c r="C902" s="2" t="n">
        <v>4</v>
      </c>
      <c r="D902" s="2" t="s">
        <v>1698</v>
      </c>
      <c r="E902" s="2" t="s">
        <v>1039</v>
      </c>
      <c r="F902" s="3" t="n">
        <v>45747.5354166667</v>
      </c>
      <c r="G902" s="2" t="s">
        <v>1299</v>
      </c>
      <c r="H902" s="4" t="n">
        <v>0.7845</v>
      </c>
      <c r="I902" s="2" t="s">
        <v>23</v>
      </c>
      <c r="J902" s="2" t="s">
        <v>33</v>
      </c>
      <c r="K902" s="2" t="n">
        <v>7</v>
      </c>
      <c r="L902" s="2" t="n">
        <v>0</v>
      </c>
      <c r="M902" s="2" t="n">
        <v>0</v>
      </c>
    </row>
    <row r="903" customFormat="false" ht="15" hidden="false" customHeight="false" outlineLevel="0" collapsed="false">
      <c r="A903" s="2" t="s">
        <v>2003</v>
      </c>
      <c r="B903" s="2" t="s">
        <v>2004</v>
      </c>
      <c r="C903" s="2" t="n">
        <v>4</v>
      </c>
      <c r="D903" s="2" t="s">
        <v>96</v>
      </c>
      <c r="E903" s="2" t="s">
        <v>1039</v>
      </c>
      <c r="F903" s="3" t="n">
        <v>45747.5618055556</v>
      </c>
      <c r="G903" s="2" t="s">
        <v>1299</v>
      </c>
      <c r="H903" s="4" t="n">
        <v>0.6369</v>
      </c>
      <c r="I903" s="2" t="s">
        <v>23</v>
      </c>
      <c r="J903" s="2" t="s">
        <v>19</v>
      </c>
      <c r="K903" s="2" t="n">
        <v>5</v>
      </c>
      <c r="L903" s="2" t="n">
        <v>0</v>
      </c>
      <c r="M903" s="2" t="n">
        <v>0</v>
      </c>
    </row>
    <row r="904" customFormat="false" ht="15" hidden="false" customHeight="false" outlineLevel="0" collapsed="false">
      <c r="A904" s="2" t="s">
        <v>2005</v>
      </c>
      <c r="B904" s="2" t="s">
        <v>2006</v>
      </c>
      <c r="C904" s="2" t="n">
        <v>3</v>
      </c>
      <c r="D904" s="2" t="s">
        <v>22</v>
      </c>
      <c r="E904" s="2" t="s">
        <v>1039</v>
      </c>
      <c r="F904" s="3" t="n">
        <v>45747.6958333333</v>
      </c>
      <c r="G904" s="2" t="s">
        <v>1299</v>
      </c>
      <c r="H904" s="4" t="n">
        <v>0.2023</v>
      </c>
      <c r="I904" s="2" t="s">
        <v>23</v>
      </c>
      <c r="J904" s="2" t="s">
        <v>19</v>
      </c>
      <c r="K904" s="2" t="n">
        <v>3</v>
      </c>
      <c r="L904" s="2" t="n">
        <v>0</v>
      </c>
      <c r="M904" s="2" t="n">
        <v>0</v>
      </c>
    </row>
    <row r="905" customFormat="false" ht="15" hidden="false" customHeight="false" outlineLevel="0" collapsed="false">
      <c r="A905" s="2" t="s">
        <v>2007</v>
      </c>
      <c r="B905" s="2" t="s">
        <v>2008</v>
      </c>
      <c r="C905" s="2" t="n">
        <v>5</v>
      </c>
      <c r="D905" s="2" t="s">
        <v>1279</v>
      </c>
      <c r="E905" s="2" t="s">
        <v>1039</v>
      </c>
      <c r="F905" s="3" t="n">
        <v>45747.9069444445</v>
      </c>
      <c r="G905" s="2" t="s">
        <v>1299</v>
      </c>
      <c r="H905" s="4" t="n">
        <v>0.7783</v>
      </c>
      <c r="I905" s="2" t="s">
        <v>23</v>
      </c>
      <c r="J905" s="2" t="s">
        <v>37</v>
      </c>
      <c r="K905" s="2" t="n">
        <v>18</v>
      </c>
      <c r="L905" s="2" t="n">
        <v>0</v>
      </c>
      <c r="M905" s="2" t="n">
        <v>0</v>
      </c>
    </row>
    <row r="906" customFormat="false" ht="15" hidden="false" customHeight="false" outlineLevel="0" collapsed="false">
      <c r="A906" s="2" t="s">
        <v>2009</v>
      </c>
      <c r="B906" s="2" t="s">
        <v>2010</v>
      </c>
      <c r="C906" s="2" t="n">
        <v>3</v>
      </c>
      <c r="D906" s="2" t="s">
        <v>87</v>
      </c>
      <c r="E906" s="2" t="s">
        <v>2011</v>
      </c>
      <c r="F906" s="3" t="n">
        <v>45748.1423611111</v>
      </c>
      <c r="G906" s="2" t="s">
        <v>2012</v>
      </c>
      <c r="H906" s="4" t="n">
        <v>0</v>
      </c>
      <c r="I906" s="2" t="s">
        <v>18</v>
      </c>
      <c r="J906" s="2" t="s">
        <v>19</v>
      </c>
      <c r="K906" s="2" t="n">
        <v>1</v>
      </c>
      <c r="L906" s="2" t="n">
        <v>0</v>
      </c>
      <c r="M906" s="2" t="n">
        <v>1</v>
      </c>
    </row>
    <row r="907" customFormat="false" ht="15" hidden="false" customHeight="false" outlineLevel="0" collapsed="false">
      <c r="A907" s="2" t="s">
        <v>2013</v>
      </c>
      <c r="B907" s="2" t="s">
        <v>2014</v>
      </c>
      <c r="C907" s="2" t="n">
        <v>1</v>
      </c>
      <c r="D907" s="2" t="s">
        <v>946</v>
      </c>
      <c r="E907" s="2" t="s">
        <v>2011</v>
      </c>
      <c r="F907" s="3" t="n">
        <v>45748.1694444444</v>
      </c>
      <c r="G907" s="2" t="s">
        <v>2012</v>
      </c>
      <c r="H907" s="4" t="n">
        <v>-0.25</v>
      </c>
      <c r="I907" s="2" t="s">
        <v>84</v>
      </c>
      <c r="J907" s="2" t="s">
        <v>37</v>
      </c>
      <c r="K907" s="2" t="n">
        <v>1</v>
      </c>
      <c r="L907" s="2" t="n">
        <v>0</v>
      </c>
      <c r="M907" s="2" t="n">
        <v>1</v>
      </c>
    </row>
    <row r="908" customFormat="false" ht="15" hidden="false" customHeight="false" outlineLevel="0" collapsed="false">
      <c r="A908" s="2" t="s">
        <v>2015</v>
      </c>
      <c r="B908" s="2" t="s">
        <v>2016</v>
      </c>
      <c r="C908" s="2" t="n">
        <v>3</v>
      </c>
      <c r="D908" s="2" t="s">
        <v>701</v>
      </c>
      <c r="E908" s="2" t="s">
        <v>2011</v>
      </c>
      <c r="F908" s="3" t="n">
        <v>45748.2458333333</v>
      </c>
      <c r="G908" s="2" t="s">
        <v>2012</v>
      </c>
      <c r="H908" s="4" t="n">
        <v>-0.7184</v>
      </c>
      <c r="I908" s="2" t="s">
        <v>84</v>
      </c>
      <c r="J908" s="2" t="s">
        <v>37</v>
      </c>
      <c r="K908" s="2" t="n">
        <v>1</v>
      </c>
      <c r="L908" s="2" t="n">
        <v>0</v>
      </c>
      <c r="M908" s="2" t="n">
        <v>1</v>
      </c>
    </row>
    <row r="909" customFormat="false" ht="15" hidden="false" customHeight="false" outlineLevel="0" collapsed="false">
      <c r="A909" s="2" t="s">
        <v>2017</v>
      </c>
      <c r="B909" s="2" t="s">
        <v>2018</v>
      </c>
      <c r="C909" s="2" t="n">
        <v>5</v>
      </c>
      <c r="D909" s="2" t="s">
        <v>15</v>
      </c>
      <c r="E909" s="2" t="s">
        <v>2011</v>
      </c>
      <c r="F909" s="3" t="n">
        <v>45748.2770833333</v>
      </c>
      <c r="G909" s="2" t="s">
        <v>2012</v>
      </c>
      <c r="H909" s="4" t="n">
        <v>0</v>
      </c>
      <c r="I909" s="2" t="s">
        <v>18</v>
      </c>
      <c r="J909" s="2" t="s">
        <v>19</v>
      </c>
      <c r="K909" s="2" t="n">
        <v>2</v>
      </c>
      <c r="L909" s="2" t="n">
        <v>0</v>
      </c>
      <c r="M909" s="2" t="n">
        <v>1</v>
      </c>
    </row>
    <row r="910" customFormat="false" ht="15" hidden="false" customHeight="false" outlineLevel="0" collapsed="false">
      <c r="A910" s="2" t="s">
        <v>2019</v>
      </c>
      <c r="B910" s="2" t="s">
        <v>2020</v>
      </c>
      <c r="C910" s="2" t="n">
        <v>4</v>
      </c>
      <c r="D910" s="2" t="s">
        <v>96</v>
      </c>
      <c r="E910" s="2" t="s">
        <v>2011</v>
      </c>
      <c r="F910" s="3" t="n">
        <v>45748.5263888889</v>
      </c>
      <c r="G910" s="2" t="s">
        <v>2012</v>
      </c>
      <c r="H910" s="4" t="n">
        <v>0.6369</v>
      </c>
      <c r="I910" s="2" t="s">
        <v>23</v>
      </c>
      <c r="J910" s="2" t="s">
        <v>19</v>
      </c>
      <c r="K910" s="2" t="n">
        <v>3</v>
      </c>
      <c r="L910" s="2" t="n">
        <v>0</v>
      </c>
      <c r="M910" s="2" t="n">
        <v>1</v>
      </c>
    </row>
    <row r="911" customFormat="false" ht="15" hidden="false" customHeight="false" outlineLevel="0" collapsed="false">
      <c r="A911" s="2" t="s">
        <v>2021</v>
      </c>
      <c r="B911" s="2" t="s">
        <v>2022</v>
      </c>
      <c r="C911" s="2" t="n">
        <v>1</v>
      </c>
      <c r="D911" s="2" t="s">
        <v>2023</v>
      </c>
      <c r="E911" s="2" t="s">
        <v>2011</v>
      </c>
      <c r="F911" s="3" t="n">
        <v>45748.8111111111</v>
      </c>
      <c r="G911" s="2" t="s">
        <v>2012</v>
      </c>
      <c r="H911" s="4" t="n">
        <v>-0.6997</v>
      </c>
      <c r="I911" s="2" t="s">
        <v>84</v>
      </c>
      <c r="J911" s="2" t="s">
        <v>19</v>
      </c>
      <c r="K911" s="2" t="n">
        <v>1</v>
      </c>
      <c r="L911" s="2" t="n">
        <v>1</v>
      </c>
      <c r="M911" s="2" t="n">
        <v>1</v>
      </c>
    </row>
    <row r="912" customFormat="false" ht="15" hidden="false" customHeight="false" outlineLevel="0" collapsed="false">
      <c r="A912" s="2" t="s">
        <v>2024</v>
      </c>
      <c r="B912" s="2" t="s">
        <v>2025</v>
      </c>
      <c r="C912" s="2" t="n">
        <v>1</v>
      </c>
      <c r="D912" s="2" t="s">
        <v>624</v>
      </c>
      <c r="E912" s="2" t="s">
        <v>2011</v>
      </c>
      <c r="F912" s="3" t="n">
        <v>45748.9395833333</v>
      </c>
      <c r="G912" s="2" t="s">
        <v>2012</v>
      </c>
      <c r="H912" s="4" t="n">
        <v>-0.25</v>
      </c>
      <c r="I912" s="2" t="s">
        <v>84</v>
      </c>
      <c r="J912" s="2" t="s">
        <v>37</v>
      </c>
      <c r="K912" s="2" t="n">
        <v>2</v>
      </c>
      <c r="L912" s="2" t="n">
        <v>1</v>
      </c>
      <c r="M912" s="2" t="n">
        <v>1</v>
      </c>
    </row>
    <row r="913" customFormat="false" ht="15" hidden="false" customHeight="false" outlineLevel="0" collapsed="false">
      <c r="A913" s="2" t="s">
        <v>2026</v>
      </c>
      <c r="B913" s="2" t="s">
        <v>2027</v>
      </c>
      <c r="C913" s="2" t="n">
        <v>5</v>
      </c>
      <c r="D913" s="2" t="s">
        <v>26</v>
      </c>
      <c r="E913" s="2" t="s">
        <v>2011</v>
      </c>
      <c r="F913" s="3" t="n">
        <v>45748.9604166667</v>
      </c>
      <c r="G913" s="2" t="s">
        <v>2012</v>
      </c>
      <c r="H913" s="4" t="n">
        <v>0.8848</v>
      </c>
      <c r="I913" s="2" t="s">
        <v>23</v>
      </c>
      <c r="J913" s="2" t="s">
        <v>19</v>
      </c>
      <c r="K913" s="2" t="n">
        <v>2</v>
      </c>
      <c r="L913" s="2" t="n">
        <v>0</v>
      </c>
      <c r="M913" s="2" t="n">
        <v>1</v>
      </c>
    </row>
    <row r="914" customFormat="false" ht="15" hidden="false" customHeight="false" outlineLevel="0" collapsed="false">
      <c r="A914" s="2" t="s">
        <v>2028</v>
      </c>
      <c r="B914" s="2" t="s">
        <v>2029</v>
      </c>
      <c r="C914" s="2" t="n">
        <v>1</v>
      </c>
      <c r="D914" s="2" t="s">
        <v>721</v>
      </c>
      <c r="E914" s="2" t="s">
        <v>2011</v>
      </c>
      <c r="F914" s="3" t="n">
        <v>45749.1583333333</v>
      </c>
      <c r="G914" s="2" t="s">
        <v>2012</v>
      </c>
      <c r="H914" s="4" t="n">
        <v>-0.4588</v>
      </c>
      <c r="I914" s="2" t="s">
        <v>84</v>
      </c>
      <c r="J914" s="2" t="s">
        <v>37</v>
      </c>
      <c r="K914" s="2" t="n">
        <v>3</v>
      </c>
      <c r="L914" s="2" t="n">
        <v>1</v>
      </c>
      <c r="M914" s="2" t="n">
        <v>1</v>
      </c>
    </row>
    <row r="915" customFormat="false" ht="15" hidden="false" customHeight="false" outlineLevel="0" collapsed="false">
      <c r="A915" s="2" t="s">
        <v>2030</v>
      </c>
      <c r="B915" s="2" t="s">
        <v>2031</v>
      </c>
      <c r="C915" s="2" t="n">
        <v>4</v>
      </c>
      <c r="D915" s="2" t="s">
        <v>36</v>
      </c>
      <c r="E915" s="2" t="s">
        <v>2011</v>
      </c>
      <c r="F915" s="3" t="n">
        <v>45749.2305555556</v>
      </c>
      <c r="G915" s="2" t="s">
        <v>2012</v>
      </c>
      <c r="H915" s="4" t="n">
        <v>0.4404</v>
      </c>
      <c r="I915" s="2" t="s">
        <v>23</v>
      </c>
      <c r="J915" s="2" t="s">
        <v>37</v>
      </c>
      <c r="K915" s="2" t="n">
        <v>6</v>
      </c>
      <c r="L915" s="2" t="n">
        <v>0</v>
      </c>
      <c r="M915" s="2" t="n">
        <v>1</v>
      </c>
    </row>
    <row r="916" customFormat="false" ht="15" hidden="false" customHeight="false" outlineLevel="0" collapsed="false">
      <c r="A916" s="2" t="s">
        <v>2032</v>
      </c>
      <c r="B916" s="2" t="s">
        <v>2033</v>
      </c>
      <c r="C916" s="2" t="n">
        <v>5</v>
      </c>
      <c r="D916" s="2" t="s">
        <v>40</v>
      </c>
      <c r="E916" s="2" t="s">
        <v>2011</v>
      </c>
      <c r="F916" s="3" t="n">
        <v>45749.2861111111</v>
      </c>
      <c r="G916" s="2" t="s">
        <v>2012</v>
      </c>
      <c r="H916" s="4" t="n">
        <v>0.4019</v>
      </c>
      <c r="I916" s="2" t="s">
        <v>23</v>
      </c>
      <c r="J916" s="2" t="s">
        <v>33</v>
      </c>
      <c r="K916" s="2" t="n">
        <v>4</v>
      </c>
      <c r="L916" s="2" t="n">
        <v>0</v>
      </c>
      <c r="M916" s="2" t="n">
        <v>1</v>
      </c>
    </row>
    <row r="917" customFormat="false" ht="15" hidden="false" customHeight="false" outlineLevel="0" collapsed="false">
      <c r="A917" s="2" t="s">
        <v>2034</v>
      </c>
      <c r="B917" s="2" t="s">
        <v>2035</v>
      </c>
      <c r="C917" s="2" t="n">
        <v>2</v>
      </c>
      <c r="D917" s="2" t="s">
        <v>701</v>
      </c>
      <c r="E917" s="2" t="s">
        <v>2011</v>
      </c>
      <c r="F917" s="3" t="n">
        <v>45749.3993055556</v>
      </c>
      <c r="G917" s="2" t="s">
        <v>2012</v>
      </c>
      <c r="H917" s="4" t="n">
        <v>-0.7184</v>
      </c>
      <c r="I917" s="2" t="s">
        <v>84</v>
      </c>
      <c r="J917" s="2" t="s">
        <v>37</v>
      </c>
      <c r="K917" s="2" t="n">
        <v>0</v>
      </c>
      <c r="L917" s="2" t="n">
        <v>0</v>
      </c>
      <c r="M917" s="2" t="n">
        <v>1</v>
      </c>
    </row>
    <row r="918" customFormat="false" ht="15" hidden="false" customHeight="false" outlineLevel="0" collapsed="false">
      <c r="A918" s="2" t="s">
        <v>2036</v>
      </c>
      <c r="B918" s="2" t="s">
        <v>2037</v>
      </c>
      <c r="C918" s="2" t="n">
        <v>3</v>
      </c>
      <c r="D918" s="2" t="s">
        <v>99</v>
      </c>
      <c r="E918" s="2" t="s">
        <v>2011</v>
      </c>
      <c r="F918" s="3" t="n">
        <v>45749.4201388889</v>
      </c>
      <c r="G918" s="2" t="s">
        <v>2012</v>
      </c>
      <c r="H918" s="4" t="n">
        <v>-0.3089</v>
      </c>
      <c r="I918" s="2" t="s">
        <v>84</v>
      </c>
      <c r="J918" s="2" t="s">
        <v>19</v>
      </c>
      <c r="K918" s="2" t="n">
        <v>5</v>
      </c>
      <c r="L918" s="2" t="n">
        <v>0</v>
      </c>
      <c r="M918" s="2" t="n">
        <v>1</v>
      </c>
    </row>
    <row r="919" customFormat="false" ht="15" hidden="false" customHeight="false" outlineLevel="0" collapsed="false">
      <c r="A919" s="2" t="s">
        <v>2038</v>
      </c>
      <c r="B919" s="2" t="s">
        <v>2039</v>
      </c>
      <c r="C919" s="2" t="n">
        <v>2</v>
      </c>
      <c r="D919" s="2" t="s">
        <v>733</v>
      </c>
      <c r="E919" s="2" t="s">
        <v>2011</v>
      </c>
      <c r="F919" s="3" t="n">
        <v>45749.5375</v>
      </c>
      <c r="G919" s="2" t="s">
        <v>2012</v>
      </c>
      <c r="H919" s="4" t="n">
        <v>-0.2846</v>
      </c>
      <c r="I919" s="2" t="s">
        <v>84</v>
      </c>
      <c r="J919" s="2" t="s">
        <v>37</v>
      </c>
      <c r="K919" s="2" t="n">
        <v>2</v>
      </c>
      <c r="L919" s="2" t="n">
        <v>0</v>
      </c>
      <c r="M919" s="2" t="n">
        <v>1</v>
      </c>
    </row>
    <row r="920" customFormat="false" ht="15" hidden="false" customHeight="false" outlineLevel="0" collapsed="false">
      <c r="A920" s="2" t="s">
        <v>2040</v>
      </c>
      <c r="B920" s="2" t="s">
        <v>2041</v>
      </c>
      <c r="C920" s="2" t="n">
        <v>3</v>
      </c>
      <c r="D920" s="2" t="s">
        <v>455</v>
      </c>
      <c r="E920" s="2" t="s">
        <v>2011</v>
      </c>
      <c r="F920" s="3" t="n">
        <v>45749.5861111111</v>
      </c>
      <c r="G920" s="2" t="s">
        <v>2012</v>
      </c>
      <c r="H920" s="4" t="n">
        <v>-0.2263</v>
      </c>
      <c r="I920" s="2" t="s">
        <v>84</v>
      </c>
      <c r="J920" s="2" t="s">
        <v>165</v>
      </c>
      <c r="K920" s="2" t="n">
        <v>5</v>
      </c>
      <c r="L920" s="2" t="n">
        <v>1</v>
      </c>
      <c r="M920" s="2" t="n">
        <v>1</v>
      </c>
    </row>
    <row r="921" customFormat="false" ht="15" hidden="false" customHeight="false" outlineLevel="0" collapsed="false">
      <c r="A921" s="2" t="s">
        <v>2042</v>
      </c>
      <c r="B921" s="2" t="s">
        <v>2043</v>
      </c>
      <c r="C921" s="2" t="n">
        <v>1</v>
      </c>
      <c r="D921" s="2" t="s">
        <v>946</v>
      </c>
      <c r="E921" s="2" t="s">
        <v>2011</v>
      </c>
      <c r="F921" s="3" t="n">
        <v>45749.6951388889</v>
      </c>
      <c r="G921" s="2" t="s">
        <v>2012</v>
      </c>
      <c r="H921" s="4" t="n">
        <v>-0.25</v>
      </c>
      <c r="I921" s="2" t="s">
        <v>84</v>
      </c>
      <c r="J921" s="2" t="s">
        <v>37</v>
      </c>
      <c r="K921" s="2" t="n">
        <v>3</v>
      </c>
      <c r="L921" s="2" t="n">
        <v>0</v>
      </c>
      <c r="M921" s="2" t="n">
        <v>1</v>
      </c>
    </row>
    <row r="922" customFormat="false" ht="15" hidden="false" customHeight="false" outlineLevel="0" collapsed="false">
      <c r="A922" s="2" t="s">
        <v>2044</v>
      </c>
      <c r="B922" s="2" t="s">
        <v>2045</v>
      </c>
      <c r="C922" s="2" t="n">
        <v>4</v>
      </c>
      <c r="D922" s="2" t="s">
        <v>22</v>
      </c>
      <c r="E922" s="2" t="s">
        <v>2011</v>
      </c>
      <c r="F922" s="3" t="n">
        <v>45749.7791666667</v>
      </c>
      <c r="G922" s="2" t="s">
        <v>2012</v>
      </c>
      <c r="H922" s="4" t="n">
        <v>0.2023</v>
      </c>
      <c r="I922" s="2" t="s">
        <v>23</v>
      </c>
      <c r="J922" s="2" t="s">
        <v>19</v>
      </c>
      <c r="K922" s="2" t="n">
        <v>0</v>
      </c>
      <c r="L922" s="2" t="n">
        <v>0</v>
      </c>
      <c r="M922" s="2" t="n">
        <v>1</v>
      </c>
    </row>
    <row r="923" customFormat="false" ht="15" hidden="false" customHeight="false" outlineLevel="0" collapsed="false">
      <c r="A923" s="2" t="s">
        <v>2046</v>
      </c>
      <c r="B923" s="2" t="s">
        <v>2047</v>
      </c>
      <c r="C923" s="2" t="n">
        <v>5</v>
      </c>
      <c r="D923" s="2" t="s">
        <v>52</v>
      </c>
      <c r="E923" s="2" t="s">
        <v>2011</v>
      </c>
      <c r="F923" s="3" t="n">
        <v>45749.9965277778</v>
      </c>
      <c r="G923" s="2" t="s">
        <v>2012</v>
      </c>
      <c r="H923" s="4" t="n">
        <v>0.6369</v>
      </c>
      <c r="I923" s="2" t="s">
        <v>23</v>
      </c>
      <c r="J923" s="2" t="s">
        <v>19</v>
      </c>
      <c r="K923" s="2" t="n">
        <v>2</v>
      </c>
      <c r="L923" s="2" t="n">
        <v>0</v>
      </c>
      <c r="M923" s="2" t="n">
        <v>1</v>
      </c>
    </row>
    <row r="924" customFormat="false" ht="15" hidden="false" customHeight="false" outlineLevel="0" collapsed="false">
      <c r="A924" s="2" t="s">
        <v>2048</v>
      </c>
      <c r="B924" s="2" t="s">
        <v>2049</v>
      </c>
      <c r="C924" s="2" t="n">
        <v>1</v>
      </c>
      <c r="D924" s="2" t="s">
        <v>591</v>
      </c>
      <c r="E924" s="2" t="s">
        <v>2011</v>
      </c>
      <c r="F924" s="3" t="n">
        <v>45750.0861111111</v>
      </c>
      <c r="G924" s="2" t="s">
        <v>2012</v>
      </c>
      <c r="H924" s="4" t="n">
        <v>0</v>
      </c>
      <c r="I924" s="2" t="s">
        <v>18</v>
      </c>
      <c r="J924" s="2" t="s">
        <v>37</v>
      </c>
      <c r="K924" s="2" t="n">
        <v>0</v>
      </c>
      <c r="L924" s="2" t="n">
        <v>0</v>
      </c>
      <c r="M924" s="2" t="n">
        <v>1</v>
      </c>
    </row>
    <row r="925" customFormat="false" ht="15" hidden="false" customHeight="false" outlineLevel="0" collapsed="false">
      <c r="A925" s="2" t="s">
        <v>2050</v>
      </c>
      <c r="B925" s="2" t="s">
        <v>2051</v>
      </c>
      <c r="C925" s="2" t="n">
        <v>2</v>
      </c>
      <c r="D925" s="2" t="s">
        <v>591</v>
      </c>
      <c r="E925" s="2" t="s">
        <v>2011</v>
      </c>
      <c r="F925" s="3" t="n">
        <v>45750.2555555556</v>
      </c>
      <c r="G925" s="2" t="s">
        <v>2012</v>
      </c>
      <c r="H925" s="4" t="n">
        <v>0</v>
      </c>
      <c r="I925" s="2" t="s">
        <v>18</v>
      </c>
      <c r="J925" s="2" t="s">
        <v>37</v>
      </c>
      <c r="K925" s="2" t="n">
        <v>1</v>
      </c>
      <c r="L925" s="2" t="n">
        <v>1</v>
      </c>
      <c r="M925" s="2" t="n">
        <v>1</v>
      </c>
    </row>
    <row r="926" customFormat="false" ht="15" hidden="false" customHeight="false" outlineLevel="0" collapsed="false">
      <c r="A926" s="2" t="s">
        <v>2052</v>
      </c>
      <c r="B926" s="2" t="s">
        <v>2053</v>
      </c>
      <c r="C926" s="2" t="n">
        <v>5</v>
      </c>
      <c r="D926" s="2" t="s">
        <v>62</v>
      </c>
      <c r="E926" s="2" t="s">
        <v>2011</v>
      </c>
      <c r="F926" s="3" t="n">
        <v>45750.2965277778</v>
      </c>
      <c r="G926" s="2" t="s">
        <v>2012</v>
      </c>
      <c r="H926" s="4" t="n">
        <v>0.7088</v>
      </c>
      <c r="I926" s="2" t="s">
        <v>23</v>
      </c>
      <c r="J926" s="2" t="s">
        <v>19</v>
      </c>
      <c r="K926" s="2" t="n">
        <v>4</v>
      </c>
      <c r="L926" s="2" t="n">
        <v>0</v>
      </c>
      <c r="M926" s="2" t="n">
        <v>1</v>
      </c>
    </row>
    <row r="927" customFormat="false" ht="15" hidden="false" customHeight="false" outlineLevel="0" collapsed="false">
      <c r="A927" s="2" t="s">
        <v>2054</v>
      </c>
      <c r="B927" s="2" t="s">
        <v>2055</v>
      </c>
      <c r="C927" s="2" t="n">
        <v>2</v>
      </c>
      <c r="D927" s="2" t="s">
        <v>2056</v>
      </c>
      <c r="E927" s="2" t="s">
        <v>2011</v>
      </c>
      <c r="F927" s="3" t="n">
        <v>45750.3055555556</v>
      </c>
      <c r="G927" s="2" t="s">
        <v>2012</v>
      </c>
      <c r="H927" s="4" t="n">
        <v>-0.2846</v>
      </c>
      <c r="I927" s="2" t="s">
        <v>84</v>
      </c>
      <c r="J927" s="2" t="s">
        <v>37</v>
      </c>
      <c r="K927" s="2" t="n">
        <v>0</v>
      </c>
      <c r="L927" s="2" t="n">
        <v>1</v>
      </c>
      <c r="M927" s="2" t="n">
        <v>1</v>
      </c>
    </row>
    <row r="928" customFormat="false" ht="15" hidden="false" customHeight="false" outlineLevel="0" collapsed="false">
      <c r="A928" s="2" t="s">
        <v>2057</v>
      </c>
      <c r="B928" s="2" t="s">
        <v>2058</v>
      </c>
      <c r="C928" s="2" t="n">
        <v>5</v>
      </c>
      <c r="D928" s="2" t="s">
        <v>1249</v>
      </c>
      <c r="E928" s="2" t="s">
        <v>2011</v>
      </c>
      <c r="F928" s="3" t="n">
        <v>45750.4833333333</v>
      </c>
      <c r="G928" s="2" t="s">
        <v>2012</v>
      </c>
      <c r="H928" s="4" t="n">
        <v>0.8519</v>
      </c>
      <c r="I928" s="2" t="s">
        <v>23</v>
      </c>
      <c r="J928" s="2" t="s">
        <v>37</v>
      </c>
      <c r="K928" s="2" t="n">
        <v>7</v>
      </c>
      <c r="L928" s="2" t="n">
        <v>0</v>
      </c>
      <c r="M928" s="2" t="n">
        <v>1</v>
      </c>
    </row>
    <row r="929" customFormat="false" ht="15" hidden="false" customHeight="false" outlineLevel="0" collapsed="false">
      <c r="A929" s="2" t="s">
        <v>2059</v>
      </c>
      <c r="B929" s="2" t="s">
        <v>2060</v>
      </c>
      <c r="C929" s="2" t="n">
        <v>3</v>
      </c>
      <c r="D929" s="2" t="s">
        <v>87</v>
      </c>
      <c r="E929" s="2" t="s">
        <v>2011</v>
      </c>
      <c r="F929" s="3" t="n">
        <v>45750.7201388889</v>
      </c>
      <c r="G929" s="2" t="s">
        <v>2012</v>
      </c>
      <c r="H929" s="4" t="n">
        <v>0</v>
      </c>
      <c r="I929" s="2" t="s">
        <v>18</v>
      </c>
      <c r="J929" s="2" t="s">
        <v>19</v>
      </c>
      <c r="K929" s="2" t="n">
        <v>0</v>
      </c>
      <c r="L929" s="2" t="n">
        <v>0</v>
      </c>
      <c r="M929" s="2" t="n">
        <v>1</v>
      </c>
    </row>
    <row r="930" customFormat="false" ht="15" hidden="false" customHeight="false" outlineLevel="0" collapsed="false">
      <c r="A930" s="2" t="s">
        <v>2061</v>
      </c>
      <c r="B930" s="2" t="s">
        <v>2062</v>
      </c>
      <c r="C930" s="2" t="n">
        <v>5</v>
      </c>
      <c r="D930" s="2" t="s">
        <v>96</v>
      </c>
      <c r="E930" s="2" t="s">
        <v>2011</v>
      </c>
      <c r="F930" s="3" t="n">
        <v>45750.8041666667</v>
      </c>
      <c r="G930" s="2" t="s">
        <v>2012</v>
      </c>
      <c r="H930" s="4" t="n">
        <v>0.6369</v>
      </c>
      <c r="I930" s="2" t="s">
        <v>23</v>
      </c>
      <c r="J930" s="2" t="s">
        <v>19</v>
      </c>
      <c r="K930" s="2" t="n">
        <v>2</v>
      </c>
      <c r="L930" s="2" t="n">
        <v>0</v>
      </c>
      <c r="M930" s="2" t="n">
        <v>1</v>
      </c>
    </row>
    <row r="931" customFormat="false" ht="15" hidden="false" customHeight="false" outlineLevel="0" collapsed="false">
      <c r="A931" s="2" t="s">
        <v>2063</v>
      </c>
      <c r="B931" s="2" t="s">
        <v>2064</v>
      </c>
      <c r="C931" s="2" t="n">
        <v>4</v>
      </c>
      <c r="D931" s="2" t="s">
        <v>489</v>
      </c>
      <c r="E931" s="2" t="s">
        <v>2011</v>
      </c>
      <c r="F931" s="3" t="n">
        <v>45750.9319444444</v>
      </c>
      <c r="G931" s="2" t="s">
        <v>2012</v>
      </c>
      <c r="H931" s="4" t="n">
        <v>0.803</v>
      </c>
      <c r="I931" s="2" t="s">
        <v>23</v>
      </c>
      <c r="J931" s="2" t="s">
        <v>19</v>
      </c>
      <c r="K931" s="2" t="n">
        <v>0</v>
      </c>
      <c r="L931" s="2" t="n">
        <v>0</v>
      </c>
      <c r="M931" s="2" t="n">
        <v>1</v>
      </c>
    </row>
    <row r="932" customFormat="false" ht="15" hidden="false" customHeight="false" outlineLevel="0" collapsed="false">
      <c r="A932" s="2" t="s">
        <v>2065</v>
      </c>
      <c r="B932" s="2" t="s">
        <v>2066</v>
      </c>
      <c r="C932" s="2" t="n">
        <v>4</v>
      </c>
      <c r="D932" s="2" t="s">
        <v>36</v>
      </c>
      <c r="E932" s="2" t="s">
        <v>2011</v>
      </c>
      <c r="F932" s="3" t="n">
        <v>45750.9798611111</v>
      </c>
      <c r="G932" s="2" t="s">
        <v>2012</v>
      </c>
      <c r="H932" s="4" t="n">
        <v>0.4404</v>
      </c>
      <c r="I932" s="2" t="s">
        <v>23</v>
      </c>
      <c r="J932" s="2" t="s">
        <v>37</v>
      </c>
      <c r="K932" s="2" t="n">
        <v>3</v>
      </c>
      <c r="L932" s="2" t="n">
        <v>0</v>
      </c>
      <c r="M932" s="2" t="n">
        <v>1</v>
      </c>
    </row>
    <row r="933" customFormat="false" ht="15" hidden="false" customHeight="false" outlineLevel="0" collapsed="false">
      <c r="A933" s="2" t="s">
        <v>2067</v>
      </c>
      <c r="B933" s="2" t="s">
        <v>2068</v>
      </c>
      <c r="C933" s="2" t="n">
        <v>1</v>
      </c>
      <c r="D933" s="2" t="s">
        <v>823</v>
      </c>
      <c r="E933" s="2" t="s">
        <v>2011</v>
      </c>
      <c r="F933" s="3" t="n">
        <v>45751.0513888889</v>
      </c>
      <c r="G933" s="2" t="s">
        <v>2012</v>
      </c>
      <c r="H933" s="4" t="n">
        <v>-0.6997</v>
      </c>
      <c r="I933" s="2" t="s">
        <v>84</v>
      </c>
      <c r="J933" s="2" t="s">
        <v>19</v>
      </c>
      <c r="K933" s="2" t="n">
        <v>4</v>
      </c>
      <c r="L933" s="2" t="n">
        <v>1</v>
      </c>
      <c r="M933" s="2" t="n">
        <v>1</v>
      </c>
    </row>
    <row r="934" customFormat="false" ht="15" hidden="false" customHeight="false" outlineLevel="0" collapsed="false">
      <c r="A934" s="2" t="s">
        <v>2069</v>
      </c>
      <c r="B934" s="2" t="s">
        <v>2070</v>
      </c>
      <c r="C934" s="2" t="n">
        <v>5</v>
      </c>
      <c r="D934" s="2" t="s">
        <v>90</v>
      </c>
      <c r="E934" s="2" t="s">
        <v>2011</v>
      </c>
      <c r="F934" s="3" t="n">
        <v>45751.0590277778</v>
      </c>
      <c r="G934" s="2" t="s">
        <v>2012</v>
      </c>
      <c r="H934" s="4" t="n">
        <v>0.6249</v>
      </c>
      <c r="I934" s="2" t="s">
        <v>23</v>
      </c>
      <c r="J934" s="2" t="s">
        <v>37</v>
      </c>
      <c r="K934" s="2" t="n">
        <v>1</v>
      </c>
      <c r="L934" s="2" t="n">
        <v>0</v>
      </c>
      <c r="M934" s="2" t="n">
        <v>1</v>
      </c>
    </row>
    <row r="935" customFormat="false" ht="15" hidden="false" customHeight="false" outlineLevel="0" collapsed="false">
      <c r="A935" s="2" t="s">
        <v>2071</v>
      </c>
      <c r="B935" s="2" t="s">
        <v>2072</v>
      </c>
      <c r="C935" s="2" t="n">
        <v>1</v>
      </c>
      <c r="D935" s="2" t="s">
        <v>2073</v>
      </c>
      <c r="E935" s="2" t="s">
        <v>2011</v>
      </c>
      <c r="F935" s="3" t="n">
        <v>45751.0902777778</v>
      </c>
      <c r="G935" s="2" t="s">
        <v>2012</v>
      </c>
      <c r="H935" s="4" t="n">
        <v>-0.296</v>
      </c>
      <c r="I935" s="2" t="s">
        <v>84</v>
      </c>
      <c r="J935" s="2" t="s">
        <v>37</v>
      </c>
      <c r="K935" s="2" t="n">
        <v>2</v>
      </c>
      <c r="L935" s="2" t="n">
        <v>1</v>
      </c>
      <c r="M935" s="2" t="n">
        <v>1</v>
      </c>
    </row>
    <row r="936" customFormat="false" ht="15" hidden="false" customHeight="false" outlineLevel="0" collapsed="false">
      <c r="A936" s="2" t="s">
        <v>2074</v>
      </c>
      <c r="B936" s="2" t="s">
        <v>2075</v>
      </c>
      <c r="C936" s="2" t="n">
        <v>1</v>
      </c>
      <c r="D936" s="2" t="s">
        <v>591</v>
      </c>
      <c r="E936" s="2" t="s">
        <v>2011</v>
      </c>
      <c r="F936" s="3" t="n">
        <v>45751.26875</v>
      </c>
      <c r="G936" s="2" t="s">
        <v>2012</v>
      </c>
      <c r="H936" s="4" t="n">
        <v>0</v>
      </c>
      <c r="I936" s="2" t="s">
        <v>18</v>
      </c>
      <c r="J936" s="2" t="s">
        <v>37</v>
      </c>
      <c r="K936" s="2" t="n">
        <v>9</v>
      </c>
      <c r="L936" s="2" t="n">
        <v>1</v>
      </c>
      <c r="M936" s="2" t="n">
        <v>1</v>
      </c>
    </row>
    <row r="937" customFormat="false" ht="15" hidden="false" customHeight="false" outlineLevel="0" collapsed="false">
      <c r="A937" s="2" t="s">
        <v>2076</v>
      </c>
      <c r="B937" s="2" t="s">
        <v>2077</v>
      </c>
      <c r="C937" s="2" t="n">
        <v>1</v>
      </c>
      <c r="D937" s="2" t="s">
        <v>2073</v>
      </c>
      <c r="E937" s="2" t="s">
        <v>2011</v>
      </c>
      <c r="F937" s="3" t="n">
        <v>45751.40625</v>
      </c>
      <c r="G937" s="2" t="s">
        <v>2012</v>
      </c>
      <c r="H937" s="4" t="n">
        <v>-0.296</v>
      </c>
      <c r="I937" s="2" t="s">
        <v>84</v>
      </c>
      <c r="J937" s="2" t="s">
        <v>37</v>
      </c>
      <c r="K937" s="2" t="n">
        <v>10</v>
      </c>
      <c r="L937" s="2" t="n">
        <v>1</v>
      </c>
      <c r="M937" s="2" t="n">
        <v>1</v>
      </c>
    </row>
    <row r="938" customFormat="false" ht="15" hidden="false" customHeight="false" outlineLevel="0" collapsed="false">
      <c r="A938" s="2" t="s">
        <v>2078</v>
      </c>
      <c r="B938" s="2" t="s">
        <v>2079</v>
      </c>
      <c r="C938" s="2" t="n">
        <v>2</v>
      </c>
      <c r="D938" s="2" t="s">
        <v>133</v>
      </c>
      <c r="E938" s="2" t="s">
        <v>2011</v>
      </c>
      <c r="F938" s="3" t="n">
        <v>45751.4243055556</v>
      </c>
      <c r="G938" s="2" t="s">
        <v>2012</v>
      </c>
      <c r="H938" s="4" t="n">
        <v>-0.5719</v>
      </c>
      <c r="I938" s="2" t="s">
        <v>84</v>
      </c>
      <c r="J938" s="2" t="s">
        <v>33</v>
      </c>
      <c r="K938" s="2" t="n">
        <v>2</v>
      </c>
      <c r="L938" s="2" t="n">
        <v>1</v>
      </c>
      <c r="M938" s="2" t="n">
        <v>1</v>
      </c>
    </row>
    <row r="939" customFormat="false" ht="15" hidden="false" customHeight="false" outlineLevel="0" collapsed="false">
      <c r="A939" s="2" t="s">
        <v>2080</v>
      </c>
      <c r="B939" s="2" t="s">
        <v>2081</v>
      </c>
      <c r="C939" s="2" t="n">
        <v>5</v>
      </c>
      <c r="D939" s="2" t="s">
        <v>2082</v>
      </c>
      <c r="E939" s="2" t="s">
        <v>2011</v>
      </c>
      <c r="F939" s="3" t="n">
        <v>45751.7506944445</v>
      </c>
      <c r="G939" s="2" t="s">
        <v>2012</v>
      </c>
      <c r="H939" s="4" t="n">
        <v>0.8777</v>
      </c>
      <c r="I939" s="2" t="s">
        <v>23</v>
      </c>
      <c r="J939" s="2" t="s">
        <v>19</v>
      </c>
      <c r="K939" s="2" t="n">
        <v>2</v>
      </c>
      <c r="L939" s="2" t="n">
        <v>0</v>
      </c>
      <c r="M939" s="2" t="n">
        <v>1</v>
      </c>
    </row>
    <row r="940" customFormat="false" ht="15" hidden="false" customHeight="false" outlineLevel="0" collapsed="false">
      <c r="A940" s="2" t="s">
        <v>2083</v>
      </c>
      <c r="B940" s="2" t="s">
        <v>2084</v>
      </c>
      <c r="C940" s="2" t="n">
        <v>1</v>
      </c>
      <c r="D940" s="2" t="s">
        <v>2085</v>
      </c>
      <c r="E940" s="2" t="s">
        <v>2011</v>
      </c>
      <c r="F940" s="3" t="n">
        <v>45751.7909722222</v>
      </c>
      <c r="G940" s="2" t="s">
        <v>2012</v>
      </c>
      <c r="H940" s="4" t="n">
        <v>0.2263</v>
      </c>
      <c r="I940" s="2" t="s">
        <v>23</v>
      </c>
      <c r="J940" s="2" t="s">
        <v>110</v>
      </c>
      <c r="K940" s="2" t="n">
        <v>1</v>
      </c>
      <c r="L940" s="2" t="n">
        <v>1</v>
      </c>
      <c r="M940" s="2" t="n">
        <v>1</v>
      </c>
    </row>
    <row r="941" customFormat="false" ht="15" hidden="false" customHeight="false" outlineLevel="0" collapsed="false">
      <c r="A941" s="2" t="s">
        <v>2086</v>
      </c>
      <c r="B941" s="2" t="s">
        <v>2087</v>
      </c>
      <c r="C941" s="2" t="n">
        <v>1</v>
      </c>
      <c r="D941" s="2" t="s">
        <v>946</v>
      </c>
      <c r="E941" s="2" t="s">
        <v>2011</v>
      </c>
      <c r="F941" s="3" t="n">
        <v>45751.8006944444</v>
      </c>
      <c r="G941" s="2" t="s">
        <v>2012</v>
      </c>
      <c r="H941" s="4" t="n">
        <v>-0.25</v>
      </c>
      <c r="I941" s="2" t="s">
        <v>84</v>
      </c>
      <c r="J941" s="2" t="s">
        <v>37</v>
      </c>
      <c r="K941" s="2" t="n">
        <v>5</v>
      </c>
      <c r="L941" s="2" t="n">
        <v>1</v>
      </c>
      <c r="M941" s="2" t="n">
        <v>1</v>
      </c>
    </row>
    <row r="942" customFormat="false" ht="15" hidden="false" customHeight="false" outlineLevel="0" collapsed="false">
      <c r="A942" s="2" t="s">
        <v>2088</v>
      </c>
      <c r="B942" s="2" t="s">
        <v>2089</v>
      </c>
      <c r="C942" s="2" t="n">
        <v>1</v>
      </c>
      <c r="D942" s="2" t="s">
        <v>591</v>
      </c>
      <c r="E942" s="2" t="s">
        <v>2011</v>
      </c>
      <c r="F942" s="3" t="n">
        <v>45751.8638888889</v>
      </c>
      <c r="G942" s="2" t="s">
        <v>2012</v>
      </c>
      <c r="H942" s="4" t="n">
        <v>0</v>
      </c>
      <c r="I942" s="2" t="s">
        <v>18</v>
      </c>
      <c r="J942" s="2" t="s">
        <v>37</v>
      </c>
      <c r="K942" s="2" t="n">
        <v>9</v>
      </c>
      <c r="L942" s="2" t="n">
        <v>0</v>
      </c>
      <c r="M942" s="2" t="n">
        <v>1</v>
      </c>
    </row>
    <row r="943" customFormat="false" ht="15" hidden="false" customHeight="false" outlineLevel="0" collapsed="false">
      <c r="A943" s="2" t="s">
        <v>2090</v>
      </c>
      <c r="B943" s="2" t="s">
        <v>2091</v>
      </c>
      <c r="C943" s="2" t="n">
        <v>1</v>
      </c>
      <c r="D943" s="2" t="s">
        <v>701</v>
      </c>
      <c r="E943" s="2" t="s">
        <v>2011</v>
      </c>
      <c r="F943" s="3" t="n">
        <v>45751.9229166667</v>
      </c>
      <c r="G943" s="2" t="s">
        <v>2012</v>
      </c>
      <c r="H943" s="4" t="n">
        <v>-0.7184</v>
      </c>
      <c r="I943" s="2" t="s">
        <v>84</v>
      </c>
      <c r="J943" s="2" t="s">
        <v>37</v>
      </c>
      <c r="K943" s="2" t="n">
        <v>0</v>
      </c>
      <c r="L943" s="2" t="n">
        <v>1</v>
      </c>
      <c r="M943" s="2" t="n">
        <v>1</v>
      </c>
    </row>
    <row r="944" customFormat="false" ht="15" hidden="false" customHeight="false" outlineLevel="0" collapsed="false">
      <c r="A944" s="2" t="s">
        <v>2092</v>
      </c>
      <c r="B944" s="2" t="s">
        <v>2093</v>
      </c>
      <c r="C944" s="2" t="n">
        <v>2</v>
      </c>
      <c r="D944" s="2" t="s">
        <v>661</v>
      </c>
      <c r="E944" s="2" t="s">
        <v>2011</v>
      </c>
      <c r="F944" s="3" t="n">
        <v>45751.9583333333</v>
      </c>
      <c r="G944" s="2" t="s">
        <v>2012</v>
      </c>
      <c r="H944" s="4" t="n">
        <v>0</v>
      </c>
      <c r="I944" s="2" t="s">
        <v>18</v>
      </c>
      <c r="J944" s="2" t="s">
        <v>59</v>
      </c>
      <c r="K944" s="2" t="n">
        <v>5</v>
      </c>
      <c r="L944" s="2" t="n">
        <v>0</v>
      </c>
      <c r="M944" s="2" t="n">
        <v>1</v>
      </c>
    </row>
    <row r="945" customFormat="false" ht="15" hidden="false" customHeight="false" outlineLevel="0" collapsed="false">
      <c r="A945" s="2" t="s">
        <v>2094</v>
      </c>
      <c r="B945" s="2" t="s">
        <v>2095</v>
      </c>
      <c r="C945" s="2" t="n">
        <v>5</v>
      </c>
      <c r="D945" s="2" t="s">
        <v>15</v>
      </c>
      <c r="E945" s="2" t="s">
        <v>2011</v>
      </c>
      <c r="F945" s="3" t="n">
        <v>45752.0833333333</v>
      </c>
      <c r="G945" s="2" t="s">
        <v>2012</v>
      </c>
      <c r="H945" s="4" t="n">
        <v>0</v>
      </c>
      <c r="I945" s="2" t="s">
        <v>18</v>
      </c>
      <c r="J945" s="2" t="s">
        <v>19</v>
      </c>
      <c r="K945" s="2" t="n">
        <v>0</v>
      </c>
      <c r="L945" s="2" t="n">
        <v>0</v>
      </c>
      <c r="M945" s="2" t="n">
        <v>1</v>
      </c>
    </row>
    <row r="946" customFormat="false" ht="15" hidden="false" customHeight="false" outlineLevel="0" collapsed="false">
      <c r="A946" s="2" t="s">
        <v>2096</v>
      </c>
      <c r="B946" s="2" t="s">
        <v>2097</v>
      </c>
      <c r="C946" s="2" t="n">
        <v>2</v>
      </c>
      <c r="D946" s="2" t="s">
        <v>2098</v>
      </c>
      <c r="E946" s="2" t="s">
        <v>2011</v>
      </c>
      <c r="F946" s="3" t="n">
        <v>45752.1569444445</v>
      </c>
      <c r="G946" s="2" t="s">
        <v>2012</v>
      </c>
      <c r="H946" s="4" t="n">
        <v>-0.4588</v>
      </c>
      <c r="I946" s="2" t="s">
        <v>84</v>
      </c>
      <c r="J946" s="2" t="s">
        <v>37</v>
      </c>
      <c r="K946" s="2" t="n">
        <v>0</v>
      </c>
      <c r="L946" s="2" t="n">
        <v>0</v>
      </c>
      <c r="M946" s="2" t="n">
        <v>1</v>
      </c>
    </row>
    <row r="947" customFormat="false" ht="15" hidden="false" customHeight="false" outlineLevel="0" collapsed="false">
      <c r="A947" s="2" t="s">
        <v>2099</v>
      </c>
      <c r="B947" s="2" t="s">
        <v>2100</v>
      </c>
      <c r="C947" s="2" t="n">
        <v>4</v>
      </c>
      <c r="D947" s="2" t="s">
        <v>96</v>
      </c>
      <c r="E947" s="2" t="s">
        <v>2011</v>
      </c>
      <c r="F947" s="3" t="n">
        <v>45752.2020833333</v>
      </c>
      <c r="G947" s="2" t="s">
        <v>2012</v>
      </c>
      <c r="H947" s="4" t="n">
        <v>0.6369</v>
      </c>
      <c r="I947" s="2" t="s">
        <v>23</v>
      </c>
      <c r="J947" s="2" t="s">
        <v>19</v>
      </c>
      <c r="K947" s="2" t="n">
        <v>0</v>
      </c>
      <c r="L947" s="2" t="n">
        <v>0</v>
      </c>
      <c r="M947" s="2" t="n">
        <v>1</v>
      </c>
    </row>
    <row r="948" customFormat="false" ht="15" hidden="false" customHeight="false" outlineLevel="0" collapsed="false">
      <c r="A948" s="2" t="s">
        <v>2101</v>
      </c>
      <c r="B948" s="2" t="s">
        <v>1671</v>
      </c>
      <c r="C948" s="2" t="n">
        <v>5</v>
      </c>
      <c r="D948" s="2" t="s">
        <v>62</v>
      </c>
      <c r="E948" s="2" t="s">
        <v>2011</v>
      </c>
      <c r="F948" s="3" t="n">
        <v>45752.2479166667</v>
      </c>
      <c r="G948" s="2" t="s">
        <v>2012</v>
      </c>
      <c r="H948" s="4" t="n">
        <v>0.7088</v>
      </c>
      <c r="I948" s="2" t="s">
        <v>23</v>
      </c>
      <c r="J948" s="2" t="s">
        <v>19</v>
      </c>
      <c r="K948" s="2" t="n">
        <v>13</v>
      </c>
      <c r="L948" s="2" t="n">
        <v>0</v>
      </c>
      <c r="M948" s="2" t="n">
        <v>1</v>
      </c>
    </row>
    <row r="949" customFormat="false" ht="15" hidden="false" customHeight="false" outlineLevel="0" collapsed="false">
      <c r="A949" s="2" t="s">
        <v>2102</v>
      </c>
      <c r="B949" s="2" t="s">
        <v>2103</v>
      </c>
      <c r="C949" s="2" t="n">
        <v>2</v>
      </c>
      <c r="D949" s="2" t="s">
        <v>2104</v>
      </c>
      <c r="E949" s="2" t="s">
        <v>2011</v>
      </c>
      <c r="F949" s="3" t="n">
        <v>45752.2916666667</v>
      </c>
      <c r="G949" s="2" t="s">
        <v>2012</v>
      </c>
      <c r="H949" s="4" t="n">
        <v>-0.1154</v>
      </c>
      <c r="I949" s="2" t="s">
        <v>84</v>
      </c>
      <c r="J949" s="2" t="s">
        <v>165</v>
      </c>
      <c r="K949" s="2" t="n">
        <v>2</v>
      </c>
      <c r="L949" s="2" t="n">
        <v>0</v>
      </c>
      <c r="M949" s="2" t="n">
        <v>1</v>
      </c>
    </row>
    <row r="950" customFormat="false" ht="15" hidden="false" customHeight="false" outlineLevel="0" collapsed="false">
      <c r="A950" s="2" t="s">
        <v>2105</v>
      </c>
      <c r="B950" s="2" t="s">
        <v>2106</v>
      </c>
      <c r="C950" s="2" t="n">
        <v>1</v>
      </c>
      <c r="D950" s="2" t="s">
        <v>544</v>
      </c>
      <c r="E950" s="2" t="s">
        <v>2011</v>
      </c>
      <c r="F950" s="3" t="n">
        <v>45752.5388888889</v>
      </c>
      <c r="G950" s="2" t="s">
        <v>2012</v>
      </c>
      <c r="H950" s="4" t="n">
        <v>-0.7184</v>
      </c>
      <c r="I950" s="2" t="s">
        <v>84</v>
      </c>
      <c r="J950" s="2" t="s">
        <v>37</v>
      </c>
      <c r="K950" s="2" t="n">
        <v>6</v>
      </c>
      <c r="L950" s="2" t="n">
        <v>1</v>
      </c>
      <c r="M950" s="2" t="n">
        <v>1</v>
      </c>
    </row>
    <row r="951" customFormat="false" ht="15" hidden="false" customHeight="false" outlineLevel="0" collapsed="false">
      <c r="A951" s="2" t="s">
        <v>2107</v>
      </c>
      <c r="B951" s="2" t="s">
        <v>2108</v>
      </c>
      <c r="C951" s="2" t="n">
        <v>4</v>
      </c>
      <c r="D951" s="2" t="s">
        <v>2109</v>
      </c>
      <c r="E951" s="2" t="s">
        <v>2011</v>
      </c>
      <c r="F951" s="3" t="n">
        <v>45752.6215277778</v>
      </c>
      <c r="G951" s="2" t="s">
        <v>2012</v>
      </c>
      <c r="H951" s="4" t="n">
        <v>0</v>
      </c>
      <c r="I951" s="2" t="s">
        <v>18</v>
      </c>
      <c r="J951" s="2" t="s">
        <v>19</v>
      </c>
      <c r="K951" s="2" t="n">
        <v>5</v>
      </c>
      <c r="L951" s="2" t="n">
        <v>0</v>
      </c>
      <c r="M951" s="2" t="n">
        <v>1</v>
      </c>
    </row>
    <row r="952" customFormat="false" ht="15" hidden="false" customHeight="false" outlineLevel="0" collapsed="false">
      <c r="A952" s="2" t="s">
        <v>2110</v>
      </c>
      <c r="B952" s="2" t="s">
        <v>2111</v>
      </c>
      <c r="C952" s="2" t="n">
        <v>4</v>
      </c>
      <c r="D952" s="2" t="s">
        <v>55</v>
      </c>
      <c r="E952" s="2" t="s">
        <v>2011</v>
      </c>
      <c r="F952" s="3" t="n">
        <v>45752.6826388889</v>
      </c>
      <c r="G952" s="2" t="s">
        <v>2012</v>
      </c>
      <c r="H952" s="4" t="n">
        <v>0.9531</v>
      </c>
      <c r="I952" s="2" t="s">
        <v>23</v>
      </c>
      <c r="J952" s="2" t="s">
        <v>37</v>
      </c>
      <c r="K952" s="2" t="n">
        <v>3</v>
      </c>
      <c r="L952" s="2" t="n">
        <v>0</v>
      </c>
      <c r="M952" s="2" t="n">
        <v>1</v>
      </c>
    </row>
    <row r="953" customFormat="false" ht="15" hidden="false" customHeight="false" outlineLevel="0" collapsed="false">
      <c r="A953" s="2" t="s">
        <v>2112</v>
      </c>
      <c r="B953" s="2" t="s">
        <v>2113</v>
      </c>
      <c r="C953" s="2" t="n">
        <v>2</v>
      </c>
      <c r="D953" s="2" t="s">
        <v>1034</v>
      </c>
      <c r="E953" s="2" t="s">
        <v>2011</v>
      </c>
      <c r="F953" s="3" t="n">
        <v>45752.7909722222</v>
      </c>
      <c r="G953" s="2" t="s">
        <v>2012</v>
      </c>
      <c r="H953" s="4" t="n">
        <v>0</v>
      </c>
      <c r="I953" s="2" t="s">
        <v>18</v>
      </c>
      <c r="J953" s="2" t="s">
        <v>110</v>
      </c>
      <c r="K953" s="2" t="n">
        <v>2</v>
      </c>
      <c r="L953" s="2" t="n">
        <v>0</v>
      </c>
      <c r="M953" s="2" t="n">
        <v>1</v>
      </c>
    </row>
    <row r="954" customFormat="false" ht="15" hidden="false" customHeight="false" outlineLevel="0" collapsed="false">
      <c r="A954" s="2" t="s">
        <v>2114</v>
      </c>
      <c r="B954" s="2" t="s">
        <v>2115</v>
      </c>
      <c r="C954" s="2" t="n">
        <v>5</v>
      </c>
      <c r="D954" s="2" t="s">
        <v>62</v>
      </c>
      <c r="E954" s="2" t="s">
        <v>2011</v>
      </c>
      <c r="F954" s="3" t="n">
        <v>45753.1291666667</v>
      </c>
      <c r="G954" s="2" t="s">
        <v>2012</v>
      </c>
      <c r="H954" s="4" t="n">
        <v>0.7088</v>
      </c>
      <c r="I954" s="2" t="s">
        <v>23</v>
      </c>
      <c r="J954" s="2" t="s">
        <v>19</v>
      </c>
      <c r="K954" s="2" t="n">
        <v>0</v>
      </c>
      <c r="L954" s="2" t="n">
        <v>0</v>
      </c>
      <c r="M954" s="2" t="n">
        <v>1</v>
      </c>
    </row>
    <row r="955" customFormat="false" ht="15" hidden="false" customHeight="false" outlineLevel="0" collapsed="false">
      <c r="A955" s="2" t="s">
        <v>2116</v>
      </c>
      <c r="B955" s="2" t="s">
        <v>2117</v>
      </c>
      <c r="C955" s="2" t="n">
        <v>1</v>
      </c>
      <c r="D955" s="2" t="s">
        <v>823</v>
      </c>
      <c r="E955" s="2" t="s">
        <v>2011</v>
      </c>
      <c r="F955" s="3" t="n">
        <v>45753.1680555556</v>
      </c>
      <c r="G955" s="2" t="s">
        <v>2012</v>
      </c>
      <c r="H955" s="4" t="n">
        <v>-0.6997</v>
      </c>
      <c r="I955" s="2" t="s">
        <v>84</v>
      </c>
      <c r="J955" s="2" t="s">
        <v>19</v>
      </c>
      <c r="K955" s="2" t="n">
        <v>4</v>
      </c>
      <c r="L955" s="2" t="n">
        <v>1</v>
      </c>
      <c r="M955" s="2" t="n">
        <v>1</v>
      </c>
    </row>
    <row r="956" customFormat="false" ht="15" hidden="false" customHeight="false" outlineLevel="0" collapsed="false">
      <c r="A956" s="2" t="s">
        <v>2118</v>
      </c>
      <c r="B956" s="2" t="s">
        <v>2119</v>
      </c>
      <c r="C956" s="2" t="n">
        <v>4</v>
      </c>
      <c r="D956" s="2" t="s">
        <v>15</v>
      </c>
      <c r="E956" s="2" t="s">
        <v>2011</v>
      </c>
      <c r="F956" s="3" t="n">
        <v>45753.2069444444</v>
      </c>
      <c r="G956" s="2" t="s">
        <v>2012</v>
      </c>
      <c r="H956" s="4" t="n">
        <v>0</v>
      </c>
      <c r="I956" s="2" t="s">
        <v>18</v>
      </c>
      <c r="J956" s="2" t="s">
        <v>19</v>
      </c>
      <c r="K956" s="2" t="n">
        <v>4</v>
      </c>
      <c r="L956" s="2" t="n">
        <v>0</v>
      </c>
      <c r="M956" s="2" t="n">
        <v>1</v>
      </c>
    </row>
    <row r="957" customFormat="false" ht="15" hidden="false" customHeight="false" outlineLevel="0" collapsed="false">
      <c r="A957" s="2" t="s">
        <v>2120</v>
      </c>
      <c r="B957" s="2" t="s">
        <v>2121</v>
      </c>
      <c r="C957" s="2" t="n">
        <v>5</v>
      </c>
      <c r="D957" s="2" t="s">
        <v>62</v>
      </c>
      <c r="E957" s="2" t="s">
        <v>2011</v>
      </c>
      <c r="F957" s="3" t="n">
        <v>45753.3604166667</v>
      </c>
      <c r="G957" s="2" t="s">
        <v>2012</v>
      </c>
      <c r="H957" s="4" t="n">
        <v>0.7088</v>
      </c>
      <c r="I957" s="2" t="s">
        <v>23</v>
      </c>
      <c r="J957" s="2" t="s">
        <v>19</v>
      </c>
      <c r="K957" s="2" t="n">
        <v>1</v>
      </c>
      <c r="L957" s="2" t="n">
        <v>0</v>
      </c>
      <c r="M957" s="2" t="n">
        <v>1</v>
      </c>
    </row>
    <row r="958" customFormat="false" ht="15" hidden="false" customHeight="false" outlineLevel="0" collapsed="false">
      <c r="A958" s="2" t="s">
        <v>2122</v>
      </c>
      <c r="B958" s="2" t="s">
        <v>2123</v>
      </c>
      <c r="C958" s="2" t="n">
        <v>1</v>
      </c>
      <c r="D958" s="2" t="s">
        <v>2124</v>
      </c>
      <c r="E958" s="2" t="s">
        <v>2011</v>
      </c>
      <c r="F958" s="3" t="n">
        <v>45753.4291666667</v>
      </c>
      <c r="G958" s="2" t="s">
        <v>2012</v>
      </c>
      <c r="H958" s="4" t="n">
        <v>-0.0516</v>
      </c>
      <c r="I958" s="2" t="s">
        <v>84</v>
      </c>
      <c r="J958" s="2" t="s">
        <v>33</v>
      </c>
      <c r="K958" s="2" t="n">
        <v>0</v>
      </c>
      <c r="L958" s="2" t="n">
        <v>0</v>
      </c>
      <c r="M958" s="2" t="n">
        <v>1</v>
      </c>
    </row>
    <row r="959" customFormat="false" ht="15" hidden="false" customHeight="false" outlineLevel="0" collapsed="false">
      <c r="A959" s="2" t="s">
        <v>2125</v>
      </c>
      <c r="B959" s="2" t="s">
        <v>2126</v>
      </c>
      <c r="C959" s="2" t="n">
        <v>3</v>
      </c>
      <c r="D959" s="2" t="s">
        <v>2127</v>
      </c>
      <c r="E959" s="2" t="s">
        <v>2011</v>
      </c>
      <c r="F959" s="3" t="n">
        <v>45753.4923611111</v>
      </c>
      <c r="G959" s="2" t="s">
        <v>2012</v>
      </c>
      <c r="H959" s="4" t="n">
        <v>0.3818</v>
      </c>
      <c r="I959" s="2" t="s">
        <v>23</v>
      </c>
      <c r="J959" s="2" t="s">
        <v>19</v>
      </c>
      <c r="K959" s="2" t="n">
        <v>2</v>
      </c>
      <c r="L959" s="2" t="n">
        <v>0</v>
      </c>
      <c r="M959" s="2" t="n">
        <v>1</v>
      </c>
    </row>
    <row r="960" customFormat="false" ht="15" hidden="false" customHeight="false" outlineLevel="0" collapsed="false">
      <c r="A960" s="2" t="s">
        <v>2128</v>
      </c>
      <c r="B960" s="2" t="s">
        <v>2129</v>
      </c>
      <c r="C960" s="2" t="n">
        <v>2</v>
      </c>
      <c r="D960" s="2" t="s">
        <v>1061</v>
      </c>
      <c r="E960" s="2" t="s">
        <v>2011</v>
      </c>
      <c r="F960" s="3" t="n">
        <v>45753.5173611111</v>
      </c>
      <c r="G960" s="2" t="s">
        <v>2012</v>
      </c>
      <c r="H960" s="4" t="n">
        <v>-0.5023</v>
      </c>
      <c r="I960" s="2" t="s">
        <v>84</v>
      </c>
      <c r="J960" s="2" t="s">
        <v>33</v>
      </c>
      <c r="K960" s="2" t="n">
        <v>2</v>
      </c>
      <c r="L960" s="2" t="n">
        <v>1</v>
      </c>
      <c r="M960" s="2" t="n">
        <v>1</v>
      </c>
    </row>
    <row r="961" customFormat="false" ht="15" hidden="false" customHeight="false" outlineLevel="0" collapsed="false">
      <c r="A961" s="2" t="s">
        <v>2130</v>
      </c>
      <c r="B961" s="2" t="s">
        <v>2131</v>
      </c>
      <c r="C961" s="2" t="n">
        <v>4</v>
      </c>
      <c r="D961" s="2" t="s">
        <v>99</v>
      </c>
      <c r="E961" s="2" t="s">
        <v>2011</v>
      </c>
      <c r="F961" s="3" t="n">
        <v>45753.65625</v>
      </c>
      <c r="G961" s="2" t="s">
        <v>2012</v>
      </c>
      <c r="H961" s="4" t="n">
        <v>-0.3089</v>
      </c>
      <c r="I961" s="2" t="s">
        <v>84</v>
      </c>
      <c r="J961" s="2" t="s">
        <v>19</v>
      </c>
      <c r="K961" s="2" t="n">
        <v>2</v>
      </c>
      <c r="L961" s="2" t="n">
        <v>0</v>
      </c>
      <c r="M961" s="2" t="n">
        <v>1</v>
      </c>
    </row>
    <row r="962" customFormat="false" ht="15" hidden="false" customHeight="false" outlineLevel="0" collapsed="false">
      <c r="A962" s="2" t="s">
        <v>2132</v>
      </c>
      <c r="B962" s="2" t="s">
        <v>2133</v>
      </c>
      <c r="C962" s="2" t="n">
        <v>5</v>
      </c>
      <c r="D962" s="2" t="s">
        <v>127</v>
      </c>
      <c r="E962" s="2" t="s">
        <v>2011</v>
      </c>
      <c r="F962" s="3" t="n">
        <v>45753.7027777778</v>
      </c>
      <c r="G962" s="2" t="s">
        <v>2012</v>
      </c>
      <c r="H962" s="4" t="n">
        <v>0.9359</v>
      </c>
      <c r="I962" s="2" t="s">
        <v>23</v>
      </c>
      <c r="J962" s="2" t="s">
        <v>37</v>
      </c>
      <c r="K962" s="2" t="n">
        <v>6</v>
      </c>
      <c r="L962" s="2" t="n">
        <v>0</v>
      </c>
      <c r="M962" s="2" t="n">
        <v>1</v>
      </c>
    </row>
    <row r="963" customFormat="false" ht="15" hidden="false" customHeight="false" outlineLevel="0" collapsed="false">
      <c r="A963" s="2" t="s">
        <v>2134</v>
      </c>
      <c r="B963" s="2" t="s">
        <v>2135</v>
      </c>
      <c r="C963" s="2" t="n">
        <v>2</v>
      </c>
      <c r="D963" s="2" t="s">
        <v>823</v>
      </c>
      <c r="E963" s="2" t="s">
        <v>2011</v>
      </c>
      <c r="F963" s="3" t="n">
        <v>45753.9027777778</v>
      </c>
      <c r="G963" s="2" t="s">
        <v>2012</v>
      </c>
      <c r="H963" s="4" t="n">
        <v>-0.6997</v>
      </c>
      <c r="I963" s="2" t="s">
        <v>84</v>
      </c>
      <c r="J963" s="2" t="s">
        <v>19</v>
      </c>
      <c r="K963" s="2" t="n">
        <v>11</v>
      </c>
      <c r="L963" s="2" t="n">
        <v>1</v>
      </c>
      <c r="M963" s="2" t="n">
        <v>1</v>
      </c>
    </row>
    <row r="964" customFormat="false" ht="15" hidden="false" customHeight="false" outlineLevel="0" collapsed="false">
      <c r="A964" s="2" t="s">
        <v>2136</v>
      </c>
      <c r="B964" s="2" t="s">
        <v>2137</v>
      </c>
      <c r="C964" s="2" t="n">
        <v>4</v>
      </c>
      <c r="D964" s="2" t="s">
        <v>807</v>
      </c>
      <c r="E964" s="2" t="s">
        <v>2011</v>
      </c>
      <c r="F964" s="3" t="n">
        <v>45753.9256944444</v>
      </c>
      <c r="G964" s="2" t="s">
        <v>2012</v>
      </c>
      <c r="H964" s="4" t="n">
        <v>0.6369</v>
      </c>
      <c r="I964" s="2" t="s">
        <v>23</v>
      </c>
      <c r="J964" s="2" t="s">
        <v>19</v>
      </c>
      <c r="K964" s="2" t="n">
        <v>1</v>
      </c>
      <c r="L964" s="2" t="n">
        <v>0</v>
      </c>
      <c r="M964" s="2" t="n">
        <v>1</v>
      </c>
    </row>
    <row r="965" customFormat="false" ht="15" hidden="false" customHeight="false" outlineLevel="0" collapsed="false">
      <c r="A965" s="2" t="s">
        <v>2138</v>
      </c>
      <c r="B965" s="2" t="s">
        <v>2139</v>
      </c>
      <c r="C965" s="2" t="n">
        <v>4</v>
      </c>
      <c r="D965" s="2" t="s">
        <v>2140</v>
      </c>
      <c r="E965" s="2" t="s">
        <v>2011</v>
      </c>
      <c r="F965" s="3" t="n">
        <v>45753.9541666667</v>
      </c>
      <c r="G965" s="2" t="s">
        <v>2012</v>
      </c>
      <c r="H965" s="4" t="n">
        <v>0.8777</v>
      </c>
      <c r="I965" s="2" t="s">
        <v>23</v>
      </c>
      <c r="J965" s="2" t="s">
        <v>19</v>
      </c>
      <c r="K965" s="2" t="n">
        <v>3</v>
      </c>
      <c r="L965" s="2" t="n">
        <v>0</v>
      </c>
      <c r="M965" s="2" t="n">
        <v>1</v>
      </c>
    </row>
    <row r="966" customFormat="false" ht="15" hidden="false" customHeight="false" outlineLevel="0" collapsed="false">
      <c r="A966" s="2" t="s">
        <v>2141</v>
      </c>
      <c r="B966" s="2" t="s">
        <v>2142</v>
      </c>
      <c r="C966" s="2" t="n">
        <v>3</v>
      </c>
      <c r="D966" s="2" t="s">
        <v>2143</v>
      </c>
      <c r="E966" s="2" t="s">
        <v>2011</v>
      </c>
      <c r="F966" s="3" t="n">
        <v>45754.0166666667</v>
      </c>
      <c r="G966" s="2" t="s">
        <v>2012</v>
      </c>
      <c r="H966" s="4" t="n">
        <v>0.6448</v>
      </c>
      <c r="I966" s="2" t="s">
        <v>23</v>
      </c>
      <c r="J966" s="2" t="s">
        <v>37</v>
      </c>
      <c r="K966" s="2" t="n">
        <v>2</v>
      </c>
      <c r="L966" s="2" t="n">
        <v>0</v>
      </c>
      <c r="M966" s="2" t="n">
        <v>1</v>
      </c>
    </row>
    <row r="967" customFormat="false" ht="15" hidden="false" customHeight="false" outlineLevel="0" collapsed="false">
      <c r="A967" s="2" t="s">
        <v>2144</v>
      </c>
      <c r="B967" s="2" t="s">
        <v>2145</v>
      </c>
      <c r="C967" s="2" t="n">
        <v>4</v>
      </c>
      <c r="D967" s="2" t="s">
        <v>40</v>
      </c>
      <c r="E967" s="2" t="s">
        <v>2011</v>
      </c>
      <c r="F967" s="3" t="n">
        <v>45754.1486111111</v>
      </c>
      <c r="G967" s="2" t="s">
        <v>2012</v>
      </c>
      <c r="H967" s="4" t="n">
        <v>0.4019</v>
      </c>
      <c r="I967" s="2" t="s">
        <v>23</v>
      </c>
      <c r="J967" s="2" t="s">
        <v>33</v>
      </c>
      <c r="K967" s="2" t="n">
        <v>3</v>
      </c>
      <c r="L967" s="2" t="n">
        <v>0</v>
      </c>
      <c r="M967" s="2" t="n">
        <v>1</v>
      </c>
    </row>
    <row r="968" customFormat="false" ht="15" hidden="false" customHeight="false" outlineLevel="0" collapsed="false">
      <c r="A968" s="2" t="s">
        <v>2146</v>
      </c>
      <c r="B968" s="2" t="s">
        <v>2147</v>
      </c>
      <c r="C968" s="2" t="n">
        <v>5</v>
      </c>
      <c r="D968" s="2" t="s">
        <v>52</v>
      </c>
      <c r="E968" s="2" t="s">
        <v>2011</v>
      </c>
      <c r="F968" s="3" t="n">
        <v>45754.1527777778</v>
      </c>
      <c r="G968" s="2" t="s">
        <v>2012</v>
      </c>
      <c r="H968" s="4" t="n">
        <v>0.6369</v>
      </c>
      <c r="I968" s="2" t="s">
        <v>23</v>
      </c>
      <c r="J968" s="2" t="s">
        <v>19</v>
      </c>
      <c r="K968" s="2" t="n">
        <v>9</v>
      </c>
      <c r="L968" s="2" t="n">
        <v>0</v>
      </c>
      <c r="M968" s="2" t="n">
        <v>1</v>
      </c>
    </row>
    <row r="969" customFormat="false" ht="15" hidden="false" customHeight="false" outlineLevel="0" collapsed="false">
      <c r="A969" s="2" t="s">
        <v>2148</v>
      </c>
      <c r="B969" s="2" t="s">
        <v>2149</v>
      </c>
      <c r="C969" s="2" t="n">
        <v>2</v>
      </c>
      <c r="D969" s="2" t="s">
        <v>460</v>
      </c>
      <c r="E969" s="2" t="s">
        <v>2011</v>
      </c>
      <c r="F969" s="3" t="n">
        <v>45754.2694444444</v>
      </c>
      <c r="G969" s="2" t="s">
        <v>2012</v>
      </c>
      <c r="H969" s="4" t="n">
        <v>-0.5984</v>
      </c>
      <c r="I969" s="2" t="s">
        <v>84</v>
      </c>
      <c r="J969" s="2" t="s">
        <v>19</v>
      </c>
      <c r="K969" s="2" t="n">
        <v>5</v>
      </c>
      <c r="L969" s="2" t="n">
        <v>0</v>
      </c>
      <c r="M969" s="2" t="n">
        <v>1</v>
      </c>
    </row>
    <row r="970" customFormat="false" ht="15" hidden="false" customHeight="false" outlineLevel="0" collapsed="false">
      <c r="A970" s="2" t="s">
        <v>2150</v>
      </c>
      <c r="B970" s="2" t="s">
        <v>2151</v>
      </c>
      <c r="C970" s="2" t="n">
        <v>2</v>
      </c>
      <c r="D970" s="2" t="s">
        <v>109</v>
      </c>
      <c r="E970" s="2" t="s">
        <v>2011</v>
      </c>
      <c r="F970" s="3" t="n">
        <v>45754.2986111111</v>
      </c>
      <c r="G970" s="2" t="s">
        <v>2012</v>
      </c>
      <c r="H970" s="4" t="n">
        <v>0</v>
      </c>
      <c r="I970" s="2" t="s">
        <v>18</v>
      </c>
      <c r="J970" s="2" t="s">
        <v>110</v>
      </c>
      <c r="K970" s="2" t="n">
        <v>0</v>
      </c>
      <c r="L970" s="2" t="n">
        <v>0</v>
      </c>
      <c r="M970" s="2" t="n">
        <v>1</v>
      </c>
    </row>
    <row r="971" customFormat="false" ht="15" hidden="false" customHeight="false" outlineLevel="0" collapsed="false">
      <c r="A971" s="2" t="s">
        <v>2152</v>
      </c>
      <c r="B971" s="2" t="s">
        <v>2153</v>
      </c>
      <c r="C971" s="2" t="n">
        <v>1</v>
      </c>
      <c r="D971" s="2" t="s">
        <v>823</v>
      </c>
      <c r="E971" s="2" t="s">
        <v>2011</v>
      </c>
      <c r="F971" s="3" t="n">
        <v>45754.5527777778</v>
      </c>
      <c r="G971" s="2" t="s">
        <v>2012</v>
      </c>
      <c r="H971" s="4" t="n">
        <v>-0.6997</v>
      </c>
      <c r="I971" s="2" t="s">
        <v>84</v>
      </c>
      <c r="J971" s="2" t="s">
        <v>19</v>
      </c>
      <c r="K971" s="2" t="n">
        <v>1</v>
      </c>
      <c r="L971" s="2" t="n">
        <v>1</v>
      </c>
      <c r="M971" s="2" t="n">
        <v>1</v>
      </c>
    </row>
    <row r="972" customFormat="false" ht="15" hidden="false" customHeight="false" outlineLevel="0" collapsed="false">
      <c r="A972" s="2" t="s">
        <v>2154</v>
      </c>
      <c r="B972" s="2" t="s">
        <v>2155</v>
      </c>
      <c r="C972" s="2" t="n">
        <v>4</v>
      </c>
      <c r="D972" s="2" t="s">
        <v>301</v>
      </c>
      <c r="E972" s="2" t="s">
        <v>2011</v>
      </c>
      <c r="F972" s="3" t="n">
        <v>45754.5715277778</v>
      </c>
      <c r="G972" s="2" t="s">
        <v>2012</v>
      </c>
      <c r="H972" s="4" t="n">
        <v>0.2263</v>
      </c>
      <c r="I972" s="2" t="s">
        <v>23</v>
      </c>
      <c r="J972" s="2" t="s">
        <v>19</v>
      </c>
      <c r="K972" s="2" t="n">
        <v>5</v>
      </c>
      <c r="L972" s="2" t="n">
        <v>0</v>
      </c>
      <c r="M972" s="2" t="n">
        <v>1</v>
      </c>
    </row>
    <row r="973" customFormat="false" ht="15" hidden="false" customHeight="false" outlineLevel="0" collapsed="false">
      <c r="A973" s="2" t="s">
        <v>2156</v>
      </c>
      <c r="B973" s="2" t="s">
        <v>2157</v>
      </c>
      <c r="C973" s="2" t="n">
        <v>3</v>
      </c>
      <c r="D973" s="2" t="s">
        <v>99</v>
      </c>
      <c r="E973" s="2" t="s">
        <v>2011</v>
      </c>
      <c r="F973" s="3" t="n">
        <v>45754.6215277778</v>
      </c>
      <c r="G973" s="2" t="s">
        <v>2012</v>
      </c>
      <c r="H973" s="4" t="n">
        <v>-0.3089</v>
      </c>
      <c r="I973" s="2" t="s">
        <v>84</v>
      </c>
      <c r="J973" s="2" t="s">
        <v>19</v>
      </c>
      <c r="K973" s="2" t="n">
        <v>0</v>
      </c>
      <c r="L973" s="2" t="n">
        <v>0</v>
      </c>
      <c r="M973" s="2" t="n">
        <v>1</v>
      </c>
    </row>
    <row r="974" customFormat="false" ht="15" hidden="false" customHeight="false" outlineLevel="0" collapsed="false">
      <c r="A974" s="2" t="s">
        <v>2158</v>
      </c>
      <c r="B974" s="2" t="s">
        <v>2159</v>
      </c>
      <c r="C974" s="2" t="n">
        <v>5</v>
      </c>
      <c r="D974" s="2" t="s">
        <v>52</v>
      </c>
      <c r="E974" s="2" t="s">
        <v>2011</v>
      </c>
      <c r="F974" s="3" t="n">
        <v>45754.75</v>
      </c>
      <c r="G974" s="2" t="s">
        <v>2012</v>
      </c>
      <c r="H974" s="4" t="n">
        <v>0.6369</v>
      </c>
      <c r="I974" s="2" t="s">
        <v>23</v>
      </c>
      <c r="J974" s="2" t="s">
        <v>19</v>
      </c>
      <c r="K974" s="2" t="n">
        <v>23</v>
      </c>
      <c r="L974" s="2" t="n">
        <v>0</v>
      </c>
      <c r="M974" s="2" t="n">
        <v>1</v>
      </c>
    </row>
    <row r="975" customFormat="false" ht="15" hidden="false" customHeight="false" outlineLevel="0" collapsed="false">
      <c r="A975" s="2" t="s">
        <v>2160</v>
      </c>
      <c r="B975" s="2" t="s">
        <v>2161</v>
      </c>
      <c r="C975" s="2" t="n">
        <v>1</v>
      </c>
      <c r="D975" s="2" t="s">
        <v>2162</v>
      </c>
      <c r="E975" s="2" t="s">
        <v>2011</v>
      </c>
      <c r="F975" s="3" t="n">
        <v>45754.7625</v>
      </c>
      <c r="G975" s="2" t="s">
        <v>2012</v>
      </c>
      <c r="H975" s="4" t="n">
        <v>-0.4533</v>
      </c>
      <c r="I975" s="2" t="s">
        <v>84</v>
      </c>
      <c r="J975" s="2" t="s">
        <v>59</v>
      </c>
      <c r="K975" s="2" t="n">
        <v>0</v>
      </c>
      <c r="L975" s="2" t="n">
        <v>1</v>
      </c>
      <c r="M975" s="2" t="n">
        <v>1</v>
      </c>
    </row>
    <row r="976" customFormat="false" ht="15" hidden="false" customHeight="false" outlineLevel="0" collapsed="false">
      <c r="A976" s="2" t="s">
        <v>2163</v>
      </c>
      <c r="B976" s="2" t="s">
        <v>2164</v>
      </c>
      <c r="C976" s="2" t="n">
        <v>3</v>
      </c>
      <c r="D976" s="2" t="s">
        <v>2127</v>
      </c>
      <c r="E976" s="2" t="s">
        <v>2011</v>
      </c>
      <c r="F976" s="3" t="n">
        <v>45754.8625</v>
      </c>
      <c r="G976" s="2" t="s">
        <v>2012</v>
      </c>
      <c r="H976" s="4" t="n">
        <v>0.3818</v>
      </c>
      <c r="I976" s="2" t="s">
        <v>23</v>
      </c>
      <c r="J976" s="2" t="s">
        <v>19</v>
      </c>
      <c r="K976" s="2" t="n">
        <v>1</v>
      </c>
      <c r="L976" s="2" t="n">
        <v>0</v>
      </c>
      <c r="M976" s="2" t="n">
        <v>1</v>
      </c>
    </row>
    <row r="977" customFormat="false" ht="15" hidden="false" customHeight="false" outlineLevel="0" collapsed="false">
      <c r="A977" s="2" t="s">
        <v>2165</v>
      </c>
      <c r="B977" s="2" t="s">
        <v>2166</v>
      </c>
      <c r="C977" s="2" t="n">
        <v>3</v>
      </c>
      <c r="D977" s="2" t="s">
        <v>946</v>
      </c>
      <c r="E977" s="2" t="s">
        <v>2011</v>
      </c>
      <c r="F977" s="3" t="n">
        <v>45754.8854166667</v>
      </c>
      <c r="G977" s="2" t="s">
        <v>2012</v>
      </c>
      <c r="H977" s="4" t="n">
        <v>-0.25</v>
      </c>
      <c r="I977" s="2" t="s">
        <v>84</v>
      </c>
      <c r="J977" s="2" t="s">
        <v>37</v>
      </c>
      <c r="K977" s="2" t="n">
        <v>1</v>
      </c>
      <c r="L977" s="2" t="n">
        <v>0</v>
      </c>
      <c r="M977" s="2" t="n">
        <v>1</v>
      </c>
    </row>
    <row r="978" customFormat="false" ht="15" hidden="false" customHeight="false" outlineLevel="0" collapsed="false">
      <c r="A978" s="2" t="s">
        <v>2167</v>
      </c>
      <c r="B978" s="2" t="s">
        <v>2168</v>
      </c>
      <c r="C978" s="2" t="n">
        <v>5</v>
      </c>
      <c r="D978" s="2" t="s">
        <v>565</v>
      </c>
      <c r="E978" s="2" t="s">
        <v>2011</v>
      </c>
      <c r="F978" s="3" t="n">
        <v>45754.9847222222</v>
      </c>
      <c r="G978" s="2" t="s">
        <v>2012</v>
      </c>
      <c r="H978" s="4" t="n">
        <v>0.7549</v>
      </c>
      <c r="I978" s="2" t="s">
        <v>23</v>
      </c>
      <c r="J978" s="2" t="s">
        <v>19</v>
      </c>
      <c r="K978" s="2" t="n">
        <v>4</v>
      </c>
      <c r="L978" s="2" t="n">
        <v>0</v>
      </c>
      <c r="M978" s="2" t="n">
        <v>1</v>
      </c>
    </row>
    <row r="979" customFormat="false" ht="15" hidden="false" customHeight="false" outlineLevel="0" collapsed="false">
      <c r="A979" s="2" t="s">
        <v>2169</v>
      </c>
      <c r="B979" s="2" t="s">
        <v>2170</v>
      </c>
      <c r="C979" s="2" t="n">
        <v>4</v>
      </c>
      <c r="D979" s="2" t="s">
        <v>90</v>
      </c>
      <c r="E979" s="2" t="s">
        <v>2011</v>
      </c>
      <c r="F979" s="3" t="n">
        <v>45755.0208333333</v>
      </c>
      <c r="G979" s="2" t="s">
        <v>2012</v>
      </c>
      <c r="H979" s="4" t="n">
        <v>0.6249</v>
      </c>
      <c r="I979" s="2" t="s">
        <v>23</v>
      </c>
      <c r="J979" s="2" t="s">
        <v>37</v>
      </c>
      <c r="K979" s="2" t="n">
        <v>0</v>
      </c>
      <c r="L979" s="2" t="n">
        <v>0</v>
      </c>
      <c r="M979" s="2" t="n">
        <v>1</v>
      </c>
    </row>
    <row r="980" customFormat="false" ht="15" hidden="false" customHeight="false" outlineLevel="0" collapsed="false">
      <c r="A980" s="2" t="s">
        <v>2171</v>
      </c>
      <c r="B980" s="2" t="s">
        <v>2172</v>
      </c>
      <c r="C980" s="2" t="n">
        <v>2</v>
      </c>
      <c r="D980" s="2" t="s">
        <v>733</v>
      </c>
      <c r="E980" s="2" t="s">
        <v>2011</v>
      </c>
      <c r="F980" s="3" t="n">
        <v>45755.1361111111</v>
      </c>
      <c r="G980" s="2" t="s">
        <v>2012</v>
      </c>
      <c r="H980" s="4" t="n">
        <v>-0.2846</v>
      </c>
      <c r="I980" s="2" t="s">
        <v>84</v>
      </c>
      <c r="J980" s="2" t="s">
        <v>37</v>
      </c>
      <c r="K980" s="2" t="n">
        <v>2</v>
      </c>
      <c r="L980" s="2" t="n">
        <v>1</v>
      </c>
      <c r="M980" s="2" t="n">
        <v>1</v>
      </c>
    </row>
    <row r="981" customFormat="false" ht="15" hidden="false" customHeight="false" outlineLevel="0" collapsed="false">
      <c r="A981" s="2" t="s">
        <v>2173</v>
      </c>
      <c r="B981" s="2" t="s">
        <v>2174</v>
      </c>
      <c r="C981" s="2" t="n">
        <v>4</v>
      </c>
      <c r="D981" s="2" t="s">
        <v>40</v>
      </c>
      <c r="E981" s="2" t="s">
        <v>2011</v>
      </c>
      <c r="F981" s="3" t="n">
        <v>45755.15</v>
      </c>
      <c r="G981" s="2" t="s">
        <v>2012</v>
      </c>
      <c r="H981" s="4" t="n">
        <v>0.4019</v>
      </c>
      <c r="I981" s="2" t="s">
        <v>23</v>
      </c>
      <c r="J981" s="2" t="s">
        <v>33</v>
      </c>
      <c r="K981" s="2" t="n">
        <v>2</v>
      </c>
      <c r="L981" s="2" t="n">
        <v>0</v>
      </c>
      <c r="M981" s="2" t="n">
        <v>1</v>
      </c>
    </row>
    <row r="982" customFormat="false" ht="15" hidden="false" customHeight="false" outlineLevel="0" collapsed="false">
      <c r="A982" s="2" t="s">
        <v>2175</v>
      </c>
      <c r="B982" s="2" t="s">
        <v>2176</v>
      </c>
      <c r="C982" s="2" t="n">
        <v>3</v>
      </c>
      <c r="D982" s="2" t="s">
        <v>87</v>
      </c>
      <c r="E982" s="2" t="s">
        <v>2011</v>
      </c>
      <c r="F982" s="3" t="n">
        <v>45755.2923611111</v>
      </c>
      <c r="G982" s="2" t="s">
        <v>2012</v>
      </c>
      <c r="H982" s="4" t="n">
        <v>0</v>
      </c>
      <c r="I982" s="2" t="s">
        <v>18</v>
      </c>
      <c r="J982" s="2" t="s">
        <v>19</v>
      </c>
      <c r="K982" s="2" t="n">
        <v>2</v>
      </c>
      <c r="L982" s="2" t="n">
        <v>0</v>
      </c>
      <c r="M982" s="2" t="n">
        <v>1</v>
      </c>
    </row>
    <row r="983" customFormat="false" ht="15" hidden="false" customHeight="false" outlineLevel="0" collapsed="false">
      <c r="A983" s="2" t="s">
        <v>2177</v>
      </c>
      <c r="B983" s="2" t="s">
        <v>2178</v>
      </c>
      <c r="C983" s="2" t="n">
        <v>3</v>
      </c>
      <c r="D983" s="2" t="s">
        <v>2179</v>
      </c>
      <c r="E983" s="2" t="s">
        <v>2011</v>
      </c>
      <c r="F983" s="3" t="n">
        <v>45755.4263888889</v>
      </c>
      <c r="G983" s="2" t="s">
        <v>2012</v>
      </c>
      <c r="H983" s="4" t="n">
        <v>-0.3089</v>
      </c>
      <c r="I983" s="2" t="s">
        <v>84</v>
      </c>
      <c r="J983" s="2" t="s">
        <v>59</v>
      </c>
      <c r="K983" s="2" t="n">
        <v>3</v>
      </c>
      <c r="L983" s="2" t="n">
        <v>0</v>
      </c>
      <c r="M983" s="2" t="n">
        <v>1</v>
      </c>
    </row>
    <row r="984" customFormat="false" ht="15" hidden="false" customHeight="false" outlineLevel="0" collapsed="false">
      <c r="A984" s="2" t="s">
        <v>2180</v>
      </c>
      <c r="B984" s="2" t="s">
        <v>2181</v>
      </c>
      <c r="C984" s="2" t="n">
        <v>4</v>
      </c>
      <c r="D984" s="2" t="s">
        <v>62</v>
      </c>
      <c r="E984" s="2" t="s">
        <v>2011</v>
      </c>
      <c r="F984" s="3" t="n">
        <v>45755.5881944444</v>
      </c>
      <c r="G984" s="2" t="s">
        <v>2012</v>
      </c>
      <c r="H984" s="4" t="n">
        <v>0.7088</v>
      </c>
      <c r="I984" s="2" t="s">
        <v>23</v>
      </c>
      <c r="J984" s="2" t="s">
        <v>19</v>
      </c>
      <c r="K984" s="2" t="n">
        <v>6</v>
      </c>
      <c r="L984" s="2" t="n">
        <v>0</v>
      </c>
      <c r="M984" s="2" t="n">
        <v>1</v>
      </c>
    </row>
    <row r="985" customFormat="false" ht="15" hidden="false" customHeight="false" outlineLevel="0" collapsed="false">
      <c r="A985" s="2" t="s">
        <v>2182</v>
      </c>
      <c r="B985" s="2" t="s">
        <v>2183</v>
      </c>
      <c r="C985" s="2" t="n">
        <v>1</v>
      </c>
      <c r="D985" s="2" t="s">
        <v>733</v>
      </c>
      <c r="E985" s="2" t="s">
        <v>2011</v>
      </c>
      <c r="F985" s="3" t="n">
        <v>45755.6319444445</v>
      </c>
      <c r="G985" s="2" t="s">
        <v>2012</v>
      </c>
      <c r="H985" s="4" t="n">
        <v>-0.2846</v>
      </c>
      <c r="I985" s="2" t="s">
        <v>84</v>
      </c>
      <c r="J985" s="2" t="s">
        <v>37</v>
      </c>
      <c r="K985" s="2" t="n">
        <v>6</v>
      </c>
      <c r="L985" s="2" t="n">
        <v>0</v>
      </c>
      <c r="M985" s="2" t="n">
        <v>1</v>
      </c>
    </row>
    <row r="986" customFormat="false" ht="15" hidden="false" customHeight="false" outlineLevel="0" collapsed="false">
      <c r="A986" s="2" t="s">
        <v>2184</v>
      </c>
      <c r="B986" s="2" t="s">
        <v>2185</v>
      </c>
      <c r="C986" s="2" t="n">
        <v>1</v>
      </c>
      <c r="D986" s="2" t="s">
        <v>2186</v>
      </c>
      <c r="E986" s="2" t="s">
        <v>2011</v>
      </c>
      <c r="F986" s="3" t="n">
        <v>45755.6847222222</v>
      </c>
      <c r="G986" s="2" t="s">
        <v>2012</v>
      </c>
      <c r="H986" s="4" t="n">
        <v>-0.128</v>
      </c>
      <c r="I986" s="2" t="s">
        <v>84</v>
      </c>
      <c r="J986" s="2" t="s">
        <v>37</v>
      </c>
      <c r="K986" s="2" t="n">
        <v>1</v>
      </c>
      <c r="L986" s="2" t="n">
        <v>0</v>
      </c>
      <c r="M986" s="2" t="n">
        <v>1</v>
      </c>
    </row>
    <row r="987" customFormat="false" ht="15" hidden="false" customHeight="false" outlineLevel="0" collapsed="false">
      <c r="A987" s="2" t="s">
        <v>2187</v>
      </c>
      <c r="B987" s="2" t="s">
        <v>2188</v>
      </c>
      <c r="C987" s="2" t="n">
        <v>1</v>
      </c>
      <c r="D987" s="2" t="s">
        <v>701</v>
      </c>
      <c r="E987" s="2" t="s">
        <v>2011</v>
      </c>
      <c r="F987" s="3" t="n">
        <v>45755.8506944445</v>
      </c>
      <c r="G987" s="2" t="s">
        <v>2012</v>
      </c>
      <c r="H987" s="4" t="n">
        <v>-0.7184</v>
      </c>
      <c r="I987" s="2" t="s">
        <v>84</v>
      </c>
      <c r="J987" s="2" t="s">
        <v>37</v>
      </c>
      <c r="K987" s="2" t="n">
        <v>1</v>
      </c>
      <c r="L987" s="2" t="n">
        <v>1</v>
      </c>
      <c r="M987" s="2" t="n">
        <v>1</v>
      </c>
    </row>
    <row r="988" customFormat="false" ht="15" hidden="false" customHeight="false" outlineLevel="0" collapsed="false">
      <c r="A988" s="2" t="s">
        <v>2189</v>
      </c>
      <c r="B988" s="2" t="s">
        <v>2190</v>
      </c>
      <c r="C988" s="2" t="n">
        <v>5</v>
      </c>
      <c r="D988" s="2" t="s">
        <v>652</v>
      </c>
      <c r="E988" s="2" t="s">
        <v>2011</v>
      </c>
      <c r="F988" s="3" t="n">
        <v>45755.9333333333</v>
      </c>
      <c r="G988" s="2" t="s">
        <v>2012</v>
      </c>
      <c r="H988" s="4" t="n">
        <v>0.8555</v>
      </c>
      <c r="I988" s="2" t="s">
        <v>23</v>
      </c>
      <c r="J988" s="2" t="s">
        <v>19</v>
      </c>
      <c r="K988" s="2" t="n">
        <v>1</v>
      </c>
      <c r="L988" s="2" t="n">
        <v>0</v>
      </c>
      <c r="M988" s="2" t="n">
        <v>1</v>
      </c>
    </row>
    <row r="989" customFormat="false" ht="15" hidden="false" customHeight="false" outlineLevel="0" collapsed="false">
      <c r="A989" s="2" t="s">
        <v>2191</v>
      </c>
      <c r="B989" s="2" t="s">
        <v>2192</v>
      </c>
      <c r="C989" s="2" t="n">
        <v>2</v>
      </c>
      <c r="D989" s="2" t="s">
        <v>2193</v>
      </c>
      <c r="E989" s="2" t="s">
        <v>2011</v>
      </c>
      <c r="F989" s="3" t="n">
        <v>45756.0131944444</v>
      </c>
      <c r="G989" s="2" t="s">
        <v>2012</v>
      </c>
      <c r="H989" s="4" t="n">
        <v>-0.3291</v>
      </c>
      <c r="I989" s="2" t="s">
        <v>84</v>
      </c>
      <c r="J989" s="2" t="s">
        <v>33</v>
      </c>
      <c r="K989" s="2" t="n">
        <v>3</v>
      </c>
      <c r="L989" s="2" t="n">
        <v>0</v>
      </c>
      <c r="M989" s="2" t="n">
        <v>1</v>
      </c>
    </row>
    <row r="990" customFormat="false" ht="15" hidden="false" customHeight="false" outlineLevel="0" collapsed="false">
      <c r="A990" s="2" t="s">
        <v>2194</v>
      </c>
      <c r="B990" s="2" t="s">
        <v>2195</v>
      </c>
      <c r="C990" s="2" t="n">
        <v>2</v>
      </c>
      <c r="D990" s="2" t="s">
        <v>946</v>
      </c>
      <c r="E990" s="2" t="s">
        <v>2011</v>
      </c>
      <c r="F990" s="3" t="n">
        <v>45756.0291666667</v>
      </c>
      <c r="G990" s="2" t="s">
        <v>2012</v>
      </c>
      <c r="H990" s="4" t="n">
        <v>-0.25</v>
      </c>
      <c r="I990" s="2" t="s">
        <v>84</v>
      </c>
      <c r="J990" s="2" t="s">
        <v>37</v>
      </c>
      <c r="K990" s="2" t="n">
        <v>6</v>
      </c>
      <c r="L990" s="2" t="n">
        <v>0</v>
      </c>
      <c r="M990" s="2" t="n">
        <v>1</v>
      </c>
    </row>
    <row r="991" customFormat="false" ht="15" hidden="false" customHeight="false" outlineLevel="0" collapsed="false">
      <c r="A991" s="2" t="s">
        <v>2196</v>
      </c>
      <c r="B991" s="2" t="s">
        <v>2197</v>
      </c>
      <c r="C991" s="2" t="n">
        <v>5</v>
      </c>
      <c r="D991" s="2" t="s">
        <v>52</v>
      </c>
      <c r="E991" s="2" t="s">
        <v>2011</v>
      </c>
      <c r="F991" s="3" t="n">
        <v>45756.1243055556</v>
      </c>
      <c r="G991" s="2" t="s">
        <v>2012</v>
      </c>
      <c r="H991" s="4" t="n">
        <v>0.6369</v>
      </c>
      <c r="I991" s="2" t="s">
        <v>23</v>
      </c>
      <c r="J991" s="2" t="s">
        <v>19</v>
      </c>
      <c r="K991" s="2" t="n">
        <v>0</v>
      </c>
      <c r="L991" s="2" t="n">
        <v>0</v>
      </c>
      <c r="M991" s="2" t="n">
        <v>1</v>
      </c>
    </row>
    <row r="992" customFormat="false" ht="15" hidden="false" customHeight="false" outlineLevel="0" collapsed="false">
      <c r="A992" s="2" t="s">
        <v>2198</v>
      </c>
      <c r="B992" s="2" t="s">
        <v>2199</v>
      </c>
      <c r="C992" s="2" t="n">
        <v>5</v>
      </c>
      <c r="D992" s="2" t="s">
        <v>40</v>
      </c>
      <c r="E992" s="2" t="s">
        <v>2011</v>
      </c>
      <c r="F992" s="3" t="n">
        <v>45756.1479166667</v>
      </c>
      <c r="G992" s="2" t="s">
        <v>2012</v>
      </c>
      <c r="H992" s="4" t="n">
        <v>0.4019</v>
      </c>
      <c r="I992" s="2" t="s">
        <v>23</v>
      </c>
      <c r="J992" s="2" t="s">
        <v>33</v>
      </c>
      <c r="K992" s="2" t="n">
        <v>1</v>
      </c>
      <c r="L992" s="2" t="n">
        <v>0</v>
      </c>
      <c r="M992" s="2" t="n">
        <v>1</v>
      </c>
    </row>
    <row r="993" customFormat="false" ht="15" hidden="false" customHeight="false" outlineLevel="0" collapsed="false">
      <c r="A993" s="2" t="s">
        <v>2200</v>
      </c>
      <c r="B993" s="2" t="s">
        <v>2201</v>
      </c>
      <c r="C993" s="2" t="n">
        <v>3</v>
      </c>
      <c r="D993" s="2" t="s">
        <v>22</v>
      </c>
      <c r="E993" s="2" t="s">
        <v>2011</v>
      </c>
      <c r="F993" s="3" t="n">
        <v>45756.4034722222</v>
      </c>
      <c r="G993" s="2" t="s">
        <v>2012</v>
      </c>
      <c r="H993" s="4" t="n">
        <v>0.2023</v>
      </c>
      <c r="I993" s="2" t="s">
        <v>23</v>
      </c>
      <c r="J993" s="2" t="s">
        <v>19</v>
      </c>
      <c r="K993" s="2" t="n">
        <v>0</v>
      </c>
      <c r="L993" s="2" t="n">
        <v>0</v>
      </c>
      <c r="M993" s="2" t="n">
        <v>1</v>
      </c>
    </row>
    <row r="994" customFormat="false" ht="15" hidden="false" customHeight="false" outlineLevel="0" collapsed="false">
      <c r="A994" s="2" t="s">
        <v>2202</v>
      </c>
      <c r="B994" s="2" t="s">
        <v>2203</v>
      </c>
      <c r="C994" s="2" t="n">
        <v>4</v>
      </c>
      <c r="D994" s="2" t="s">
        <v>40</v>
      </c>
      <c r="E994" s="2" t="s">
        <v>2011</v>
      </c>
      <c r="F994" s="3" t="n">
        <v>45756.50625</v>
      </c>
      <c r="G994" s="2" t="s">
        <v>2012</v>
      </c>
      <c r="H994" s="4" t="n">
        <v>0.4019</v>
      </c>
      <c r="I994" s="2" t="s">
        <v>23</v>
      </c>
      <c r="J994" s="2" t="s">
        <v>33</v>
      </c>
      <c r="K994" s="2" t="n">
        <v>6</v>
      </c>
      <c r="L994" s="2" t="n">
        <v>0</v>
      </c>
      <c r="M994" s="2" t="n">
        <v>1</v>
      </c>
    </row>
    <row r="995" customFormat="false" ht="15" hidden="false" customHeight="false" outlineLevel="0" collapsed="false">
      <c r="A995" s="2" t="s">
        <v>2204</v>
      </c>
      <c r="B995" s="2" t="s">
        <v>2205</v>
      </c>
      <c r="C995" s="2" t="n">
        <v>3</v>
      </c>
      <c r="D995" s="2" t="s">
        <v>2206</v>
      </c>
      <c r="E995" s="2" t="s">
        <v>2011</v>
      </c>
      <c r="F995" s="3" t="n">
        <v>45756.6347222222</v>
      </c>
      <c r="G995" s="2" t="s">
        <v>2012</v>
      </c>
      <c r="H995" s="4" t="n">
        <v>-0.6437</v>
      </c>
      <c r="I995" s="2" t="s">
        <v>84</v>
      </c>
      <c r="J995" s="2" t="s">
        <v>37</v>
      </c>
      <c r="K995" s="2" t="n">
        <v>5</v>
      </c>
      <c r="L995" s="2" t="n">
        <v>0</v>
      </c>
      <c r="M995" s="2" t="n">
        <v>1</v>
      </c>
    </row>
    <row r="996" customFormat="false" ht="15" hidden="false" customHeight="false" outlineLevel="0" collapsed="false">
      <c r="A996" s="2" t="s">
        <v>2207</v>
      </c>
      <c r="B996" s="2" t="s">
        <v>2208</v>
      </c>
      <c r="C996" s="2" t="n">
        <v>1</v>
      </c>
      <c r="D996" s="2" t="s">
        <v>946</v>
      </c>
      <c r="E996" s="2" t="s">
        <v>2011</v>
      </c>
      <c r="F996" s="3" t="n">
        <v>45756.6701388889</v>
      </c>
      <c r="G996" s="2" t="s">
        <v>2012</v>
      </c>
      <c r="H996" s="4" t="n">
        <v>-0.25</v>
      </c>
      <c r="I996" s="2" t="s">
        <v>84</v>
      </c>
      <c r="J996" s="2" t="s">
        <v>37</v>
      </c>
      <c r="K996" s="2" t="n">
        <v>1</v>
      </c>
      <c r="L996" s="2" t="n">
        <v>0</v>
      </c>
      <c r="M996" s="2" t="n">
        <v>1</v>
      </c>
    </row>
    <row r="997" customFormat="false" ht="15" hidden="false" customHeight="false" outlineLevel="0" collapsed="false">
      <c r="A997" s="2" t="s">
        <v>2209</v>
      </c>
      <c r="B997" s="2" t="s">
        <v>2210</v>
      </c>
      <c r="C997" s="2" t="n">
        <v>3</v>
      </c>
      <c r="D997" s="2" t="s">
        <v>721</v>
      </c>
      <c r="E997" s="2" t="s">
        <v>2011</v>
      </c>
      <c r="F997" s="3" t="n">
        <v>45756.7819444445</v>
      </c>
      <c r="G997" s="2" t="s">
        <v>2012</v>
      </c>
      <c r="H997" s="4" t="n">
        <v>-0.4588</v>
      </c>
      <c r="I997" s="2" t="s">
        <v>84</v>
      </c>
      <c r="J997" s="2" t="s">
        <v>37</v>
      </c>
      <c r="K997" s="2" t="n">
        <v>2</v>
      </c>
      <c r="L997" s="2" t="n">
        <v>0</v>
      </c>
      <c r="M997" s="2" t="n">
        <v>1</v>
      </c>
    </row>
    <row r="998" customFormat="false" ht="15" hidden="false" customHeight="false" outlineLevel="0" collapsed="false">
      <c r="A998" s="2" t="s">
        <v>2211</v>
      </c>
      <c r="B998" s="2" t="s">
        <v>2212</v>
      </c>
      <c r="C998" s="2" t="n">
        <v>1</v>
      </c>
      <c r="D998" s="2" t="s">
        <v>661</v>
      </c>
      <c r="E998" s="2" t="s">
        <v>2011</v>
      </c>
      <c r="F998" s="3" t="n">
        <v>45756.9208333333</v>
      </c>
      <c r="G998" s="2" t="s">
        <v>2012</v>
      </c>
      <c r="H998" s="4" t="n">
        <v>0</v>
      </c>
      <c r="I998" s="2" t="s">
        <v>18</v>
      </c>
      <c r="J998" s="2" t="s">
        <v>59</v>
      </c>
      <c r="K998" s="2" t="n">
        <v>7</v>
      </c>
      <c r="L998" s="2" t="n">
        <v>0</v>
      </c>
      <c r="M998" s="2" t="n">
        <v>1</v>
      </c>
    </row>
    <row r="999" customFormat="false" ht="15" hidden="false" customHeight="false" outlineLevel="0" collapsed="false">
      <c r="A999" s="2" t="s">
        <v>2213</v>
      </c>
      <c r="B999" s="2" t="s">
        <v>2214</v>
      </c>
      <c r="C999" s="2" t="n">
        <v>5</v>
      </c>
      <c r="D999" s="2" t="s">
        <v>15</v>
      </c>
      <c r="E999" s="2" t="s">
        <v>2011</v>
      </c>
      <c r="F999" s="3" t="n">
        <v>45756.9888888889</v>
      </c>
      <c r="G999" s="2" t="s">
        <v>2012</v>
      </c>
      <c r="H999" s="4" t="n">
        <v>0</v>
      </c>
      <c r="I999" s="2" t="s">
        <v>18</v>
      </c>
      <c r="J999" s="2" t="s">
        <v>19</v>
      </c>
      <c r="K999" s="2" t="n">
        <v>0</v>
      </c>
      <c r="L999" s="2" t="n">
        <v>0</v>
      </c>
      <c r="M999" s="2" t="n">
        <v>1</v>
      </c>
    </row>
    <row r="1000" customFormat="false" ht="15" hidden="false" customHeight="false" outlineLevel="0" collapsed="false">
      <c r="A1000" s="2" t="s">
        <v>2215</v>
      </c>
      <c r="B1000" s="2" t="s">
        <v>2216</v>
      </c>
      <c r="C1000" s="2" t="n">
        <v>5</v>
      </c>
      <c r="D1000" s="2" t="s">
        <v>47</v>
      </c>
      <c r="E1000" s="2" t="s">
        <v>2011</v>
      </c>
      <c r="F1000" s="3" t="n">
        <v>45757.0145833333</v>
      </c>
      <c r="G1000" s="2" t="s">
        <v>2012</v>
      </c>
      <c r="H1000" s="4" t="n">
        <v>0.3089</v>
      </c>
      <c r="I1000" s="2" t="s">
        <v>23</v>
      </c>
      <c r="J1000" s="2" t="s">
        <v>19</v>
      </c>
      <c r="K1000" s="2" t="n">
        <v>12</v>
      </c>
      <c r="L1000" s="2" t="n">
        <v>0</v>
      </c>
      <c r="M1000" s="2" t="n">
        <v>1</v>
      </c>
    </row>
    <row r="1001" customFormat="false" ht="15" hidden="false" customHeight="false" outlineLevel="0" collapsed="false">
      <c r="A1001" s="2" t="s">
        <v>2217</v>
      </c>
      <c r="B1001" s="2" t="s">
        <v>2218</v>
      </c>
      <c r="C1001" s="2" t="n">
        <v>5</v>
      </c>
      <c r="D1001" s="2" t="s">
        <v>127</v>
      </c>
      <c r="E1001" s="2" t="s">
        <v>2011</v>
      </c>
      <c r="F1001" s="3" t="n">
        <v>45757.25625</v>
      </c>
      <c r="G1001" s="2" t="s">
        <v>2012</v>
      </c>
      <c r="H1001" s="4" t="n">
        <v>0.9359</v>
      </c>
      <c r="I1001" s="2" t="s">
        <v>23</v>
      </c>
      <c r="J1001" s="2" t="s">
        <v>37</v>
      </c>
      <c r="K1001" s="2" t="n">
        <v>4</v>
      </c>
      <c r="L1001" s="2" t="n">
        <v>0</v>
      </c>
      <c r="M1001" s="2" t="n">
        <v>1</v>
      </c>
    </row>
    <row r="1002" customFormat="false" ht="15" hidden="false" customHeight="false" outlineLevel="0" collapsed="false">
      <c r="A1002" s="2" t="s">
        <v>2219</v>
      </c>
      <c r="B1002" s="2" t="s">
        <v>2220</v>
      </c>
      <c r="C1002" s="2" t="n">
        <v>1</v>
      </c>
      <c r="D1002" s="2" t="s">
        <v>946</v>
      </c>
      <c r="E1002" s="2" t="s">
        <v>2011</v>
      </c>
      <c r="F1002" s="3" t="n">
        <v>45757.4472222222</v>
      </c>
      <c r="G1002" s="2" t="s">
        <v>2012</v>
      </c>
      <c r="H1002" s="4" t="n">
        <v>-0.25</v>
      </c>
      <c r="I1002" s="2" t="s">
        <v>84</v>
      </c>
      <c r="J1002" s="2" t="s">
        <v>37</v>
      </c>
      <c r="K1002" s="2" t="n">
        <v>4</v>
      </c>
      <c r="L1002" s="2" t="n">
        <v>1</v>
      </c>
      <c r="M1002" s="2" t="n">
        <v>1</v>
      </c>
    </row>
    <row r="1003" customFormat="false" ht="15" hidden="false" customHeight="false" outlineLevel="0" collapsed="false">
      <c r="A1003" s="2" t="s">
        <v>2221</v>
      </c>
      <c r="B1003" s="2" t="s">
        <v>2222</v>
      </c>
      <c r="C1003" s="2" t="n">
        <v>1</v>
      </c>
      <c r="D1003" s="2" t="s">
        <v>661</v>
      </c>
      <c r="E1003" s="2" t="s">
        <v>2011</v>
      </c>
      <c r="F1003" s="3" t="n">
        <v>45757.5291666667</v>
      </c>
      <c r="G1003" s="2" t="s">
        <v>2012</v>
      </c>
      <c r="H1003" s="4" t="n">
        <v>0</v>
      </c>
      <c r="I1003" s="2" t="s">
        <v>18</v>
      </c>
      <c r="J1003" s="2" t="s">
        <v>59</v>
      </c>
      <c r="K1003" s="2" t="n">
        <v>0</v>
      </c>
      <c r="L1003" s="2" t="n">
        <v>1</v>
      </c>
      <c r="M1003" s="2" t="n">
        <v>1</v>
      </c>
    </row>
    <row r="1004" customFormat="false" ht="15" hidden="false" customHeight="false" outlineLevel="0" collapsed="false">
      <c r="A1004" s="2" t="s">
        <v>2223</v>
      </c>
      <c r="B1004" s="2" t="s">
        <v>2224</v>
      </c>
      <c r="C1004" s="2" t="n">
        <v>3</v>
      </c>
      <c r="D1004" s="2" t="s">
        <v>301</v>
      </c>
      <c r="E1004" s="2" t="s">
        <v>2011</v>
      </c>
      <c r="F1004" s="3" t="n">
        <v>45757.6916666667</v>
      </c>
      <c r="G1004" s="2" t="s">
        <v>2012</v>
      </c>
      <c r="H1004" s="4" t="n">
        <v>0.2263</v>
      </c>
      <c r="I1004" s="2" t="s">
        <v>23</v>
      </c>
      <c r="J1004" s="2" t="s">
        <v>19</v>
      </c>
      <c r="K1004" s="2" t="n">
        <v>5</v>
      </c>
      <c r="L1004" s="2" t="n">
        <v>0</v>
      </c>
      <c r="M1004" s="2" t="n">
        <v>1</v>
      </c>
    </row>
    <row r="1005" customFormat="false" ht="15" hidden="false" customHeight="false" outlineLevel="0" collapsed="false">
      <c r="A1005" s="2" t="s">
        <v>2225</v>
      </c>
      <c r="B1005" s="2" t="s">
        <v>2226</v>
      </c>
      <c r="C1005" s="2" t="n">
        <v>4</v>
      </c>
      <c r="D1005" s="2" t="s">
        <v>47</v>
      </c>
      <c r="E1005" s="2" t="s">
        <v>2011</v>
      </c>
      <c r="F1005" s="3" t="n">
        <v>45757.8222222222</v>
      </c>
      <c r="G1005" s="2" t="s">
        <v>2012</v>
      </c>
      <c r="H1005" s="4" t="n">
        <v>0.3089</v>
      </c>
      <c r="I1005" s="2" t="s">
        <v>23</v>
      </c>
      <c r="J1005" s="2" t="s">
        <v>19</v>
      </c>
      <c r="K1005" s="2" t="n">
        <v>1</v>
      </c>
      <c r="L1005" s="2" t="n">
        <v>0</v>
      </c>
      <c r="M1005" s="2" t="n">
        <v>1</v>
      </c>
    </row>
    <row r="1006" customFormat="false" ht="15" hidden="false" customHeight="false" outlineLevel="0" collapsed="false">
      <c r="A1006" s="2" t="s">
        <v>2227</v>
      </c>
      <c r="B1006" s="2" t="s">
        <v>2228</v>
      </c>
      <c r="C1006" s="2" t="n">
        <v>1</v>
      </c>
      <c r="D1006" s="2" t="s">
        <v>133</v>
      </c>
      <c r="E1006" s="2" t="s">
        <v>2011</v>
      </c>
      <c r="F1006" s="3" t="n">
        <v>45757.9298611111</v>
      </c>
      <c r="G1006" s="2" t="s">
        <v>2012</v>
      </c>
      <c r="H1006" s="4" t="n">
        <v>-0.5719</v>
      </c>
      <c r="I1006" s="2" t="s">
        <v>84</v>
      </c>
      <c r="J1006" s="2" t="s">
        <v>33</v>
      </c>
      <c r="K1006" s="2" t="n">
        <v>0</v>
      </c>
      <c r="L1006" s="2" t="n">
        <v>1</v>
      </c>
      <c r="M1006" s="2" t="n">
        <v>1</v>
      </c>
    </row>
    <row r="1007" customFormat="false" ht="15" hidden="false" customHeight="false" outlineLevel="0" collapsed="false">
      <c r="A1007" s="2" t="s">
        <v>2229</v>
      </c>
      <c r="B1007" s="2" t="s">
        <v>2230</v>
      </c>
      <c r="C1007" s="2" t="n">
        <v>1</v>
      </c>
      <c r="D1007" s="2" t="s">
        <v>498</v>
      </c>
      <c r="E1007" s="2" t="s">
        <v>2011</v>
      </c>
      <c r="F1007" s="3" t="n">
        <v>45757.9729166667</v>
      </c>
      <c r="G1007" s="2" t="s">
        <v>2012</v>
      </c>
      <c r="H1007" s="4" t="n">
        <v>0</v>
      </c>
      <c r="I1007" s="2" t="s">
        <v>18</v>
      </c>
      <c r="J1007" s="2" t="s">
        <v>165</v>
      </c>
      <c r="K1007" s="2" t="n">
        <v>6</v>
      </c>
      <c r="L1007" s="2" t="n">
        <v>1</v>
      </c>
      <c r="M1007" s="2" t="n">
        <v>1</v>
      </c>
    </row>
    <row r="1008" customFormat="false" ht="15" hidden="false" customHeight="false" outlineLevel="0" collapsed="false">
      <c r="A1008" s="2" t="s">
        <v>2231</v>
      </c>
      <c r="B1008" s="2" t="s">
        <v>2232</v>
      </c>
      <c r="C1008" s="2" t="n">
        <v>2</v>
      </c>
      <c r="D1008" s="2" t="s">
        <v>591</v>
      </c>
      <c r="E1008" s="2" t="s">
        <v>2011</v>
      </c>
      <c r="F1008" s="3" t="n">
        <v>45757.9965277778</v>
      </c>
      <c r="G1008" s="2" t="s">
        <v>2012</v>
      </c>
      <c r="H1008" s="4" t="n">
        <v>0</v>
      </c>
      <c r="I1008" s="2" t="s">
        <v>18</v>
      </c>
      <c r="J1008" s="2" t="s">
        <v>37</v>
      </c>
      <c r="K1008" s="2" t="n">
        <v>1</v>
      </c>
      <c r="L1008" s="2" t="n">
        <v>1</v>
      </c>
      <c r="M1008" s="2" t="n">
        <v>1</v>
      </c>
    </row>
    <row r="1009" customFormat="false" ht="15" hidden="false" customHeight="false" outlineLevel="0" collapsed="false">
      <c r="A1009" s="2" t="s">
        <v>2233</v>
      </c>
      <c r="B1009" s="2" t="s">
        <v>2234</v>
      </c>
      <c r="C1009" s="2" t="n">
        <v>5</v>
      </c>
      <c r="D1009" s="2" t="s">
        <v>90</v>
      </c>
      <c r="E1009" s="2" t="s">
        <v>2011</v>
      </c>
      <c r="F1009" s="3" t="n">
        <v>45758.0125</v>
      </c>
      <c r="G1009" s="2" t="s">
        <v>2012</v>
      </c>
      <c r="H1009" s="4" t="n">
        <v>0.6249</v>
      </c>
      <c r="I1009" s="2" t="s">
        <v>23</v>
      </c>
      <c r="J1009" s="2" t="s">
        <v>37</v>
      </c>
      <c r="K1009" s="2" t="n">
        <v>0</v>
      </c>
      <c r="L1009" s="2" t="n">
        <v>0</v>
      </c>
      <c r="M1009" s="2" t="n">
        <v>1</v>
      </c>
    </row>
    <row r="1010" customFormat="false" ht="15" hidden="false" customHeight="false" outlineLevel="0" collapsed="false">
      <c r="A1010" s="2" t="s">
        <v>2235</v>
      </c>
      <c r="B1010" s="2" t="s">
        <v>2236</v>
      </c>
      <c r="C1010" s="2" t="n">
        <v>2</v>
      </c>
      <c r="D1010" s="2" t="s">
        <v>721</v>
      </c>
      <c r="E1010" s="2" t="s">
        <v>2011</v>
      </c>
      <c r="F1010" s="3" t="n">
        <v>45758.0340277778</v>
      </c>
      <c r="G1010" s="2" t="s">
        <v>2012</v>
      </c>
      <c r="H1010" s="4" t="n">
        <v>-0.4588</v>
      </c>
      <c r="I1010" s="2" t="s">
        <v>84</v>
      </c>
      <c r="J1010" s="2" t="s">
        <v>37</v>
      </c>
      <c r="K1010" s="2" t="n">
        <v>0</v>
      </c>
      <c r="L1010" s="2" t="n">
        <v>0</v>
      </c>
      <c r="M1010" s="2" t="n">
        <v>1</v>
      </c>
    </row>
    <row r="1011" customFormat="false" ht="15" hidden="false" customHeight="false" outlineLevel="0" collapsed="false">
      <c r="A1011" s="2" t="s">
        <v>2237</v>
      </c>
      <c r="B1011" s="2" t="s">
        <v>789</v>
      </c>
      <c r="C1011" s="2" t="n">
        <v>3</v>
      </c>
      <c r="D1011" s="2" t="s">
        <v>87</v>
      </c>
      <c r="E1011" s="2" t="s">
        <v>2011</v>
      </c>
      <c r="F1011" s="3" t="n">
        <v>45758.1409722222</v>
      </c>
      <c r="G1011" s="2" t="s">
        <v>2012</v>
      </c>
      <c r="H1011" s="4" t="n">
        <v>0</v>
      </c>
      <c r="I1011" s="2" t="s">
        <v>18</v>
      </c>
      <c r="J1011" s="2" t="s">
        <v>19</v>
      </c>
      <c r="K1011" s="2" t="n">
        <v>7</v>
      </c>
      <c r="L1011" s="2" t="n">
        <v>0</v>
      </c>
      <c r="M1011" s="2" t="n">
        <v>1</v>
      </c>
    </row>
    <row r="1012" customFormat="false" ht="15" hidden="false" customHeight="false" outlineLevel="0" collapsed="false">
      <c r="A1012" s="2" t="s">
        <v>2238</v>
      </c>
      <c r="B1012" s="2" t="s">
        <v>2239</v>
      </c>
      <c r="C1012" s="2" t="n">
        <v>1</v>
      </c>
      <c r="D1012" s="2" t="s">
        <v>733</v>
      </c>
      <c r="E1012" s="2" t="s">
        <v>2011</v>
      </c>
      <c r="F1012" s="3" t="n">
        <v>45758.2131944444</v>
      </c>
      <c r="G1012" s="2" t="s">
        <v>2012</v>
      </c>
      <c r="H1012" s="4" t="n">
        <v>-0.2846</v>
      </c>
      <c r="I1012" s="2" t="s">
        <v>84</v>
      </c>
      <c r="J1012" s="2" t="s">
        <v>37</v>
      </c>
      <c r="K1012" s="2" t="n">
        <v>6</v>
      </c>
      <c r="L1012" s="2" t="n">
        <v>1</v>
      </c>
      <c r="M1012" s="2" t="n">
        <v>1</v>
      </c>
    </row>
    <row r="1013" customFormat="false" ht="15" hidden="false" customHeight="false" outlineLevel="0" collapsed="false">
      <c r="A1013" s="2" t="s">
        <v>2240</v>
      </c>
      <c r="B1013" s="2" t="s">
        <v>2241</v>
      </c>
      <c r="C1013" s="2" t="n">
        <v>4</v>
      </c>
      <c r="D1013" s="2" t="s">
        <v>2242</v>
      </c>
      <c r="E1013" s="2" t="s">
        <v>2011</v>
      </c>
      <c r="F1013" s="3" t="n">
        <v>45758.3097222222</v>
      </c>
      <c r="G1013" s="2" t="s">
        <v>2012</v>
      </c>
      <c r="H1013" s="4" t="n">
        <v>0.9647</v>
      </c>
      <c r="I1013" s="2" t="s">
        <v>23</v>
      </c>
      <c r="J1013" s="2" t="s">
        <v>37</v>
      </c>
      <c r="K1013" s="2" t="n">
        <v>3</v>
      </c>
      <c r="L1013" s="2" t="n">
        <v>0</v>
      </c>
      <c r="M1013" s="2" t="n">
        <v>1</v>
      </c>
    </row>
    <row r="1014" customFormat="false" ht="15" hidden="false" customHeight="false" outlineLevel="0" collapsed="false">
      <c r="A1014" s="2" t="s">
        <v>2243</v>
      </c>
      <c r="B1014" s="2" t="s">
        <v>2244</v>
      </c>
      <c r="C1014" s="2" t="n">
        <v>1</v>
      </c>
      <c r="D1014" s="2" t="s">
        <v>2245</v>
      </c>
      <c r="E1014" s="2" t="s">
        <v>2011</v>
      </c>
      <c r="F1014" s="3" t="n">
        <v>45758.3388888889</v>
      </c>
      <c r="G1014" s="2" t="s">
        <v>2012</v>
      </c>
      <c r="H1014" s="4" t="n">
        <v>0.4019</v>
      </c>
      <c r="I1014" s="2" t="s">
        <v>23</v>
      </c>
      <c r="J1014" s="2" t="s">
        <v>37</v>
      </c>
      <c r="K1014" s="2" t="n">
        <v>1</v>
      </c>
      <c r="L1014" s="2" t="n">
        <v>1</v>
      </c>
      <c r="M1014" s="2" t="n">
        <v>1</v>
      </c>
    </row>
    <row r="1015" customFormat="false" ht="15" hidden="false" customHeight="false" outlineLevel="0" collapsed="false">
      <c r="A1015" s="2" t="s">
        <v>2246</v>
      </c>
      <c r="B1015" s="2" t="s">
        <v>2247</v>
      </c>
      <c r="C1015" s="2" t="n">
        <v>2</v>
      </c>
      <c r="D1015" s="2" t="s">
        <v>397</v>
      </c>
      <c r="E1015" s="2" t="s">
        <v>2011</v>
      </c>
      <c r="F1015" s="3" t="n">
        <v>45758.8395833333</v>
      </c>
      <c r="G1015" s="2" t="s">
        <v>2012</v>
      </c>
      <c r="H1015" s="4" t="n">
        <v>0</v>
      </c>
      <c r="I1015" s="2" t="s">
        <v>18</v>
      </c>
      <c r="J1015" s="2" t="s">
        <v>110</v>
      </c>
      <c r="K1015" s="2" t="n">
        <v>0</v>
      </c>
      <c r="L1015" s="2" t="n">
        <v>1</v>
      </c>
      <c r="M1015" s="2" t="n">
        <v>1</v>
      </c>
    </row>
    <row r="1016" customFormat="false" ht="15" hidden="false" customHeight="false" outlineLevel="0" collapsed="false">
      <c r="A1016" s="2" t="s">
        <v>2248</v>
      </c>
      <c r="B1016" s="2" t="s">
        <v>2249</v>
      </c>
      <c r="C1016" s="2" t="n">
        <v>1</v>
      </c>
      <c r="D1016" s="2" t="s">
        <v>721</v>
      </c>
      <c r="E1016" s="2" t="s">
        <v>2011</v>
      </c>
      <c r="F1016" s="3" t="n">
        <v>45758.9069444445</v>
      </c>
      <c r="G1016" s="2" t="s">
        <v>2012</v>
      </c>
      <c r="H1016" s="4" t="n">
        <v>-0.4588</v>
      </c>
      <c r="I1016" s="2" t="s">
        <v>84</v>
      </c>
      <c r="J1016" s="2" t="s">
        <v>37</v>
      </c>
      <c r="K1016" s="2" t="n">
        <v>3</v>
      </c>
      <c r="L1016" s="2" t="n">
        <v>1</v>
      </c>
      <c r="M1016" s="2" t="n">
        <v>1</v>
      </c>
    </row>
    <row r="1017" customFormat="false" ht="15" hidden="false" customHeight="false" outlineLevel="0" collapsed="false">
      <c r="A1017" s="2" t="s">
        <v>2250</v>
      </c>
      <c r="B1017" s="2" t="s">
        <v>2251</v>
      </c>
      <c r="C1017" s="2" t="n">
        <v>2</v>
      </c>
      <c r="D1017" s="2" t="s">
        <v>482</v>
      </c>
      <c r="E1017" s="2" t="s">
        <v>2011</v>
      </c>
      <c r="F1017" s="3" t="n">
        <v>45758.9763888889</v>
      </c>
      <c r="G1017" s="2" t="s">
        <v>2012</v>
      </c>
      <c r="H1017" s="4" t="n">
        <v>-0.6808</v>
      </c>
      <c r="I1017" s="2" t="s">
        <v>84</v>
      </c>
      <c r="J1017" s="2" t="s">
        <v>110</v>
      </c>
      <c r="K1017" s="2" t="n">
        <v>0</v>
      </c>
      <c r="L1017" s="2" t="n">
        <v>1</v>
      </c>
      <c r="M1017" s="2" t="n">
        <v>1</v>
      </c>
    </row>
    <row r="1018" customFormat="false" ht="15" hidden="false" customHeight="false" outlineLevel="0" collapsed="false">
      <c r="A1018" s="2" t="s">
        <v>2252</v>
      </c>
      <c r="B1018" s="2" t="s">
        <v>2253</v>
      </c>
      <c r="C1018" s="2" t="n">
        <v>5</v>
      </c>
      <c r="D1018" s="2" t="s">
        <v>96</v>
      </c>
      <c r="E1018" s="2" t="s">
        <v>2011</v>
      </c>
      <c r="F1018" s="3" t="n">
        <v>45758.9784722222</v>
      </c>
      <c r="G1018" s="2" t="s">
        <v>2012</v>
      </c>
      <c r="H1018" s="4" t="n">
        <v>0.6369</v>
      </c>
      <c r="I1018" s="2" t="s">
        <v>23</v>
      </c>
      <c r="J1018" s="2" t="s">
        <v>19</v>
      </c>
      <c r="K1018" s="2" t="n">
        <v>3</v>
      </c>
      <c r="L1018" s="2" t="n">
        <v>0</v>
      </c>
      <c r="M1018" s="2" t="n">
        <v>1</v>
      </c>
    </row>
    <row r="1019" customFormat="false" ht="15" hidden="false" customHeight="false" outlineLevel="0" collapsed="false">
      <c r="A1019" s="2" t="s">
        <v>2254</v>
      </c>
      <c r="B1019" s="2" t="s">
        <v>2255</v>
      </c>
      <c r="C1019" s="2" t="n">
        <v>5</v>
      </c>
      <c r="D1019" s="2" t="s">
        <v>52</v>
      </c>
      <c r="E1019" s="2" t="s">
        <v>2011</v>
      </c>
      <c r="F1019" s="3" t="n">
        <v>45759.2548611111</v>
      </c>
      <c r="G1019" s="2" t="s">
        <v>2012</v>
      </c>
      <c r="H1019" s="4" t="n">
        <v>0.6369</v>
      </c>
      <c r="I1019" s="2" t="s">
        <v>23</v>
      </c>
      <c r="J1019" s="2" t="s">
        <v>19</v>
      </c>
      <c r="K1019" s="2" t="n">
        <v>0</v>
      </c>
      <c r="L1019" s="2" t="n">
        <v>0</v>
      </c>
      <c r="M1019" s="2" t="n">
        <v>1</v>
      </c>
    </row>
    <row r="1020" customFormat="false" ht="15" hidden="false" customHeight="false" outlineLevel="0" collapsed="false">
      <c r="A1020" s="2" t="s">
        <v>2256</v>
      </c>
      <c r="B1020" s="2" t="s">
        <v>2257</v>
      </c>
      <c r="C1020" s="2" t="n">
        <v>1</v>
      </c>
      <c r="D1020" s="2" t="s">
        <v>2258</v>
      </c>
      <c r="E1020" s="2" t="s">
        <v>2011</v>
      </c>
      <c r="F1020" s="3" t="n">
        <v>45759.4354166667</v>
      </c>
      <c r="G1020" s="2" t="s">
        <v>2012</v>
      </c>
      <c r="H1020" s="4" t="n">
        <v>-0.1154</v>
      </c>
      <c r="I1020" s="2" t="s">
        <v>84</v>
      </c>
      <c r="J1020" s="2" t="s">
        <v>165</v>
      </c>
      <c r="K1020" s="2" t="n">
        <v>1</v>
      </c>
      <c r="L1020" s="2" t="n">
        <v>1</v>
      </c>
      <c r="M1020" s="2" t="n">
        <v>1</v>
      </c>
    </row>
    <row r="1021" customFormat="false" ht="15" hidden="false" customHeight="false" outlineLevel="0" collapsed="false">
      <c r="A1021" s="2" t="s">
        <v>2259</v>
      </c>
      <c r="B1021" s="2" t="s">
        <v>2260</v>
      </c>
      <c r="C1021" s="2" t="n">
        <v>3</v>
      </c>
      <c r="D1021" s="2" t="s">
        <v>721</v>
      </c>
      <c r="E1021" s="2" t="s">
        <v>2011</v>
      </c>
      <c r="F1021" s="3" t="n">
        <v>45759.4986111111</v>
      </c>
      <c r="G1021" s="2" t="s">
        <v>2012</v>
      </c>
      <c r="H1021" s="4" t="n">
        <v>-0.4588</v>
      </c>
      <c r="I1021" s="2" t="s">
        <v>84</v>
      </c>
      <c r="J1021" s="2" t="s">
        <v>37</v>
      </c>
      <c r="K1021" s="2" t="n">
        <v>5</v>
      </c>
      <c r="L1021" s="2" t="n">
        <v>0</v>
      </c>
      <c r="M1021" s="2" t="n">
        <v>1</v>
      </c>
    </row>
    <row r="1022" customFormat="false" ht="15" hidden="false" customHeight="false" outlineLevel="0" collapsed="false">
      <c r="A1022" s="2" t="s">
        <v>2261</v>
      </c>
      <c r="B1022" s="2" t="s">
        <v>2262</v>
      </c>
      <c r="C1022" s="2" t="n">
        <v>5</v>
      </c>
      <c r="D1022" s="2" t="s">
        <v>62</v>
      </c>
      <c r="E1022" s="2" t="s">
        <v>2011</v>
      </c>
      <c r="F1022" s="3" t="n">
        <v>45759.5458333333</v>
      </c>
      <c r="G1022" s="2" t="s">
        <v>2012</v>
      </c>
      <c r="H1022" s="4" t="n">
        <v>0.7088</v>
      </c>
      <c r="I1022" s="2" t="s">
        <v>23</v>
      </c>
      <c r="J1022" s="2" t="s">
        <v>19</v>
      </c>
      <c r="K1022" s="2" t="n">
        <v>4</v>
      </c>
      <c r="L1022" s="2" t="n">
        <v>0</v>
      </c>
      <c r="M1022" s="2" t="n">
        <v>1</v>
      </c>
    </row>
    <row r="1023" customFormat="false" ht="15" hidden="false" customHeight="false" outlineLevel="0" collapsed="false">
      <c r="A1023" s="2" t="s">
        <v>2263</v>
      </c>
      <c r="B1023" s="2" t="s">
        <v>2264</v>
      </c>
      <c r="C1023" s="2" t="n">
        <v>4</v>
      </c>
      <c r="D1023" s="2" t="s">
        <v>790</v>
      </c>
      <c r="E1023" s="2" t="s">
        <v>2011</v>
      </c>
      <c r="F1023" s="3" t="n">
        <v>45759.5875</v>
      </c>
      <c r="G1023" s="2" t="s">
        <v>2012</v>
      </c>
      <c r="H1023" s="4" t="n">
        <v>0.9647</v>
      </c>
      <c r="I1023" s="2" t="s">
        <v>23</v>
      </c>
      <c r="J1023" s="2" t="s">
        <v>37</v>
      </c>
      <c r="K1023" s="2" t="n">
        <v>5</v>
      </c>
      <c r="L1023" s="2" t="n">
        <v>0</v>
      </c>
      <c r="M1023" s="2" t="n">
        <v>1</v>
      </c>
    </row>
    <row r="1024" customFormat="false" ht="15" hidden="false" customHeight="false" outlineLevel="0" collapsed="false">
      <c r="A1024" s="2" t="s">
        <v>2265</v>
      </c>
      <c r="B1024" s="2" t="s">
        <v>2266</v>
      </c>
      <c r="C1024" s="2" t="n">
        <v>4</v>
      </c>
      <c r="D1024" s="2" t="s">
        <v>787</v>
      </c>
      <c r="E1024" s="2" t="s">
        <v>2011</v>
      </c>
      <c r="F1024" s="3" t="n">
        <v>45759.6</v>
      </c>
      <c r="G1024" s="2" t="s">
        <v>2012</v>
      </c>
      <c r="H1024" s="4" t="n">
        <v>0.7475</v>
      </c>
      <c r="I1024" s="2" t="s">
        <v>23</v>
      </c>
      <c r="J1024" s="2" t="s">
        <v>37</v>
      </c>
      <c r="K1024" s="2" t="n">
        <v>7</v>
      </c>
      <c r="L1024" s="2" t="n">
        <v>0</v>
      </c>
      <c r="M1024" s="2" t="n">
        <v>1</v>
      </c>
    </row>
    <row r="1025" customFormat="false" ht="15" hidden="false" customHeight="false" outlineLevel="0" collapsed="false">
      <c r="A1025" s="2" t="s">
        <v>2267</v>
      </c>
      <c r="B1025" s="2" t="s">
        <v>2268</v>
      </c>
      <c r="C1025" s="2" t="n">
        <v>5</v>
      </c>
      <c r="D1025" s="2" t="s">
        <v>15</v>
      </c>
      <c r="E1025" s="2" t="s">
        <v>2011</v>
      </c>
      <c r="F1025" s="3" t="n">
        <v>45759.6125</v>
      </c>
      <c r="G1025" s="2" t="s">
        <v>2012</v>
      </c>
      <c r="H1025" s="4" t="n">
        <v>0</v>
      </c>
      <c r="I1025" s="2" t="s">
        <v>18</v>
      </c>
      <c r="J1025" s="2" t="s">
        <v>19</v>
      </c>
      <c r="K1025" s="2" t="n">
        <v>3</v>
      </c>
      <c r="L1025" s="2" t="n">
        <v>0</v>
      </c>
      <c r="M1025" s="2" t="n">
        <v>1</v>
      </c>
    </row>
    <row r="1026" customFormat="false" ht="15" hidden="false" customHeight="false" outlineLevel="0" collapsed="false">
      <c r="A1026" s="2" t="s">
        <v>2269</v>
      </c>
      <c r="B1026" s="2" t="s">
        <v>2270</v>
      </c>
      <c r="C1026" s="2" t="n">
        <v>2</v>
      </c>
      <c r="D1026" s="2" t="s">
        <v>2271</v>
      </c>
      <c r="E1026" s="2" t="s">
        <v>2011</v>
      </c>
      <c r="F1026" s="3" t="n">
        <v>45759.6576388889</v>
      </c>
      <c r="G1026" s="2" t="s">
        <v>2012</v>
      </c>
      <c r="H1026" s="4" t="n">
        <v>-0.2732</v>
      </c>
      <c r="I1026" s="2" t="s">
        <v>84</v>
      </c>
      <c r="J1026" s="2" t="s">
        <v>37</v>
      </c>
      <c r="K1026" s="2" t="n">
        <v>6</v>
      </c>
      <c r="L1026" s="2" t="n">
        <v>1</v>
      </c>
      <c r="M1026" s="2" t="n">
        <v>1</v>
      </c>
    </row>
    <row r="1027" customFormat="false" ht="15" hidden="false" customHeight="false" outlineLevel="0" collapsed="false">
      <c r="A1027" s="2" t="s">
        <v>2272</v>
      </c>
      <c r="B1027" s="2" t="s">
        <v>2273</v>
      </c>
      <c r="C1027" s="2" t="n">
        <v>3</v>
      </c>
      <c r="D1027" s="2" t="s">
        <v>2056</v>
      </c>
      <c r="E1027" s="2" t="s">
        <v>2011</v>
      </c>
      <c r="F1027" s="3" t="n">
        <v>45759.6840277778</v>
      </c>
      <c r="G1027" s="2" t="s">
        <v>2012</v>
      </c>
      <c r="H1027" s="4" t="n">
        <v>-0.2846</v>
      </c>
      <c r="I1027" s="2" t="s">
        <v>84</v>
      </c>
      <c r="J1027" s="2" t="s">
        <v>37</v>
      </c>
      <c r="K1027" s="2" t="n">
        <v>0</v>
      </c>
      <c r="L1027" s="2" t="n">
        <v>0</v>
      </c>
      <c r="M1027" s="2" t="n">
        <v>1</v>
      </c>
    </row>
    <row r="1028" customFormat="false" ht="15" hidden="false" customHeight="false" outlineLevel="0" collapsed="false">
      <c r="A1028" s="2" t="s">
        <v>2274</v>
      </c>
      <c r="B1028" s="2" t="s">
        <v>2275</v>
      </c>
      <c r="C1028" s="2" t="n">
        <v>2</v>
      </c>
      <c r="D1028" s="2" t="s">
        <v>823</v>
      </c>
      <c r="E1028" s="2" t="s">
        <v>2011</v>
      </c>
      <c r="F1028" s="3" t="n">
        <v>45759.6965277778</v>
      </c>
      <c r="G1028" s="2" t="s">
        <v>2012</v>
      </c>
      <c r="H1028" s="4" t="n">
        <v>-0.6997</v>
      </c>
      <c r="I1028" s="2" t="s">
        <v>84</v>
      </c>
      <c r="J1028" s="2" t="s">
        <v>19</v>
      </c>
      <c r="K1028" s="2" t="n">
        <v>2</v>
      </c>
      <c r="L1028" s="2" t="n">
        <v>0</v>
      </c>
      <c r="M1028" s="2" t="n">
        <v>1</v>
      </c>
    </row>
    <row r="1029" customFormat="false" ht="15" hidden="false" customHeight="false" outlineLevel="0" collapsed="false">
      <c r="A1029" s="2" t="s">
        <v>2276</v>
      </c>
      <c r="B1029" s="2" t="s">
        <v>2277</v>
      </c>
      <c r="C1029" s="2" t="n">
        <v>5</v>
      </c>
      <c r="D1029" s="2" t="s">
        <v>96</v>
      </c>
      <c r="E1029" s="2" t="s">
        <v>2011</v>
      </c>
      <c r="F1029" s="3" t="n">
        <v>45759.7138888889</v>
      </c>
      <c r="G1029" s="2" t="s">
        <v>2012</v>
      </c>
      <c r="H1029" s="4" t="n">
        <v>0.6369</v>
      </c>
      <c r="I1029" s="2" t="s">
        <v>23</v>
      </c>
      <c r="J1029" s="2" t="s">
        <v>19</v>
      </c>
      <c r="K1029" s="2" t="n">
        <v>5</v>
      </c>
      <c r="L1029" s="2" t="n">
        <v>0</v>
      </c>
      <c r="M1029" s="2" t="n">
        <v>1</v>
      </c>
    </row>
    <row r="1030" customFormat="false" ht="15" hidden="false" customHeight="false" outlineLevel="0" collapsed="false">
      <c r="A1030" s="2" t="s">
        <v>2278</v>
      </c>
      <c r="B1030" s="2" t="s">
        <v>2279</v>
      </c>
      <c r="C1030" s="2" t="n">
        <v>2</v>
      </c>
      <c r="D1030" s="2" t="s">
        <v>946</v>
      </c>
      <c r="E1030" s="2" t="s">
        <v>2011</v>
      </c>
      <c r="F1030" s="3" t="n">
        <v>45759.8138888889</v>
      </c>
      <c r="G1030" s="2" t="s">
        <v>2012</v>
      </c>
      <c r="H1030" s="4" t="n">
        <v>-0.25</v>
      </c>
      <c r="I1030" s="2" t="s">
        <v>84</v>
      </c>
      <c r="J1030" s="2" t="s">
        <v>37</v>
      </c>
      <c r="K1030" s="2" t="n">
        <v>10</v>
      </c>
      <c r="L1030" s="2" t="n">
        <v>1</v>
      </c>
      <c r="M1030" s="2" t="n">
        <v>1</v>
      </c>
    </row>
    <row r="1031" customFormat="false" ht="15" hidden="false" customHeight="false" outlineLevel="0" collapsed="false">
      <c r="A1031" s="2" t="s">
        <v>2280</v>
      </c>
      <c r="B1031" s="2" t="s">
        <v>2281</v>
      </c>
      <c r="C1031" s="2" t="n">
        <v>3</v>
      </c>
      <c r="D1031" s="2" t="s">
        <v>301</v>
      </c>
      <c r="E1031" s="2" t="s">
        <v>2011</v>
      </c>
      <c r="F1031" s="3" t="n">
        <v>45760.2083333333</v>
      </c>
      <c r="G1031" s="2" t="s">
        <v>2012</v>
      </c>
      <c r="H1031" s="4" t="n">
        <v>0.2263</v>
      </c>
      <c r="I1031" s="2" t="s">
        <v>23</v>
      </c>
      <c r="J1031" s="2" t="s">
        <v>19</v>
      </c>
      <c r="K1031" s="2" t="n">
        <v>11</v>
      </c>
      <c r="L1031" s="2" t="n">
        <v>0</v>
      </c>
      <c r="M1031" s="2" t="n">
        <v>1</v>
      </c>
    </row>
    <row r="1032" customFormat="false" ht="15" hidden="false" customHeight="false" outlineLevel="0" collapsed="false">
      <c r="A1032" s="2" t="s">
        <v>2282</v>
      </c>
      <c r="B1032" s="2" t="s">
        <v>2283</v>
      </c>
      <c r="C1032" s="2" t="n">
        <v>1</v>
      </c>
      <c r="D1032" s="2" t="s">
        <v>946</v>
      </c>
      <c r="E1032" s="2" t="s">
        <v>2011</v>
      </c>
      <c r="F1032" s="3" t="n">
        <v>45760.275</v>
      </c>
      <c r="G1032" s="2" t="s">
        <v>2012</v>
      </c>
      <c r="H1032" s="4" t="n">
        <v>-0.25</v>
      </c>
      <c r="I1032" s="2" t="s">
        <v>84</v>
      </c>
      <c r="J1032" s="2" t="s">
        <v>37</v>
      </c>
      <c r="K1032" s="2" t="n">
        <v>5</v>
      </c>
      <c r="L1032" s="2" t="n">
        <v>0</v>
      </c>
      <c r="M1032" s="2" t="n">
        <v>1</v>
      </c>
    </row>
    <row r="1033" customFormat="false" ht="15" hidden="false" customHeight="false" outlineLevel="0" collapsed="false">
      <c r="A1033" s="2" t="s">
        <v>2284</v>
      </c>
      <c r="B1033" s="2" t="s">
        <v>2285</v>
      </c>
      <c r="C1033" s="2" t="n">
        <v>3</v>
      </c>
      <c r="D1033" s="2" t="s">
        <v>36</v>
      </c>
      <c r="E1033" s="2" t="s">
        <v>2011</v>
      </c>
      <c r="F1033" s="3" t="n">
        <v>45760.45625</v>
      </c>
      <c r="G1033" s="2" t="s">
        <v>2012</v>
      </c>
      <c r="H1033" s="4" t="n">
        <v>0.4404</v>
      </c>
      <c r="I1033" s="2" t="s">
        <v>23</v>
      </c>
      <c r="J1033" s="2" t="s">
        <v>37</v>
      </c>
      <c r="K1033" s="2" t="n">
        <v>5</v>
      </c>
      <c r="L1033" s="2" t="n">
        <v>0</v>
      </c>
      <c r="M1033" s="2" t="n">
        <v>1</v>
      </c>
    </row>
    <row r="1034" customFormat="false" ht="15" hidden="false" customHeight="false" outlineLevel="0" collapsed="false">
      <c r="A1034" s="2" t="s">
        <v>2286</v>
      </c>
      <c r="B1034" s="2" t="s">
        <v>2287</v>
      </c>
      <c r="C1034" s="2" t="n">
        <v>4</v>
      </c>
      <c r="D1034" s="2" t="s">
        <v>87</v>
      </c>
      <c r="E1034" s="2" t="s">
        <v>2011</v>
      </c>
      <c r="F1034" s="3" t="n">
        <v>45760.8055555556</v>
      </c>
      <c r="G1034" s="2" t="s">
        <v>2012</v>
      </c>
      <c r="H1034" s="4" t="n">
        <v>0</v>
      </c>
      <c r="I1034" s="2" t="s">
        <v>18</v>
      </c>
      <c r="J1034" s="2" t="s">
        <v>19</v>
      </c>
      <c r="K1034" s="2" t="n">
        <v>2</v>
      </c>
      <c r="L1034" s="2" t="n">
        <v>0</v>
      </c>
      <c r="M1034" s="2" t="n">
        <v>1</v>
      </c>
    </row>
    <row r="1035" customFormat="false" ht="15" hidden="false" customHeight="false" outlineLevel="0" collapsed="false">
      <c r="A1035" s="2" t="s">
        <v>2288</v>
      </c>
      <c r="B1035" s="2" t="s">
        <v>2289</v>
      </c>
      <c r="C1035" s="2" t="n">
        <v>1</v>
      </c>
      <c r="D1035" s="2" t="s">
        <v>402</v>
      </c>
      <c r="E1035" s="2" t="s">
        <v>2011</v>
      </c>
      <c r="F1035" s="3" t="n">
        <v>45760.8215277778</v>
      </c>
      <c r="G1035" s="2" t="s">
        <v>2012</v>
      </c>
      <c r="H1035" s="4" t="n">
        <v>0</v>
      </c>
      <c r="I1035" s="2" t="s">
        <v>18</v>
      </c>
      <c r="J1035" s="2" t="s">
        <v>59</v>
      </c>
      <c r="K1035" s="2" t="n">
        <v>0</v>
      </c>
      <c r="L1035" s="2" t="n">
        <v>0</v>
      </c>
      <c r="M1035" s="2" t="n">
        <v>1</v>
      </c>
    </row>
    <row r="1036" customFormat="false" ht="15" hidden="false" customHeight="false" outlineLevel="0" collapsed="false">
      <c r="A1036" s="2" t="s">
        <v>2290</v>
      </c>
      <c r="B1036" s="2" t="s">
        <v>2291</v>
      </c>
      <c r="C1036" s="2" t="n">
        <v>2</v>
      </c>
      <c r="D1036" s="2" t="s">
        <v>946</v>
      </c>
      <c r="E1036" s="2" t="s">
        <v>2011</v>
      </c>
      <c r="F1036" s="3" t="n">
        <v>45760.8569444444</v>
      </c>
      <c r="G1036" s="2" t="s">
        <v>2012</v>
      </c>
      <c r="H1036" s="4" t="n">
        <v>-0.25</v>
      </c>
      <c r="I1036" s="2" t="s">
        <v>84</v>
      </c>
      <c r="J1036" s="2" t="s">
        <v>37</v>
      </c>
      <c r="K1036" s="2" t="n">
        <v>0</v>
      </c>
      <c r="L1036" s="2" t="n">
        <v>0</v>
      </c>
      <c r="M1036" s="2" t="n">
        <v>1</v>
      </c>
    </row>
    <row r="1037" customFormat="false" ht="15" hidden="false" customHeight="false" outlineLevel="0" collapsed="false">
      <c r="A1037" s="2" t="s">
        <v>2292</v>
      </c>
      <c r="B1037" s="2" t="s">
        <v>2293</v>
      </c>
      <c r="C1037" s="2" t="n">
        <v>2</v>
      </c>
      <c r="D1037" s="2" t="s">
        <v>2294</v>
      </c>
      <c r="E1037" s="2" t="s">
        <v>2011</v>
      </c>
      <c r="F1037" s="3" t="n">
        <v>45760.9340277778</v>
      </c>
      <c r="G1037" s="2" t="s">
        <v>2012</v>
      </c>
      <c r="H1037" s="4" t="n">
        <v>-0.4588</v>
      </c>
      <c r="I1037" s="2" t="s">
        <v>84</v>
      </c>
      <c r="J1037" s="2" t="s">
        <v>37</v>
      </c>
      <c r="K1037" s="2" t="n">
        <v>6</v>
      </c>
      <c r="L1037" s="2" t="n">
        <v>0</v>
      </c>
      <c r="M1037" s="2" t="n">
        <v>1</v>
      </c>
    </row>
    <row r="1038" customFormat="false" ht="15" hidden="false" customHeight="false" outlineLevel="0" collapsed="false">
      <c r="A1038" s="2" t="s">
        <v>2295</v>
      </c>
      <c r="B1038" s="2" t="s">
        <v>2296</v>
      </c>
      <c r="C1038" s="2" t="n">
        <v>4</v>
      </c>
      <c r="D1038" s="2" t="s">
        <v>87</v>
      </c>
      <c r="E1038" s="2" t="s">
        <v>2011</v>
      </c>
      <c r="F1038" s="3" t="n">
        <v>45761.0444444444</v>
      </c>
      <c r="G1038" s="2" t="s">
        <v>2012</v>
      </c>
      <c r="H1038" s="4" t="n">
        <v>0</v>
      </c>
      <c r="I1038" s="2" t="s">
        <v>18</v>
      </c>
      <c r="J1038" s="2" t="s">
        <v>19</v>
      </c>
      <c r="K1038" s="2" t="n">
        <v>1</v>
      </c>
      <c r="L1038" s="2" t="n">
        <v>0</v>
      </c>
      <c r="M1038" s="2" t="n">
        <v>1</v>
      </c>
    </row>
    <row r="1039" customFormat="false" ht="15" hidden="false" customHeight="false" outlineLevel="0" collapsed="false">
      <c r="A1039" s="2" t="s">
        <v>2297</v>
      </c>
      <c r="B1039" s="2" t="s">
        <v>2298</v>
      </c>
      <c r="C1039" s="2" t="n">
        <v>4</v>
      </c>
      <c r="D1039" s="2" t="s">
        <v>301</v>
      </c>
      <c r="E1039" s="2" t="s">
        <v>2011</v>
      </c>
      <c r="F1039" s="3" t="n">
        <v>45761.3479166667</v>
      </c>
      <c r="G1039" s="2" t="s">
        <v>2012</v>
      </c>
      <c r="H1039" s="4" t="n">
        <v>0.2263</v>
      </c>
      <c r="I1039" s="2" t="s">
        <v>23</v>
      </c>
      <c r="J1039" s="2" t="s">
        <v>19</v>
      </c>
      <c r="K1039" s="2" t="n">
        <v>5</v>
      </c>
      <c r="L1039" s="2" t="n">
        <v>0</v>
      </c>
      <c r="M1039" s="2" t="n">
        <v>1</v>
      </c>
    </row>
    <row r="1040" customFormat="false" ht="15" hidden="false" customHeight="false" outlineLevel="0" collapsed="false">
      <c r="A1040" s="2" t="s">
        <v>2299</v>
      </c>
      <c r="B1040" s="2" t="s">
        <v>2300</v>
      </c>
      <c r="C1040" s="2" t="n">
        <v>1</v>
      </c>
      <c r="D1040" s="2" t="s">
        <v>823</v>
      </c>
      <c r="E1040" s="2" t="s">
        <v>2011</v>
      </c>
      <c r="F1040" s="3" t="n">
        <v>45761.4604166667</v>
      </c>
      <c r="G1040" s="2" t="s">
        <v>2012</v>
      </c>
      <c r="H1040" s="4" t="n">
        <v>-0.6997</v>
      </c>
      <c r="I1040" s="2" t="s">
        <v>84</v>
      </c>
      <c r="J1040" s="2" t="s">
        <v>19</v>
      </c>
      <c r="K1040" s="2" t="n">
        <v>1</v>
      </c>
      <c r="L1040" s="2" t="n">
        <v>0</v>
      </c>
      <c r="M1040" s="2" t="n">
        <v>1</v>
      </c>
    </row>
    <row r="1041" customFormat="false" ht="15" hidden="false" customHeight="false" outlineLevel="0" collapsed="false">
      <c r="A1041" s="2" t="s">
        <v>2301</v>
      </c>
      <c r="B1041" s="2" t="s">
        <v>2302</v>
      </c>
      <c r="C1041" s="2" t="n">
        <v>1</v>
      </c>
      <c r="D1041" s="2" t="s">
        <v>733</v>
      </c>
      <c r="E1041" s="2" t="s">
        <v>2011</v>
      </c>
      <c r="F1041" s="3" t="n">
        <v>45761.5708333333</v>
      </c>
      <c r="G1041" s="2" t="s">
        <v>2012</v>
      </c>
      <c r="H1041" s="4" t="n">
        <v>-0.2846</v>
      </c>
      <c r="I1041" s="2" t="s">
        <v>84</v>
      </c>
      <c r="J1041" s="2" t="s">
        <v>37</v>
      </c>
      <c r="K1041" s="2" t="n">
        <v>11</v>
      </c>
      <c r="L1041" s="2" t="n">
        <v>0</v>
      </c>
      <c r="M1041" s="2" t="n">
        <v>1</v>
      </c>
    </row>
    <row r="1042" customFormat="false" ht="15" hidden="false" customHeight="false" outlineLevel="0" collapsed="false">
      <c r="A1042" s="2" t="s">
        <v>2303</v>
      </c>
      <c r="B1042" s="2" t="s">
        <v>2304</v>
      </c>
      <c r="C1042" s="2" t="n">
        <v>2</v>
      </c>
      <c r="D1042" s="2" t="s">
        <v>1034</v>
      </c>
      <c r="E1042" s="2" t="s">
        <v>2011</v>
      </c>
      <c r="F1042" s="3" t="n">
        <v>45761.6131944444</v>
      </c>
      <c r="G1042" s="2" t="s">
        <v>2012</v>
      </c>
      <c r="H1042" s="4" t="n">
        <v>0</v>
      </c>
      <c r="I1042" s="2" t="s">
        <v>18</v>
      </c>
      <c r="J1042" s="2" t="s">
        <v>110</v>
      </c>
      <c r="K1042" s="2" t="n">
        <v>0</v>
      </c>
      <c r="L1042" s="2" t="n">
        <v>0</v>
      </c>
      <c r="M1042" s="2" t="n">
        <v>1</v>
      </c>
    </row>
    <row r="1043" customFormat="false" ht="15" hidden="false" customHeight="false" outlineLevel="0" collapsed="false">
      <c r="A1043" s="2" t="s">
        <v>2305</v>
      </c>
      <c r="B1043" s="2" t="s">
        <v>2306</v>
      </c>
      <c r="C1043" s="2" t="n">
        <v>5</v>
      </c>
      <c r="D1043" s="2" t="s">
        <v>186</v>
      </c>
      <c r="E1043" s="2" t="s">
        <v>2011</v>
      </c>
      <c r="F1043" s="3" t="n">
        <v>45761.6465277778</v>
      </c>
      <c r="G1043" s="2" t="s">
        <v>2012</v>
      </c>
      <c r="H1043" s="4" t="n">
        <v>0.8777</v>
      </c>
      <c r="I1043" s="2" t="s">
        <v>23</v>
      </c>
      <c r="J1043" s="2" t="s">
        <v>19</v>
      </c>
      <c r="K1043" s="2" t="n">
        <v>0</v>
      </c>
      <c r="L1043" s="2" t="n">
        <v>0</v>
      </c>
      <c r="M1043" s="2" t="n">
        <v>1</v>
      </c>
    </row>
    <row r="1044" customFormat="false" ht="15" hidden="false" customHeight="false" outlineLevel="0" collapsed="false">
      <c r="A1044" s="2" t="s">
        <v>2307</v>
      </c>
      <c r="B1044" s="2" t="s">
        <v>2308</v>
      </c>
      <c r="C1044" s="2" t="n">
        <v>3</v>
      </c>
      <c r="D1044" s="2" t="s">
        <v>87</v>
      </c>
      <c r="E1044" s="2" t="s">
        <v>2011</v>
      </c>
      <c r="F1044" s="3" t="n">
        <v>45761.6618055556</v>
      </c>
      <c r="G1044" s="2" t="s">
        <v>2012</v>
      </c>
      <c r="H1044" s="4" t="n">
        <v>0</v>
      </c>
      <c r="I1044" s="2" t="s">
        <v>18</v>
      </c>
      <c r="J1044" s="2" t="s">
        <v>19</v>
      </c>
      <c r="K1044" s="2" t="n">
        <v>0</v>
      </c>
      <c r="L1044" s="2" t="n">
        <v>0</v>
      </c>
      <c r="M1044" s="2" t="n">
        <v>1</v>
      </c>
    </row>
    <row r="1045" customFormat="false" ht="15" hidden="false" customHeight="false" outlineLevel="0" collapsed="false">
      <c r="A1045" s="2" t="s">
        <v>2309</v>
      </c>
      <c r="B1045" s="2" t="s">
        <v>2310</v>
      </c>
      <c r="C1045" s="2" t="n">
        <v>1</v>
      </c>
      <c r="D1045" s="2" t="s">
        <v>2098</v>
      </c>
      <c r="E1045" s="2" t="s">
        <v>2011</v>
      </c>
      <c r="F1045" s="3" t="n">
        <v>45761.6673611111</v>
      </c>
      <c r="G1045" s="2" t="s">
        <v>2012</v>
      </c>
      <c r="H1045" s="4" t="n">
        <v>-0.4588</v>
      </c>
      <c r="I1045" s="2" t="s">
        <v>84</v>
      </c>
      <c r="J1045" s="2" t="s">
        <v>37</v>
      </c>
      <c r="K1045" s="2" t="n">
        <v>1</v>
      </c>
      <c r="L1045" s="2" t="n">
        <v>1</v>
      </c>
      <c r="M1045" s="2" t="n">
        <v>1</v>
      </c>
    </row>
    <row r="1046" customFormat="false" ht="15" hidden="false" customHeight="false" outlineLevel="0" collapsed="false">
      <c r="A1046" s="2" t="s">
        <v>2311</v>
      </c>
      <c r="B1046" s="2" t="s">
        <v>2312</v>
      </c>
      <c r="C1046" s="2" t="n">
        <v>1</v>
      </c>
      <c r="D1046" s="2" t="s">
        <v>1034</v>
      </c>
      <c r="E1046" s="2" t="s">
        <v>2011</v>
      </c>
      <c r="F1046" s="3" t="n">
        <v>45761.8048611111</v>
      </c>
      <c r="G1046" s="2" t="s">
        <v>2012</v>
      </c>
      <c r="H1046" s="4" t="n">
        <v>0</v>
      </c>
      <c r="I1046" s="2" t="s">
        <v>18</v>
      </c>
      <c r="J1046" s="2" t="s">
        <v>110</v>
      </c>
      <c r="K1046" s="2" t="n">
        <v>11</v>
      </c>
      <c r="L1046" s="2" t="n">
        <v>0</v>
      </c>
      <c r="M1046" s="2" t="n">
        <v>1</v>
      </c>
    </row>
    <row r="1047" customFormat="false" ht="15" hidden="false" customHeight="false" outlineLevel="0" collapsed="false">
      <c r="A1047" s="2" t="s">
        <v>2313</v>
      </c>
      <c r="B1047" s="2" t="s">
        <v>2314</v>
      </c>
      <c r="C1047" s="2" t="n">
        <v>1</v>
      </c>
      <c r="D1047" s="2" t="s">
        <v>2271</v>
      </c>
      <c r="E1047" s="2" t="s">
        <v>2011</v>
      </c>
      <c r="F1047" s="3" t="n">
        <v>45761.9881944444</v>
      </c>
      <c r="G1047" s="2" t="s">
        <v>2012</v>
      </c>
      <c r="H1047" s="4" t="n">
        <v>-0.2732</v>
      </c>
      <c r="I1047" s="2" t="s">
        <v>84</v>
      </c>
      <c r="J1047" s="2" t="s">
        <v>37</v>
      </c>
      <c r="K1047" s="2" t="n">
        <v>1</v>
      </c>
      <c r="L1047" s="2" t="n">
        <v>1</v>
      </c>
      <c r="M1047" s="2" t="n">
        <v>1</v>
      </c>
    </row>
    <row r="1048" customFormat="false" ht="15" hidden="false" customHeight="false" outlineLevel="0" collapsed="false">
      <c r="A1048" s="2" t="s">
        <v>2315</v>
      </c>
      <c r="B1048" s="2" t="s">
        <v>2043</v>
      </c>
      <c r="C1048" s="2" t="n">
        <v>2</v>
      </c>
      <c r="D1048" s="2" t="s">
        <v>733</v>
      </c>
      <c r="E1048" s="2" t="s">
        <v>2011</v>
      </c>
      <c r="F1048" s="3" t="n">
        <v>45762.5020833333</v>
      </c>
      <c r="G1048" s="2" t="s">
        <v>2012</v>
      </c>
      <c r="H1048" s="4" t="n">
        <v>-0.2846</v>
      </c>
      <c r="I1048" s="2" t="s">
        <v>84</v>
      </c>
      <c r="J1048" s="2" t="s">
        <v>37</v>
      </c>
      <c r="K1048" s="2" t="n">
        <v>0</v>
      </c>
      <c r="L1048" s="2" t="n">
        <v>0</v>
      </c>
      <c r="M1048" s="2" t="n">
        <v>1</v>
      </c>
    </row>
    <row r="1049" customFormat="false" ht="15" hidden="false" customHeight="false" outlineLevel="0" collapsed="false">
      <c r="A1049" s="2" t="s">
        <v>2316</v>
      </c>
      <c r="B1049" s="2" t="s">
        <v>2317</v>
      </c>
      <c r="C1049" s="2" t="n">
        <v>5</v>
      </c>
      <c r="D1049" s="2" t="s">
        <v>47</v>
      </c>
      <c r="E1049" s="2" t="s">
        <v>2011</v>
      </c>
      <c r="F1049" s="3" t="n">
        <v>45762.5555555556</v>
      </c>
      <c r="G1049" s="2" t="s">
        <v>2012</v>
      </c>
      <c r="H1049" s="4" t="n">
        <v>0.3089</v>
      </c>
      <c r="I1049" s="2" t="s">
        <v>23</v>
      </c>
      <c r="J1049" s="2" t="s">
        <v>19</v>
      </c>
      <c r="K1049" s="2" t="n">
        <v>2</v>
      </c>
      <c r="L1049" s="2" t="n">
        <v>0</v>
      </c>
      <c r="M1049" s="2" t="n">
        <v>1</v>
      </c>
    </row>
    <row r="1050" customFormat="false" ht="15" hidden="false" customHeight="false" outlineLevel="0" collapsed="false">
      <c r="A1050" s="2" t="s">
        <v>2318</v>
      </c>
      <c r="B1050" s="2" t="s">
        <v>2319</v>
      </c>
      <c r="C1050" s="2" t="n">
        <v>1</v>
      </c>
      <c r="D1050" s="2" t="s">
        <v>733</v>
      </c>
      <c r="E1050" s="2" t="s">
        <v>2011</v>
      </c>
      <c r="F1050" s="3" t="n">
        <v>45762.5722222222</v>
      </c>
      <c r="G1050" s="2" t="s">
        <v>2012</v>
      </c>
      <c r="H1050" s="4" t="n">
        <v>-0.2846</v>
      </c>
      <c r="I1050" s="2" t="s">
        <v>84</v>
      </c>
      <c r="J1050" s="2" t="s">
        <v>37</v>
      </c>
      <c r="K1050" s="2" t="n">
        <v>0</v>
      </c>
      <c r="L1050" s="2" t="n">
        <v>0</v>
      </c>
      <c r="M1050" s="2" t="n">
        <v>1</v>
      </c>
    </row>
    <row r="1051" customFormat="false" ht="15" hidden="false" customHeight="false" outlineLevel="0" collapsed="false">
      <c r="A1051" s="2" t="s">
        <v>2320</v>
      </c>
      <c r="B1051" s="2" t="s">
        <v>2321</v>
      </c>
      <c r="C1051" s="2" t="n">
        <v>5</v>
      </c>
      <c r="D1051" s="2" t="s">
        <v>62</v>
      </c>
      <c r="E1051" s="2" t="s">
        <v>2011</v>
      </c>
      <c r="F1051" s="3" t="n">
        <v>45762.6263888889</v>
      </c>
      <c r="G1051" s="2" t="s">
        <v>2012</v>
      </c>
      <c r="H1051" s="4" t="n">
        <v>0.7088</v>
      </c>
      <c r="I1051" s="2" t="s">
        <v>23</v>
      </c>
      <c r="J1051" s="2" t="s">
        <v>19</v>
      </c>
      <c r="K1051" s="2" t="n">
        <v>1</v>
      </c>
      <c r="L1051" s="2" t="n">
        <v>0</v>
      </c>
      <c r="M1051" s="2" t="n">
        <v>1</v>
      </c>
    </row>
    <row r="1052" customFormat="false" ht="15" hidden="false" customHeight="false" outlineLevel="0" collapsed="false">
      <c r="A1052" s="2" t="s">
        <v>2322</v>
      </c>
      <c r="B1052" s="2" t="s">
        <v>2323</v>
      </c>
      <c r="C1052" s="2" t="n">
        <v>1</v>
      </c>
      <c r="D1052" s="2" t="s">
        <v>591</v>
      </c>
      <c r="E1052" s="2" t="s">
        <v>2011</v>
      </c>
      <c r="F1052" s="3" t="n">
        <v>45762.6694444444</v>
      </c>
      <c r="G1052" s="2" t="s">
        <v>2012</v>
      </c>
      <c r="H1052" s="4" t="n">
        <v>0</v>
      </c>
      <c r="I1052" s="2" t="s">
        <v>18</v>
      </c>
      <c r="J1052" s="2" t="s">
        <v>37</v>
      </c>
      <c r="K1052" s="2" t="n">
        <v>3</v>
      </c>
      <c r="L1052" s="2" t="n">
        <v>1</v>
      </c>
      <c r="M1052" s="2" t="n">
        <v>1</v>
      </c>
    </row>
    <row r="1053" customFormat="false" ht="15" hidden="false" customHeight="false" outlineLevel="0" collapsed="false">
      <c r="A1053" s="2" t="s">
        <v>2324</v>
      </c>
      <c r="B1053" s="2" t="s">
        <v>2325</v>
      </c>
      <c r="C1053" s="2" t="n">
        <v>2</v>
      </c>
      <c r="D1053" s="2" t="s">
        <v>2258</v>
      </c>
      <c r="E1053" s="2" t="s">
        <v>2011</v>
      </c>
      <c r="F1053" s="3" t="n">
        <v>45762.8548611111</v>
      </c>
      <c r="G1053" s="2" t="s">
        <v>2012</v>
      </c>
      <c r="H1053" s="4" t="n">
        <v>-0.1154</v>
      </c>
      <c r="I1053" s="2" t="s">
        <v>84</v>
      </c>
      <c r="J1053" s="2" t="s">
        <v>165</v>
      </c>
      <c r="K1053" s="2" t="n">
        <v>9</v>
      </c>
      <c r="L1053" s="2" t="n">
        <v>1</v>
      </c>
      <c r="M1053" s="2" t="n">
        <v>1</v>
      </c>
    </row>
    <row r="1054" customFormat="false" ht="15" hidden="false" customHeight="false" outlineLevel="0" collapsed="false">
      <c r="A1054" s="2" t="s">
        <v>2326</v>
      </c>
      <c r="B1054" s="2" t="s">
        <v>2327</v>
      </c>
      <c r="C1054" s="2" t="n">
        <v>1</v>
      </c>
      <c r="D1054" s="2" t="s">
        <v>733</v>
      </c>
      <c r="E1054" s="2" t="s">
        <v>2011</v>
      </c>
      <c r="F1054" s="3" t="n">
        <v>45762.9951388889</v>
      </c>
      <c r="G1054" s="2" t="s">
        <v>2012</v>
      </c>
      <c r="H1054" s="4" t="n">
        <v>-0.2846</v>
      </c>
      <c r="I1054" s="2" t="s">
        <v>84</v>
      </c>
      <c r="J1054" s="2" t="s">
        <v>37</v>
      </c>
      <c r="K1054" s="2" t="n">
        <v>1</v>
      </c>
      <c r="L1054" s="2" t="n">
        <v>1</v>
      </c>
      <c r="M1054" s="2" t="n">
        <v>1</v>
      </c>
    </row>
    <row r="1055" customFormat="false" ht="15" hidden="false" customHeight="false" outlineLevel="0" collapsed="false">
      <c r="A1055" s="2" t="s">
        <v>2328</v>
      </c>
      <c r="B1055" s="2" t="s">
        <v>2329</v>
      </c>
      <c r="C1055" s="2" t="n">
        <v>5</v>
      </c>
      <c r="D1055" s="2" t="s">
        <v>2140</v>
      </c>
      <c r="E1055" s="2" t="s">
        <v>2011</v>
      </c>
      <c r="F1055" s="3" t="n">
        <v>45763.0590277778</v>
      </c>
      <c r="G1055" s="2" t="s">
        <v>2012</v>
      </c>
      <c r="H1055" s="4" t="n">
        <v>0.8777</v>
      </c>
      <c r="I1055" s="2" t="s">
        <v>23</v>
      </c>
      <c r="J1055" s="2" t="s">
        <v>19</v>
      </c>
      <c r="K1055" s="2" t="n">
        <v>0</v>
      </c>
      <c r="L1055" s="2" t="n">
        <v>0</v>
      </c>
      <c r="M1055" s="2" t="n">
        <v>0</v>
      </c>
    </row>
    <row r="1056" customFormat="false" ht="15" hidden="false" customHeight="false" outlineLevel="0" collapsed="false">
      <c r="A1056" s="2" t="s">
        <v>2330</v>
      </c>
      <c r="B1056" s="2" t="s">
        <v>2331</v>
      </c>
      <c r="C1056" s="2" t="n">
        <v>3</v>
      </c>
      <c r="D1056" s="2" t="s">
        <v>701</v>
      </c>
      <c r="E1056" s="2" t="s">
        <v>2011</v>
      </c>
      <c r="F1056" s="3" t="n">
        <v>45763.0701388889</v>
      </c>
      <c r="G1056" s="2" t="s">
        <v>2012</v>
      </c>
      <c r="H1056" s="4" t="n">
        <v>-0.7184</v>
      </c>
      <c r="I1056" s="2" t="s">
        <v>84</v>
      </c>
      <c r="J1056" s="2" t="s">
        <v>37</v>
      </c>
      <c r="K1056" s="2" t="n">
        <v>4</v>
      </c>
      <c r="L1056" s="2" t="n">
        <v>0</v>
      </c>
      <c r="M1056" s="2" t="n">
        <v>0</v>
      </c>
    </row>
    <row r="1057" customFormat="false" ht="15" hidden="false" customHeight="false" outlineLevel="0" collapsed="false">
      <c r="A1057" s="2" t="s">
        <v>2332</v>
      </c>
      <c r="B1057" s="2" t="s">
        <v>2333</v>
      </c>
      <c r="C1057" s="2" t="n">
        <v>5</v>
      </c>
      <c r="D1057" s="2" t="s">
        <v>1222</v>
      </c>
      <c r="E1057" s="2" t="s">
        <v>2011</v>
      </c>
      <c r="F1057" s="3" t="n">
        <v>45763.2520833333</v>
      </c>
      <c r="G1057" s="2" t="s">
        <v>2012</v>
      </c>
      <c r="H1057" s="4" t="n">
        <v>0.8221</v>
      </c>
      <c r="I1057" s="2" t="s">
        <v>23</v>
      </c>
      <c r="J1057" s="2" t="s">
        <v>33</v>
      </c>
      <c r="K1057" s="2" t="n">
        <v>4</v>
      </c>
      <c r="L1057" s="2" t="n">
        <v>0</v>
      </c>
      <c r="M1057" s="2" t="n">
        <v>0</v>
      </c>
    </row>
    <row r="1058" customFormat="false" ht="15" hidden="false" customHeight="false" outlineLevel="0" collapsed="false">
      <c r="A1058" s="2" t="s">
        <v>2334</v>
      </c>
      <c r="B1058" s="2" t="s">
        <v>2335</v>
      </c>
      <c r="C1058" s="2" t="n">
        <v>5</v>
      </c>
      <c r="D1058" s="2" t="s">
        <v>1878</v>
      </c>
      <c r="E1058" s="2" t="s">
        <v>2011</v>
      </c>
      <c r="F1058" s="3" t="n">
        <v>45763.5256944444</v>
      </c>
      <c r="G1058" s="2" t="s">
        <v>2012</v>
      </c>
      <c r="H1058" s="4" t="n">
        <v>0.9516</v>
      </c>
      <c r="I1058" s="2" t="s">
        <v>23</v>
      </c>
      <c r="J1058" s="2" t="s">
        <v>37</v>
      </c>
      <c r="K1058" s="2" t="n">
        <v>0</v>
      </c>
      <c r="L1058" s="2" t="n">
        <v>0</v>
      </c>
      <c r="M1058" s="2" t="n">
        <v>0</v>
      </c>
    </row>
    <row r="1059" customFormat="false" ht="15" hidden="false" customHeight="false" outlineLevel="0" collapsed="false">
      <c r="A1059" s="2" t="s">
        <v>2336</v>
      </c>
      <c r="B1059" s="2" t="s">
        <v>2337</v>
      </c>
      <c r="C1059" s="2" t="n">
        <v>2</v>
      </c>
      <c r="D1059" s="2" t="s">
        <v>733</v>
      </c>
      <c r="E1059" s="2" t="s">
        <v>2011</v>
      </c>
      <c r="F1059" s="3" t="n">
        <v>45763.5472222222</v>
      </c>
      <c r="G1059" s="2" t="s">
        <v>2012</v>
      </c>
      <c r="H1059" s="4" t="n">
        <v>-0.2846</v>
      </c>
      <c r="I1059" s="2" t="s">
        <v>84</v>
      </c>
      <c r="J1059" s="2" t="s">
        <v>37</v>
      </c>
      <c r="K1059" s="2" t="n">
        <v>2</v>
      </c>
      <c r="L1059" s="2" t="n">
        <v>0</v>
      </c>
      <c r="M1059" s="2" t="n">
        <v>0</v>
      </c>
    </row>
    <row r="1060" customFormat="false" ht="15" hidden="false" customHeight="false" outlineLevel="0" collapsed="false">
      <c r="A1060" s="2" t="s">
        <v>2338</v>
      </c>
      <c r="B1060" s="2" t="s">
        <v>2339</v>
      </c>
      <c r="C1060" s="2" t="n">
        <v>2</v>
      </c>
      <c r="D1060" s="2" t="s">
        <v>733</v>
      </c>
      <c r="E1060" s="2" t="s">
        <v>2011</v>
      </c>
      <c r="F1060" s="3" t="n">
        <v>45763.6048611111</v>
      </c>
      <c r="G1060" s="2" t="s">
        <v>2012</v>
      </c>
      <c r="H1060" s="4" t="n">
        <v>-0.2846</v>
      </c>
      <c r="I1060" s="2" t="s">
        <v>84</v>
      </c>
      <c r="J1060" s="2" t="s">
        <v>37</v>
      </c>
      <c r="K1060" s="2" t="n">
        <v>1</v>
      </c>
      <c r="L1060" s="2" t="n">
        <v>0</v>
      </c>
      <c r="M1060" s="2" t="n">
        <v>0</v>
      </c>
    </row>
    <row r="1061" customFormat="false" ht="15" hidden="false" customHeight="false" outlineLevel="0" collapsed="false">
      <c r="A1061" s="2" t="s">
        <v>2340</v>
      </c>
      <c r="B1061" s="2" t="s">
        <v>300</v>
      </c>
      <c r="C1061" s="2" t="n">
        <v>1</v>
      </c>
      <c r="D1061" s="2" t="s">
        <v>701</v>
      </c>
      <c r="E1061" s="2" t="s">
        <v>2011</v>
      </c>
      <c r="F1061" s="3" t="n">
        <v>45763.8291666667</v>
      </c>
      <c r="G1061" s="2" t="s">
        <v>2012</v>
      </c>
      <c r="H1061" s="4" t="n">
        <v>-0.7184</v>
      </c>
      <c r="I1061" s="2" t="s">
        <v>84</v>
      </c>
      <c r="J1061" s="2" t="s">
        <v>37</v>
      </c>
      <c r="K1061" s="2" t="n">
        <v>0</v>
      </c>
      <c r="L1061" s="2" t="n">
        <v>0</v>
      </c>
      <c r="M1061" s="2" t="n">
        <v>0</v>
      </c>
    </row>
    <row r="1062" customFormat="false" ht="15" hidden="false" customHeight="false" outlineLevel="0" collapsed="false">
      <c r="A1062" s="2" t="s">
        <v>2341</v>
      </c>
      <c r="B1062" s="2" t="s">
        <v>2342</v>
      </c>
      <c r="C1062" s="2" t="n">
        <v>3</v>
      </c>
      <c r="D1062" s="2" t="s">
        <v>397</v>
      </c>
      <c r="E1062" s="2" t="s">
        <v>2011</v>
      </c>
      <c r="F1062" s="3" t="n">
        <v>45763.9118055556</v>
      </c>
      <c r="G1062" s="2" t="s">
        <v>2012</v>
      </c>
      <c r="H1062" s="4" t="n">
        <v>0</v>
      </c>
      <c r="I1062" s="2" t="s">
        <v>18</v>
      </c>
      <c r="J1062" s="2" t="s">
        <v>110</v>
      </c>
      <c r="K1062" s="2" t="n">
        <v>0</v>
      </c>
      <c r="L1062" s="2" t="n">
        <v>0</v>
      </c>
      <c r="M1062" s="2" t="n">
        <v>0</v>
      </c>
    </row>
    <row r="1063" customFormat="false" ht="15" hidden="false" customHeight="false" outlineLevel="0" collapsed="false">
      <c r="A1063" s="2" t="s">
        <v>2343</v>
      </c>
      <c r="B1063" s="2" t="s">
        <v>2344</v>
      </c>
      <c r="C1063" s="2" t="n">
        <v>2</v>
      </c>
      <c r="D1063" s="2" t="s">
        <v>58</v>
      </c>
      <c r="E1063" s="2" t="s">
        <v>2011</v>
      </c>
      <c r="F1063" s="3" t="n">
        <v>45763.9229166667</v>
      </c>
      <c r="G1063" s="2" t="s">
        <v>2012</v>
      </c>
      <c r="H1063" s="4" t="n">
        <v>0</v>
      </c>
      <c r="I1063" s="2" t="s">
        <v>18</v>
      </c>
      <c r="J1063" s="2" t="s">
        <v>59</v>
      </c>
      <c r="K1063" s="2" t="n">
        <v>0</v>
      </c>
      <c r="L1063" s="2" t="n">
        <v>0</v>
      </c>
      <c r="M1063" s="2" t="n">
        <v>0</v>
      </c>
    </row>
    <row r="1064" customFormat="false" ht="15" hidden="false" customHeight="false" outlineLevel="0" collapsed="false">
      <c r="A1064" s="2" t="s">
        <v>2345</v>
      </c>
      <c r="B1064" s="2" t="s">
        <v>2346</v>
      </c>
      <c r="C1064" s="2" t="n">
        <v>5</v>
      </c>
      <c r="D1064" s="2" t="s">
        <v>40</v>
      </c>
      <c r="E1064" s="2" t="s">
        <v>2011</v>
      </c>
      <c r="F1064" s="3" t="n">
        <v>45763.9402777778</v>
      </c>
      <c r="G1064" s="2" t="s">
        <v>2012</v>
      </c>
      <c r="H1064" s="4" t="n">
        <v>0.4019</v>
      </c>
      <c r="I1064" s="2" t="s">
        <v>23</v>
      </c>
      <c r="J1064" s="2" t="s">
        <v>33</v>
      </c>
      <c r="K1064" s="2" t="n">
        <v>3</v>
      </c>
      <c r="L1064" s="2" t="n">
        <v>0</v>
      </c>
      <c r="M1064" s="2" t="n">
        <v>0</v>
      </c>
    </row>
    <row r="1065" customFormat="false" ht="15" hidden="false" customHeight="false" outlineLevel="0" collapsed="false">
      <c r="A1065" s="2" t="s">
        <v>2347</v>
      </c>
      <c r="B1065" s="2" t="s">
        <v>2348</v>
      </c>
      <c r="C1065" s="2" t="n">
        <v>2</v>
      </c>
      <c r="D1065" s="2" t="s">
        <v>295</v>
      </c>
      <c r="E1065" s="2" t="s">
        <v>2011</v>
      </c>
      <c r="F1065" s="3" t="n">
        <v>45764.0784722222</v>
      </c>
      <c r="G1065" s="2" t="s">
        <v>2012</v>
      </c>
      <c r="H1065" s="4" t="n">
        <v>-0.5023</v>
      </c>
      <c r="I1065" s="2" t="s">
        <v>84</v>
      </c>
      <c r="J1065" s="2" t="s">
        <v>33</v>
      </c>
      <c r="K1065" s="2" t="n">
        <v>5</v>
      </c>
      <c r="L1065" s="2" t="n">
        <v>0</v>
      </c>
      <c r="M1065" s="2" t="n">
        <v>0</v>
      </c>
    </row>
    <row r="1066" customFormat="false" ht="15" hidden="false" customHeight="false" outlineLevel="0" collapsed="false">
      <c r="A1066" s="2" t="s">
        <v>2349</v>
      </c>
      <c r="B1066" s="2" t="s">
        <v>2350</v>
      </c>
      <c r="C1066" s="2" t="n">
        <v>3</v>
      </c>
      <c r="D1066" s="2" t="s">
        <v>22</v>
      </c>
      <c r="E1066" s="2" t="s">
        <v>2011</v>
      </c>
      <c r="F1066" s="3" t="n">
        <v>45764.2791666667</v>
      </c>
      <c r="G1066" s="2" t="s">
        <v>2012</v>
      </c>
      <c r="H1066" s="4" t="n">
        <v>0.2023</v>
      </c>
      <c r="I1066" s="2" t="s">
        <v>23</v>
      </c>
      <c r="J1066" s="2" t="s">
        <v>19</v>
      </c>
      <c r="K1066" s="2" t="n">
        <v>2</v>
      </c>
      <c r="L1066" s="2" t="n">
        <v>0</v>
      </c>
      <c r="M1066" s="2" t="n">
        <v>0</v>
      </c>
    </row>
    <row r="1067" customFormat="false" ht="15" hidden="false" customHeight="false" outlineLevel="0" collapsed="false">
      <c r="A1067" s="2" t="s">
        <v>2351</v>
      </c>
      <c r="B1067" s="2" t="s">
        <v>2352</v>
      </c>
      <c r="C1067" s="2" t="n">
        <v>5</v>
      </c>
      <c r="D1067" s="2" t="s">
        <v>1698</v>
      </c>
      <c r="E1067" s="2" t="s">
        <v>2011</v>
      </c>
      <c r="F1067" s="3" t="n">
        <v>45764.3715277778</v>
      </c>
      <c r="G1067" s="2" t="s">
        <v>2012</v>
      </c>
      <c r="H1067" s="4" t="n">
        <v>0.7845</v>
      </c>
      <c r="I1067" s="2" t="s">
        <v>23</v>
      </c>
      <c r="J1067" s="2" t="s">
        <v>33</v>
      </c>
      <c r="K1067" s="2" t="n">
        <v>1</v>
      </c>
      <c r="L1067" s="2" t="n">
        <v>0</v>
      </c>
      <c r="M1067" s="2" t="n">
        <v>0</v>
      </c>
    </row>
    <row r="1068" customFormat="false" ht="15" hidden="false" customHeight="false" outlineLevel="0" collapsed="false">
      <c r="A1068" s="2" t="s">
        <v>2353</v>
      </c>
      <c r="B1068" s="2" t="s">
        <v>2354</v>
      </c>
      <c r="C1068" s="2" t="n">
        <v>1</v>
      </c>
      <c r="D1068" s="2" t="s">
        <v>823</v>
      </c>
      <c r="E1068" s="2" t="s">
        <v>2011</v>
      </c>
      <c r="F1068" s="3" t="n">
        <v>45764.50625</v>
      </c>
      <c r="G1068" s="2" t="s">
        <v>2012</v>
      </c>
      <c r="H1068" s="4" t="n">
        <v>-0.6997</v>
      </c>
      <c r="I1068" s="2" t="s">
        <v>84</v>
      </c>
      <c r="J1068" s="2" t="s">
        <v>19</v>
      </c>
      <c r="K1068" s="2" t="n">
        <v>3</v>
      </c>
      <c r="L1068" s="2" t="n">
        <v>1</v>
      </c>
      <c r="M1068" s="2" t="n">
        <v>0</v>
      </c>
    </row>
    <row r="1069" customFormat="false" ht="15" hidden="false" customHeight="false" outlineLevel="0" collapsed="false">
      <c r="A1069" s="2" t="s">
        <v>2355</v>
      </c>
      <c r="B1069" s="2" t="s">
        <v>2356</v>
      </c>
      <c r="C1069" s="2" t="n">
        <v>1</v>
      </c>
      <c r="D1069" s="2" t="s">
        <v>234</v>
      </c>
      <c r="E1069" s="2" t="s">
        <v>2011</v>
      </c>
      <c r="F1069" s="3" t="n">
        <v>45764.5263888889</v>
      </c>
      <c r="G1069" s="2" t="s">
        <v>2012</v>
      </c>
      <c r="H1069" s="4" t="n">
        <v>0</v>
      </c>
      <c r="I1069" s="2" t="s">
        <v>18</v>
      </c>
      <c r="J1069" s="2" t="s">
        <v>165</v>
      </c>
      <c r="K1069" s="2" t="n">
        <v>5</v>
      </c>
      <c r="L1069" s="2" t="n">
        <v>0</v>
      </c>
      <c r="M1069" s="2" t="n">
        <v>0</v>
      </c>
    </row>
    <row r="1070" customFormat="false" ht="15" hidden="false" customHeight="false" outlineLevel="0" collapsed="false">
      <c r="A1070" s="2" t="s">
        <v>2357</v>
      </c>
      <c r="B1070" s="2" t="s">
        <v>2358</v>
      </c>
      <c r="C1070" s="2" t="n">
        <v>1</v>
      </c>
      <c r="D1070" s="2" t="s">
        <v>721</v>
      </c>
      <c r="E1070" s="2" t="s">
        <v>2011</v>
      </c>
      <c r="F1070" s="3" t="n">
        <v>45764.5375</v>
      </c>
      <c r="G1070" s="2" t="s">
        <v>2012</v>
      </c>
      <c r="H1070" s="4" t="n">
        <v>-0.4588</v>
      </c>
      <c r="I1070" s="2" t="s">
        <v>84</v>
      </c>
      <c r="J1070" s="2" t="s">
        <v>37</v>
      </c>
      <c r="K1070" s="2" t="n">
        <v>2</v>
      </c>
      <c r="L1070" s="2" t="n">
        <v>0</v>
      </c>
      <c r="M1070" s="2" t="n">
        <v>0</v>
      </c>
    </row>
    <row r="1071" customFormat="false" ht="15" hidden="false" customHeight="false" outlineLevel="0" collapsed="false">
      <c r="A1071" s="2" t="s">
        <v>2359</v>
      </c>
      <c r="B1071" s="2" t="s">
        <v>2360</v>
      </c>
      <c r="C1071" s="2" t="n">
        <v>5</v>
      </c>
      <c r="D1071" s="2" t="s">
        <v>52</v>
      </c>
      <c r="E1071" s="2" t="s">
        <v>2011</v>
      </c>
      <c r="F1071" s="3" t="n">
        <v>45764.5618055556</v>
      </c>
      <c r="G1071" s="2" t="s">
        <v>2012</v>
      </c>
      <c r="H1071" s="4" t="n">
        <v>0.6369</v>
      </c>
      <c r="I1071" s="2" t="s">
        <v>23</v>
      </c>
      <c r="J1071" s="2" t="s">
        <v>19</v>
      </c>
      <c r="K1071" s="2" t="n">
        <v>1</v>
      </c>
      <c r="L1071" s="2" t="n">
        <v>0</v>
      </c>
      <c r="M1071" s="2" t="n">
        <v>0</v>
      </c>
    </row>
    <row r="1072" customFormat="false" ht="15" hidden="false" customHeight="false" outlineLevel="0" collapsed="false">
      <c r="A1072" s="2" t="s">
        <v>2361</v>
      </c>
      <c r="B1072" s="2" t="s">
        <v>2362</v>
      </c>
      <c r="C1072" s="2" t="n">
        <v>1</v>
      </c>
      <c r="D1072" s="2" t="s">
        <v>460</v>
      </c>
      <c r="E1072" s="2" t="s">
        <v>2011</v>
      </c>
      <c r="F1072" s="3" t="n">
        <v>45764.5715277778</v>
      </c>
      <c r="G1072" s="2" t="s">
        <v>2012</v>
      </c>
      <c r="H1072" s="4" t="n">
        <v>-0.5984</v>
      </c>
      <c r="I1072" s="2" t="s">
        <v>84</v>
      </c>
      <c r="J1072" s="2" t="s">
        <v>19</v>
      </c>
      <c r="K1072" s="2" t="n">
        <v>3</v>
      </c>
      <c r="L1072" s="2" t="n">
        <v>0</v>
      </c>
      <c r="M1072" s="2" t="n">
        <v>0</v>
      </c>
    </row>
    <row r="1073" customFormat="false" ht="15" hidden="false" customHeight="false" outlineLevel="0" collapsed="false">
      <c r="A1073" s="2" t="s">
        <v>2363</v>
      </c>
      <c r="B1073" s="2" t="s">
        <v>2364</v>
      </c>
      <c r="C1073" s="2" t="n">
        <v>1</v>
      </c>
      <c r="D1073" s="2" t="s">
        <v>1942</v>
      </c>
      <c r="E1073" s="2" t="s">
        <v>2011</v>
      </c>
      <c r="F1073" s="3" t="n">
        <v>45764.9111111111</v>
      </c>
      <c r="G1073" s="2" t="s">
        <v>2012</v>
      </c>
      <c r="H1073" s="4" t="n">
        <v>0</v>
      </c>
      <c r="I1073" s="2" t="s">
        <v>18</v>
      </c>
      <c r="J1073" s="2" t="s">
        <v>165</v>
      </c>
      <c r="K1073" s="2" t="n">
        <v>1</v>
      </c>
      <c r="L1073" s="2" t="n">
        <v>1</v>
      </c>
      <c r="M1073" s="2" t="n">
        <v>0</v>
      </c>
    </row>
    <row r="1074" customFormat="false" ht="15" hidden="false" customHeight="false" outlineLevel="0" collapsed="false">
      <c r="A1074" s="2" t="s">
        <v>2365</v>
      </c>
      <c r="B1074" s="2" t="s">
        <v>2366</v>
      </c>
      <c r="C1074" s="2" t="n">
        <v>1</v>
      </c>
      <c r="D1074" s="2" t="s">
        <v>701</v>
      </c>
      <c r="E1074" s="2" t="s">
        <v>2011</v>
      </c>
      <c r="F1074" s="3" t="n">
        <v>45764.9555555556</v>
      </c>
      <c r="G1074" s="2" t="s">
        <v>2012</v>
      </c>
      <c r="H1074" s="4" t="n">
        <v>-0.7184</v>
      </c>
      <c r="I1074" s="2" t="s">
        <v>84</v>
      </c>
      <c r="J1074" s="2" t="s">
        <v>37</v>
      </c>
      <c r="K1074" s="2" t="n">
        <v>0</v>
      </c>
      <c r="L1074" s="2" t="n">
        <v>0</v>
      </c>
      <c r="M1074" s="2" t="n">
        <v>0</v>
      </c>
    </row>
    <row r="1075" customFormat="false" ht="15" hidden="false" customHeight="false" outlineLevel="0" collapsed="false">
      <c r="A1075" s="2" t="s">
        <v>2367</v>
      </c>
      <c r="B1075" s="2" t="s">
        <v>2368</v>
      </c>
      <c r="C1075" s="2" t="n">
        <v>5</v>
      </c>
      <c r="D1075" s="2" t="s">
        <v>15</v>
      </c>
      <c r="E1075" s="2" t="s">
        <v>2011</v>
      </c>
      <c r="F1075" s="3" t="n">
        <v>45765.15</v>
      </c>
      <c r="G1075" s="2" t="s">
        <v>2012</v>
      </c>
      <c r="H1075" s="4" t="n">
        <v>0</v>
      </c>
      <c r="I1075" s="2" t="s">
        <v>18</v>
      </c>
      <c r="J1075" s="2" t="s">
        <v>19</v>
      </c>
      <c r="K1075" s="2" t="n">
        <v>6</v>
      </c>
      <c r="L1075" s="2" t="n">
        <v>0</v>
      </c>
      <c r="M1075" s="2" t="n">
        <v>0</v>
      </c>
    </row>
    <row r="1076" customFormat="false" ht="15" hidden="false" customHeight="false" outlineLevel="0" collapsed="false">
      <c r="A1076" s="2" t="s">
        <v>2369</v>
      </c>
      <c r="B1076" s="2" t="s">
        <v>2370</v>
      </c>
      <c r="C1076" s="2" t="n">
        <v>1</v>
      </c>
      <c r="D1076" s="2" t="s">
        <v>701</v>
      </c>
      <c r="E1076" s="2" t="s">
        <v>2011</v>
      </c>
      <c r="F1076" s="3" t="n">
        <v>45765.2576388889</v>
      </c>
      <c r="G1076" s="2" t="s">
        <v>2012</v>
      </c>
      <c r="H1076" s="4" t="n">
        <v>-0.7184</v>
      </c>
      <c r="I1076" s="2" t="s">
        <v>84</v>
      </c>
      <c r="J1076" s="2" t="s">
        <v>37</v>
      </c>
      <c r="K1076" s="2" t="n">
        <v>6</v>
      </c>
      <c r="L1076" s="2" t="n">
        <v>0</v>
      </c>
      <c r="M1076" s="2" t="n">
        <v>0</v>
      </c>
    </row>
    <row r="1077" customFormat="false" ht="15" hidden="false" customHeight="false" outlineLevel="0" collapsed="false">
      <c r="A1077" s="2" t="s">
        <v>2371</v>
      </c>
      <c r="B1077" s="2" t="s">
        <v>2372</v>
      </c>
      <c r="C1077" s="2" t="n">
        <v>3</v>
      </c>
      <c r="D1077" s="2" t="s">
        <v>99</v>
      </c>
      <c r="E1077" s="2" t="s">
        <v>2011</v>
      </c>
      <c r="F1077" s="3" t="n">
        <v>45765.2673611111</v>
      </c>
      <c r="G1077" s="2" t="s">
        <v>2012</v>
      </c>
      <c r="H1077" s="4" t="n">
        <v>-0.3089</v>
      </c>
      <c r="I1077" s="2" t="s">
        <v>84</v>
      </c>
      <c r="J1077" s="2" t="s">
        <v>19</v>
      </c>
      <c r="K1077" s="2" t="n">
        <v>0</v>
      </c>
      <c r="L1077" s="2" t="n">
        <v>1</v>
      </c>
      <c r="M1077" s="2" t="n">
        <v>0</v>
      </c>
    </row>
    <row r="1078" customFormat="false" ht="15" hidden="false" customHeight="false" outlineLevel="0" collapsed="false">
      <c r="A1078" s="2" t="s">
        <v>2373</v>
      </c>
      <c r="B1078" s="2" t="s">
        <v>2374</v>
      </c>
      <c r="C1078" s="2" t="n">
        <v>3</v>
      </c>
      <c r="D1078" s="2" t="s">
        <v>1400</v>
      </c>
      <c r="E1078" s="2" t="s">
        <v>2011</v>
      </c>
      <c r="F1078" s="3" t="n">
        <v>45765.3763888889</v>
      </c>
      <c r="G1078" s="2" t="s">
        <v>2012</v>
      </c>
      <c r="H1078" s="4" t="n">
        <v>0.4019</v>
      </c>
      <c r="I1078" s="2" t="s">
        <v>23</v>
      </c>
      <c r="J1078" s="2" t="s">
        <v>19</v>
      </c>
      <c r="K1078" s="2" t="n">
        <v>1</v>
      </c>
      <c r="L1078" s="2" t="n">
        <v>0</v>
      </c>
      <c r="M1078" s="2" t="n">
        <v>0</v>
      </c>
    </row>
    <row r="1079" customFormat="false" ht="15" hidden="false" customHeight="false" outlineLevel="0" collapsed="false">
      <c r="A1079" s="2" t="s">
        <v>2375</v>
      </c>
      <c r="B1079" s="2" t="s">
        <v>2376</v>
      </c>
      <c r="C1079" s="2" t="n">
        <v>1</v>
      </c>
      <c r="D1079" s="2" t="s">
        <v>164</v>
      </c>
      <c r="E1079" s="2" t="s">
        <v>2011</v>
      </c>
      <c r="F1079" s="3" t="n">
        <v>45765.4638888889</v>
      </c>
      <c r="G1079" s="2" t="s">
        <v>2012</v>
      </c>
      <c r="H1079" s="4" t="n">
        <v>0.25</v>
      </c>
      <c r="I1079" s="2" t="s">
        <v>23</v>
      </c>
      <c r="J1079" s="2" t="s">
        <v>165</v>
      </c>
      <c r="K1079" s="2" t="n">
        <v>6</v>
      </c>
      <c r="L1079" s="2" t="n">
        <v>1</v>
      </c>
      <c r="M1079" s="2" t="n">
        <v>0</v>
      </c>
    </row>
    <row r="1080" customFormat="false" ht="15" hidden="false" customHeight="false" outlineLevel="0" collapsed="false">
      <c r="A1080" s="2" t="s">
        <v>2377</v>
      </c>
      <c r="B1080" s="2" t="s">
        <v>2378</v>
      </c>
      <c r="C1080" s="2" t="n">
        <v>4</v>
      </c>
      <c r="D1080" s="2" t="s">
        <v>850</v>
      </c>
      <c r="E1080" s="2" t="s">
        <v>2011</v>
      </c>
      <c r="F1080" s="3" t="n">
        <v>45765.4868055556</v>
      </c>
      <c r="G1080" s="2" t="s">
        <v>2012</v>
      </c>
      <c r="H1080" s="4" t="n">
        <v>0.7964</v>
      </c>
      <c r="I1080" s="2" t="s">
        <v>23</v>
      </c>
      <c r="J1080" s="2" t="s">
        <v>37</v>
      </c>
      <c r="K1080" s="2" t="n">
        <v>11</v>
      </c>
      <c r="L1080" s="2" t="n">
        <v>0</v>
      </c>
      <c r="M1080" s="2" t="n">
        <v>0</v>
      </c>
    </row>
    <row r="1081" customFormat="false" ht="15" hidden="false" customHeight="false" outlineLevel="0" collapsed="false">
      <c r="A1081" s="2" t="s">
        <v>2379</v>
      </c>
      <c r="B1081" s="2" t="s">
        <v>2380</v>
      </c>
      <c r="C1081" s="2" t="n">
        <v>5</v>
      </c>
      <c r="D1081" s="2" t="s">
        <v>127</v>
      </c>
      <c r="E1081" s="2" t="s">
        <v>2011</v>
      </c>
      <c r="F1081" s="3" t="n">
        <v>45765.5902777778</v>
      </c>
      <c r="G1081" s="2" t="s">
        <v>2012</v>
      </c>
      <c r="H1081" s="4" t="n">
        <v>0.9359</v>
      </c>
      <c r="I1081" s="2" t="s">
        <v>23</v>
      </c>
      <c r="J1081" s="2" t="s">
        <v>37</v>
      </c>
      <c r="K1081" s="2" t="n">
        <v>2</v>
      </c>
      <c r="L1081" s="2" t="n">
        <v>0</v>
      </c>
      <c r="M1081" s="2" t="n">
        <v>0</v>
      </c>
    </row>
    <row r="1082" customFormat="false" ht="15" hidden="false" customHeight="false" outlineLevel="0" collapsed="false">
      <c r="A1082" s="2" t="s">
        <v>2381</v>
      </c>
      <c r="B1082" s="2" t="s">
        <v>2382</v>
      </c>
      <c r="C1082" s="2" t="n">
        <v>4</v>
      </c>
      <c r="D1082" s="2" t="s">
        <v>2383</v>
      </c>
      <c r="E1082" s="2" t="s">
        <v>2011</v>
      </c>
      <c r="F1082" s="3" t="n">
        <v>45765.6305555556</v>
      </c>
      <c r="G1082" s="2" t="s">
        <v>2012</v>
      </c>
      <c r="H1082" s="4" t="n">
        <v>0.7845</v>
      </c>
      <c r="I1082" s="2" t="s">
        <v>23</v>
      </c>
      <c r="J1082" s="2" t="s">
        <v>33</v>
      </c>
      <c r="K1082" s="2" t="n">
        <v>0</v>
      </c>
      <c r="L1082" s="2" t="n">
        <v>0</v>
      </c>
      <c r="M1082" s="2" t="n">
        <v>0</v>
      </c>
    </row>
    <row r="1083" customFormat="false" ht="15" hidden="false" customHeight="false" outlineLevel="0" collapsed="false">
      <c r="A1083" s="2" t="s">
        <v>2384</v>
      </c>
      <c r="B1083" s="2" t="s">
        <v>2385</v>
      </c>
      <c r="C1083" s="2" t="n">
        <v>3</v>
      </c>
      <c r="D1083" s="2" t="s">
        <v>32</v>
      </c>
      <c r="E1083" s="2" t="s">
        <v>2011</v>
      </c>
      <c r="F1083" s="3" t="n">
        <v>45765.6909722222</v>
      </c>
      <c r="G1083" s="2" t="s">
        <v>2012</v>
      </c>
      <c r="H1083" s="4" t="n">
        <v>0.2023</v>
      </c>
      <c r="I1083" s="2" t="s">
        <v>23</v>
      </c>
      <c r="J1083" s="2" t="s">
        <v>33</v>
      </c>
      <c r="K1083" s="2" t="n">
        <v>0</v>
      </c>
      <c r="L1083" s="2" t="n">
        <v>0</v>
      </c>
      <c r="M1083" s="2" t="n">
        <v>0</v>
      </c>
    </row>
    <row r="1084" customFormat="false" ht="15" hidden="false" customHeight="false" outlineLevel="0" collapsed="false">
      <c r="A1084" s="2" t="s">
        <v>2386</v>
      </c>
      <c r="B1084" s="2" t="s">
        <v>2387</v>
      </c>
      <c r="C1084" s="2" t="n">
        <v>5</v>
      </c>
      <c r="D1084" s="2" t="s">
        <v>40</v>
      </c>
      <c r="E1084" s="2" t="s">
        <v>2011</v>
      </c>
      <c r="F1084" s="3" t="n">
        <v>45765.7791666667</v>
      </c>
      <c r="G1084" s="2" t="s">
        <v>2012</v>
      </c>
      <c r="H1084" s="4" t="n">
        <v>0.4019</v>
      </c>
      <c r="I1084" s="2" t="s">
        <v>23</v>
      </c>
      <c r="J1084" s="2" t="s">
        <v>33</v>
      </c>
      <c r="K1084" s="2" t="n">
        <v>1</v>
      </c>
      <c r="L1084" s="2" t="n">
        <v>0</v>
      </c>
      <c r="M1084" s="2" t="n">
        <v>0</v>
      </c>
    </row>
    <row r="1085" customFormat="false" ht="15" hidden="false" customHeight="false" outlineLevel="0" collapsed="false">
      <c r="A1085" s="2" t="s">
        <v>2388</v>
      </c>
      <c r="B1085" s="2" t="s">
        <v>2389</v>
      </c>
      <c r="C1085" s="2" t="n">
        <v>1</v>
      </c>
      <c r="D1085" s="2" t="s">
        <v>2390</v>
      </c>
      <c r="E1085" s="2" t="s">
        <v>2011</v>
      </c>
      <c r="F1085" s="3" t="n">
        <v>45765.8138888889</v>
      </c>
      <c r="G1085" s="2" t="s">
        <v>2012</v>
      </c>
      <c r="H1085" s="4" t="n">
        <v>0.4404</v>
      </c>
      <c r="I1085" s="2" t="s">
        <v>23</v>
      </c>
      <c r="J1085" s="2" t="s">
        <v>165</v>
      </c>
      <c r="K1085" s="2" t="n">
        <v>7</v>
      </c>
      <c r="L1085" s="2" t="n">
        <v>0</v>
      </c>
      <c r="M1085" s="2" t="n">
        <v>0</v>
      </c>
    </row>
    <row r="1086" customFormat="false" ht="15" hidden="false" customHeight="false" outlineLevel="0" collapsed="false">
      <c r="A1086" s="2" t="s">
        <v>2391</v>
      </c>
      <c r="B1086" s="2" t="s">
        <v>2392</v>
      </c>
      <c r="C1086" s="2" t="n">
        <v>3</v>
      </c>
      <c r="D1086" s="2" t="s">
        <v>701</v>
      </c>
      <c r="E1086" s="2" t="s">
        <v>2011</v>
      </c>
      <c r="F1086" s="3" t="n">
        <v>45765.9090277778</v>
      </c>
      <c r="G1086" s="2" t="s">
        <v>2012</v>
      </c>
      <c r="H1086" s="4" t="n">
        <v>-0.7184</v>
      </c>
      <c r="I1086" s="2" t="s">
        <v>84</v>
      </c>
      <c r="J1086" s="2" t="s">
        <v>37</v>
      </c>
      <c r="K1086" s="2" t="n">
        <v>1</v>
      </c>
      <c r="L1086" s="2" t="n">
        <v>0</v>
      </c>
      <c r="M1086" s="2" t="n">
        <v>0</v>
      </c>
    </row>
    <row r="1087" customFormat="false" ht="15" hidden="false" customHeight="false" outlineLevel="0" collapsed="false">
      <c r="A1087" s="2" t="s">
        <v>2393</v>
      </c>
      <c r="B1087" s="2" t="s">
        <v>2394</v>
      </c>
      <c r="C1087" s="2" t="n">
        <v>1</v>
      </c>
      <c r="D1087" s="2" t="s">
        <v>2395</v>
      </c>
      <c r="E1087" s="2" t="s">
        <v>2011</v>
      </c>
      <c r="F1087" s="3" t="n">
        <v>45765.9465277778</v>
      </c>
      <c r="G1087" s="2" t="s">
        <v>2012</v>
      </c>
      <c r="H1087" s="4" t="n">
        <v>-0.6115</v>
      </c>
      <c r="I1087" s="2" t="s">
        <v>84</v>
      </c>
      <c r="J1087" s="2" t="s">
        <v>19</v>
      </c>
      <c r="K1087" s="2" t="n">
        <v>5</v>
      </c>
      <c r="L1087" s="2" t="n">
        <v>1</v>
      </c>
      <c r="M1087" s="2" t="n">
        <v>0</v>
      </c>
    </row>
    <row r="1088" customFormat="false" ht="15" hidden="false" customHeight="false" outlineLevel="0" collapsed="false">
      <c r="A1088" s="2" t="s">
        <v>2396</v>
      </c>
      <c r="B1088" s="2" t="s">
        <v>2397</v>
      </c>
      <c r="C1088" s="2" t="n">
        <v>2</v>
      </c>
      <c r="D1088" s="2" t="s">
        <v>83</v>
      </c>
      <c r="E1088" s="2" t="s">
        <v>2011</v>
      </c>
      <c r="F1088" s="3" t="n">
        <v>45766.1715277778</v>
      </c>
      <c r="G1088" s="2" t="s">
        <v>2012</v>
      </c>
      <c r="H1088" s="4" t="n">
        <v>-0.6166</v>
      </c>
      <c r="I1088" s="2" t="s">
        <v>84</v>
      </c>
      <c r="J1088" s="2" t="s">
        <v>59</v>
      </c>
      <c r="K1088" s="2" t="n">
        <v>1</v>
      </c>
      <c r="L1088" s="2" t="n">
        <v>1</v>
      </c>
      <c r="M1088" s="2" t="n">
        <v>0</v>
      </c>
    </row>
    <row r="1089" customFormat="false" ht="15" hidden="false" customHeight="false" outlineLevel="0" collapsed="false">
      <c r="A1089" s="2" t="s">
        <v>2398</v>
      </c>
      <c r="B1089" s="2" t="s">
        <v>2399</v>
      </c>
      <c r="C1089" s="2" t="n">
        <v>5</v>
      </c>
      <c r="D1089" s="2" t="s">
        <v>62</v>
      </c>
      <c r="E1089" s="2" t="s">
        <v>2011</v>
      </c>
      <c r="F1089" s="3" t="n">
        <v>45766.3305555556</v>
      </c>
      <c r="G1089" s="2" t="s">
        <v>2012</v>
      </c>
      <c r="H1089" s="4" t="n">
        <v>0.7088</v>
      </c>
      <c r="I1089" s="2" t="s">
        <v>23</v>
      </c>
      <c r="J1089" s="2" t="s">
        <v>19</v>
      </c>
      <c r="K1089" s="2" t="n">
        <v>0</v>
      </c>
      <c r="L1089" s="2" t="n">
        <v>0</v>
      </c>
      <c r="M1089" s="2" t="n">
        <v>0</v>
      </c>
    </row>
    <row r="1090" customFormat="false" ht="15" hidden="false" customHeight="false" outlineLevel="0" collapsed="false">
      <c r="A1090" s="2" t="s">
        <v>2400</v>
      </c>
      <c r="B1090" s="2" t="s">
        <v>2401</v>
      </c>
      <c r="C1090" s="2" t="n">
        <v>4</v>
      </c>
      <c r="D1090" s="2" t="s">
        <v>99</v>
      </c>
      <c r="E1090" s="2" t="s">
        <v>2011</v>
      </c>
      <c r="F1090" s="3" t="n">
        <v>45766.4451388889</v>
      </c>
      <c r="G1090" s="2" t="s">
        <v>2012</v>
      </c>
      <c r="H1090" s="4" t="n">
        <v>-0.3089</v>
      </c>
      <c r="I1090" s="2" t="s">
        <v>84</v>
      </c>
      <c r="J1090" s="2" t="s">
        <v>19</v>
      </c>
      <c r="K1090" s="2" t="n">
        <v>7</v>
      </c>
      <c r="L1090" s="2" t="n">
        <v>0</v>
      </c>
      <c r="M1090" s="2" t="n">
        <v>0</v>
      </c>
    </row>
    <row r="1091" customFormat="false" ht="15" hidden="false" customHeight="false" outlineLevel="0" collapsed="false">
      <c r="A1091" s="2" t="s">
        <v>2402</v>
      </c>
      <c r="B1091" s="2" t="s">
        <v>2403</v>
      </c>
      <c r="C1091" s="2" t="n">
        <v>3</v>
      </c>
      <c r="D1091" s="2" t="s">
        <v>22</v>
      </c>
      <c r="E1091" s="2" t="s">
        <v>2011</v>
      </c>
      <c r="F1091" s="3" t="n">
        <v>45766.5222222222</v>
      </c>
      <c r="G1091" s="2" t="s">
        <v>2012</v>
      </c>
      <c r="H1091" s="4" t="n">
        <v>0.2023</v>
      </c>
      <c r="I1091" s="2" t="s">
        <v>23</v>
      </c>
      <c r="J1091" s="2" t="s">
        <v>19</v>
      </c>
      <c r="K1091" s="2" t="n">
        <v>1</v>
      </c>
      <c r="L1091" s="2" t="n">
        <v>0</v>
      </c>
      <c r="M1091" s="2" t="n">
        <v>0</v>
      </c>
    </row>
    <row r="1092" customFormat="false" ht="15" hidden="false" customHeight="false" outlineLevel="0" collapsed="false">
      <c r="A1092" s="2" t="s">
        <v>2404</v>
      </c>
      <c r="B1092" s="2" t="s">
        <v>2405</v>
      </c>
      <c r="C1092" s="2" t="n">
        <v>5</v>
      </c>
      <c r="D1092" s="2" t="s">
        <v>389</v>
      </c>
      <c r="E1092" s="2" t="s">
        <v>2011</v>
      </c>
      <c r="F1092" s="3" t="n">
        <v>45766.9020833333</v>
      </c>
      <c r="G1092" s="2" t="s">
        <v>2012</v>
      </c>
      <c r="H1092" s="4" t="n">
        <v>0.8519</v>
      </c>
      <c r="I1092" s="2" t="s">
        <v>23</v>
      </c>
      <c r="J1092" s="2" t="s">
        <v>37</v>
      </c>
      <c r="K1092" s="2" t="n">
        <v>4</v>
      </c>
      <c r="L1092" s="2" t="n">
        <v>1</v>
      </c>
      <c r="M1092" s="2" t="n">
        <v>0</v>
      </c>
    </row>
    <row r="1093" customFormat="false" ht="15" hidden="false" customHeight="false" outlineLevel="0" collapsed="false">
      <c r="A1093" s="2" t="s">
        <v>2406</v>
      </c>
      <c r="B1093" s="2" t="s">
        <v>2407</v>
      </c>
      <c r="C1093" s="2" t="n">
        <v>4</v>
      </c>
      <c r="D1093" s="2" t="s">
        <v>62</v>
      </c>
      <c r="E1093" s="2" t="s">
        <v>2011</v>
      </c>
      <c r="F1093" s="3" t="n">
        <v>45766.9680555556</v>
      </c>
      <c r="G1093" s="2" t="s">
        <v>2012</v>
      </c>
      <c r="H1093" s="4" t="n">
        <v>0.7088</v>
      </c>
      <c r="I1093" s="2" t="s">
        <v>23</v>
      </c>
      <c r="J1093" s="2" t="s">
        <v>19</v>
      </c>
      <c r="K1093" s="2" t="n">
        <v>4</v>
      </c>
      <c r="L1093" s="2" t="n">
        <v>0</v>
      </c>
      <c r="M1093" s="2" t="n">
        <v>0</v>
      </c>
    </row>
    <row r="1094" customFormat="false" ht="15" hidden="false" customHeight="false" outlineLevel="0" collapsed="false">
      <c r="A1094" s="2" t="s">
        <v>2408</v>
      </c>
      <c r="B1094" s="2" t="s">
        <v>2409</v>
      </c>
      <c r="C1094" s="2" t="n">
        <v>5</v>
      </c>
      <c r="D1094" s="2" t="s">
        <v>96</v>
      </c>
      <c r="E1094" s="2" t="s">
        <v>2011</v>
      </c>
      <c r="F1094" s="3" t="n">
        <v>45766.9770833333</v>
      </c>
      <c r="G1094" s="2" t="s">
        <v>2012</v>
      </c>
      <c r="H1094" s="4" t="n">
        <v>0.6369</v>
      </c>
      <c r="I1094" s="2" t="s">
        <v>23</v>
      </c>
      <c r="J1094" s="2" t="s">
        <v>19</v>
      </c>
      <c r="K1094" s="2" t="n">
        <v>4</v>
      </c>
      <c r="L1094" s="2" t="n">
        <v>0</v>
      </c>
      <c r="M1094" s="2" t="n">
        <v>0</v>
      </c>
    </row>
    <row r="1095" customFormat="false" ht="15" hidden="false" customHeight="false" outlineLevel="0" collapsed="false">
      <c r="A1095" s="2" t="s">
        <v>2410</v>
      </c>
      <c r="B1095" s="2" t="s">
        <v>2411</v>
      </c>
      <c r="C1095" s="2" t="n">
        <v>2</v>
      </c>
      <c r="D1095" s="2" t="s">
        <v>823</v>
      </c>
      <c r="E1095" s="2" t="s">
        <v>2011</v>
      </c>
      <c r="F1095" s="3" t="n">
        <v>45766.9958333333</v>
      </c>
      <c r="G1095" s="2" t="s">
        <v>2012</v>
      </c>
      <c r="H1095" s="4" t="n">
        <v>-0.6997</v>
      </c>
      <c r="I1095" s="2" t="s">
        <v>84</v>
      </c>
      <c r="J1095" s="2" t="s">
        <v>19</v>
      </c>
      <c r="K1095" s="2" t="n">
        <v>1</v>
      </c>
      <c r="L1095" s="2" t="n">
        <v>0</v>
      </c>
      <c r="M1095" s="2" t="n">
        <v>0</v>
      </c>
    </row>
    <row r="1096" customFormat="false" ht="15" hidden="false" customHeight="false" outlineLevel="0" collapsed="false">
      <c r="A1096" s="2" t="s">
        <v>2412</v>
      </c>
      <c r="B1096" s="2" t="s">
        <v>2413</v>
      </c>
      <c r="C1096" s="2" t="n">
        <v>5</v>
      </c>
      <c r="D1096" s="2" t="s">
        <v>40</v>
      </c>
      <c r="E1096" s="2" t="s">
        <v>2011</v>
      </c>
      <c r="F1096" s="3" t="n">
        <v>45767.2020833333</v>
      </c>
      <c r="G1096" s="2" t="s">
        <v>2012</v>
      </c>
      <c r="H1096" s="4" t="n">
        <v>0.4019</v>
      </c>
      <c r="I1096" s="2" t="s">
        <v>23</v>
      </c>
      <c r="J1096" s="2" t="s">
        <v>33</v>
      </c>
      <c r="K1096" s="2" t="n">
        <v>4</v>
      </c>
      <c r="L1096" s="2" t="n">
        <v>0</v>
      </c>
      <c r="M1096" s="2" t="n">
        <v>0</v>
      </c>
    </row>
    <row r="1097" customFormat="false" ht="15" hidden="false" customHeight="false" outlineLevel="0" collapsed="false">
      <c r="A1097" s="2" t="s">
        <v>2414</v>
      </c>
      <c r="B1097" s="2" t="s">
        <v>2415</v>
      </c>
      <c r="C1097" s="2" t="n">
        <v>3</v>
      </c>
      <c r="D1097" s="2" t="s">
        <v>99</v>
      </c>
      <c r="E1097" s="2" t="s">
        <v>2011</v>
      </c>
      <c r="F1097" s="3" t="n">
        <v>45767.2020833333</v>
      </c>
      <c r="G1097" s="2" t="s">
        <v>2012</v>
      </c>
      <c r="H1097" s="4" t="n">
        <v>-0.3089</v>
      </c>
      <c r="I1097" s="2" t="s">
        <v>84</v>
      </c>
      <c r="J1097" s="2" t="s">
        <v>19</v>
      </c>
      <c r="K1097" s="2" t="n">
        <v>0</v>
      </c>
      <c r="L1097" s="2" t="n">
        <v>0</v>
      </c>
      <c r="M1097" s="2" t="n">
        <v>0</v>
      </c>
    </row>
    <row r="1098" customFormat="false" ht="15" hidden="false" customHeight="false" outlineLevel="0" collapsed="false">
      <c r="A1098" s="2" t="s">
        <v>2416</v>
      </c>
      <c r="B1098" s="2" t="s">
        <v>2417</v>
      </c>
      <c r="C1098" s="2" t="n">
        <v>1</v>
      </c>
      <c r="D1098" s="2" t="s">
        <v>721</v>
      </c>
      <c r="E1098" s="2" t="s">
        <v>2011</v>
      </c>
      <c r="F1098" s="3" t="n">
        <v>45767.2243055556</v>
      </c>
      <c r="G1098" s="2" t="s">
        <v>2012</v>
      </c>
      <c r="H1098" s="4" t="n">
        <v>-0.4588</v>
      </c>
      <c r="I1098" s="2" t="s">
        <v>84</v>
      </c>
      <c r="J1098" s="2" t="s">
        <v>37</v>
      </c>
      <c r="K1098" s="2" t="n">
        <v>0</v>
      </c>
      <c r="L1098" s="2" t="n">
        <v>1</v>
      </c>
      <c r="M1098" s="2" t="n">
        <v>0</v>
      </c>
    </row>
    <row r="1099" customFormat="false" ht="15" hidden="false" customHeight="false" outlineLevel="0" collapsed="false">
      <c r="A1099" s="2" t="s">
        <v>2418</v>
      </c>
      <c r="B1099" s="2" t="s">
        <v>2419</v>
      </c>
      <c r="C1099" s="2" t="n">
        <v>5</v>
      </c>
      <c r="D1099" s="2" t="s">
        <v>47</v>
      </c>
      <c r="E1099" s="2" t="s">
        <v>2011</v>
      </c>
      <c r="F1099" s="3" t="n">
        <v>45767.2381944444</v>
      </c>
      <c r="G1099" s="2" t="s">
        <v>2012</v>
      </c>
      <c r="H1099" s="4" t="n">
        <v>0.3089</v>
      </c>
      <c r="I1099" s="2" t="s">
        <v>23</v>
      </c>
      <c r="J1099" s="2" t="s">
        <v>19</v>
      </c>
      <c r="K1099" s="2" t="n">
        <v>5</v>
      </c>
      <c r="L1099" s="2" t="n">
        <v>0</v>
      </c>
      <c r="M1099" s="2" t="n">
        <v>0</v>
      </c>
    </row>
    <row r="1100" customFormat="false" ht="15" hidden="false" customHeight="false" outlineLevel="0" collapsed="false">
      <c r="A1100" s="2" t="s">
        <v>2420</v>
      </c>
      <c r="B1100" s="2" t="s">
        <v>2421</v>
      </c>
      <c r="C1100" s="2" t="n">
        <v>1</v>
      </c>
      <c r="D1100" s="2" t="s">
        <v>721</v>
      </c>
      <c r="E1100" s="2" t="s">
        <v>2011</v>
      </c>
      <c r="F1100" s="3" t="n">
        <v>45767.4659722222</v>
      </c>
      <c r="G1100" s="2" t="s">
        <v>2012</v>
      </c>
      <c r="H1100" s="4" t="n">
        <v>-0.4588</v>
      </c>
      <c r="I1100" s="2" t="s">
        <v>84</v>
      </c>
      <c r="J1100" s="2" t="s">
        <v>37</v>
      </c>
      <c r="K1100" s="2" t="n">
        <v>0</v>
      </c>
      <c r="L1100" s="2" t="n">
        <v>0</v>
      </c>
      <c r="M1100" s="2" t="n">
        <v>0</v>
      </c>
    </row>
    <row r="1101" customFormat="false" ht="15" hidden="false" customHeight="false" outlineLevel="0" collapsed="false">
      <c r="A1101" s="2" t="s">
        <v>2422</v>
      </c>
      <c r="B1101" s="2" t="s">
        <v>2423</v>
      </c>
      <c r="C1101" s="2" t="n">
        <v>4</v>
      </c>
      <c r="D1101" s="2" t="s">
        <v>2424</v>
      </c>
      <c r="E1101" s="2" t="s">
        <v>2011</v>
      </c>
      <c r="F1101" s="3" t="n">
        <v>45767.5548611111</v>
      </c>
      <c r="G1101" s="2" t="s">
        <v>2012</v>
      </c>
      <c r="H1101" s="4" t="n">
        <v>0.4404</v>
      </c>
      <c r="I1101" s="2" t="s">
        <v>23</v>
      </c>
      <c r="J1101" s="2" t="s">
        <v>37</v>
      </c>
      <c r="K1101" s="2" t="n">
        <v>6</v>
      </c>
      <c r="L1101" s="2" t="n">
        <v>0</v>
      </c>
      <c r="M1101" s="2" t="n">
        <v>0</v>
      </c>
    </row>
    <row r="1102" customFormat="false" ht="15" hidden="false" customHeight="false" outlineLevel="0" collapsed="false">
      <c r="A1102" s="2" t="s">
        <v>2425</v>
      </c>
      <c r="B1102" s="2" t="s">
        <v>2426</v>
      </c>
      <c r="C1102" s="2" t="n">
        <v>4</v>
      </c>
      <c r="D1102" s="2" t="s">
        <v>96</v>
      </c>
      <c r="E1102" s="2" t="s">
        <v>2011</v>
      </c>
      <c r="F1102" s="3" t="n">
        <v>45767.7097222222</v>
      </c>
      <c r="G1102" s="2" t="s">
        <v>2012</v>
      </c>
      <c r="H1102" s="4" t="n">
        <v>0.6369</v>
      </c>
      <c r="I1102" s="2" t="s">
        <v>23</v>
      </c>
      <c r="J1102" s="2" t="s">
        <v>19</v>
      </c>
      <c r="K1102" s="2" t="n">
        <v>0</v>
      </c>
      <c r="L1102" s="2" t="n">
        <v>0</v>
      </c>
      <c r="M1102" s="2" t="n">
        <v>0</v>
      </c>
    </row>
    <row r="1103" customFormat="false" ht="15" hidden="false" customHeight="false" outlineLevel="0" collapsed="false">
      <c r="A1103" s="2" t="s">
        <v>2427</v>
      </c>
      <c r="B1103" s="2" t="s">
        <v>2428</v>
      </c>
      <c r="C1103" s="2" t="n">
        <v>1</v>
      </c>
      <c r="D1103" s="2" t="s">
        <v>721</v>
      </c>
      <c r="E1103" s="2" t="s">
        <v>2011</v>
      </c>
      <c r="F1103" s="3" t="n">
        <v>45767.8</v>
      </c>
      <c r="G1103" s="2" t="s">
        <v>2012</v>
      </c>
      <c r="H1103" s="4" t="n">
        <v>-0.4588</v>
      </c>
      <c r="I1103" s="2" t="s">
        <v>84</v>
      </c>
      <c r="J1103" s="2" t="s">
        <v>37</v>
      </c>
      <c r="K1103" s="2" t="n">
        <v>1</v>
      </c>
      <c r="L1103" s="2" t="n">
        <v>1</v>
      </c>
      <c r="M1103" s="2" t="n">
        <v>0</v>
      </c>
    </row>
    <row r="1104" customFormat="false" ht="15" hidden="false" customHeight="false" outlineLevel="0" collapsed="false">
      <c r="A1104" s="2" t="s">
        <v>2429</v>
      </c>
      <c r="B1104" s="2" t="s">
        <v>2430</v>
      </c>
      <c r="C1104" s="2" t="n">
        <v>4</v>
      </c>
      <c r="D1104" s="2" t="s">
        <v>301</v>
      </c>
      <c r="E1104" s="2" t="s">
        <v>2011</v>
      </c>
      <c r="F1104" s="3" t="n">
        <v>45767.85625</v>
      </c>
      <c r="G1104" s="2" t="s">
        <v>2012</v>
      </c>
      <c r="H1104" s="4" t="n">
        <v>0.2263</v>
      </c>
      <c r="I1104" s="2" t="s">
        <v>23</v>
      </c>
      <c r="J1104" s="2" t="s">
        <v>19</v>
      </c>
      <c r="K1104" s="2" t="n">
        <v>1</v>
      </c>
      <c r="L1104" s="2" t="n">
        <v>0</v>
      </c>
      <c r="M1104" s="2" t="n">
        <v>0</v>
      </c>
    </row>
    <row r="1105" customFormat="false" ht="15" hidden="false" customHeight="false" outlineLevel="0" collapsed="false">
      <c r="A1105" s="2" t="s">
        <v>2431</v>
      </c>
      <c r="B1105" s="2" t="s">
        <v>2432</v>
      </c>
      <c r="C1105" s="2" t="n">
        <v>3</v>
      </c>
      <c r="D1105" s="2" t="s">
        <v>99</v>
      </c>
      <c r="E1105" s="2" t="s">
        <v>2011</v>
      </c>
      <c r="F1105" s="3" t="n">
        <v>45767.9097222222</v>
      </c>
      <c r="G1105" s="2" t="s">
        <v>2012</v>
      </c>
      <c r="H1105" s="4" t="n">
        <v>-0.3089</v>
      </c>
      <c r="I1105" s="2" t="s">
        <v>84</v>
      </c>
      <c r="J1105" s="2" t="s">
        <v>19</v>
      </c>
      <c r="K1105" s="2" t="n">
        <v>0</v>
      </c>
      <c r="L1105" s="2" t="n">
        <v>0</v>
      </c>
      <c r="M1105" s="2" t="n">
        <v>0</v>
      </c>
    </row>
    <row r="1106" customFormat="false" ht="15" hidden="false" customHeight="false" outlineLevel="0" collapsed="false">
      <c r="A1106" s="2" t="s">
        <v>2433</v>
      </c>
      <c r="B1106" s="2" t="s">
        <v>2434</v>
      </c>
      <c r="C1106" s="2" t="n">
        <v>3</v>
      </c>
      <c r="D1106" s="2" t="s">
        <v>823</v>
      </c>
      <c r="E1106" s="2" t="s">
        <v>2011</v>
      </c>
      <c r="F1106" s="3" t="n">
        <v>45767.9972222222</v>
      </c>
      <c r="G1106" s="2" t="s">
        <v>2012</v>
      </c>
      <c r="H1106" s="4" t="n">
        <v>-0.6997</v>
      </c>
      <c r="I1106" s="2" t="s">
        <v>84</v>
      </c>
      <c r="J1106" s="2" t="s">
        <v>19</v>
      </c>
      <c r="K1106" s="2" t="n">
        <v>5</v>
      </c>
      <c r="L1106" s="2" t="n">
        <v>0</v>
      </c>
      <c r="M1106" s="2" t="n">
        <v>0</v>
      </c>
    </row>
    <row r="1107" customFormat="false" ht="15" hidden="false" customHeight="false" outlineLevel="0" collapsed="false">
      <c r="A1107" s="2" t="s">
        <v>2435</v>
      </c>
      <c r="B1107" s="2" t="s">
        <v>2436</v>
      </c>
      <c r="C1107" s="2" t="n">
        <v>4</v>
      </c>
      <c r="D1107" s="2" t="s">
        <v>99</v>
      </c>
      <c r="E1107" s="2" t="s">
        <v>2011</v>
      </c>
      <c r="F1107" s="3" t="n">
        <v>45768</v>
      </c>
      <c r="G1107" s="2" t="s">
        <v>2012</v>
      </c>
      <c r="H1107" s="4" t="n">
        <v>-0.3089</v>
      </c>
      <c r="I1107" s="2" t="s">
        <v>84</v>
      </c>
      <c r="J1107" s="2" t="s">
        <v>19</v>
      </c>
      <c r="K1107" s="2" t="n">
        <v>6</v>
      </c>
      <c r="L1107" s="2" t="n">
        <v>0</v>
      </c>
      <c r="M1107" s="2" t="n">
        <v>0</v>
      </c>
    </row>
    <row r="1108" customFormat="false" ht="15" hidden="false" customHeight="false" outlineLevel="0" collapsed="false">
      <c r="A1108" s="2" t="s">
        <v>2437</v>
      </c>
      <c r="B1108" s="2" t="s">
        <v>2438</v>
      </c>
      <c r="C1108" s="2" t="n">
        <v>3</v>
      </c>
      <c r="D1108" s="2" t="s">
        <v>87</v>
      </c>
      <c r="E1108" s="2" t="s">
        <v>2011</v>
      </c>
      <c r="F1108" s="3" t="n">
        <v>45768.0777777778</v>
      </c>
      <c r="G1108" s="2" t="s">
        <v>2012</v>
      </c>
      <c r="H1108" s="4" t="n">
        <v>0</v>
      </c>
      <c r="I1108" s="2" t="s">
        <v>18</v>
      </c>
      <c r="J1108" s="2" t="s">
        <v>19</v>
      </c>
      <c r="K1108" s="2" t="n">
        <v>0</v>
      </c>
      <c r="L1108" s="2" t="n">
        <v>0</v>
      </c>
      <c r="M1108" s="2" t="n">
        <v>0</v>
      </c>
    </row>
    <row r="1109" customFormat="false" ht="15" hidden="false" customHeight="false" outlineLevel="0" collapsed="false">
      <c r="A1109" s="2" t="s">
        <v>2439</v>
      </c>
      <c r="B1109" s="2" t="s">
        <v>2440</v>
      </c>
      <c r="C1109" s="2" t="n">
        <v>5</v>
      </c>
      <c r="D1109" s="2" t="s">
        <v>96</v>
      </c>
      <c r="E1109" s="2" t="s">
        <v>2011</v>
      </c>
      <c r="F1109" s="3" t="n">
        <v>45768.1402777778</v>
      </c>
      <c r="G1109" s="2" t="s">
        <v>2012</v>
      </c>
      <c r="H1109" s="4" t="n">
        <v>0.6369</v>
      </c>
      <c r="I1109" s="2" t="s">
        <v>23</v>
      </c>
      <c r="J1109" s="2" t="s">
        <v>19</v>
      </c>
      <c r="K1109" s="2" t="n">
        <v>1</v>
      </c>
      <c r="L1109" s="2" t="n">
        <v>0</v>
      </c>
      <c r="M1109" s="2" t="n">
        <v>0</v>
      </c>
    </row>
    <row r="1110" customFormat="false" ht="15" hidden="false" customHeight="false" outlineLevel="0" collapsed="false">
      <c r="A1110" s="2" t="s">
        <v>2441</v>
      </c>
      <c r="B1110" s="2" t="s">
        <v>2442</v>
      </c>
      <c r="C1110" s="2" t="n">
        <v>5</v>
      </c>
      <c r="D1110" s="2" t="s">
        <v>15</v>
      </c>
      <c r="E1110" s="2" t="s">
        <v>2011</v>
      </c>
      <c r="F1110" s="3" t="n">
        <v>45768.1576388889</v>
      </c>
      <c r="G1110" s="2" t="s">
        <v>2012</v>
      </c>
      <c r="H1110" s="4" t="n">
        <v>0</v>
      </c>
      <c r="I1110" s="2" t="s">
        <v>18</v>
      </c>
      <c r="J1110" s="2" t="s">
        <v>19</v>
      </c>
      <c r="K1110" s="2" t="n">
        <v>6</v>
      </c>
      <c r="L1110" s="2" t="n">
        <v>0</v>
      </c>
      <c r="M1110" s="2" t="n">
        <v>0</v>
      </c>
    </row>
    <row r="1111" customFormat="false" ht="15" hidden="false" customHeight="false" outlineLevel="0" collapsed="false">
      <c r="A1111" s="2" t="s">
        <v>2443</v>
      </c>
      <c r="B1111" s="2" t="s">
        <v>2444</v>
      </c>
      <c r="C1111" s="2" t="n">
        <v>4</v>
      </c>
      <c r="D1111" s="2" t="s">
        <v>36</v>
      </c>
      <c r="E1111" s="2" t="s">
        <v>2011</v>
      </c>
      <c r="F1111" s="3" t="n">
        <v>45768.1736111111</v>
      </c>
      <c r="G1111" s="2" t="s">
        <v>2012</v>
      </c>
      <c r="H1111" s="4" t="n">
        <v>0.4404</v>
      </c>
      <c r="I1111" s="2" t="s">
        <v>23</v>
      </c>
      <c r="J1111" s="2" t="s">
        <v>37</v>
      </c>
      <c r="K1111" s="2" t="n">
        <v>5</v>
      </c>
      <c r="L1111" s="2" t="n">
        <v>0</v>
      </c>
      <c r="M1111" s="2" t="n">
        <v>0</v>
      </c>
    </row>
    <row r="1112" customFormat="false" ht="15" hidden="false" customHeight="false" outlineLevel="0" collapsed="false">
      <c r="A1112" s="2" t="s">
        <v>2445</v>
      </c>
      <c r="B1112" s="2" t="s">
        <v>2446</v>
      </c>
      <c r="C1112" s="2" t="n">
        <v>5</v>
      </c>
      <c r="D1112" s="2" t="s">
        <v>15</v>
      </c>
      <c r="E1112" s="2" t="s">
        <v>2011</v>
      </c>
      <c r="F1112" s="3" t="n">
        <v>45768.2770833333</v>
      </c>
      <c r="G1112" s="2" t="s">
        <v>2012</v>
      </c>
      <c r="H1112" s="4" t="n">
        <v>0</v>
      </c>
      <c r="I1112" s="2" t="s">
        <v>18</v>
      </c>
      <c r="J1112" s="2" t="s">
        <v>19</v>
      </c>
      <c r="K1112" s="2" t="n">
        <v>2</v>
      </c>
      <c r="L1112" s="2" t="n">
        <v>0</v>
      </c>
      <c r="M1112" s="2" t="n">
        <v>0</v>
      </c>
    </row>
    <row r="1113" customFormat="false" ht="15" hidden="false" customHeight="false" outlineLevel="0" collapsed="false">
      <c r="A1113" s="2" t="s">
        <v>2447</v>
      </c>
      <c r="B1113" s="2" t="s">
        <v>2448</v>
      </c>
      <c r="C1113" s="2" t="n">
        <v>1</v>
      </c>
      <c r="D1113" s="2" t="s">
        <v>231</v>
      </c>
      <c r="E1113" s="2" t="s">
        <v>2011</v>
      </c>
      <c r="F1113" s="3" t="n">
        <v>45768.2833333333</v>
      </c>
      <c r="G1113" s="2" t="s">
        <v>2012</v>
      </c>
      <c r="H1113" s="4" t="n">
        <v>-0.3593</v>
      </c>
      <c r="I1113" s="2" t="s">
        <v>84</v>
      </c>
      <c r="J1113" s="2" t="s">
        <v>33</v>
      </c>
      <c r="K1113" s="2" t="n">
        <v>9</v>
      </c>
      <c r="L1113" s="2" t="n">
        <v>0</v>
      </c>
      <c r="M1113" s="2" t="n">
        <v>0</v>
      </c>
    </row>
    <row r="1114" customFormat="false" ht="15" hidden="false" customHeight="false" outlineLevel="0" collapsed="false">
      <c r="A1114" s="2" t="s">
        <v>2449</v>
      </c>
      <c r="B1114" s="2" t="s">
        <v>2450</v>
      </c>
      <c r="C1114" s="2" t="n">
        <v>5</v>
      </c>
      <c r="D1114" s="2" t="s">
        <v>62</v>
      </c>
      <c r="E1114" s="2" t="s">
        <v>2011</v>
      </c>
      <c r="F1114" s="3" t="n">
        <v>45768.3756944445</v>
      </c>
      <c r="G1114" s="2" t="s">
        <v>2012</v>
      </c>
      <c r="H1114" s="4" t="n">
        <v>0.7088</v>
      </c>
      <c r="I1114" s="2" t="s">
        <v>23</v>
      </c>
      <c r="J1114" s="2" t="s">
        <v>19</v>
      </c>
      <c r="K1114" s="2" t="n">
        <v>0</v>
      </c>
      <c r="L1114" s="2" t="n">
        <v>0</v>
      </c>
      <c r="M1114" s="2" t="n">
        <v>0</v>
      </c>
    </row>
    <row r="1115" customFormat="false" ht="15" hidden="false" customHeight="false" outlineLevel="0" collapsed="false">
      <c r="A1115" s="2" t="s">
        <v>2451</v>
      </c>
      <c r="B1115" s="2" t="s">
        <v>2452</v>
      </c>
      <c r="C1115" s="2" t="n">
        <v>5</v>
      </c>
      <c r="D1115" s="2" t="s">
        <v>62</v>
      </c>
      <c r="E1115" s="2" t="s">
        <v>2011</v>
      </c>
      <c r="F1115" s="3" t="n">
        <v>45768.5395833333</v>
      </c>
      <c r="G1115" s="2" t="s">
        <v>2012</v>
      </c>
      <c r="H1115" s="4" t="n">
        <v>0.7088</v>
      </c>
      <c r="I1115" s="2" t="s">
        <v>23</v>
      </c>
      <c r="J1115" s="2" t="s">
        <v>19</v>
      </c>
      <c r="K1115" s="2" t="n">
        <v>0</v>
      </c>
      <c r="L1115" s="2" t="n">
        <v>0</v>
      </c>
      <c r="M1115" s="2" t="n">
        <v>0</v>
      </c>
    </row>
    <row r="1116" customFormat="false" ht="15" hidden="false" customHeight="false" outlineLevel="0" collapsed="false">
      <c r="A1116" s="2" t="s">
        <v>2453</v>
      </c>
      <c r="B1116" s="2" t="s">
        <v>2454</v>
      </c>
      <c r="C1116" s="2" t="n">
        <v>2</v>
      </c>
      <c r="D1116" s="2" t="s">
        <v>482</v>
      </c>
      <c r="E1116" s="2" t="s">
        <v>2011</v>
      </c>
      <c r="F1116" s="3" t="n">
        <v>45768.8458333333</v>
      </c>
      <c r="G1116" s="2" t="s">
        <v>2012</v>
      </c>
      <c r="H1116" s="4" t="n">
        <v>-0.6808</v>
      </c>
      <c r="I1116" s="2" t="s">
        <v>84</v>
      </c>
      <c r="J1116" s="2" t="s">
        <v>110</v>
      </c>
      <c r="K1116" s="2" t="n">
        <v>1</v>
      </c>
      <c r="L1116" s="2" t="n">
        <v>1</v>
      </c>
      <c r="M1116" s="2" t="n">
        <v>0</v>
      </c>
    </row>
    <row r="1117" customFormat="false" ht="15" hidden="false" customHeight="false" outlineLevel="0" collapsed="false">
      <c r="A1117" s="2" t="s">
        <v>2455</v>
      </c>
      <c r="B1117" s="2" t="s">
        <v>2456</v>
      </c>
      <c r="C1117" s="2" t="n">
        <v>5</v>
      </c>
      <c r="D1117" s="2" t="s">
        <v>90</v>
      </c>
      <c r="E1117" s="2" t="s">
        <v>2011</v>
      </c>
      <c r="F1117" s="3" t="n">
        <v>45768.8708333333</v>
      </c>
      <c r="G1117" s="2" t="s">
        <v>2012</v>
      </c>
      <c r="H1117" s="4" t="n">
        <v>0.6249</v>
      </c>
      <c r="I1117" s="2" t="s">
        <v>23</v>
      </c>
      <c r="J1117" s="2" t="s">
        <v>37</v>
      </c>
      <c r="K1117" s="2" t="n">
        <v>4</v>
      </c>
      <c r="L1117" s="2" t="n">
        <v>0</v>
      </c>
      <c r="M1117" s="2" t="n">
        <v>0</v>
      </c>
    </row>
    <row r="1118" customFormat="false" ht="15" hidden="false" customHeight="false" outlineLevel="0" collapsed="false">
      <c r="A1118" s="2" t="s">
        <v>2457</v>
      </c>
      <c r="B1118" s="2" t="s">
        <v>2458</v>
      </c>
      <c r="C1118" s="2" t="n">
        <v>5</v>
      </c>
      <c r="D1118" s="2" t="s">
        <v>47</v>
      </c>
      <c r="E1118" s="2" t="s">
        <v>2011</v>
      </c>
      <c r="F1118" s="3" t="n">
        <v>45768.88125</v>
      </c>
      <c r="G1118" s="2" t="s">
        <v>2012</v>
      </c>
      <c r="H1118" s="4" t="n">
        <v>0.3089</v>
      </c>
      <c r="I1118" s="2" t="s">
        <v>23</v>
      </c>
      <c r="J1118" s="2" t="s">
        <v>19</v>
      </c>
      <c r="K1118" s="2" t="n">
        <v>4</v>
      </c>
      <c r="L1118" s="2" t="n">
        <v>0</v>
      </c>
      <c r="M1118" s="2" t="n">
        <v>0</v>
      </c>
    </row>
    <row r="1119" customFormat="false" ht="15" hidden="false" customHeight="false" outlineLevel="0" collapsed="false">
      <c r="A1119" s="2" t="s">
        <v>2459</v>
      </c>
      <c r="B1119" s="2" t="s">
        <v>2460</v>
      </c>
      <c r="C1119" s="2" t="n">
        <v>5</v>
      </c>
      <c r="D1119" s="2" t="s">
        <v>40</v>
      </c>
      <c r="E1119" s="2" t="s">
        <v>2011</v>
      </c>
      <c r="F1119" s="3" t="n">
        <v>45769.1125</v>
      </c>
      <c r="G1119" s="2" t="s">
        <v>2012</v>
      </c>
      <c r="H1119" s="4" t="n">
        <v>0.4019</v>
      </c>
      <c r="I1119" s="2" t="s">
        <v>23</v>
      </c>
      <c r="J1119" s="2" t="s">
        <v>33</v>
      </c>
      <c r="K1119" s="2" t="n">
        <v>2</v>
      </c>
      <c r="L1119" s="2" t="n">
        <v>0</v>
      </c>
      <c r="M1119" s="2" t="n">
        <v>0</v>
      </c>
    </row>
    <row r="1120" customFormat="false" ht="15" hidden="false" customHeight="false" outlineLevel="0" collapsed="false">
      <c r="A1120" s="2" t="s">
        <v>2461</v>
      </c>
      <c r="B1120" s="2" t="s">
        <v>2462</v>
      </c>
      <c r="C1120" s="2" t="n">
        <v>2</v>
      </c>
      <c r="D1120" s="2" t="s">
        <v>2463</v>
      </c>
      <c r="E1120" s="2" t="s">
        <v>2011</v>
      </c>
      <c r="F1120" s="3" t="n">
        <v>45769.2173611111</v>
      </c>
      <c r="G1120" s="2" t="s">
        <v>2012</v>
      </c>
      <c r="H1120" s="4" t="n">
        <v>-0.189</v>
      </c>
      <c r="I1120" s="2" t="s">
        <v>84</v>
      </c>
      <c r="J1120" s="2" t="s">
        <v>33</v>
      </c>
      <c r="K1120" s="2" t="n">
        <v>4</v>
      </c>
      <c r="L1120" s="2" t="n">
        <v>1</v>
      </c>
      <c r="M1120" s="2" t="n">
        <v>0</v>
      </c>
    </row>
    <row r="1121" customFormat="false" ht="15" hidden="false" customHeight="false" outlineLevel="0" collapsed="false">
      <c r="A1121" s="2" t="s">
        <v>2464</v>
      </c>
      <c r="B1121" s="2" t="s">
        <v>2465</v>
      </c>
      <c r="C1121" s="2" t="n">
        <v>5</v>
      </c>
      <c r="D1121" s="2" t="s">
        <v>52</v>
      </c>
      <c r="E1121" s="2" t="s">
        <v>2011</v>
      </c>
      <c r="F1121" s="3" t="n">
        <v>45769.2979166667</v>
      </c>
      <c r="G1121" s="2" t="s">
        <v>2012</v>
      </c>
      <c r="H1121" s="4" t="n">
        <v>0.6369</v>
      </c>
      <c r="I1121" s="2" t="s">
        <v>23</v>
      </c>
      <c r="J1121" s="2" t="s">
        <v>19</v>
      </c>
      <c r="K1121" s="2" t="n">
        <v>4</v>
      </c>
      <c r="L1121" s="2" t="n">
        <v>0</v>
      </c>
      <c r="M1121" s="2" t="n">
        <v>0</v>
      </c>
    </row>
    <row r="1122" customFormat="false" ht="15" hidden="false" customHeight="false" outlineLevel="0" collapsed="false">
      <c r="A1122" s="2" t="s">
        <v>2466</v>
      </c>
      <c r="B1122" s="2" t="s">
        <v>2467</v>
      </c>
      <c r="C1122" s="2" t="n">
        <v>5</v>
      </c>
      <c r="D1122" s="2" t="s">
        <v>90</v>
      </c>
      <c r="E1122" s="2" t="s">
        <v>2011</v>
      </c>
      <c r="F1122" s="3" t="n">
        <v>45769.3333333333</v>
      </c>
      <c r="G1122" s="2" t="s">
        <v>2012</v>
      </c>
      <c r="H1122" s="4" t="n">
        <v>0.6249</v>
      </c>
      <c r="I1122" s="2" t="s">
        <v>23</v>
      </c>
      <c r="J1122" s="2" t="s">
        <v>37</v>
      </c>
      <c r="K1122" s="2" t="n">
        <v>2</v>
      </c>
      <c r="L1122" s="2" t="n">
        <v>0</v>
      </c>
      <c r="M1122" s="2" t="n">
        <v>0</v>
      </c>
    </row>
    <row r="1123" customFormat="false" ht="15" hidden="false" customHeight="false" outlineLevel="0" collapsed="false">
      <c r="A1123" s="2" t="s">
        <v>2468</v>
      </c>
      <c r="B1123" s="2" t="s">
        <v>2469</v>
      </c>
      <c r="C1123" s="2" t="n">
        <v>2</v>
      </c>
      <c r="D1123" s="2" t="s">
        <v>2470</v>
      </c>
      <c r="E1123" s="2" t="s">
        <v>2011</v>
      </c>
      <c r="F1123" s="3" t="n">
        <v>45769.3604166667</v>
      </c>
      <c r="G1123" s="2" t="s">
        <v>2012</v>
      </c>
      <c r="H1123" s="4" t="n">
        <v>0</v>
      </c>
      <c r="I1123" s="2" t="s">
        <v>18</v>
      </c>
      <c r="J1123" s="2" t="s">
        <v>37</v>
      </c>
      <c r="K1123" s="2" t="n">
        <v>8</v>
      </c>
      <c r="L1123" s="2" t="n">
        <v>1</v>
      </c>
      <c r="M1123" s="2" t="n">
        <v>0</v>
      </c>
    </row>
    <row r="1124" customFormat="false" ht="15" hidden="false" customHeight="false" outlineLevel="0" collapsed="false">
      <c r="A1124" s="2" t="s">
        <v>2471</v>
      </c>
      <c r="B1124" s="2" t="s">
        <v>2472</v>
      </c>
      <c r="C1124" s="2" t="n">
        <v>3</v>
      </c>
      <c r="D1124" s="2" t="s">
        <v>36</v>
      </c>
      <c r="E1124" s="2" t="s">
        <v>2011</v>
      </c>
      <c r="F1124" s="3" t="n">
        <v>45769.5</v>
      </c>
      <c r="G1124" s="2" t="s">
        <v>2012</v>
      </c>
      <c r="H1124" s="4" t="n">
        <v>0.4404</v>
      </c>
      <c r="I1124" s="2" t="s">
        <v>23</v>
      </c>
      <c r="J1124" s="2" t="s">
        <v>37</v>
      </c>
      <c r="K1124" s="2" t="n">
        <v>0</v>
      </c>
      <c r="L1124" s="2" t="n">
        <v>0</v>
      </c>
      <c r="M1124" s="2" t="n">
        <v>0</v>
      </c>
    </row>
    <row r="1125" customFormat="false" ht="15" hidden="false" customHeight="false" outlineLevel="0" collapsed="false">
      <c r="A1125" s="2" t="s">
        <v>2473</v>
      </c>
      <c r="B1125" s="2" t="s">
        <v>2474</v>
      </c>
      <c r="C1125" s="2" t="n">
        <v>5</v>
      </c>
      <c r="D1125" s="2" t="s">
        <v>96</v>
      </c>
      <c r="E1125" s="2" t="s">
        <v>2011</v>
      </c>
      <c r="F1125" s="3" t="n">
        <v>45769.5944444445</v>
      </c>
      <c r="G1125" s="2" t="s">
        <v>2012</v>
      </c>
      <c r="H1125" s="4" t="n">
        <v>0.6369</v>
      </c>
      <c r="I1125" s="2" t="s">
        <v>23</v>
      </c>
      <c r="J1125" s="2" t="s">
        <v>19</v>
      </c>
      <c r="K1125" s="2" t="n">
        <v>1</v>
      </c>
      <c r="L1125" s="2" t="n">
        <v>0</v>
      </c>
      <c r="M1125" s="2" t="n">
        <v>0</v>
      </c>
    </row>
    <row r="1126" customFormat="false" ht="15" hidden="false" customHeight="false" outlineLevel="0" collapsed="false">
      <c r="A1126" s="2" t="s">
        <v>2475</v>
      </c>
      <c r="B1126" s="2" t="s">
        <v>2476</v>
      </c>
      <c r="C1126" s="2" t="n">
        <v>5</v>
      </c>
      <c r="D1126" s="2" t="s">
        <v>96</v>
      </c>
      <c r="E1126" s="2" t="s">
        <v>2011</v>
      </c>
      <c r="F1126" s="3" t="n">
        <v>45769.6576388889</v>
      </c>
      <c r="G1126" s="2" t="s">
        <v>2012</v>
      </c>
      <c r="H1126" s="4" t="n">
        <v>0.6369</v>
      </c>
      <c r="I1126" s="2" t="s">
        <v>23</v>
      </c>
      <c r="J1126" s="2" t="s">
        <v>19</v>
      </c>
      <c r="K1126" s="2" t="n">
        <v>11</v>
      </c>
      <c r="L1126" s="2" t="n">
        <v>0</v>
      </c>
      <c r="M1126" s="2" t="n">
        <v>0</v>
      </c>
    </row>
    <row r="1127" customFormat="false" ht="15" hidden="false" customHeight="false" outlineLevel="0" collapsed="false">
      <c r="A1127" s="2" t="s">
        <v>2477</v>
      </c>
      <c r="B1127" s="2" t="s">
        <v>2478</v>
      </c>
      <c r="C1127" s="2" t="n">
        <v>4</v>
      </c>
      <c r="D1127" s="2" t="s">
        <v>40</v>
      </c>
      <c r="E1127" s="2" t="s">
        <v>2011</v>
      </c>
      <c r="F1127" s="3" t="n">
        <v>45769.9375</v>
      </c>
      <c r="G1127" s="2" t="s">
        <v>2012</v>
      </c>
      <c r="H1127" s="4" t="n">
        <v>0.4019</v>
      </c>
      <c r="I1127" s="2" t="s">
        <v>23</v>
      </c>
      <c r="J1127" s="2" t="s">
        <v>33</v>
      </c>
      <c r="K1127" s="2" t="n">
        <v>2</v>
      </c>
      <c r="L1127" s="2" t="n">
        <v>0</v>
      </c>
      <c r="M1127" s="2" t="n">
        <v>0</v>
      </c>
    </row>
    <row r="1128" customFormat="false" ht="15" hidden="false" customHeight="false" outlineLevel="0" collapsed="false">
      <c r="A1128" s="2" t="s">
        <v>2479</v>
      </c>
      <c r="B1128" s="2" t="s">
        <v>2480</v>
      </c>
      <c r="C1128" s="2" t="n">
        <v>1</v>
      </c>
      <c r="D1128" s="2" t="s">
        <v>733</v>
      </c>
      <c r="E1128" s="2" t="s">
        <v>2011</v>
      </c>
      <c r="F1128" s="3" t="n">
        <v>45770.1944444445</v>
      </c>
      <c r="G1128" s="2" t="s">
        <v>2012</v>
      </c>
      <c r="H1128" s="4" t="n">
        <v>-0.2846</v>
      </c>
      <c r="I1128" s="2" t="s">
        <v>84</v>
      </c>
      <c r="J1128" s="2" t="s">
        <v>37</v>
      </c>
      <c r="K1128" s="2" t="n">
        <v>4</v>
      </c>
      <c r="L1128" s="2" t="n">
        <v>1</v>
      </c>
      <c r="M1128" s="2" t="n">
        <v>0</v>
      </c>
    </row>
    <row r="1129" customFormat="false" ht="15" hidden="false" customHeight="false" outlineLevel="0" collapsed="false">
      <c r="A1129" s="2" t="s">
        <v>2481</v>
      </c>
      <c r="B1129" s="2" t="s">
        <v>2482</v>
      </c>
      <c r="C1129" s="2" t="n">
        <v>5</v>
      </c>
      <c r="D1129" s="2" t="s">
        <v>90</v>
      </c>
      <c r="E1129" s="2" t="s">
        <v>2011</v>
      </c>
      <c r="F1129" s="3" t="n">
        <v>45770.2555555556</v>
      </c>
      <c r="G1129" s="2" t="s">
        <v>2012</v>
      </c>
      <c r="H1129" s="4" t="n">
        <v>0.6249</v>
      </c>
      <c r="I1129" s="2" t="s">
        <v>23</v>
      </c>
      <c r="J1129" s="2" t="s">
        <v>37</v>
      </c>
      <c r="K1129" s="2" t="n">
        <v>0</v>
      </c>
      <c r="L1129" s="2" t="n">
        <v>0</v>
      </c>
      <c r="M1129" s="2" t="n">
        <v>0</v>
      </c>
    </row>
    <row r="1130" customFormat="false" ht="15" hidden="false" customHeight="false" outlineLevel="0" collapsed="false">
      <c r="A1130" s="2" t="s">
        <v>2483</v>
      </c>
      <c r="B1130" s="2" t="s">
        <v>2484</v>
      </c>
      <c r="C1130" s="2" t="n">
        <v>1</v>
      </c>
      <c r="D1130" s="2" t="s">
        <v>402</v>
      </c>
      <c r="E1130" s="2" t="s">
        <v>2011</v>
      </c>
      <c r="F1130" s="3" t="n">
        <v>45770.3125</v>
      </c>
      <c r="G1130" s="2" t="s">
        <v>2012</v>
      </c>
      <c r="H1130" s="4" t="n">
        <v>0</v>
      </c>
      <c r="I1130" s="2" t="s">
        <v>18</v>
      </c>
      <c r="J1130" s="2" t="s">
        <v>59</v>
      </c>
      <c r="K1130" s="2" t="n">
        <v>5</v>
      </c>
      <c r="L1130" s="2" t="n">
        <v>0</v>
      </c>
      <c r="M1130" s="2" t="n">
        <v>0</v>
      </c>
    </row>
    <row r="1131" customFormat="false" ht="15" hidden="false" customHeight="false" outlineLevel="0" collapsed="false">
      <c r="A1131" s="2" t="s">
        <v>2485</v>
      </c>
      <c r="B1131" s="2" t="s">
        <v>2486</v>
      </c>
      <c r="C1131" s="2" t="n">
        <v>5</v>
      </c>
      <c r="D1131" s="2" t="s">
        <v>52</v>
      </c>
      <c r="E1131" s="2" t="s">
        <v>2011</v>
      </c>
      <c r="F1131" s="3" t="n">
        <v>45770.7006944444</v>
      </c>
      <c r="G1131" s="2" t="s">
        <v>2012</v>
      </c>
      <c r="H1131" s="4" t="n">
        <v>0.6369</v>
      </c>
      <c r="I1131" s="2" t="s">
        <v>23</v>
      </c>
      <c r="J1131" s="2" t="s">
        <v>19</v>
      </c>
      <c r="K1131" s="2" t="n">
        <v>3</v>
      </c>
      <c r="L1131" s="2" t="n">
        <v>0</v>
      </c>
      <c r="M1131" s="2" t="n">
        <v>0</v>
      </c>
    </row>
    <row r="1132" customFormat="false" ht="15" hidden="false" customHeight="false" outlineLevel="0" collapsed="false">
      <c r="A1132" s="2" t="s">
        <v>2487</v>
      </c>
      <c r="B1132" s="2" t="s">
        <v>2488</v>
      </c>
      <c r="C1132" s="2" t="n">
        <v>5</v>
      </c>
      <c r="D1132" s="2" t="s">
        <v>674</v>
      </c>
      <c r="E1132" s="2" t="s">
        <v>2011</v>
      </c>
      <c r="F1132" s="3" t="n">
        <v>45770.8111111111</v>
      </c>
      <c r="G1132" s="2" t="s">
        <v>2012</v>
      </c>
      <c r="H1132" s="4" t="n">
        <v>0.9481</v>
      </c>
      <c r="I1132" s="2" t="s">
        <v>23</v>
      </c>
      <c r="J1132" s="2" t="s">
        <v>37</v>
      </c>
      <c r="K1132" s="2" t="n">
        <v>1</v>
      </c>
      <c r="L1132" s="2" t="n">
        <v>1</v>
      </c>
      <c r="M1132" s="2" t="n">
        <v>0</v>
      </c>
    </row>
    <row r="1133" customFormat="false" ht="15" hidden="false" customHeight="false" outlineLevel="0" collapsed="false">
      <c r="A1133" s="2" t="s">
        <v>2489</v>
      </c>
      <c r="B1133" s="2" t="s">
        <v>2490</v>
      </c>
      <c r="C1133" s="2" t="n">
        <v>4</v>
      </c>
      <c r="D1133" s="2" t="s">
        <v>96</v>
      </c>
      <c r="E1133" s="2" t="s">
        <v>2011</v>
      </c>
      <c r="F1133" s="3" t="n">
        <v>45770.8861111111</v>
      </c>
      <c r="G1133" s="2" t="s">
        <v>2012</v>
      </c>
      <c r="H1133" s="4" t="n">
        <v>0.6369</v>
      </c>
      <c r="I1133" s="2" t="s">
        <v>23</v>
      </c>
      <c r="J1133" s="2" t="s">
        <v>19</v>
      </c>
      <c r="K1133" s="2" t="n">
        <v>0</v>
      </c>
      <c r="L1133" s="2" t="n">
        <v>0</v>
      </c>
      <c r="M1133" s="2" t="n">
        <v>0</v>
      </c>
    </row>
    <row r="1134" customFormat="false" ht="15" hidden="false" customHeight="false" outlineLevel="0" collapsed="false">
      <c r="A1134" s="2" t="s">
        <v>2491</v>
      </c>
      <c r="B1134" s="2" t="s">
        <v>2492</v>
      </c>
      <c r="C1134" s="2" t="n">
        <v>5</v>
      </c>
      <c r="D1134" s="2" t="s">
        <v>269</v>
      </c>
      <c r="E1134" s="2" t="s">
        <v>2011</v>
      </c>
      <c r="F1134" s="3" t="n">
        <v>45770.9944444444</v>
      </c>
      <c r="G1134" s="2" t="s">
        <v>2012</v>
      </c>
      <c r="H1134" s="4" t="n">
        <v>0.8748</v>
      </c>
      <c r="I1134" s="2" t="s">
        <v>23</v>
      </c>
      <c r="J1134" s="2" t="s">
        <v>37</v>
      </c>
      <c r="K1134" s="2" t="n">
        <v>0</v>
      </c>
      <c r="L1134" s="2" t="n">
        <v>0</v>
      </c>
      <c r="M1134" s="2" t="n">
        <v>0</v>
      </c>
    </row>
    <row r="1135" customFormat="false" ht="15" hidden="false" customHeight="false" outlineLevel="0" collapsed="false">
      <c r="A1135" s="2" t="s">
        <v>2493</v>
      </c>
      <c r="B1135" s="2" t="s">
        <v>2494</v>
      </c>
      <c r="C1135" s="2" t="n">
        <v>5</v>
      </c>
      <c r="D1135" s="2" t="s">
        <v>15</v>
      </c>
      <c r="E1135" s="2" t="s">
        <v>2011</v>
      </c>
      <c r="F1135" s="3" t="n">
        <v>45771.0076388889</v>
      </c>
      <c r="G1135" s="2" t="s">
        <v>2012</v>
      </c>
      <c r="H1135" s="4" t="n">
        <v>0</v>
      </c>
      <c r="I1135" s="2" t="s">
        <v>18</v>
      </c>
      <c r="J1135" s="2" t="s">
        <v>19</v>
      </c>
      <c r="K1135" s="2" t="n">
        <v>0</v>
      </c>
      <c r="L1135" s="2" t="n">
        <v>0</v>
      </c>
      <c r="M1135" s="2" t="n">
        <v>0</v>
      </c>
    </row>
    <row r="1136" customFormat="false" ht="15" hidden="false" customHeight="false" outlineLevel="0" collapsed="false">
      <c r="A1136" s="2" t="s">
        <v>2495</v>
      </c>
      <c r="B1136" s="2" t="s">
        <v>2496</v>
      </c>
      <c r="C1136" s="2" t="n">
        <v>1</v>
      </c>
      <c r="D1136" s="2" t="s">
        <v>1274</v>
      </c>
      <c r="E1136" s="2" t="s">
        <v>2011</v>
      </c>
      <c r="F1136" s="3" t="n">
        <v>45771.10625</v>
      </c>
      <c r="G1136" s="2" t="s">
        <v>2012</v>
      </c>
      <c r="H1136" s="4" t="n">
        <v>-0.6171</v>
      </c>
      <c r="I1136" s="2" t="s">
        <v>84</v>
      </c>
      <c r="J1136" s="2" t="s">
        <v>37</v>
      </c>
      <c r="K1136" s="2" t="n">
        <v>6</v>
      </c>
      <c r="L1136" s="2" t="n">
        <v>1</v>
      </c>
      <c r="M1136" s="2" t="n">
        <v>0</v>
      </c>
    </row>
    <row r="1137" customFormat="false" ht="15" hidden="false" customHeight="false" outlineLevel="0" collapsed="false">
      <c r="A1137" s="2" t="s">
        <v>2497</v>
      </c>
      <c r="B1137" s="2" t="s">
        <v>2498</v>
      </c>
      <c r="C1137" s="2" t="n">
        <v>5</v>
      </c>
      <c r="D1137" s="2" t="s">
        <v>90</v>
      </c>
      <c r="E1137" s="2" t="s">
        <v>2011</v>
      </c>
      <c r="F1137" s="3" t="n">
        <v>45771.1201388889</v>
      </c>
      <c r="G1137" s="2" t="s">
        <v>2012</v>
      </c>
      <c r="H1137" s="4" t="n">
        <v>0.6249</v>
      </c>
      <c r="I1137" s="2" t="s">
        <v>23</v>
      </c>
      <c r="J1137" s="2" t="s">
        <v>37</v>
      </c>
      <c r="K1137" s="2" t="n">
        <v>3</v>
      </c>
      <c r="L1137" s="2" t="n">
        <v>0</v>
      </c>
      <c r="M1137" s="2" t="n">
        <v>0</v>
      </c>
    </row>
    <row r="1138" customFormat="false" ht="15" hidden="false" customHeight="false" outlineLevel="0" collapsed="false">
      <c r="A1138" s="2" t="s">
        <v>2499</v>
      </c>
      <c r="B1138" s="2" t="s">
        <v>2500</v>
      </c>
      <c r="C1138" s="2" t="n">
        <v>5</v>
      </c>
      <c r="D1138" s="2" t="s">
        <v>96</v>
      </c>
      <c r="E1138" s="2" t="s">
        <v>2011</v>
      </c>
      <c r="F1138" s="3" t="n">
        <v>45771.1465277778</v>
      </c>
      <c r="G1138" s="2" t="s">
        <v>2012</v>
      </c>
      <c r="H1138" s="4" t="n">
        <v>0.6369</v>
      </c>
      <c r="I1138" s="2" t="s">
        <v>23</v>
      </c>
      <c r="J1138" s="2" t="s">
        <v>19</v>
      </c>
      <c r="K1138" s="2" t="n">
        <v>12</v>
      </c>
      <c r="L1138" s="2" t="n">
        <v>0</v>
      </c>
      <c r="M1138" s="2" t="n">
        <v>0</v>
      </c>
    </row>
    <row r="1139" customFormat="false" ht="15" hidden="false" customHeight="false" outlineLevel="0" collapsed="false">
      <c r="A1139" s="2" t="s">
        <v>2501</v>
      </c>
      <c r="B1139" s="2" t="s">
        <v>2502</v>
      </c>
      <c r="C1139" s="2" t="n">
        <v>4</v>
      </c>
      <c r="D1139" s="2" t="s">
        <v>62</v>
      </c>
      <c r="E1139" s="2" t="s">
        <v>2011</v>
      </c>
      <c r="F1139" s="3" t="n">
        <v>45771.3194444445</v>
      </c>
      <c r="G1139" s="2" t="s">
        <v>2012</v>
      </c>
      <c r="H1139" s="4" t="n">
        <v>0.7088</v>
      </c>
      <c r="I1139" s="2" t="s">
        <v>23</v>
      </c>
      <c r="J1139" s="2" t="s">
        <v>19</v>
      </c>
      <c r="K1139" s="2" t="n">
        <v>3</v>
      </c>
      <c r="L1139" s="2" t="n">
        <v>0</v>
      </c>
      <c r="M1139" s="2" t="n">
        <v>0</v>
      </c>
    </row>
    <row r="1140" customFormat="false" ht="15" hidden="false" customHeight="false" outlineLevel="0" collapsed="false">
      <c r="A1140" s="2" t="s">
        <v>2503</v>
      </c>
      <c r="B1140" s="2" t="s">
        <v>1709</v>
      </c>
      <c r="C1140" s="2" t="n">
        <v>5</v>
      </c>
      <c r="D1140" s="2" t="s">
        <v>52</v>
      </c>
      <c r="E1140" s="2" t="s">
        <v>2011</v>
      </c>
      <c r="F1140" s="3" t="n">
        <v>45771.5576388889</v>
      </c>
      <c r="G1140" s="2" t="s">
        <v>2012</v>
      </c>
      <c r="H1140" s="4" t="n">
        <v>0.6369</v>
      </c>
      <c r="I1140" s="2" t="s">
        <v>23</v>
      </c>
      <c r="J1140" s="2" t="s">
        <v>19</v>
      </c>
      <c r="K1140" s="2" t="n">
        <v>3</v>
      </c>
      <c r="L1140" s="2" t="n">
        <v>0</v>
      </c>
      <c r="M1140" s="2" t="n">
        <v>0</v>
      </c>
    </row>
    <row r="1141" customFormat="false" ht="15" hidden="false" customHeight="false" outlineLevel="0" collapsed="false">
      <c r="A1141" s="2" t="s">
        <v>2504</v>
      </c>
      <c r="B1141" s="2" t="s">
        <v>2505</v>
      </c>
      <c r="C1141" s="2" t="n">
        <v>1</v>
      </c>
      <c r="D1141" s="2" t="s">
        <v>199</v>
      </c>
      <c r="E1141" s="2" t="s">
        <v>2011</v>
      </c>
      <c r="F1141" s="3" t="n">
        <v>45771.5652777778</v>
      </c>
      <c r="G1141" s="2" t="s">
        <v>2012</v>
      </c>
      <c r="H1141" s="4" t="n">
        <v>-0.7424</v>
      </c>
      <c r="I1141" s="2" t="s">
        <v>84</v>
      </c>
      <c r="J1141" s="2" t="s">
        <v>59</v>
      </c>
      <c r="K1141" s="2" t="n">
        <v>7</v>
      </c>
      <c r="L1141" s="2" t="n">
        <v>0</v>
      </c>
      <c r="M1141" s="2" t="n">
        <v>0</v>
      </c>
    </row>
    <row r="1142" customFormat="false" ht="15" hidden="false" customHeight="false" outlineLevel="0" collapsed="false">
      <c r="A1142" s="2" t="s">
        <v>2506</v>
      </c>
      <c r="B1142" s="2" t="s">
        <v>2507</v>
      </c>
      <c r="C1142" s="2" t="n">
        <v>2</v>
      </c>
      <c r="D1142" s="2" t="s">
        <v>733</v>
      </c>
      <c r="E1142" s="2" t="s">
        <v>2011</v>
      </c>
      <c r="F1142" s="3" t="n">
        <v>45771.61875</v>
      </c>
      <c r="G1142" s="2" t="s">
        <v>2012</v>
      </c>
      <c r="H1142" s="4" t="n">
        <v>-0.2846</v>
      </c>
      <c r="I1142" s="2" t="s">
        <v>84</v>
      </c>
      <c r="J1142" s="2" t="s">
        <v>37</v>
      </c>
      <c r="K1142" s="2" t="n">
        <v>1</v>
      </c>
      <c r="L1142" s="2" t="n">
        <v>0</v>
      </c>
      <c r="M1142" s="2" t="n">
        <v>0</v>
      </c>
    </row>
    <row r="1143" customFormat="false" ht="15" hidden="false" customHeight="false" outlineLevel="0" collapsed="false">
      <c r="A1143" s="2" t="s">
        <v>2508</v>
      </c>
      <c r="B1143" s="2" t="s">
        <v>2509</v>
      </c>
      <c r="C1143" s="2" t="n">
        <v>3</v>
      </c>
      <c r="D1143" s="2" t="s">
        <v>295</v>
      </c>
      <c r="E1143" s="2" t="s">
        <v>2011</v>
      </c>
      <c r="F1143" s="3" t="n">
        <v>45771.7791666667</v>
      </c>
      <c r="G1143" s="2" t="s">
        <v>2012</v>
      </c>
      <c r="H1143" s="4" t="n">
        <v>-0.5023</v>
      </c>
      <c r="I1143" s="2" t="s">
        <v>84</v>
      </c>
      <c r="J1143" s="2" t="s">
        <v>33</v>
      </c>
      <c r="K1143" s="2" t="n">
        <v>0</v>
      </c>
      <c r="L1143" s="2" t="n">
        <v>0</v>
      </c>
      <c r="M1143" s="2" t="n">
        <v>0</v>
      </c>
    </row>
    <row r="1144" customFormat="false" ht="15" hidden="false" customHeight="false" outlineLevel="0" collapsed="false">
      <c r="A1144" s="2" t="s">
        <v>2510</v>
      </c>
      <c r="B1144" s="2" t="s">
        <v>2511</v>
      </c>
      <c r="C1144" s="2" t="n">
        <v>3</v>
      </c>
      <c r="D1144" s="2" t="s">
        <v>560</v>
      </c>
      <c r="E1144" s="2" t="s">
        <v>2011</v>
      </c>
      <c r="F1144" s="3" t="n">
        <v>45771.8465277778</v>
      </c>
      <c r="G1144" s="2" t="s">
        <v>2012</v>
      </c>
      <c r="H1144" s="4" t="n">
        <v>0</v>
      </c>
      <c r="I1144" s="2" t="s">
        <v>18</v>
      </c>
      <c r="J1144" s="2" t="s">
        <v>19</v>
      </c>
      <c r="K1144" s="2" t="n">
        <v>10</v>
      </c>
      <c r="L1144" s="2" t="n">
        <v>0</v>
      </c>
      <c r="M1144" s="2" t="n">
        <v>0</v>
      </c>
    </row>
    <row r="1145" customFormat="false" ht="15" hidden="false" customHeight="false" outlineLevel="0" collapsed="false">
      <c r="A1145" s="2" t="s">
        <v>2512</v>
      </c>
      <c r="B1145" s="2" t="s">
        <v>2513</v>
      </c>
      <c r="C1145" s="2" t="n">
        <v>3</v>
      </c>
      <c r="D1145" s="2" t="s">
        <v>99</v>
      </c>
      <c r="E1145" s="2" t="s">
        <v>2011</v>
      </c>
      <c r="F1145" s="3" t="n">
        <v>45771.85</v>
      </c>
      <c r="G1145" s="2" t="s">
        <v>2012</v>
      </c>
      <c r="H1145" s="4" t="n">
        <v>-0.3089</v>
      </c>
      <c r="I1145" s="2" t="s">
        <v>84</v>
      </c>
      <c r="J1145" s="2" t="s">
        <v>19</v>
      </c>
      <c r="K1145" s="2" t="n">
        <v>4</v>
      </c>
      <c r="L1145" s="2" t="n">
        <v>0</v>
      </c>
      <c r="M1145" s="2" t="n">
        <v>0</v>
      </c>
    </row>
    <row r="1146" customFormat="false" ht="15" hidden="false" customHeight="false" outlineLevel="0" collapsed="false">
      <c r="A1146" s="2" t="s">
        <v>2514</v>
      </c>
      <c r="B1146" s="2" t="s">
        <v>2515</v>
      </c>
      <c r="C1146" s="2" t="n">
        <v>5</v>
      </c>
      <c r="D1146" s="2" t="s">
        <v>40</v>
      </c>
      <c r="E1146" s="2" t="s">
        <v>2011</v>
      </c>
      <c r="F1146" s="3" t="n">
        <v>45771.8583333333</v>
      </c>
      <c r="G1146" s="2" t="s">
        <v>2012</v>
      </c>
      <c r="H1146" s="4" t="n">
        <v>0.4019</v>
      </c>
      <c r="I1146" s="2" t="s">
        <v>23</v>
      </c>
      <c r="J1146" s="2" t="s">
        <v>33</v>
      </c>
      <c r="K1146" s="2" t="n">
        <v>1</v>
      </c>
      <c r="L1146" s="2" t="n">
        <v>0</v>
      </c>
      <c r="M1146" s="2" t="n">
        <v>0</v>
      </c>
    </row>
    <row r="1147" customFormat="false" ht="15" hidden="false" customHeight="false" outlineLevel="0" collapsed="false">
      <c r="A1147" s="2" t="s">
        <v>2516</v>
      </c>
      <c r="B1147" s="2" t="s">
        <v>2517</v>
      </c>
      <c r="C1147" s="2" t="n">
        <v>5</v>
      </c>
      <c r="D1147" s="2" t="s">
        <v>807</v>
      </c>
      <c r="E1147" s="2" t="s">
        <v>2011</v>
      </c>
      <c r="F1147" s="3" t="n">
        <v>45772.0284722222</v>
      </c>
      <c r="G1147" s="2" t="s">
        <v>2012</v>
      </c>
      <c r="H1147" s="4" t="n">
        <v>0.6369</v>
      </c>
      <c r="I1147" s="2" t="s">
        <v>23</v>
      </c>
      <c r="J1147" s="2" t="s">
        <v>19</v>
      </c>
      <c r="K1147" s="2" t="n">
        <v>3</v>
      </c>
      <c r="L1147" s="2" t="n">
        <v>0</v>
      </c>
      <c r="M1147" s="2" t="n">
        <v>0</v>
      </c>
    </row>
    <row r="1148" customFormat="false" ht="15" hidden="false" customHeight="false" outlineLevel="0" collapsed="false">
      <c r="A1148" s="2" t="s">
        <v>2518</v>
      </c>
      <c r="B1148" s="2" t="s">
        <v>2519</v>
      </c>
      <c r="C1148" s="2" t="n">
        <v>5</v>
      </c>
      <c r="D1148" s="2" t="s">
        <v>420</v>
      </c>
      <c r="E1148" s="2" t="s">
        <v>2011</v>
      </c>
      <c r="F1148" s="3" t="n">
        <v>45772.3888888889</v>
      </c>
      <c r="G1148" s="2" t="s">
        <v>2012</v>
      </c>
      <c r="H1148" s="4" t="n">
        <v>0.7845</v>
      </c>
      <c r="I1148" s="2" t="s">
        <v>23</v>
      </c>
      <c r="J1148" s="2" t="s">
        <v>33</v>
      </c>
      <c r="K1148" s="2" t="n">
        <v>1</v>
      </c>
      <c r="L1148" s="2" t="n">
        <v>0</v>
      </c>
      <c r="M1148" s="2" t="n">
        <v>0</v>
      </c>
    </row>
    <row r="1149" customFormat="false" ht="15" hidden="false" customHeight="false" outlineLevel="0" collapsed="false">
      <c r="A1149" s="2" t="s">
        <v>2520</v>
      </c>
      <c r="B1149" s="2" t="s">
        <v>2521</v>
      </c>
      <c r="C1149" s="2" t="n">
        <v>3</v>
      </c>
      <c r="D1149" s="2" t="s">
        <v>99</v>
      </c>
      <c r="E1149" s="2" t="s">
        <v>2011</v>
      </c>
      <c r="F1149" s="3" t="n">
        <v>45772.3951388889</v>
      </c>
      <c r="G1149" s="2" t="s">
        <v>2012</v>
      </c>
      <c r="H1149" s="4" t="n">
        <v>-0.3089</v>
      </c>
      <c r="I1149" s="2" t="s">
        <v>84</v>
      </c>
      <c r="J1149" s="2" t="s">
        <v>19</v>
      </c>
      <c r="K1149" s="2" t="n">
        <v>1</v>
      </c>
      <c r="L1149" s="2" t="n">
        <v>0</v>
      </c>
      <c r="M1149" s="2" t="n">
        <v>0</v>
      </c>
    </row>
    <row r="1150" customFormat="false" ht="15" hidden="false" customHeight="false" outlineLevel="0" collapsed="false">
      <c r="A1150" s="2" t="s">
        <v>2522</v>
      </c>
      <c r="B1150" s="2" t="s">
        <v>2523</v>
      </c>
      <c r="C1150" s="2" t="n">
        <v>2</v>
      </c>
      <c r="D1150" s="2" t="s">
        <v>58</v>
      </c>
      <c r="E1150" s="2" t="s">
        <v>2011</v>
      </c>
      <c r="F1150" s="3" t="n">
        <v>45772.4395833333</v>
      </c>
      <c r="G1150" s="2" t="s">
        <v>2012</v>
      </c>
      <c r="H1150" s="4" t="n">
        <v>0</v>
      </c>
      <c r="I1150" s="2" t="s">
        <v>18</v>
      </c>
      <c r="J1150" s="2" t="s">
        <v>59</v>
      </c>
      <c r="K1150" s="2" t="n">
        <v>1</v>
      </c>
      <c r="L1150" s="2" t="n">
        <v>0</v>
      </c>
      <c r="M1150" s="2" t="n">
        <v>0</v>
      </c>
    </row>
    <row r="1151" customFormat="false" ht="15" hidden="false" customHeight="false" outlineLevel="0" collapsed="false">
      <c r="A1151" s="2" t="s">
        <v>2524</v>
      </c>
      <c r="B1151" s="2" t="s">
        <v>2525</v>
      </c>
      <c r="C1151" s="2" t="n">
        <v>3</v>
      </c>
      <c r="D1151" s="2" t="s">
        <v>482</v>
      </c>
      <c r="E1151" s="2" t="s">
        <v>2011</v>
      </c>
      <c r="F1151" s="3" t="n">
        <v>45772.5513888889</v>
      </c>
      <c r="G1151" s="2" t="s">
        <v>2012</v>
      </c>
      <c r="H1151" s="4" t="n">
        <v>-0.6808</v>
      </c>
      <c r="I1151" s="2" t="s">
        <v>84</v>
      </c>
      <c r="J1151" s="2" t="s">
        <v>110</v>
      </c>
      <c r="K1151" s="2" t="n">
        <v>0</v>
      </c>
      <c r="L1151" s="2" t="n">
        <v>0</v>
      </c>
      <c r="M1151" s="2" t="n">
        <v>0</v>
      </c>
    </row>
    <row r="1152" customFormat="false" ht="15" hidden="false" customHeight="false" outlineLevel="0" collapsed="false">
      <c r="A1152" s="2" t="s">
        <v>2526</v>
      </c>
      <c r="B1152" s="2" t="s">
        <v>2527</v>
      </c>
      <c r="C1152" s="2" t="n">
        <v>4</v>
      </c>
      <c r="D1152" s="2" t="s">
        <v>47</v>
      </c>
      <c r="E1152" s="2" t="s">
        <v>2011</v>
      </c>
      <c r="F1152" s="3" t="n">
        <v>45772.5541666667</v>
      </c>
      <c r="G1152" s="2" t="s">
        <v>2012</v>
      </c>
      <c r="H1152" s="4" t="n">
        <v>0.3089</v>
      </c>
      <c r="I1152" s="2" t="s">
        <v>23</v>
      </c>
      <c r="J1152" s="2" t="s">
        <v>19</v>
      </c>
      <c r="K1152" s="2" t="n">
        <v>3</v>
      </c>
      <c r="L1152" s="2" t="n">
        <v>0</v>
      </c>
      <c r="M1152" s="2" t="n">
        <v>0</v>
      </c>
    </row>
    <row r="1153" customFormat="false" ht="15" hidden="false" customHeight="false" outlineLevel="0" collapsed="false">
      <c r="A1153" s="2" t="s">
        <v>2528</v>
      </c>
      <c r="B1153" s="2" t="s">
        <v>2529</v>
      </c>
      <c r="C1153" s="2" t="n">
        <v>1</v>
      </c>
      <c r="D1153" s="2" t="s">
        <v>109</v>
      </c>
      <c r="E1153" s="2" t="s">
        <v>2011</v>
      </c>
      <c r="F1153" s="3" t="n">
        <v>45772.8222222222</v>
      </c>
      <c r="G1153" s="2" t="s">
        <v>2012</v>
      </c>
      <c r="H1153" s="4" t="n">
        <v>0</v>
      </c>
      <c r="I1153" s="2" t="s">
        <v>18</v>
      </c>
      <c r="J1153" s="2" t="s">
        <v>110</v>
      </c>
      <c r="K1153" s="2" t="n">
        <v>5</v>
      </c>
      <c r="L1153" s="2" t="n">
        <v>0</v>
      </c>
      <c r="M1153" s="2" t="n">
        <v>0</v>
      </c>
    </row>
    <row r="1154" customFormat="false" ht="15" hidden="false" customHeight="false" outlineLevel="0" collapsed="false">
      <c r="A1154" s="2" t="s">
        <v>2530</v>
      </c>
      <c r="B1154" s="2" t="s">
        <v>2531</v>
      </c>
      <c r="C1154" s="2" t="n">
        <v>5</v>
      </c>
      <c r="D1154" s="2" t="s">
        <v>52</v>
      </c>
      <c r="E1154" s="2" t="s">
        <v>2011</v>
      </c>
      <c r="F1154" s="3" t="n">
        <v>45772.9631944444</v>
      </c>
      <c r="G1154" s="2" t="s">
        <v>2012</v>
      </c>
      <c r="H1154" s="4" t="n">
        <v>0.6369</v>
      </c>
      <c r="I1154" s="2" t="s">
        <v>23</v>
      </c>
      <c r="J1154" s="2" t="s">
        <v>19</v>
      </c>
      <c r="K1154" s="2" t="n">
        <v>3</v>
      </c>
      <c r="L1154" s="2" t="n">
        <v>0</v>
      </c>
      <c r="M1154" s="2" t="n">
        <v>0</v>
      </c>
    </row>
    <row r="1155" customFormat="false" ht="15" hidden="false" customHeight="false" outlineLevel="0" collapsed="false">
      <c r="A1155" s="2" t="s">
        <v>2532</v>
      </c>
      <c r="B1155" s="2" t="s">
        <v>2533</v>
      </c>
      <c r="C1155" s="2" t="n">
        <v>3</v>
      </c>
      <c r="D1155" s="2" t="s">
        <v>36</v>
      </c>
      <c r="E1155" s="2" t="s">
        <v>2011</v>
      </c>
      <c r="F1155" s="3" t="n">
        <v>45772.9993055556</v>
      </c>
      <c r="G1155" s="2" t="s">
        <v>2012</v>
      </c>
      <c r="H1155" s="4" t="n">
        <v>0.4404</v>
      </c>
      <c r="I1155" s="2" t="s">
        <v>23</v>
      </c>
      <c r="J1155" s="2" t="s">
        <v>37</v>
      </c>
      <c r="K1155" s="2" t="n">
        <v>7</v>
      </c>
      <c r="L1155" s="2" t="n">
        <v>0</v>
      </c>
      <c r="M1155" s="2" t="n">
        <v>0</v>
      </c>
    </row>
    <row r="1156" customFormat="false" ht="15" hidden="false" customHeight="false" outlineLevel="0" collapsed="false">
      <c r="A1156" s="2" t="s">
        <v>2534</v>
      </c>
      <c r="B1156" s="2" t="s">
        <v>2535</v>
      </c>
      <c r="C1156" s="2" t="n">
        <v>5</v>
      </c>
      <c r="D1156" s="2" t="s">
        <v>40</v>
      </c>
      <c r="E1156" s="2" t="s">
        <v>2011</v>
      </c>
      <c r="F1156" s="3" t="n">
        <v>45773.3277777778</v>
      </c>
      <c r="G1156" s="2" t="s">
        <v>2012</v>
      </c>
      <c r="H1156" s="4" t="n">
        <v>0.4019</v>
      </c>
      <c r="I1156" s="2" t="s">
        <v>23</v>
      </c>
      <c r="J1156" s="2" t="s">
        <v>33</v>
      </c>
      <c r="K1156" s="2" t="n">
        <v>7</v>
      </c>
      <c r="L1156" s="2" t="n">
        <v>0</v>
      </c>
      <c r="M1156" s="2" t="n">
        <v>0</v>
      </c>
    </row>
    <row r="1157" customFormat="false" ht="15" hidden="false" customHeight="false" outlineLevel="0" collapsed="false">
      <c r="A1157" s="2" t="s">
        <v>2536</v>
      </c>
      <c r="B1157" s="2" t="s">
        <v>2537</v>
      </c>
      <c r="C1157" s="2" t="n">
        <v>5</v>
      </c>
      <c r="D1157" s="2" t="s">
        <v>90</v>
      </c>
      <c r="E1157" s="2" t="s">
        <v>2011</v>
      </c>
      <c r="F1157" s="3" t="n">
        <v>45773.3722222222</v>
      </c>
      <c r="G1157" s="2" t="s">
        <v>2012</v>
      </c>
      <c r="H1157" s="4" t="n">
        <v>0.6249</v>
      </c>
      <c r="I1157" s="2" t="s">
        <v>23</v>
      </c>
      <c r="J1157" s="2" t="s">
        <v>37</v>
      </c>
      <c r="K1157" s="2" t="n">
        <v>0</v>
      </c>
      <c r="L1157" s="2" t="n">
        <v>0</v>
      </c>
      <c r="M1157" s="2" t="n">
        <v>0</v>
      </c>
    </row>
    <row r="1158" customFormat="false" ht="15" hidden="false" customHeight="false" outlineLevel="0" collapsed="false">
      <c r="A1158" s="2" t="s">
        <v>2538</v>
      </c>
      <c r="B1158" s="2" t="s">
        <v>2539</v>
      </c>
      <c r="C1158" s="2" t="n">
        <v>1</v>
      </c>
      <c r="D1158" s="2" t="s">
        <v>661</v>
      </c>
      <c r="E1158" s="2" t="s">
        <v>2011</v>
      </c>
      <c r="F1158" s="3" t="n">
        <v>45773.4027777778</v>
      </c>
      <c r="G1158" s="2" t="s">
        <v>2012</v>
      </c>
      <c r="H1158" s="4" t="n">
        <v>0</v>
      </c>
      <c r="I1158" s="2" t="s">
        <v>18</v>
      </c>
      <c r="J1158" s="2" t="s">
        <v>59</v>
      </c>
      <c r="K1158" s="2" t="n">
        <v>2</v>
      </c>
      <c r="L1158" s="2" t="n">
        <v>0</v>
      </c>
      <c r="M1158" s="2" t="n">
        <v>0</v>
      </c>
    </row>
    <row r="1159" customFormat="false" ht="15" hidden="false" customHeight="false" outlineLevel="0" collapsed="false">
      <c r="A1159" s="2" t="s">
        <v>2540</v>
      </c>
      <c r="B1159" s="2" t="s">
        <v>2541</v>
      </c>
      <c r="C1159" s="2" t="n">
        <v>5</v>
      </c>
      <c r="D1159" s="2" t="s">
        <v>15</v>
      </c>
      <c r="E1159" s="2" t="s">
        <v>2011</v>
      </c>
      <c r="F1159" s="3" t="n">
        <v>45773.6041666667</v>
      </c>
      <c r="G1159" s="2" t="s">
        <v>2012</v>
      </c>
      <c r="H1159" s="4" t="n">
        <v>0</v>
      </c>
      <c r="I1159" s="2" t="s">
        <v>18</v>
      </c>
      <c r="J1159" s="2" t="s">
        <v>19</v>
      </c>
      <c r="K1159" s="2" t="n">
        <v>0</v>
      </c>
      <c r="L1159" s="2" t="n">
        <v>0</v>
      </c>
      <c r="M1159" s="2" t="n">
        <v>0</v>
      </c>
    </row>
    <row r="1160" customFormat="false" ht="15" hidden="false" customHeight="false" outlineLevel="0" collapsed="false">
      <c r="A1160" s="2" t="s">
        <v>2542</v>
      </c>
      <c r="B1160" s="2" t="s">
        <v>2543</v>
      </c>
      <c r="C1160" s="2" t="n">
        <v>4</v>
      </c>
      <c r="D1160" s="2" t="s">
        <v>15</v>
      </c>
      <c r="E1160" s="2" t="s">
        <v>2011</v>
      </c>
      <c r="F1160" s="3" t="n">
        <v>45773.6277777778</v>
      </c>
      <c r="G1160" s="2" t="s">
        <v>2012</v>
      </c>
      <c r="H1160" s="4" t="n">
        <v>0</v>
      </c>
      <c r="I1160" s="2" t="s">
        <v>18</v>
      </c>
      <c r="J1160" s="2" t="s">
        <v>19</v>
      </c>
      <c r="K1160" s="2" t="n">
        <v>7</v>
      </c>
      <c r="L1160" s="2" t="n">
        <v>0</v>
      </c>
      <c r="M1160" s="2" t="n">
        <v>0</v>
      </c>
    </row>
    <row r="1161" customFormat="false" ht="15" hidden="false" customHeight="false" outlineLevel="0" collapsed="false">
      <c r="A1161" s="2" t="s">
        <v>2544</v>
      </c>
      <c r="B1161" s="2" t="s">
        <v>2545</v>
      </c>
      <c r="C1161" s="2" t="n">
        <v>3</v>
      </c>
      <c r="D1161" s="2" t="s">
        <v>301</v>
      </c>
      <c r="E1161" s="2" t="s">
        <v>2011</v>
      </c>
      <c r="F1161" s="3" t="n">
        <v>45773.65625</v>
      </c>
      <c r="G1161" s="2" t="s">
        <v>2012</v>
      </c>
      <c r="H1161" s="4" t="n">
        <v>0.2263</v>
      </c>
      <c r="I1161" s="2" t="s">
        <v>23</v>
      </c>
      <c r="J1161" s="2" t="s">
        <v>19</v>
      </c>
      <c r="K1161" s="2" t="n">
        <v>0</v>
      </c>
      <c r="L1161" s="2" t="n">
        <v>0</v>
      </c>
      <c r="M1161" s="2" t="n">
        <v>0</v>
      </c>
    </row>
    <row r="1162" customFormat="false" ht="15" hidden="false" customHeight="false" outlineLevel="0" collapsed="false">
      <c r="A1162" s="2" t="s">
        <v>2546</v>
      </c>
      <c r="B1162" s="2" t="s">
        <v>999</v>
      </c>
      <c r="C1162" s="2" t="n">
        <v>5</v>
      </c>
      <c r="D1162" s="2" t="s">
        <v>52</v>
      </c>
      <c r="E1162" s="2" t="s">
        <v>2011</v>
      </c>
      <c r="F1162" s="3" t="n">
        <v>45773.6951388889</v>
      </c>
      <c r="G1162" s="2" t="s">
        <v>2012</v>
      </c>
      <c r="H1162" s="4" t="n">
        <v>0.6369</v>
      </c>
      <c r="I1162" s="2" t="s">
        <v>23</v>
      </c>
      <c r="J1162" s="2" t="s">
        <v>19</v>
      </c>
      <c r="K1162" s="2" t="n">
        <v>1</v>
      </c>
      <c r="L1162" s="2" t="n">
        <v>0</v>
      </c>
      <c r="M1162" s="2" t="n">
        <v>0</v>
      </c>
    </row>
    <row r="1163" customFormat="false" ht="15" hidden="false" customHeight="false" outlineLevel="0" collapsed="false">
      <c r="A1163" s="2" t="s">
        <v>2547</v>
      </c>
      <c r="B1163" s="2" t="s">
        <v>2548</v>
      </c>
      <c r="C1163" s="2" t="n">
        <v>5</v>
      </c>
      <c r="D1163" s="2" t="s">
        <v>40</v>
      </c>
      <c r="E1163" s="2" t="s">
        <v>2011</v>
      </c>
      <c r="F1163" s="3" t="n">
        <v>45773.7277777778</v>
      </c>
      <c r="G1163" s="2" t="s">
        <v>2012</v>
      </c>
      <c r="H1163" s="4" t="n">
        <v>0.4019</v>
      </c>
      <c r="I1163" s="2" t="s">
        <v>23</v>
      </c>
      <c r="J1163" s="2" t="s">
        <v>33</v>
      </c>
      <c r="K1163" s="2" t="n">
        <v>1</v>
      </c>
      <c r="L1163" s="2" t="n">
        <v>0</v>
      </c>
      <c r="M1163" s="2" t="n">
        <v>0</v>
      </c>
    </row>
    <row r="1164" customFormat="false" ht="15" hidden="false" customHeight="false" outlineLevel="0" collapsed="false">
      <c r="A1164" s="2" t="s">
        <v>2549</v>
      </c>
      <c r="B1164" s="2" t="s">
        <v>2550</v>
      </c>
      <c r="C1164" s="2" t="n">
        <v>2</v>
      </c>
      <c r="D1164" s="2" t="s">
        <v>295</v>
      </c>
      <c r="E1164" s="2" t="s">
        <v>2011</v>
      </c>
      <c r="F1164" s="3" t="n">
        <v>45773.7784722222</v>
      </c>
      <c r="G1164" s="2" t="s">
        <v>2012</v>
      </c>
      <c r="H1164" s="4" t="n">
        <v>-0.5023</v>
      </c>
      <c r="I1164" s="2" t="s">
        <v>84</v>
      </c>
      <c r="J1164" s="2" t="s">
        <v>33</v>
      </c>
      <c r="K1164" s="2" t="n">
        <v>3</v>
      </c>
      <c r="L1164" s="2" t="n">
        <v>0</v>
      </c>
      <c r="M1164" s="2" t="n">
        <v>0</v>
      </c>
    </row>
    <row r="1165" customFormat="false" ht="15" hidden="false" customHeight="false" outlineLevel="0" collapsed="false">
      <c r="A1165" s="2" t="s">
        <v>2551</v>
      </c>
      <c r="B1165" s="2" t="s">
        <v>217</v>
      </c>
      <c r="C1165" s="2" t="n">
        <v>1</v>
      </c>
      <c r="D1165" s="2" t="s">
        <v>109</v>
      </c>
      <c r="E1165" s="2" t="s">
        <v>2011</v>
      </c>
      <c r="F1165" s="3" t="n">
        <v>45773.7847222222</v>
      </c>
      <c r="G1165" s="2" t="s">
        <v>2012</v>
      </c>
      <c r="H1165" s="4" t="n">
        <v>0</v>
      </c>
      <c r="I1165" s="2" t="s">
        <v>18</v>
      </c>
      <c r="J1165" s="2" t="s">
        <v>110</v>
      </c>
      <c r="K1165" s="2" t="n">
        <v>0</v>
      </c>
      <c r="L1165" s="2" t="n">
        <v>0</v>
      </c>
      <c r="M1165" s="2" t="n">
        <v>0</v>
      </c>
    </row>
    <row r="1166" customFormat="false" ht="15" hidden="false" customHeight="false" outlineLevel="0" collapsed="false">
      <c r="A1166" s="2" t="s">
        <v>2552</v>
      </c>
      <c r="B1166" s="2" t="s">
        <v>2553</v>
      </c>
      <c r="C1166" s="2" t="n">
        <v>4</v>
      </c>
      <c r="D1166" s="2" t="s">
        <v>99</v>
      </c>
      <c r="E1166" s="2" t="s">
        <v>2011</v>
      </c>
      <c r="F1166" s="3" t="n">
        <v>45773.8472222222</v>
      </c>
      <c r="G1166" s="2" t="s">
        <v>2012</v>
      </c>
      <c r="H1166" s="4" t="n">
        <v>-0.3089</v>
      </c>
      <c r="I1166" s="2" t="s">
        <v>84</v>
      </c>
      <c r="J1166" s="2" t="s">
        <v>19</v>
      </c>
      <c r="K1166" s="2" t="n">
        <v>0</v>
      </c>
      <c r="L1166" s="2" t="n">
        <v>0</v>
      </c>
      <c r="M1166" s="2" t="n">
        <v>0</v>
      </c>
    </row>
    <row r="1167" customFormat="false" ht="15" hidden="false" customHeight="false" outlineLevel="0" collapsed="false">
      <c r="A1167" s="2" t="s">
        <v>2554</v>
      </c>
      <c r="B1167" s="2" t="s">
        <v>2555</v>
      </c>
      <c r="C1167" s="2" t="n">
        <v>3</v>
      </c>
      <c r="D1167" s="2" t="s">
        <v>560</v>
      </c>
      <c r="E1167" s="2" t="s">
        <v>2011</v>
      </c>
      <c r="F1167" s="3" t="n">
        <v>45773.9</v>
      </c>
      <c r="G1167" s="2" t="s">
        <v>2012</v>
      </c>
      <c r="H1167" s="4" t="n">
        <v>0</v>
      </c>
      <c r="I1167" s="2" t="s">
        <v>18</v>
      </c>
      <c r="J1167" s="2" t="s">
        <v>19</v>
      </c>
      <c r="K1167" s="2" t="n">
        <v>2</v>
      </c>
      <c r="L1167" s="2" t="n">
        <v>0</v>
      </c>
      <c r="M1167" s="2" t="n">
        <v>0</v>
      </c>
    </row>
    <row r="1168" customFormat="false" ht="15" hidden="false" customHeight="false" outlineLevel="0" collapsed="false">
      <c r="A1168" s="2" t="s">
        <v>2556</v>
      </c>
      <c r="B1168" s="2" t="s">
        <v>2557</v>
      </c>
      <c r="C1168" s="2" t="n">
        <v>5</v>
      </c>
      <c r="D1168" s="2" t="s">
        <v>127</v>
      </c>
      <c r="E1168" s="2" t="s">
        <v>2011</v>
      </c>
      <c r="F1168" s="3" t="n">
        <v>45773.9881944444</v>
      </c>
      <c r="G1168" s="2" t="s">
        <v>2012</v>
      </c>
      <c r="H1168" s="4" t="n">
        <v>0.9359</v>
      </c>
      <c r="I1168" s="2" t="s">
        <v>23</v>
      </c>
      <c r="J1168" s="2" t="s">
        <v>37</v>
      </c>
      <c r="K1168" s="2" t="n">
        <v>0</v>
      </c>
      <c r="L1168" s="2" t="n">
        <v>0</v>
      </c>
      <c r="M1168" s="2" t="n">
        <v>0</v>
      </c>
    </row>
    <row r="1169" customFormat="false" ht="15" hidden="false" customHeight="false" outlineLevel="0" collapsed="false">
      <c r="A1169" s="2" t="s">
        <v>2558</v>
      </c>
      <c r="B1169" s="2" t="s">
        <v>2559</v>
      </c>
      <c r="C1169" s="2" t="n">
        <v>5</v>
      </c>
      <c r="D1169" s="2" t="s">
        <v>26</v>
      </c>
      <c r="E1169" s="2" t="s">
        <v>2011</v>
      </c>
      <c r="F1169" s="3" t="n">
        <v>45774.0027777778</v>
      </c>
      <c r="G1169" s="2" t="s">
        <v>2012</v>
      </c>
      <c r="H1169" s="4" t="n">
        <v>0.8848</v>
      </c>
      <c r="I1169" s="2" t="s">
        <v>23</v>
      </c>
      <c r="J1169" s="2" t="s">
        <v>19</v>
      </c>
      <c r="K1169" s="2" t="n">
        <v>0</v>
      </c>
      <c r="L1169" s="2" t="n">
        <v>0</v>
      </c>
      <c r="M1169" s="2" t="n">
        <v>0</v>
      </c>
    </row>
    <row r="1170" customFormat="false" ht="15" hidden="false" customHeight="false" outlineLevel="0" collapsed="false">
      <c r="A1170" s="2" t="s">
        <v>2560</v>
      </c>
      <c r="B1170" s="2" t="s">
        <v>2561</v>
      </c>
      <c r="C1170" s="2" t="n">
        <v>4</v>
      </c>
      <c r="D1170" s="2" t="s">
        <v>96</v>
      </c>
      <c r="E1170" s="2" t="s">
        <v>2011</v>
      </c>
      <c r="F1170" s="3" t="n">
        <v>45774.1902777778</v>
      </c>
      <c r="G1170" s="2" t="s">
        <v>2012</v>
      </c>
      <c r="H1170" s="4" t="n">
        <v>0.6369</v>
      </c>
      <c r="I1170" s="2" t="s">
        <v>23</v>
      </c>
      <c r="J1170" s="2" t="s">
        <v>19</v>
      </c>
      <c r="K1170" s="2" t="n">
        <v>4</v>
      </c>
      <c r="L1170" s="2" t="n">
        <v>0</v>
      </c>
      <c r="M1170" s="2" t="n">
        <v>0</v>
      </c>
    </row>
    <row r="1171" customFormat="false" ht="15" hidden="false" customHeight="false" outlineLevel="0" collapsed="false">
      <c r="A1171" s="2" t="s">
        <v>2562</v>
      </c>
      <c r="B1171" s="2" t="s">
        <v>2563</v>
      </c>
      <c r="C1171" s="2" t="n">
        <v>3</v>
      </c>
      <c r="D1171" s="2" t="s">
        <v>22</v>
      </c>
      <c r="E1171" s="2" t="s">
        <v>2011</v>
      </c>
      <c r="F1171" s="3" t="n">
        <v>45774.1993055556</v>
      </c>
      <c r="G1171" s="2" t="s">
        <v>2012</v>
      </c>
      <c r="H1171" s="4" t="n">
        <v>0.2023</v>
      </c>
      <c r="I1171" s="2" t="s">
        <v>23</v>
      </c>
      <c r="J1171" s="2" t="s">
        <v>19</v>
      </c>
      <c r="K1171" s="2" t="n">
        <v>0</v>
      </c>
      <c r="L1171" s="2" t="n">
        <v>0</v>
      </c>
      <c r="M1171" s="2" t="n">
        <v>0</v>
      </c>
    </row>
    <row r="1172" customFormat="false" ht="15" hidden="false" customHeight="false" outlineLevel="0" collapsed="false">
      <c r="A1172" s="2" t="s">
        <v>2564</v>
      </c>
      <c r="B1172" s="2" t="s">
        <v>2565</v>
      </c>
      <c r="C1172" s="2" t="n">
        <v>2</v>
      </c>
      <c r="D1172" s="2" t="s">
        <v>234</v>
      </c>
      <c r="E1172" s="2" t="s">
        <v>2011</v>
      </c>
      <c r="F1172" s="3" t="n">
        <v>45774.2020833333</v>
      </c>
      <c r="G1172" s="2" t="s">
        <v>2012</v>
      </c>
      <c r="H1172" s="4" t="n">
        <v>0</v>
      </c>
      <c r="I1172" s="2" t="s">
        <v>18</v>
      </c>
      <c r="J1172" s="2" t="s">
        <v>165</v>
      </c>
      <c r="K1172" s="2" t="n">
        <v>8</v>
      </c>
      <c r="L1172" s="2" t="n">
        <v>1</v>
      </c>
      <c r="M1172" s="2" t="n">
        <v>0</v>
      </c>
    </row>
    <row r="1173" customFormat="false" ht="15" hidden="false" customHeight="false" outlineLevel="0" collapsed="false">
      <c r="A1173" s="2" t="s">
        <v>2566</v>
      </c>
      <c r="B1173" s="2" t="s">
        <v>2567</v>
      </c>
      <c r="C1173" s="2" t="n">
        <v>5</v>
      </c>
      <c r="D1173" s="2" t="s">
        <v>62</v>
      </c>
      <c r="E1173" s="2" t="s">
        <v>2011</v>
      </c>
      <c r="F1173" s="3" t="n">
        <v>45774.6590277778</v>
      </c>
      <c r="G1173" s="2" t="s">
        <v>2012</v>
      </c>
      <c r="H1173" s="4" t="n">
        <v>0.7088</v>
      </c>
      <c r="I1173" s="2" t="s">
        <v>23</v>
      </c>
      <c r="J1173" s="2" t="s">
        <v>19</v>
      </c>
      <c r="K1173" s="2" t="n">
        <v>1</v>
      </c>
      <c r="L1173" s="2" t="n">
        <v>0</v>
      </c>
      <c r="M1173" s="2" t="n">
        <v>0</v>
      </c>
    </row>
    <row r="1174" customFormat="false" ht="15" hidden="false" customHeight="false" outlineLevel="0" collapsed="false">
      <c r="A1174" s="2" t="s">
        <v>2568</v>
      </c>
      <c r="B1174" s="2" t="s">
        <v>2569</v>
      </c>
      <c r="C1174" s="2" t="n">
        <v>4</v>
      </c>
      <c r="D1174" s="2" t="s">
        <v>62</v>
      </c>
      <c r="E1174" s="2" t="s">
        <v>2011</v>
      </c>
      <c r="F1174" s="3" t="n">
        <v>45774.8243055556</v>
      </c>
      <c r="G1174" s="2" t="s">
        <v>2012</v>
      </c>
      <c r="H1174" s="4" t="n">
        <v>0.7088</v>
      </c>
      <c r="I1174" s="2" t="s">
        <v>23</v>
      </c>
      <c r="J1174" s="2" t="s">
        <v>19</v>
      </c>
      <c r="K1174" s="2" t="n">
        <v>2</v>
      </c>
      <c r="L1174" s="2" t="n">
        <v>0</v>
      </c>
      <c r="M1174" s="2" t="n">
        <v>0</v>
      </c>
    </row>
    <row r="1175" customFormat="false" ht="15" hidden="false" customHeight="false" outlineLevel="0" collapsed="false">
      <c r="A1175" s="2" t="s">
        <v>2570</v>
      </c>
      <c r="B1175" s="2" t="s">
        <v>2571</v>
      </c>
      <c r="C1175" s="2" t="n">
        <v>1</v>
      </c>
      <c r="D1175" s="2" t="s">
        <v>733</v>
      </c>
      <c r="E1175" s="2" t="s">
        <v>2011</v>
      </c>
      <c r="F1175" s="3" t="n">
        <v>45774.8402777778</v>
      </c>
      <c r="G1175" s="2" t="s">
        <v>2012</v>
      </c>
      <c r="H1175" s="4" t="n">
        <v>-0.2846</v>
      </c>
      <c r="I1175" s="2" t="s">
        <v>84</v>
      </c>
      <c r="J1175" s="2" t="s">
        <v>37</v>
      </c>
      <c r="K1175" s="2" t="n">
        <v>0</v>
      </c>
      <c r="L1175" s="2" t="n">
        <v>1</v>
      </c>
      <c r="M1175" s="2" t="n">
        <v>0</v>
      </c>
    </row>
    <row r="1176" customFormat="false" ht="15" hidden="false" customHeight="false" outlineLevel="0" collapsed="false">
      <c r="A1176" s="2" t="s">
        <v>2572</v>
      </c>
      <c r="B1176" s="2" t="s">
        <v>2573</v>
      </c>
      <c r="C1176" s="2" t="n">
        <v>5</v>
      </c>
      <c r="D1176" s="2" t="s">
        <v>62</v>
      </c>
      <c r="E1176" s="2" t="s">
        <v>2011</v>
      </c>
      <c r="F1176" s="3" t="n">
        <v>45774.9958333333</v>
      </c>
      <c r="G1176" s="2" t="s">
        <v>2012</v>
      </c>
      <c r="H1176" s="4" t="n">
        <v>0.7088</v>
      </c>
      <c r="I1176" s="2" t="s">
        <v>23</v>
      </c>
      <c r="J1176" s="2" t="s">
        <v>19</v>
      </c>
      <c r="K1176" s="2" t="n">
        <v>0</v>
      </c>
      <c r="L1176" s="2" t="n">
        <v>0</v>
      </c>
      <c r="M1176" s="2" t="n">
        <v>0</v>
      </c>
    </row>
    <row r="1177" customFormat="false" ht="15" hidden="false" customHeight="false" outlineLevel="0" collapsed="false">
      <c r="A1177" s="2" t="s">
        <v>2574</v>
      </c>
      <c r="B1177" s="2" t="s">
        <v>2575</v>
      </c>
      <c r="C1177" s="2" t="n">
        <v>5</v>
      </c>
      <c r="D1177" s="2" t="s">
        <v>90</v>
      </c>
      <c r="E1177" s="2" t="s">
        <v>2011</v>
      </c>
      <c r="F1177" s="3" t="n">
        <v>45775.0340277778</v>
      </c>
      <c r="G1177" s="2" t="s">
        <v>2012</v>
      </c>
      <c r="H1177" s="4" t="n">
        <v>0.6249</v>
      </c>
      <c r="I1177" s="2" t="s">
        <v>23</v>
      </c>
      <c r="J1177" s="2" t="s">
        <v>37</v>
      </c>
      <c r="K1177" s="2" t="n">
        <v>2</v>
      </c>
      <c r="L1177" s="2" t="n">
        <v>0</v>
      </c>
      <c r="M1177" s="2" t="n">
        <v>0</v>
      </c>
    </row>
    <row r="1178" customFormat="false" ht="15" hidden="false" customHeight="false" outlineLevel="0" collapsed="false">
      <c r="A1178" s="2" t="s">
        <v>2576</v>
      </c>
      <c r="B1178" s="2" t="s">
        <v>2577</v>
      </c>
      <c r="C1178" s="2" t="n">
        <v>5</v>
      </c>
      <c r="D1178" s="2" t="s">
        <v>2578</v>
      </c>
      <c r="E1178" s="2" t="s">
        <v>2011</v>
      </c>
      <c r="F1178" s="3" t="n">
        <v>45775.1409722222</v>
      </c>
      <c r="G1178" s="2" t="s">
        <v>2012</v>
      </c>
      <c r="H1178" s="4" t="n">
        <v>0.9626</v>
      </c>
      <c r="I1178" s="2" t="s">
        <v>23</v>
      </c>
      <c r="J1178" s="2" t="s">
        <v>37</v>
      </c>
      <c r="K1178" s="2" t="n">
        <v>3</v>
      </c>
      <c r="L1178" s="2" t="n">
        <v>0</v>
      </c>
      <c r="M1178" s="2" t="n">
        <v>0</v>
      </c>
    </row>
    <row r="1179" customFormat="false" ht="15" hidden="false" customHeight="false" outlineLevel="0" collapsed="false">
      <c r="A1179" s="2" t="s">
        <v>2579</v>
      </c>
      <c r="B1179" s="2" t="s">
        <v>2580</v>
      </c>
      <c r="C1179" s="2" t="n">
        <v>5</v>
      </c>
      <c r="D1179" s="2" t="s">
        <v>15</v>
      </c>
      <c r="E1179" s="2" t="s">
        <v>2011</v>
      </c>
      <c r="F1179" s="3" t="n">
        <v>45775.2090277778</v>
      </c>
      <c r="G1179" s="2" t="s">
        <v>2012</v>
      </c>
      <c r="H1179" s="4" t="n">
        <v>0</v>
      </c>
      <c r="I1179" s="2" t="s">
        <v>18</v>
      </c>
      <c r="J1179" s="2" t="s">
        <v>19</v>
      </c>
      <c r="K1179" s="2" t="n">
        <v>1</v>
      </c>
      <c r="L1179" s="2" t="n">
        <v>0</v>
      </c>
      <c r="M1179" s="2" t="n">
        <v>0</v>
      </c>
    </row>
    <row r="1180" customFormat="false" ht="15" hidden="false" customHeight="false" outlineLevel="0" collapsed="false">
      <c r="A1180" s="2" t="s">
        <v>2581</v>
      </c>
      <c r="B1180" s="2" t="s">
        <v>2582</v>
      </c>
      <c r="C1180" s="2" t="n">
        <v>1</v>
      </c>
      <c r="D1180" s="2" t="s">
        <v>591</v>
      </c>
      <c r="E1180" s="2" t="s">
        <v>2011</v>
      </c>
      <c r="F1180" s="3" t="n">
        <v>45775.6291666667</v>
      </c>
      <c r="G1180" s="2" t="s">
        <v>2012</v>
      </c>
      <c r="H1180" s="4" t="n">
        <v>0</v>
      </c>
      <c r="I1180" s="2" t="s">
        <v>18</v>
      </c>
      <c r="J1180" s="2" t="s">
        <v>37</v>
      </c>
      <c r="K1180" s="2" t="n">
        <v>1</v>
      </c>
      <c r="L1180" s="2" t="n">
        <v>0</v>
      </c>
      <c r="M1180" s="2" t="n">
        <v>0</v>
      </c>
    </row>
    <row r="1181" customFormat="false" ht="15" hidden="false" customHeight="false" outlineLevel="0" collapsed="false">
      <c r="A1181" s="2" t="s">
        <v>2583</v>
      </c>
      <c r="B1181" s="2" t="s">
        <v>2584</v>
      </c>
      <c r="C1181" s="2" t="n">
        <v>5</v>
      </c>
      <c r="D1181" s="2" t="s">
        <v>40</v>
      </c>
      <c r="E1181" s="2" t="s">
        <v>2011</v>
      </c>
      <c r="F1181" s="3" t="n">
        <v>45775.6583333333</v>
      </c>
      <c r="G1181" s="2" t="s">
        <v>2012</v>
      </c>
      <c r="H1181" s="4" t="n">
        <v>0.4019</v>
      </c>
      <c r="I1181" s="2" t="s">
        <v>23</v>
      </c>
      <c r="J1181" s="2" t="s">
        <v>33</v>
      </c>
      <c r="K1181" s="2" t="n">
        <v>2</v>
      </c>
      <c r="L1181" s="2" t="n">
        <v>0</v>
      </c>
      <c r="M1181" s="2" t="n">
        <v>0</v>
      </c>
    </row>
    <row r="1182" customFormat="false" ht="15" hidden="false" customHeight="false" outlineLevel="0" collapsed="false">
      <c r="A1182" s="2" t="s">
        <v>2585</v>
      </c>
      <c r="B1182" s="2" t="s">
        <v>2586</v>
      </c>
      <c r="C1182" s="2" t="n">
        <v>5</v>
      </c>
      <c r="D1182" s="2" t="s">
        <v>2587</v>
      </c>
      <c r="E1182" s="2" t="s">
        <v>2011</v>
      </c>
      <c r="F1182" s="3" t="n">
        <v>45775.6618055556</v>
      </c>
      <c r="G1182" s="2" t="s">
        <v>2012</v>
      </c>
      <c r="H1182" s="4" t="n">
        <v>0.9828</v>
      </c>
      <c r="I1182" s="2" t="s">
        <v>23</v>
      </c>
      <c r="J1182" s="2" t="s">
        <v>37</v>
      </c>
      <c r="K1182" s="2" t="n">
        <v>3</v>
      </c>
      <c r="L1182" s="2" t="n">
        <v>0</v>
      </c>
      <c r="M1182" s="2" t="n">
        <v>0</v>
      </c>
    </row>
    <row r="1183" customFormat="false" ht="15" hidden="false" customHeight="false" outlineLevel="0" collapsed="false">
      <c r="A1183" s="2" t="s">
        <v>2588</v>
      </c>
      <c r="B1183" s="2" t="s">
        <v>2589</v>
      </c>
      <c r="C1183" s="2" t="n">
        <v>2</v>
      </c>
      <c r="D1183" s="2" t="s">
        <v>2590</v>
      </c>
      <c r="E1183" s="2" t="s">
        <v>2011</v>
      </c>
      <c r="F1183" s="3" t="n">
        <v>45775.9777777778</v>
      </c>
      <c r="G1183" s="2" t="s">
        <v>2012</v>
      </c>
      <c r="H1183" s="4" t="n">
        <v>-0.3089</v>
      </c>
      <c r="I1183" s="2" t="s">
        <v>84</v>
      </c>
      <c r="J1183" s="2" t="s">
        <v>165</v>
      </c>
      <c r="K1183" s="2" t="n">
        <v>0</v>
      </c>
      <c r="L1183" s="2" t="n">
        <v>1</v>
      </c>
      <c r="M1183" s="2" t="n">
        <v>0</v>
      </c>
    </row>
    <row r="1184" customFormat="false" ht="15" hidden="false" customHeight="false" outlineLevel="0" collapsed="false">
      <c r="A1184" s="2" t="s">
        <v>2591</v>
      </c>
      <c r="B1184" s="2" t="s">
        <v>2592</v>
      </c>
      <c r="C1184" s="2" t="n">
        <v>3</v>
      </c>
      <c r="D1184" s="2" t="s">
        <v>36</v>
      </c>
      <c r="E1184" s="2" t="s">
        <v>2011</v>
      </c>
      <c r="F1184" s="3" t="n">
        <v>45775.9895833333</v>
      </c>
      <c r="G1184" s="2" t="s">
        <v>2012</v>
      </c>
      <c r="H1184" s="4" t="n">
        <v>0.4404</v>
      </c>
      <c r="I1184" s="2" t="s">
        <v>23</v>
      </c>
      <c r="J1184" s="2" t="s">
        <v>37</v>
      </c>
      <c r="K1184" s="2" t="n">
        <v>0</v>
      </c>
      <c r="L1184" s="2" t="n">
        <v>0</v>
      </c>
      <c r="M1184" s="2" t="n">
        <v>0</v>
      </c>
    </row>
    <row r="1185" customFormat="false" ht="15" hidden="false" customHeight="false" outlineLevel="0" collapsed="false">
      <c r="A1185" s="2" t="s">
        <v>2593</v>
      </c>
      <c r="B1185" s="2" t="s">
        <v>2594</v>
      </c>
      <c r="C1185" s="2" t="n">
        <v>5</v>
      </c>
      <c r="D1185" s="2" t="s">
        <v>96</v>
      </c>
      <c r="E1185" s="2" t="s">
        <v>2011</v>
      </c>
      <c r="F1185" s="3" t="n">
        <v>45775.9916666667</v>
      </c>
      <c r="G1185" s="2" t="s">
        <v>2012</v>
      </c>
      <c r="H1185" s="4" t="n">
        <v>0.6369</v>
      </c>
      <c r="I1185" s="2" t="s">
        <v>23</v>
      </c>
      <c r="J1185" s="2" t="s">
        <v>19</v>
      </c>
      <c r="K1185" s="2" t="n">
        <v>0</v>
      </c>
      <c r="L1185" s="2" t="n">
        <v>0</v>
      </c>
      <c r="M1185" s="2" t="n">
        <v>0</v>
      </c>
    </row>
    <row r="1186" customFormat="false" ht="15" hidden="false" customHeight="false" outlineLevel="0" collapsed="false">
      <c r="A1186" s="2" t="s">
        <v>2595</v>
      </c>
      <c r="B1186" s="2" t="s">
        <v>2596</v>
      </c>
      <c r="C1186" s="2" t="n">
        <v>5</v>
      </c>
      <c r="D1186" s="2" t="s">
        <v>90</v>
      </c>
      <c r="E1186" s="2" t="s">
        <v>2011</v>
      </c>
      <c r="F1186" s="3" t="n">
        <v>45776.3347222222</v>
      </c>
      <c r="G1186" s="2" t="s">
        <v>2012</v>
      </c>
      <c r="H1186" s="4" t="n">
        <v>0.6249</v>
      </c>
      <c r="I1186" s="2" t="s">
        <v>23</v>
      </c>
      <c r="J1186" s="2" t="s">
        <v>37</v>
      </c>
      <c r="K1186" s="2" t="n">
        <v>9</v>
      </c>
      <c r="L1186" s="2" t="n">
        <v>0</v>
      </c>
      <c r="M1186" s="2" t="n">
        <v>0</v>
      </c>
    </row>
    <row r="1187" customFormat="false" ht="15" hidden="false" customHeight="false" outlineLevel="0" collapsed="false">
      <c r="A1187" s="2" t="s">
        <v>2597</v>
      </c>
      <c r="B1187" s="2" t="s">
        <v>2598</v>
      </c>
      <c r="C1187" s="2" t="n">
        <v>5</v>
      </c>
      <c r="D1187" s="2" t="s">
        <v>130</v>
      </c>
      <c r="E1187" s="2" t="s">
        <v>2011</v>
      </c>
      <c r="F1187" s="3" t="n">
        <v>45776.4118055556</v>
      </c>
      <c r="G1187" s="2" t="s">
        <v>2012</v>
      </c>
      <c r="H1187" s="4" t="n">
        <v>0.6369</v>
      </c>
      <c r="I1187" s="2" t="s">
        <v>23</v>
      </c>
      <c r="J1187" s="2" t="s">
        <v>19</v>
      </c>
      <c r="K1187" s="2" t="n">
        <v>8</v>
      </c>
      <c r="L1187" s="2" t="n">
        <v>0</v>
      </c>
      <c r="M1187" s="2" t="n">
        <v>0</v>
      </c>
    </row>
    <row r="1188" customFormat="false" ht="15" hidden="false" customHeight="false" outlineLevel="0" collapsed="false">
      <c r="A1188" s="2" t="s">
        <v>2599</v>
      </c>
      <c r="B1188" s="2" t="s">
        <v>2600</v>
      </c>
      <c r="C1188" s="2" t="n">
        <v>1</v>
      </c>
      <c r="D1188" s="2" t="s">
        <v>823</v>
      </c>
      <c r="E1188" s="2" t="s">
        <v>2011</v>
      </c>
      <c r="F1188" s="3" t="n">
        <v>45776.7361111111</v>
      </c>
      <c r="G1188" s="2" t="s">
        <v>2012</v>
      </c>
      <c r="H1188" s="4" t="n">
        <v>-0.6997</v>
      </c>
      <c r="I1188" s="2" t="s">
        <v>84</v>
      </c>
      <c r="J1188" s="2" t="s">
        <v>19</v>
      </c>
      <c r="K1188" s="2" t="n">
        <v>5</v>
      </c>
      <c r="L1188" s="2" t="n">
        <v>0</v>
      </c>
      <c r="M1188" s="2" t="n">
        <v>0</v>
      </c>
    </row>
    <row r="1189" customFormat="false" ht="15" hidden="false" customHeight="false" outlineLevel="0" collapsed="false">
      <c r="A1189" s="2" t="s">
        <v>2601</v>
      </c>
      <c r="B1189" s="2" t="s">
        <v>2602</v>
      </c>
      <c r="C1189" s="2" t="n">
        <v>3</v>
      </c>
      <c r="D1189" s="2" t="s">
        <v>87</v>
      </c>
      <c r="E1189" s="2" t="s">
        <v>2011</v>
      </c>
      <c r="F1189" s="3" t="n">
        <v>45776.8125</v>
      </c>
      <c r="G1189" s="2" t="s">
        <v>2012</v>
      </c>
      <c r="H1189" s="4" t="n">
        <v>0</v>
      </c>
      <c r="I1189" s="2" t="s">
        <v>18</v>
      </c>
      <c r="J1189" s="2" t="s">
        <v>19</v>
      </c>
      <c r="K1189" s="2" t="n">
        <v>4</v>
      </c>
      <c r="L1189" s="2" t="n">
        <v>0</v>
      </c>
      <c r="M1189" s="2" t="n">
        <v>0</v>
      </c>
    </row>
    <row r="1190" customFormat="false" ht="15" hidden="false" customHeight="false" outlineLevel="0" collapsed="false">
      <c r="A1190" s="2" t="s">
        <v>2603</v>
      </c>
      <c r="B1190" s="2" t="s">
        <v>2604</v>
      </c>
      <c r="C1190" s="2" t="n">
        <v>4</v>
      </c>
      <c r="D1190" s="2" t="s">
        <v>2605</v>
      </c>
      <c r="E1190" s="2" t="s">
        <v>2011</v>
      </c>
      <c r="F1190" s="3" t="n">
        <v>45776.8152777778</v>
      </c>
      <c r="G1190" s="2" t="s">
        <v>2012</v>
      </c>
      <c r="H1190" s="4" t="n">
        <v>0.4867</v>
      </c>
      <c r="I1190" s="2" t="s">
        <v>23</v>
      </c>
      <c r="J1190" s="2" t="s">
        <v>19</v>
      </c>
      <c r="K1190" s="2" t="n">
        <v>1</v>
      </c>
      <c r="L1190" s="2" t="n">
        <v>1</v>
      </c>
      <c r="M1190" s="2" t="n">
        <v>0</v>
      </c>
    </row>
    <row r="1191" customFormat="false" ht="15" hidden="false" customHeight="false" outlineLevel="0" collapsed="false">
      <c r="A1191" s="2" t="s">
        <v>2606</v>
      </c>
      <c r="B1191" s="2" t="s">
        <v>2607</v>
      </c>
      <c r="C1191" s="2" t="n">
        <v>3</v>
      </c>
      <c r="D1191" s="2" t="s">
        <v>22</v>
      </c>
      <c r="E1191" s="2" t="s">
        <v>2011</v>
      </c>
      <c r="F1191" s="3" t="n">
        <v>45776.9548611111</v>
      </c>
      <c r="G1191" s="2" t="s">
        <v>2012</v>
      </c>
      <c r="H1191" s="4" t="n">
        <v>0.2023</v>
      </c>
      <c r="I1191" s="2" t="s">
        <v>23</v>
      </c>
      <c r="J1191" s="2" t="s">
        <v>19</v>
      </c>
      <c r="K1191" s="2" t="n">
        <v>0</v>
      </c>
      <c r="L1191" s="2" t="n">
        <v>0</v>
      </c>
      <c r="M1191" s="2" t="n">
        <v>0</v>
      </c>
    </row>
    <row r="1192" customFormat="false" ht="15" hidden="false" customHeight="false" outlineLevel="0" collapsed="false">
      <c r="A1192" s="2" t="s">
        <v>2608</v>
      </c>
      <c r="B1192" s="2" t="s">
        <v>2609</v>
      </c>
      <c r="C1192" s="2" t="n">
        <v>4</v>
      </c>
      <c r="D1192" s="2" t="s">
        <v>96</v>
      </c>
      <c r="E1192" s="2" t="s">
        <v>2011</v>
      </c>
      <c r="F1192" s="3" t="n">
        <v>45777.0326388889</v>
      </c>
      <c r="G1192" s="2" t="s">
        <v>2012</v>
      </c>
      <c r="H1192" s="4" t="n">
        <v>0.6369</v>
      </c>
      <c r="I1192" s="2" t="s">
        <v>23</v>
      </c>
      <c r="J1192" s="2" t="s">
        <v>19</v>
      </c>
      <c r="K1192" s="2" t="n">
        <v>0</v>
      </c>
      <c r="L1192" s="2" t="n">
        <v>0</v>
      </c>
      <c r="M1192" s="2" t="n">
        <v>0</v>
      </c>
    </row>
    <row r="1193" customFormat="false" ht="15" hidden="false" customHeight="false" outlineLevel="0" collapsed="false">
      <c r="A1193" s="2" t="s">
        <v>2610</v>
      </c>
      <c r="B1193" s="2" t="s">
        <v>2611</v>
      </c>
      <c r="C1193" s="2" t="n">
        <v>5</v>
      </c>
      <c r="D1193" s="2" t="s">
        <v>90</v>
      </c>
      <c r="E1193" s="2" t="s">
        <v>2011</v>
      </c>
      <c r="F1193" s="3" t="n">
        <v>45777.0347222222</v>
      </c>
      <c r="G1193" s="2" t="s">
        <v>2012</v>
      </c>
      <c r="H1193" s="4" t="n">
        <v>0.6249</v>
      </c>
      <c r="I1193" s="2" t="s">
        <v>23</v>
      </c>
      <c r="J1193" s="2" t="s">
        <v>37</v>
      </c>
      <c r="K1193" s="2" t="n">
        <v>1</v>
      </c>
      <c r="L1193" s="2" t="n">
        <v>1</v>
      </c>
      <c r="M1193" s="2" t="n">
        <v>0</v>
      </c>
    </row>
    <row r="1194" customFormat="false" ht="15" hidden="false" customHeight="false" outlineLevel="0" collapsed="false">
      <c r="A1194" s="2" t="s">
        <v>2612</v>
      </c>
      <c r="B1194" s="2" t="s">
        <v>2613</v>
      </c>
      <c r="C1194" s="2" t="n">
        <v>4</v>
      </c>
      <c r="D1194" s="2" t="s">
        <v>2614</v>
      </c>
      <c r="E1194" s="2" t="s">
        <v>2011</v>
      </c>
      <c r="F1194" s="3" t="n">
        <v>45777.0375</v>
      </c>
      <c r="G1194" s="2" t="s">
        <v>2012</v>
      </c>
      <c r="H1194" s="4" t="n">
        <v>0.4295</v>
      </c>
      <c r="I1194" s="2" t="s">
        <v>23</v>
      </c>
      <c r="J1194" s="2" t="s">
        <v>37</v>
      </c>
      <c r="K1194" s="2" t="n">
        <v>2</v>
      </c>
      <c r="L1194" s="2" t="n">
        <v>0</v>
      </c>
      <c r="M1194" s="2" t="n">
        <v>0</v>
      </c>
    </row>
    <row r="1195" customFormat="false" ht="15" hidden="false" customHeight="false" outlineLevel="0" collapsed="false">
      <c r="A1195" s="2" t="s">
        <v>2615</v>
      </c>
      <c r="B1195" s="2" t="s">
        <v>2616</v>
      </c>
      <c r="C1195" s="2" t="n">
        <v>3</v>
      </c>
      <c r="D1195" s="2" t="s">
        <v>99</v>
      </c>
      <c r="E1195" s="2" t="s">
        <v>2011</v>
      </c>
      <c r="F1195" s="3" t="n">
        <v>45777.1041666667</v>
      </c>
      <c r="G1195" s="2" t="s">
        <v>2012</v>
      </c>
      <c r="H1195" s="4" t="n">
        <v>-0.3089</v>
      </c>
      <c r="I1195" s="2" t="s">
        <v>84</v>
      </c>
      <c r="J1195" s="2" t="s">
        <v>19</v>
      </c>
      <c r="K1195" s="2" t="n">
        <v>5</v>
      </c>
      <c r="L1195" s="2" t="n">
        <v>0</v>
      </c>
      <c r="M1195" s="2" t="n">
        <v>0</v>
      </c>
    </row>
    <row r="1196" customFormat="false" ht="15" hidden="false" customHeight="false" outlineLevel="0" collapsed="false">
      <c r="A1196" s="2" t="s">
        <v>2617</v>
      </c>
      <c r="B1196" s="2" t="s">
        <v>2618</v>
      </c>
      <c r="C1196" s="2" t="n">
        <v>2</v>
      </c>
      <c r="D1196" s="2" t="s">
        <v>661</v>
      </c>
      <c r="E1196" s="2" t="s">
        <v>2011</v>
      </c>
      <c r="F1196" s="3" t="n">
        <v>45777.1541666667</v>
      </c>
      <c r="G1196" s="2" t="s">
        <v>2012</v>
      </c>
      <c r="H1196" s="4" t="n">
        <v>0</v>
      </c>
      <c r="I1196" s="2" t="s">
        <v>18</v>
      </c>
      <c r="J1196" s="2" t="s">
        <v>59</v>
      </c>
      <c r="K1196" s="2" t="n">
        <v>12</v>
      </c>
      <c r="L1196" s="2" t="n">
        <v>0</v>
      </c>
      <c r="M1196" s="2" t="n">
        <v>0</v>
      </c>
    </row>
    <row r="1197" customFormat="false" ht="15" hidden="false" customHeight="false" outlineLevel="0" collapsed="false">
      <c r="A1197" s="2" t="s">
        <v>2619</v>
      </c>
      <c r="B1197" s="2" t="s">
        <v>2620</v>
      </c>
      <c r="C1197" s="2" t="n">
        <v>5</v>
      </c>
      <c r="D1197" s="2" t="s">
        <v>374</v>
      </c>
      <c r="E1197" s="2" t="s">
        <v>2011</v>
      </c>
      <c r="F1197" s="3" t="n">
        <v>45777.2270833333</v>
      </c>
      <c r="G1197" s="2" t="s">
        <v>2012</v>
      </c>
      <c r="H1197" s="4" t="n">
        <v>0.6369</v>
      </c>
      <c r="I1197" s="2" t="s">
        <v>23</v>
      </c>
      <c r="J1197" s="2" t="s">
        <v>19</v>
      </c>
      <c r="K1197" s="2" t="n">
        <v>7</v>
      </c>
      <c r="L1197" s="2" t="n">
        <v>0</v>
      </c>
      <c r="M1197" s="2" t="n">
        <v>0</v>
      </c>
    </row>
    <row r="1198" customFormat="false" ht="15" hidden="false" customHeight="false" outlineLevel="0" collapsed="false">
      <c r="A1198" s="2" t="s">
        <v>2621</v>
      </c>
      <c r="B1198" s="2" t="s">
        <v>2622</v>
      </c>
      <c r="C1198" s="2" t="n">
        <v>4</v>
      </c>
      <c r="D1198" s="2" t="s">
        <v>96</v>
      </c>
      <c r="E1198" s="2" t="s">
        <v>2011</v>
      </c>
      <c r="F1198" s="3" t="n">
        <v>45777.3833333333</v>
      </c>
      <c r="G1198" s="2" t="s">
        <v>2012</v>
      </c>
      <c r="H1198" s="4" t="n">
        <v>0.6369</v>
      </c>
      <c r="I1198" s="2" t="s">
        <v>23</v>
      </c>
      <c r="J1198" s="2" t="s">
        <v>19</v>
      </c>
      <c r="K1198" s="2" t="n">
        <v>8</v>
      </c>
      <c r="L1198" s="2" t="n">
        <v>0</v>
      </c>
      <c r="M1198" s="2" t="n">
        <v>0</v>
      </c>
    </row>
    <row r="1199" customFormat="false" ht="15" hidden="false" customHeight="false" outlineLevel="0" collapsed="false">
      <c r="A1199" s="2" t="s">
        <v>2623</v>
      </c>
      <c r="B1199" s="2" t="s">
        <v>2624</v>
      </c>
      <c r="C1199" s="2" t="n">
        <v>2</v>
      </c>
      <c r="D1199" s="2" t="s">
        <v>2625</v>
      </c>
      <c r="E1199" s="2" t="s">
        <v>2011</v>
      </c>
      <c r="F1199" s="3" t="n">
        <v>45777.4902777778</v>
      </c>
      <c r="G1199" s="2" t="s">
        <v>2012</v>
      </c>
      <c r="H1199" s="4" t="n">
        <v>0.4404</v>
      </c>
      <c r="I1199" s="2" t="s">
        <v>23</v>
      </c>
      <c r="J1199" s="2" t="s">
        <v>165</v>
      </c>
      <c r="K1199" s="2" t="n">
        <v>3</v>
      </c>
      <c r="L1199" s="2" t="n">
        <v>1</v>
      </c>
      <c r="M1199" s="2" t="n">
        <v>0</v>
      </c>
    </row>
    <row r="1200" customFormat="false" ht="15" hidden="false" customHeight="false" outlineLevel="0" collapsed="false">
      <c r="A1200" s="2" t="s">
        <v>2626</v>
      </c>
      <c r="B1200" s="2" t="s">
        <v>2627</v>
      </c>
      <c r="C1200" s="2" t="n">
        <v>1</v>
      </c>
      <c r="D1200" s="2" t="s">
        <v>357</v>
      </c>
      <c r="E1200" s="2" t="s">
        <v>2011</v>
      </c>
      <c r="F1200" s="3" t="n">
        <v>45777.4930555556</v>
      </c>
      <c r="G1200" s="2" t="s">
        <v>2012</v>
      </c>
      <c r="H1200" s="4" t="n">
        <v>0</v>
      </c>
      <c r="I1200" s="2" t="s">
        <v>18</v>
      </c>
      <c r="J1200" s="2" t="s">
        <v>165</v>
      </c>
      <c r="K1200" s="2" t="n">
        <v>11</v>
      </c>
      <c r="L1200" s="2" t="n">
        <v>1</v>
      </c>
      <c r="M1200" s="2" t="n">
        <v>0</v>
      </c>
    </row>
    <row r="1201" customFormat="false" ht="15" hidden="false" customHeight="false" outlineLevel="0" collapsed="false">
      <c r="A1201" s="2" t="s">
        <v>2628</v>
      </c>
      <c r="B1201" s="2" t="s">
        <v>2629</v>
      </c>
      <c r="C1201" s="2" t="n">
        <v>3</v>
      </c>
      <c r="D1201" s="2" t="s">
        <v>87</v>
      </c>
      <c r="E1201" s="2" t="s">
        <v>2011</v>
      </c>
      <c r="F1201" s="3" t="n">
        <v>45777.5777777778</v>
      </c>
      <c r="G1201" s="2" t="s">
        <v>2012</v>
      </c>
      <c r="H1201" s="4" t="n">
        <v>0</v>
      </c>
      <c r="I1201" s="2" t="s">
        <v>18</v>
      </c>
      <c r="J1201" s="2" t="s">
        <v>19</v>
      </c>
      <c r="K1201" s="2" t="n">
        <v>0</v>
      </c>
      <c r="L1201" s="2" t="n">
        <v>0</v>
      </c>
      <c r="M1201" s="2" t="n">
        <v>0</v>
      </c>
    </row>
    <row r="1202" customFormat="false" ht="15" hidden="false" customHeight="false" outlineLevel="0" collapsed="false">
      <c r="A1202" s="2" t="s">
        <v>2630</v>
      </c>
      <c r="B1202" s="2" t="s">
        <v>2631</v>
      </c>
      <c r="C1202" s="2" t="n">
        <v>1</v>
      </c>
      <c r="D1202" s="2" t="s">
        <v>397</v>
      </c>
      <c r="E1202" s="2" t="s">
        <v>2011</v>
      </c>
      <c r="F1202" s="3" t="n">
        <v>45777.7861111111</v>
      </c>
      <c r="G1202" s="2" t="s">
        <v>2012</v>
      </c>
      <c r="H1202" s="4" t="n">
        <v>0</v>
      </c>
      <c r="I1202" s="2" t="s">
        <v>18</v>
      </c>
      <c r="J1202" s="2" t="s">
        <v>110</v>
      </c>
      <c r="K1202" s="2" t="n">
        <v>2</v>
      </c>
      <c r="L1202" s="2" t="n">
        <v>1</v>
      </c>
      <c r="M1202" s="2" t="n">
        <v>0</v>
      </c>
    </row>
    <row r="1203" customFormat="false" ht="15" hidden="false" customHeight="false" outlineLevel="0" collapsed="false">
      <c r="A1203" s="2" t="s">
        <v>2632</v>
      </c>
      <c r="B1203" s="2" t="s">
        <v>2633</v>
      </c>
      <c r="C1203" s="2" t="n">
        <v>4</v>
      </c>
      <c r="D1203" s="2" t="s">
        <v>99</v>
      </c>
      <c r="E1203" s="2" t="s">
        <v>2011</v>
      </c>
      <c r="F1203" s="3" t="n">
        <v>45778.1034722222</v>
      </c>
      <c r="G1203" s="2" t="s">
        <v>2634</v>
      </c>
      <c r="H1203" s="4" t="n">
        <v>-0.3089</v>
      </c>
      <c r="I1203" s="2" t="s">
        <v>84</v>
      </c>
      <c r="J1203" s="2" t="s">
        <v>19</v>
      </c>
      <c r="K1203" s="2" t="n">
        <v>1</v>
      </c>
      <c r="L1203" s="2" t="n">
        <v>0</v>
      </c>
      <c r="M1203" s="2" t="n">
        <v>0</v>
      </c>
    </row>
    <row r="1204" customFormat="false" ht="15" hidden="false" customHeight="false" outlineLevel="0" collapsed="false">
      <c r="A1204" s="2" t="s">
        <v>2635</v>
      </c>
      <c r="B1204" s="2" t="s">
        <v>2636</v>
      </c>
      <c r="C1204" s="2" t="n">
        <v>5</v>
      </c>
      <c r="D1204" s="2" t="s">
        <v>222</v>
      </c>
      <c r="E1204" s="2" t="s">
        <v>2011</v>
      </c>
      <c r="F1204" s="3" t="n">
        <v>45778.3840277778</v>
      </c>
      <c r="G1204" s="2" t="s">
        <v>2634</v>
      </c>
      <c r="H1204" s="4" t="n">
        <v>0.9647</v>
      </c>
      <c r="I1204" s="2" t="s">
        <v>23</v>
      </c>
      <c r="J1204" s="2" t="s">
        <v>37</v>
      </c>
      <c r="K1204" s="2" t="n">
        <v>3</v>
      </c>
      <c r="L1204" s="2" t="n">
        <v>0</v>
      </c>
      <c r="M1204" s="2" t="n">
        <v>0</v>
      </c>
    </row>
    <row r="1205" customFormat="false" ht="15" hidden="false" customHeight="false" outlineLevel="0" collapsed="false">
      <c r="A1205" s="2" t="s">
        <v>2637</v>
      </c>
      <c r="B1205" s="2" t="s">
        <v>2638</v>
      </c>
      <c r="C1205" s="2" t="n">
        <v>5</v>
      </c>
      <c r="D1205" s="2" t="s">
        <v>29</v>
      </c>
      <c r="E1205" s="2" t="s">
        <v>2011</v>
      </c>
      <c r="F1205" s="3" t="n">
        <v>45778.4236111111</v>
      </c>
      <c r="G1205" s="2" t="s">
        <v>2634</v>
      </c>
      <c r="H1205" s="4" t="n">
        <v>0.6369</v>
      </c>
      <c r="I1205" s="2" t="s">
        <v>23</v>
      </c>
      <c r="J1205" s="2" t="s">
        <v>19</v>
      </c>
      <c r="K1205" s="2" t="n">
        <v>4</v>
      </c>
      <c r="L1205" s="2" t="n">
        <v>0</v>
      </c>
      <c r="M1205" s="2" t="n">
        <v>0</v>
      </c>
    </row>
    <row r="1206" customFormat="false" ht="15" hidden="false" customHeight="false" outlineLevel="0" collapsed="false">
      <c r="A1206" s="2" t="s">
        <v>2639</v>
      </c>
      <c r="B1206" s="2" t="s">
        <v>2640</v>
      </c>
      <c r="C1206" s="2" t="n">
        <v>5</v>
      </c>
      <c r="D1206" s="2" t="s">
        <v>47</v>
      </c>
      <c r="E1206" s="2" t="s">
        <v>2011</v>
      </c>
      <c r="F1206" s="3" t="n">
        <v>45778.4402777778</v>
      </c>
      <c r="G1206" s="2" t="s">
        <v>2634</v>
      </c>
      <c r="H1206" s="4" t="n">
        <v>0.3089</v>
      </c>
      <c r="I1206" s="2" t="s">
        <v>23</v>
      </c>
      <c r="J1206" s="2" t="s">
        <v>19</v>
      </c>
      <c r="K1206" s="2" t="n">
        <v>2</v>
      </c>
      <c r="L1206" s="2" t="n">
        <v>0</v>
      </c>
      <c r="M1206" s="2" t="n">
        <v>0</v>
      </c>
    </row>
    <row r="1207" customFormat="false" ht="15" hidden="false" customHeight="false" outlineLevel="0" collapsed="false">
      <c r="A1207" s="2" t="s">
        <v>2641</v>
      </c>
      <c r="B1207" s="2" t="s">
        <v>2642</v>
      </c>
      <c r="C1207" s="2" t="n">
        <v>5</v>
      </c>
      <c r="D1207" s="2" t="s">
        <v>40</v>
      </c>
      <c r="E1207" s="2" t="s">
        <v>2011</v>
      </c>
      <c r="F1207" s="3" t="n">
        <v>45778.4666666667</v>
      </c>
      <c r="G1207" s="2" t="s">
        <v>2634</v>
      </c>
      <c r="H1207" s="4" t="n">
        <v>0.4019</v>
      </c>
      <c r="I1207" s="2" t="s">
        <v>23</v>
      </c>
      <c r="J1207" s="2" t="s">
        <v>33</v>
      </c>
      <c r="K1207" s="2" t="n">
        <v>1</v>
      </c>
      <c r="L1207" s="2" t="n">
        <v>0</v>
      </c>
      <c r="M1207" s="2" t="n">
        <v>0</v>
      </c>
    </row>
    <row r="1208" customFormat="false" ht="15" hidden="false" customHeight="false" outlineLevel="0" collapsed="false">
      <c r="A1208" s="2" t="s">
        <v>2643</v>
      </c>
      <c r="B1208" s="2" t="s">
        <v>2644</v>
      </c>
      <c r="C1208" s="2" t="n">
        <v>4</v>
      </c>
      <c r="D1208" s="2" t="s">
        <v>301</v>
      </c>
      <c r="E1208" s="2" t="s">
        <v>2011</v>
      </c>
      <c r="F1208" s="3" t="n">
        <v>45778.6826388889</v>
      </c>
      <c r="G1208" s="2" t="s">
        <v>2634</v>
      </c>
      <c r="H1208" s="4" t="n">
        <v>0.2263</v>
      </c>
      <c r="I1208" s="2" t="s">
        <v>23</v>
      </c>
      <c r="J1208" s="2" t="s">
        <v>19</v>
      </c>
      <c r="K1208" s="2" t="n">
        <v>2</v>
      </c>
      <c r="L1208" s="2" t="n">
        <v>0</v>
      </c>
      <c r="M1208" s="2" t="n">
        <v>0</v>
      </c>
    </row>
    <row r="1209" customFormat="false" ht="15" hidden="false" customHeight="false" outlineLevel="0" collapsed="false">
      <c r="A1209" s="2" t="s">
        <v>2645</v>
      </c>
      <c r="B1209" s="2" t="s">
        <v>2646</v>
      </c>
      <c r="C1209" s="2" t="n">
        <v>5</v>
      </c>
      <c r="D1209" s="2" t="s">
        <v>40</v>
      </c>
      <c r="E1209" s="2" t="s">
        <v>2011</v>
      </c>
      <c r="F1209" s="3" t="n">
        <v>45778.9326388889</v>
      </c>
      <c r="G1209" s="2" t="s">
        <v>2634</v>
      </c>
      <c r="H1209" s="4" t="n">
        <v>0.4019</v>
      </c>
      <c r="I1209" s="2" t="s">
        <v>23</v>
      </c>
      <c r="J1209" s="2" t="s">
        <v>33</v>
      </c>
      <c r="K1209" s="2" t="n">
        <v>1</v>
      </c>
      <c r="L1209" s="2" t="n">
        <v>0</v>
      </c>
      <c r="M1209" s="2" t="n">
        <v>0</v>
      </c>
    </row>
    <row r="1210" customFormat="false" ht="15" hidden="false" customHeight="false" outlineLevel="0" collapsed="false">
      <c r="A1210" s="2" t="s">
        <v>2647</v>
      </c>
      <c r="B1210" s="2" t="s">
        <v>2648</v>
      </c>
      <c r="C1210" s="2" t="n">
        <v>1</v>
      </c>
      <c r="D1210" s="2" t="s">
        <v>1034</v>
      </c>
      <c r="E1210" s="2" t="s">
        <v>2011</v>
      </c>
      <c r="F1210" s="3" t="n">
        <v>45778.9965277778</v>
      </c>
      <c r="G1210" s="2" t="s">
        <v>2634</v>
      </c>
      <c r="H1210" s="4" t="n">
        <v>0</v>
      </c>
      <c r="I1210" s="2" t="s">
        <v>18</v>
      </c>
      <c r="J1210" s="2" t="s">
        <v>110</v>
      </c>
      <c r="K1210" s="2" t="n">
        <v>14</v>
      </c>
      <c r="L1210" s="2" t="n">
        <v>1</v>
      </c>
      <c r="M1210" s="2" t="n">
        <v>0</v>
      </c>
    </row>
    <row r="1211" customFormat="false" ht="15" hidden="false" customHeight="false" outlineLevel="0" collapsed="false">
      <c r="A1211" s="2" t="s">
        <v>2649</v>
      </c>
      <c r="B1211" s="2" t="s">
        <v>2650</v>
      </c>
      <c r="C1211" s="2" t="n">
        <v>3</v>
      </c>
      <c r="D1211" s="2" t="s">
        <v>36</v>
      </c>
      <c r="E1211" s="2" t="s">
        <v>2011</v>
      </c>
      <c r="F1211" s="3" t="n">
        <v>45779.0215277778</v>
      </c>
      <c r="G1211" s="2" t="s">
        <v>2634</v>
      </c>
      <c r="H1211" s="4" t="n">
        <v>0.4404</v>
      </c>
      <c r="I1211" s="2" t="s">
        <v>23</v>
      </c>
      <c r="J1211" s="2" t="s">
        <v>37</v>
      </c>
      <c r="K1211" s="2" t="n">
        <v>0</v>
      </c>
      <c r="L1211" s="2" t="n">
        <v>0</v>
      </c>
      <c r="M1211" s="2" t="n">
        <v>0</v>
      </c>
    </row>
    <row r="1212" customFormat="false" ht="15" hidden="false" customHeight="false" outlineLevel="0" collapsed="false">
      <c r="A1212" s="2" t="s">
        <v>2651</v>
      </c>
      <c r="B1212" s="2" t="s">
        <v>2652</v>
      </c>
      <c r="C1212" s="2" t="n">
        <v>4</v>
      </c>
      <c r="D1212" s="2" t="s">
        <v>790</v>
      </c>
      <c r="E1212" s="2" t="s">
        <v>2011</v>
      </c>
      <c r="F1212" s="3" t="n">
        <v>45779.2451388889</v>
      </c>
      <c r="G1212" s="2" t="s">
        <v>2634</v>
      </c>
      <c r="H1212" s="4" t="n">
        <v>0.9647</v>
      </c>
      <c r="I1212" s="2" t="s">
        <v>23</v>
      </c>
      <c r="J1212" s="2" t="s">
        <v>37</v>
      </c>
      <c r="K1212" s="2" t="n">
        <v>7</v>
      </c>
      <c r="L1212" s="2" t="n">
        <v>0</v>
      </c>
      <c r="M1212" s="2" t="n">
        <v>0</v>
      </c>
    </row>
    <row r="1213" customFormat="false" ht="15" hidden="false" customHeight="false" outlineLevel="0" collapsed="false">
      <c r="A1213" s="2" t="s">
        <v>2653</v>
      </c>
      <c r="B1213" s="2" t="s">
        <v>2654</v>
      </c>
      <c r="C1213" s="2" t="n">
        <v>4</v>
      </c>
      <c r="D1213" s="2" t="s">
        <v>652</v>
      </c>
      <c r="E1213" s="2" t="s">
        <v>2011</v>
      </c>
      <c r="F1213" s="3" t="n">
        <v>45779.2611111111</v>
      </c>
      <c r="G1213" s="2" t="s">
        <v>2634</v>
      </c>
      <c r="H1213" s="4" t="n">
        <v>0.8555</v>
      </c>
      <c r="I1213" s="2" t="s">
        <v>23</v>
      </c>
      <c r="J1213" s="2" t="s">
        <v>19</v>
      </c>
      <c r="K1213" s="2" t="n">
        <v>3</v>
      </c>
      <c r="L1213" s="2" t="n">
        <v>0</v>
      </c>
      <c r="M1213" s="2" t="n">
        <v>0</v>
      </c>
    </row>
    <row r="1214" customFormat="false" ht="15" hidden="false" customHeight="false" outlineLevel="0" collapsed="false">
      <c r="A1214" s="2" t="s">
        <v>2655</v>
      </c>
      <c r="B1214" s="2" t="s">
        <v>2656</v>
      </c>
      <c r="C1214" s="2" t="n">
        <v>1</v>
      </c>
      <c r="D1214" s="2" t="s">
        <v>946</v>
      </c>
      <c r="E1214" s="2" t="s">
        <v>2011</v>
      </c>
      <c r="F1214" s="3" t="n">
        <v>45779.5173611111</v>
      </c>
      <c r="G1214" s="2" t="s">
        <v>2634</v>
      </c>
      <c r="H1214" s="4" t="n">
        <v>-0.25</v>
      </c>
      <c r="I1214" s="2" t="s">
        <v>84</v>
      </c>
      <c r="J1214" s="2" t="s">
        <v>37</v>
      </c>
      <c r="K1214" s="2" t="n">
        <v>1</v>
      </c>
      <c r="L1214" s="2" t="n">
        <v>1</v>
      </c>
      <c r="M1214" s="2" t="n">
        <v>0</v>
      </c>
    </row>
    <row r="1215" customFormat="false" ht="15" hidden="false" customHeight="false" outlineLevel="0" collapsed="false">
      <c r="A1215" s="2" t="s">
        <v>2657</v>
      </c>
      <c r="B1215" s="2" t="s">
        <v>2658</v>
      </c>
      <c r="C1215" s="2" t="n">
        <v>5</v>
      </c>
      <c r="D1215" s="2" t="s">
        <v>392</v>
      </c>
      <c r="E1215" s="2" t="s">
        <v>2011</v>
      </c>
      <c r="F1215" s="3" t="n">
        <v>45779.5930555556</v>
      </c>
      <c r="G1215" s="2" t="s">
        <v>2634</v>
      </c>
      <c r="H1215" s="4" t="n">
        <v>0.7549</v>
      </c>
      <c r="I1215" s="2" t="s">
        <v>23</v>
      </c>
      <c r="J1215" s="2" t="s">
        <v>19</v>
      </c>
      <c r="K1215" s="2" t="n">
        <v>1</v>
      </c>
      <c r="L1215" s="2" t="n">
        <v>0</v>
      </c>
      <c r="M1215" s="2" t="n">
        <v>0</v>
      </c>
    </row>
    <row r="1216" customFormat="false" ht="15" hidden="false" customHeight="false" outlineLevel="0" collapsed="false">
      <c r="A1216" s="2" t="s">
        <v>2659</v>
      </c>
      <c r="B1216" s="2" t="s">
        <v>2660</v>
      </c>
      <c r="C1216" s="2" t="n">
        <v>3</v>
      </c>
      <c r="D1216" s="2" t="s">
        <v>440</v>
      </c>
      <c r="E1216" s="2" t="s">
        <v>2011</v>
      </c>
      <c r="F1216" s="3" t="n">
        <v>45779.7868055556</v>
      </c>
      <c r="G1216" s="2" t="s">
        <v>2634</v>
      </c>
      <c r="H1216" s="4" t="n">
        <v>0.4109</v>
      </c>
      <c r="I1216" s="2" t="s">
        <v>23</v>
      </c>
      <c r="J1216" s="2" t="s">
        <v>19</v>
      </c>
      <c r="K1216" s="2" t="n">
        <v>1</v>
      </c>
      <c r="L1216" s="2" t="n">
        <v>0</v>
      </c>
      <c r="M1216" s="2" t="n">
        <v>0</v>
      </c>
    </row>
    <row r="1217" customFormat="false" ht="15" hidden="false" customHeight="false" outlineLevel="0" collapsed="false">
      <c r="A1217" s="2" t="s">
        <v>2661</v>
      </c>
      <c r="B1217" s="2" t="s">
        <v>2662</v>
      </c>
      <c r="C1217" s="2" t="n">
        <v>4</v>
      </c>
      <c r="D1217" s="2" t="s">
        <v>121</v>
      </c>
      <c r="E1217" s="2" t="s">
        <v>2011</v>
      </c>
      <c r="F1217" s="3" t="n">
        <v>45779.8111111111</v>
      </c>
      <c r="G1217" s="2" t="s">
        <v>2634</v>
      </c>
      <c r="H1217" s="4" t="n">
        <v>0.607</v>
      </c>
      <c r="I1217" s="2" t="s">
        <v>23</v>
      </c>
      <c r="J1217" s="2" t="s">
        <v>33</v>
      </c>
      <c r="K1217" s="2" t="n">
        <v>3</v>
      </c>
      <c r="L1217" s="2" t="n">
        <v>0</v>
      </c>
      <c r="M1217" s="2" t="n">
        <v>0</v>
      </c>
    </row>
    <row r="1218" customFormat="false" ht="15" hidden="false" customHeight="false" outlineLevel="0" collapsed="false">
      <c r="A1218" s="2" t="s">
        <v>2663</v>
      </c>
      <c r="B1218" s="2" t="s">
        <v>2664</v>
      </c>
      <c r="C1218" s="2" t="n">
        <v>5</v>
      </c>
      <c r="D1218" s="2" t="s">
        <v>15</v>
      </c>
      <c r="E1218" s="2" t="s">
        <v>2011</v>
      </c>
      <c r="F1218" s="3" t="n">
        <v>45779.8409722222</v>
      </c>
      <c r="G1218" s="2" t="s">
        <v>2634</v>
      </c>
      <c r="H1218" s="4" t="n">
        <v>0</v>
      </c>
      <c r="I1218" s="2" t="s">
        <v>18</v>
      </c>
      <c r="J1218" s="2" t="s">
        <v>19</v>
      </c>
      <c r="K1218" s="2" t="n">
        <v>14</v>
      </c>
      <c r="L1218" s="2" t="n">
        <v>0</v>
      </c>
      <c r="M1218" s="2" t="n">
        <v>0</v>
      </c>
    </row>
    <row r="1219" customFormat="false" ht="15" hidden="false" customHeight="false" outlineLevel="0" collapsed="false">
      <c r="A1219" s="2" t="s">
        <v>2665</v>
      </c>
      <c r="B1219" s="2" t="s">
        <v>2666</v>
      </c>
      <c r="C1219" s="2" t="n">
        <v>4</v>
      </c>
      <c r="D1219" s="2" t="s">
        <v>2667</v>
      </c>
      <c r="E1219" s="2" t="s">
        <v>2011</v>
      </c>
      <c r="F1219" s="3" t="n">
        <v>45779.8569444444</v>
      </c>
      <c r="G1219" s="2" t="s">
        <v>2634</v>
      </c>
      <c r="H1219" s="4" t="n">
        <v>0.4295</v>
      </c>
      <c r="I1219" s="2" t="s">
        <v>23</v>
      </c>
      <c r="J1219" s="2" t="s">
        <v>37</v>
      </c>
      <c r="K1219" s="2" t="n">
        <v>2</v>
      </c>
      <c r="L1219" s="2" t="n">
        <v>0</v>
      </c>
      <c r="M1219" s="2" t="n">
        <v>0</v>
      </c>
    </row>
    <row r="1220" customFormat="false" ht="15" hidden="false" customHeight="false" outlineLevel="0" collapsed="false">
      <c r="A1220" s="2" t="s">
        <v>2668</v>
      </c>
      <c r="B1220" s="2" t="s">
        <v>2669</v>
      </c>
      <c r="C1220" s="2" t="n">
        <v>2</v>
      </c>
      <c r="D1220" s="2" t="s">
        <v>498</v>
      </c>
      <c r="E1220" s="2" t="s">
        <v>2011</v>
      </c>
      <c r="F1220" s="3" t="n">
        <v>45779.8881944444</v>
      </c>
      <c r="G1220" s="2" t="s">
        <v>2634</v>
      </c>
      <c r="H1220" s="4" t="n">
        <v>0</v>
      </c>
      <c r="I1220" s="2" t="s">
        <v>18</v>
      </c>
      <c r="J1220" s="2" t="s">
        <v>165</v>
      </c>
      <c r="K1220" s="2" t="n">
        <v>3</v>
      </c>
      <c r="L1220" s="2" t="n">
        <v>0</v>
      </c>
      <c r="M1220" s="2" t="n">
        <v>0</v>
      </c>
    </row>
    <row r="1221" customFormat="false" ht="15" hidden="false" customHeight="false" outlineLevel="0" collapsed="false">
      <c r="A1221" s="2" t="s">
        <v>2670</v>
      </c>
      <c r="B1221" s="2" t="s">
        <v>2671</v>
      </c>
      <c r="C1221" s="2" t="n">
        <v>5</v>
      </c>
      <c r="D1221" s="2" t="s">
        <v>15</v>
      </c>
      <c r="E1221" s="2" t="s">
        <v>2011</v>
      </c>
      <c r="F1221" s="3" t="n">
        <v>45780.0791666667</v>
      </c>
      <c r="G1221" s="2" t="s">
        <v>2634</v>
      </c>
      <c r="H1221" s="4" t="n">
        <v>0</v>
      </c>
      <c r="I1221" s="2" t="s">
        <v>18</v>
      </c>
      <c r="J1221" s="2" t="s">
        <v>19</v>
      </c>
      <c r="K1221" s="2" t="n">
        <v>7</v>
      </c>
      <c r="L1221" s="2" t="n">
        <v>0</v>
      </c>
      <c r="M1221" s="2" t="n">
        <v>0</v>
      </c>
    </row>
    <row r="1222" customFormat="false" ht="15" hidden="false" customHeight="false" outlineLevel="0" collapsed="false">
      <c r="A1222" s="2" t="s">
        <v>2672</v>
      </c>
      <c r="B1222" s="2" t="s">
        <v>2673</v>
      </c>
      <c r="C1222" s="2" t="n">
        <v>5</v>
      </c>
      <c r="D1222" s="2" t="s">
        <v>76</v>
      </c>
      <c r="E1222" s="2" t="s">
        <v>2011</v>
      </c>
      <c r="F1222" s="3" t="n">
        <v>45780.0979166667</v>
      </c>
      <c r="G1222" s="2" t="s">
        <v>2634</v>
      </c>
      <c r="H1222" s="4" t="n">
        <v>0.607</v>
      </c>
      <c r="I1222" s="2" t="s">
        <v>23</v>
      </c>
      <c r="J1222" s="2" t="s">
        <v>33</v>
      </c>
      <c r="K1222" s="2" t="n">
        <v>2</v>
      </c>
      <c r="L1222" s="2" t="n">
        <v>1</v>
      </c>
      <c r="M1222" s="2" t="n">
        <v>0</v>
      </c>
    </row>
    <row r="1223" customFormat="false" ht="15" hidden="false" customHeight="false" outlineLevel="0" collapsed="false">
      <c r="A1223" s="2" t="s">
        <v>2674</v>
      </c>
      <c r="B1223" s="2" t="s">
        <v>2675</v>
      </c>
      <c r="C1223" s="2" t="n">
        <v>5</v>
      </c>
      <c r="D1223" s="2" t="s">
        <v>127</v>
      </c>
      <c r="E1223" s="2" t="s">
        <v>2011</v>
      </c>
      <c r="F1223" s="3" t="n">
        <v>45780.3326388889</v>
      </c>
      <c r="G1223" s="2" t="s">
        <v>2634</v>
      </c>
      <c r="H1223" s="4" t="n">
        <v>0.9359</v>
      </c>
      <c r="I1223" s="2" t="s">
        <v>23</v>
      </c>
      <c r="J1223" s="2" t="s">
        <v>37</v>
      </c>
      <c r="K1223" s="2" t="n">
        <v>5</v>
      </c>
      <c r="L1223" s="2" t="n">
        <v>0</v>
      </c>
      <c r="M1223" s="2" t="n">
        <v>0</v>
      </c>
    </row>
    <row r="1224" customFormat="false" ht="15" hidden="false" customHeight="false" outlineLevel="0" collapsed="false">
      <c r="A1224" s="2" t="s">
        <v>2676</v>
      </c>
      <c r="B1224" s="2" t="s">
        <v>2677</v>
      </c>
      <c r="C1224" s="2" t="n">
        <v>1</v>
      </c>
      <c r="D1224" s="2" t="s">
        <v>109</v>
      </c>
      <c r="E1224" s="2" t="s">
        <v>2011</v>
      </c>
      <c r="F1224" s="3" t="n">
        <v>45780.4680555556</v>
      </c>
      <c r="G1224" s="2" t="s">
        <v>2634</v>
      </c>
      <c r="H1224" s="4" t="n">
        <v>0</v>
      </c>
      <c r="I1224" s="2" t="s">
        <v>18</v>
      </c>
      <c r="J1224" s="2" t="s">
        <v>110</v>
      </c>
      <c r="K1224" s="2" t="n">
        <v>0</v>
      </c>
      <c r="L1224" s="2" t="n">
        <v>0</v>
      </c>
      <c r="M1224" s="2" t="n">
        <v>0</v>
      </c>
    </row>
    <row r="1225" customFormat="false" ht="15" hidden="false" customHeight="false" outlineLevel="0" collapsed="false">
      <c r="A1225" s="2" t="s">
        <v>2678</v>
      </c>
      <c r="B1225" s="2" t="s">
        <v>2679</v>
      </c>
      <c r="C1225" s="2" t="n">
        <v>5</v>
      </c>
      <c r="D1225" s="2" t="s">
        <v>96</v>
      </c>
      <c r="E1225" s="2" t="s">
        <v>2011</v>
      </c>
      <c r="F1225" s="3" t="n">
        <v>45780.5673611111</v>
      </c>
      <c r="G1225" s="2" t="s">
        <v>2634</v>
      </c>
      <c r="H1225" s="4" t="n">
        <v>0.6369</v>
      </c>
      <c r="I1225" s="2" t="s">
        <v>23</v>
      </c>
      <c r="J1225" s="2" t="s">
        <v>19</v>
      </c>
      <c r="K1225" s="2" t="n">
        <v>4</v>
      </c>
      <c r="L1225" s="2" t="n">
        <v>0</v>
      </c>
      <c r="M1225" s="2" t="n">
        <v>0</v>
      </c>
    </row>
    <row r="1226" customFormat="false" ht="15" hidden="false" customHeight="false" outlineLevel="0" collapsed="false">
      <c r="A1226" s="2" t="s">
        <v>2680</v>
      </c>
      <c r="B1226" s="2" t="s">
        <v>2681</v>
      </c>
      <c r="C1226" s="2" t="n">
        <v>5</v>
      </c>
      <c r="D1226" s="2" t="s">
        <v>1197</v>
      </c>
      <c r="E1226" s="2" t="s">
        <v>2011</v>
      </c>
      <c r="F1226" s="3" t="n">
        <v>45780.6534722222</v>
      </c>
      <c r="G1226" s="2" t="s">
        <v>2634</v>
      </c>
      <c r="H1226" s="4" t="n">
        <v>0.3089</v>
      </c>
      <c r="I1226" s="2" t="s">
        <v>23</v>
      </c>
      <c r="J1226" s="2" t="s">
        <v>19</v>
      </c>
      <c r="K1226" s="2" t="n">
        <v>16</v>
      </c>
      <c r="L1226" s="2" t="n">
        <v>0</v>
      </c>
      <c r="M1226" s="2" t="n">
        <v>0</v>
      </c>
    </row>
    <row r="1227" customFormat="false" ht="15" hidden="false" customHeight="false" outlineLevel="0" collapsed="false">
      <c r="A1227" s="2" t="s">
        <v>2682</v>
      </c>
      <c r="B1227" s="2" t="s">
        <v>2683</v>
      </c>
      <c r="C1227" s="2" t="n">
        <v>5</v>
      </c>
      <c r="D1227" s="2" t="s">
        <v>2140</v>
      </c>
      <c r="E1227" s="2" t="s">
        <v>2011</v>
      </c>
      <c r="F1227" s="3" t="n">
        <v>45780.9125</v>
      </c>
      <c r="G1227" s="2" t="s">
        <v>2634</v>
      </c>
      <c r="H1227" s="4" t="n">
        <v>0.8777</v>
      </c>
      <c r="I1227" s="2" t="s">
        <v>23</v>
      </c>
      <c r="J1227" s="2" t="s">
        <v>19</v>
      </c>
      <c r="K1227" s="2" t="n">
        <v>0</v>
      </c>
      <c r="L1227" s="2" t="n">
        <v>0</v>
      </c>
      <c r="M1227" s="2" t="n">
        <v>0</v>
      </c>
    </row>
    <row r="1228" customFormat="false" ht="15" hidden="false" customHeight="false" outlineLevel="0" collapsed="false">
      <c r="A1228" s="2" t="s">
        <v>2684</v>
      </c>
      <c r="B1228" s="2" t="s">
        <v>2685</v>
      </c>
      <c r="C1228" s="2" t="n">
        <v>1</v>
      </c>
      <c r="D1228" s="2" t="s">
        <v>397</v>
      </c>
      <c r="E1228" s="2" t="s">
        <v>2011</v>
      </c>
      <c r="F1228" s="3" t="n">
        <v>45780.9375</v>
      </c>
      <c r="G1228" s="2" t="s">
        <v>2634</v>
      </c>
      <c r="H1228" s="4" t="n">
        <v>0</v>
      </c>
      <c r="I1228" s="2" t="s">
        <v>18</v>
      </c>
      <c r="J1228" s="2" t="s">
        <v>110</v>
      </c>
      <c r="K1228" s="2" t="n">
        <v>3</v>
      </c>
      <c r="L1228" s="2" t="n">
        <v>1</v>
      </c>
      <c r="M1228" s="2" t="n">
        <v>0</v>
      </c>
    </row>
    <row r="1229" customFormat="false" ht="15" hidden="false" customHeight="false" outlineLevel="0" collapsed="false">
      <c r="A1229" s="2" t="s">
        <v>2686</v>
      </c>
      <c r="B1229" s="2" t="s">
        <v>2687</v>
      </c>
      <c r="C1229" s="2" t="n">
        <v>1</v>
      </c>
      <c r="D1229" s="2" t="s">
        <v>58</v>
      </c>
      <c r="E1229" s="2" t="s">
        <v>2011</v>
      </c>
      <c r="F1229" s="3" t="n">
        <v>45780.9597222222</v>
      </c>
      <c r="G1229" s="2" t="s">
        <v>2634</v>
      </c>
      <c r="H1229" s="4" t="n">
        <v>0</v>
      </c>
      <c r="I1229" s="2" t="s">
        <v>18</v>
      </c>
      <c r="J1229" s="2" t="s">
        <v>59</v>
      </c>
      <c r="K1229" s="2" t="n">
        <v>2</v>
      </c>
      <c r="L1229" s="2" t="n">
        <v>0</v>
      </c>
      <c r="M1229" s="2" t="n">
        <v>0</v>
      </c>
    </row>
    <row r="1230" customFormat="false" ht="15" hidden="false" customHeight="false" outlineLevel="0" collapsed="false">
      <c r="A1230" s="2" t="s">
        <v>2688</v>
      </c>
      <c r="B1230" s="2" t="s">
        <v>2689</v>
      </c>
      <c r="C1230" s="2" t="n">
        <v>5</v>
      </c>
      <c r="D1230" s="2" t="s">
        <v>90</v>
      </c>
      <c r="E1230" s="2" t="s">
        <v>2011</v>
      </c>
      <c r="F1230" s="3" t="n">
        <v>45781.0486111111</v>
      </c>
      <c r="G1230" s="2" t="s">
        <v>2634</v>
      </c>
      <c r="H1230" s="4" t="n">
        <v>0.6249</v>
      </c>
      <c r="I1230" s="2" t="s">
        <v>23</v>
      </c>
      <c r="J1230" s="2" t="s">
        <v>37</v>
      </c>
      <c r="K1230" s="2" t="n">
        <v>4</v>
      </c>
      <c r="L1230" s="2" t="n">
        <v>0</v>
      </c>
      <c r="M1230" s="2" t="n">
        <v>0</v>
      </c>
    </row>
    <row r="1231" customFormat="false" ht="15" hidden="false" customHeight="false" outlineLevel="0" collapsed="false">
      <c r="A1231" s="2" t="s">
        <v>2690</v>
      </c>
      <c r="B1231" s="2" t="s">
        <v>2691</v>
      </c>
      <c r="C1231" s="2" t="n">
        <v>2</v>
      </c>
      <c r="D1231" s="2" t="s">
        <v>295</v>
      </c>
      <c r="E1231" s="2" t="s">
        <v>2011</v>
      </c>
      <c r="F1231" s="3" t="n">
        <v>45781.1319444445</v>
      </c>
      <c r="G1231" s="2" t="s">
        <v>2634</v>
      </c>
      <c r="H1231" s="4" t="n">
        <v>-0.5023</v>
      </c>
      <c r="I1231" s="2" t="s">
        <v>84</v>
      </c>
      <c r="J1231" s="2" t="s">
        <v>33</v>
      </c>
      <c r="K1231" s="2" t="n">
        <v>3</v>
      </c>
      <c r="L1231" s="2" t="n">
        <v>0</v>
      </c>
      <c r="M1231" s="2" t="n">
        <v>0</v>
      </c>
    </row>
    <row r="1232" customFormat="false" ht="15" hidden="false" customHeight="false" outlineLevel="0" collapsed="false">
      <c r="A1232" s="2" t="s">
        <v>2692</v>
      </c>
      <c r="B1232" s="2" t="s">
        <v>2693</v>
      </c>
      <c r="C1232" s="2" t="n">
        <v>3</v>
      </c>
      <c r="D1232" s="2" t="s">
        <v>36</v>
      </c>
      <c r="E1232" s="2" t="s">
        <v>2011</v>
      </c>
      <c r="F1232" s="3" t="n">
        <v>45781.1451388889</v>
      </c>
      <c r="G1232" s="2" t="s">
        <v>2634</v>
      </c>
      <c r="H1232" s="4" t="n">
        <v>0.4404</v>
      </c>
      <c r="I1232" s="2" t="s">
        <v>23</v>
      </c>
      <c r="J1232" s="2" t="s">
        <v>37</v>
      </c>
      <c r="K1232" s="2" t="n">
        <v>0</v>
      </c>
      <c r="L1232" s="2" t="n">
        <v>0</v>
      </c>
      <c r="M1232" s="2" t="n">
        <v>0</v>
      </c>
    </row>
    <row r="1233" customFormat="false" ht="15" hidden="false" customHeight="false" outlineLevel="0" collapsed="false">
      <c r="A1233" s="2" t="s">
        <v>2694</v>
      </c>
      <c r="B1233" s="2" t="s">
        <v>2695</v>
      </c>
      <c r="C1233" s="2" t="n">
        <v>5</v>
      </c>
      <c r="D1233" s="2" t="s">
        <v>15</v>
      </c>
      <c r="E1233" s="2" t="s">
        <v>2011</v>
      </c>
      <c r="F1233" s="3" t="n">
        <v>45781.2208333333</v>
      </c>
      <c r="G1233" s="2" t="s">
        <v>2634</v>
      </c>
      <c r="H1233" s="4" t="n">
        <v>0</v>
      </c>
      <c r="I1233" s="2" t="s">
        <v>18</v>
      </c>
      <c r="J1233" s="2" t="s">
        <v>19</v>
      </c>
      <c r="K1233" s="2" t="n">
        <v>2</v>
      </c>
      <c r="L1233" s="2" t="n">
        <v>0</v>
      </c>
      <c r="M1233" s="2" t="n">
        <v>0</v>
      </c>
    </row>
    <row r="1234" customFormat="false" ht="15" hidden="false" customHeight="false" outlineLevel="0" collapsed="false">
      <c r="A1234" s="2" t="s">
        <v>2696</v>
      </c>
      <c r="B1234" s="2" t="s">
        <v>2697</v>
      </c>
      <c r="C1234" s="2" t="n">
        <v>5</v>
      </c>
      <c r="D1234" s="2" t="s">
        <v>96</v>
      </c>
      <c r="E1234" s="2" t="s">
        <v>2011</v>
      </c>
      <c r="F1234" s="3" t="n">
        <v>45781.4215277778</v>
      </c>
      <c r="G1234" s="2" t="s">
        <v>2634</v>
      </c>
      <c r="H1234" s="4" t="n">
        <v>0.6369</v>
      </c>
      <c r="I1234" s="2" t="s">
        <v>23</v>
      </c>
      <c r="J1234" s="2" t="s">
        <v>19</v>
      </c>
      <c r="K1234" s="2" t="n">
        <v>0</v>
      </c>
      <c r="L1234" s="2" t="n">
        <v>0</v>
      </c>
      <c r="M1234" s="2" t="n">
        <v>0</v>
      </c>
    </row>
    <row r="1235" customFormat="false" ht="15" hidden="false" customHeight="false" outlineLevel="0" collapsed="false">
      <c r="A1235" s="2" t="s">
        <v>2698</v>
      </c>
      <c r="B1235" s="2" t="s">
        <v>2699</v>
      </c>
      <c r="C1235" s="2" t="n">
        <v>3</v>
      </c>
      <c r="D1235" s="2" t="s">
        <v>823</v>
      </c>
      <c r="E1235" s="2" t="s">
        <v>2011</v>
      </c>
      <c r="F1235" s="3" t="n">
        <v>45781.5465277778</v>
      </c>
      <c r="G1235" s="2" t="s">
        <v>2634</v>
      </c>
      <c r="H1235" s="4" t="n">
        <v>-0.6997</v>
      </c>
      <c r="I1235" s="2" t="s">
        <v>84</v>
      </c>
      <c r="J1235" s="2" t="s">
        <v>19</v>
      </c>
      <c r="K1235" s="2" t="n">
        <v>4</v>
      </c>
      <c r="L1235" s="2" t="n">
        <v>0</v>
      </c>
      <c r="M1235" s="2" t="n">
        <v>0</v>
      </c>
    </row>
    <row r="1236" customFormat="false" ht="15" hidden="false" customHeight="false" outlineLevel="0" collapsed="false">
      <c r="A1236" s="2" t="s">
        <v>2700</v>
      </c>
      <c r="B1236" s="2" t="s">
        <v>2701</v>
      </c>
      <c r="C1236" s="2" t="n">
        <v>5</v>
      </c>
      <c r="D1236" s="2" t="s">
        <v>213</v>
      </c>
      <c r="E1236" s="2" t="s">
        <v>2011</v>
      </c>
      <c r="F1236" s="3" t="n">
        <v>45781.6104166667</v>
      </c>
      <c r="G1236" s="2" t="s">
        <v>2634</v>
      </c>
      <c r="H1236" s="4" t="n">
        <v>0.8651</v>
      </c>
      <c r="I1236" s="2" t="s">
        <v>23</v>
      </c>
      <c r="J1236" s="2" t="s">
        <v>19</v>
      </c>
      <c r="K1236" s="2" t="n">
        <v>0</v>
      </c>
      <c r="L1236" s="2" t="n">
        <v>0</v>
      </c>
      <c r="M1236" s="2" t="n">
        <v>0</v>
      </c>
    </row>
    <row r="1237" customFormat="false" ht="15" hidden="false" customHeight="false" outlineLevel="0" collapsed="false">
      <c r="A1237" s="2" t="s">
        <v>2702</v>
      </c>
      <c r="B1237" s="2" t="s">
        <v>2703</v>
      </c>
      <c r="C1237" s="2" t="n">
        <v>5</v>
      </c>
      <c r="D1237" s="2" t="s">
        <v>15</v>
      </c>
      <c r="E1237" s="2" t="s">
        <v>2011</v>
      </c>
      <c r="F1237" s="3" t="n">
        <v>45781.8270833333</v>
      </c>
      <c r="G1237" s="2" t="s">
        <v>2634</v>
      </c>
      <c r="H1237" s="4" t="n">
        <v>0</v>
      </c>
      <c r="I1237" s="2" t="s">
        <v>18</v>
      </c>
      <c r="J1237" s="2" t="s">
        <v>19</v>
      </c>
      <c r="K1237" s="2" t="n">
        <v>15</v>
      </c>
      <c r="L1237" s="2" t="n">
        <v>0</v>
      </c>
      <c r="M1237" s="2" t="n">
        <v>0</v>
      </c>
    </row>
    <row r="1238" customFormat="false" ht="15" hidden="false" customHeight="false" outlineLevel="0" collapsed="false">
      <c r="A1238" s="2" t="s">
        <v>2704</v>
      </c>
      <c r="B1238" s="2" t="s">
        <v>2705</v>
      </c>
      <c r="C1238" s="2" t="n">
        <v>3</v>
      </c>
      <c r="D1238" s="2" t="s">
        <v>2706</v>
      </c>
      <c r="E1238" s="2" t="s">
        <v>2011</v>
      </c>
      <c r="F1238" s="3" t="n">
        <v>45782.125</v>
      </c>
      <c r="G1238" s="2" t="s">
        <v>2634</v>
      </c>
      <c r="H1238" s="4" t="n">
        <v>0.3809</v>
      </c>
      <c r="I1238" s="2" t="s">
        <v>23</v>
      </c>
      <c r="J1238" s="2" t="s">
        <v>19</v>
      </c>
      <c r="K1238" s="2" t="n">
        <v>2</v>
      </c>
      <c r="L1238" s="2" t="n">
        <v>0</v>
      </c>
      <c r="M1238" s="2" t="n">
        <v>0</v>
      </c>
    </row>
    <row r="1239" customFormat="false" ht="15" hidden="false" customHeight="false" outlineLevel="0" collapsed="false">
      <c r="A1239" s="2" t="s">
        <v>2707</v>
      </c>
      <c r="B1239" s="2" t="s">
        <v>2708</v>
      </c>
      <c r="C1239" s="2" t="n">
        <v>5</v>
      </c>
      <c r="D1239" s="2" t="s">
        <v>15</v>
      </c>
      <c r="E1239" s="2" t="s">
        <v>2011</v>
      </c>
      <c r="F1239" s="3" t="n">
        <v>45782.2569444445</v>
      </c>
      <c r="G1239" s="2" t="s">
        <v>2634</v>
      </c>
      <c r="H1239" s="4" t="n">
        <v>0</v>
      </c>
      <c r="I1239" s="2" t="s">
        <v>18</v>
      </c>
      <c r="J1239" s="2" t="s">
        <v>19</v>
      </c>
      <c r="K1239" s="2" t="n">
        <v>1</v>
      </c>
      <c r="L1239" s="2" t="n">
        <v>0</v>
      </c>
      <c r="M1239" s="2" t="n">
        <v>0</v>
      </c>
    </row>
    <row r="1240" customFormat="false" ht="15" hidden="false" customHeight="false" outlineLevel="0" collapsed="false">
      <c r="A1240" s="2" t="s">
        <v>2709</v>
      </c>
      <c r="B1240" s="2" t="s">
        <v>2710</v>
      </c>
      <c r="C1240" s="2" t="n">
        <v>5</v>
      </c>
      <c r="D1240" s="2" t="s">
        <v>2587</v>
      </c>
      <c r="E1240" s="2" t="s">
        <v>2011</v>
      </c>
      <c r="F1240" s="3" t="n">
        <v>45782.6506944444</v>
      </c>
      <c r="G1240" s="2" t="s">
        <v>2634</v>
      </c>
      <c r="H1240" s="4" t="n">
        <v>0.9828</v>
      </c>
      <c r="I1240" s="2" t="s">
        <v>23</v>
      </c>
      <c r="J1240" s="2" t="s">
        <v>37</v>
      </c>
      <c r="K1240" s="2" t="n">
        <v>3</v>
      </c>
      <c r="L1240" s="2" t="n">
        <v>0</v>
      </c>
      <c r="M1240" s="2" t="n">
        <v>0</v>
      </c>
    </row>
    <row r="1241" customFormat="false" ht="15" hidden="false" customHeight="false" outlineLevel="0" collapsed="false">
      <c r="A1241" s="2" t="s">
        <v>2711</v>
      </c>
      <c r="B1241" s="2" t="s">
        <v>2712</v>
      </c>
      <c r="C1241" s="2" t="n">
        <v>5</v>
      </c>
      <c r="D1241" s="2" t="s">
        <v>282</v>
      </c>
      <c r="E1241" s="2" t="s">
        <v>2011</v>
      </c>
      <c r="F1241" s="3" t="n">
        <v>45782.7861111111</v>
      </c>
      <c r="G1241" s="2" t="s">
        <v>2634</v>
      </c>
      <c r="H1241" s="4" t="n">
        <v>0.7992</v>
      </c>
      <c r="I1241" s="2" t="s">
        <v>23</v>
      </c>
      <c r="J1241" s="2" t="s">
        <v>19</v>
      </c>
      <c r="K1241" s="2" t="n">
        <v>0</v>
      </c>
      <c r="L1241" s="2" t="n">
        <v>0</v>
      </c>
      <c r="M1241" s="2" t="n">
        <v>0</v>
      </c>
    </row>
    <row r="1242" customFormat="false" ht="15" hidden="false" customHeight="false" outlineLevel="0" collapsed="false">
      <c r="A1242" s="2" t="s">
        <v>2713</v>
      </c>
      <c r="B1242" s="2" t="s">
        <v>2714</v>
      </c>
      <c r="C1242" s="2" t="n">
        <v>5</v>
      </c>
      <c r="D1242" s="2" t="s">
        <v>127</v>
      </c>
      <c r="E1242" s="2" t="s">
        <v>2011</v>
      </c>
      <c r="F1242" s="3" t="n">
        <v>45782.8951388889</v>
      </c>
      <c r="G1242" s="2" t="s">
        <v>2634</v>
      </c>
      <c r="H1242" s="4" t="n">
        <v>0.9359</v>
      </c>
      <c r="I1242" s="2" t="s">
        <v>23</v>
      </c>
      <c r="J1242" s="2" t="s">
        <v>37</v>
      </c>
      <c r="K1242" s="2" t="n">
        <v>0</v>
      </c>
      <c r="L1242" s="2" t="n">
        <v>0</v>
      </c>
      <c r="M1242" s="2" t="n">
        <v>0</v>
      </c>
    </row>
    <row r="1243" customFormat="false" ht="15" hidden="false" customHeight="false" outlineLevel="0" collapsed="false">
      <c r="A1243" s="2" t="s">
        <v>2715</v>
      </c>
      <c r="B1243" s="2" t="s">
        <v>2716</v>
      </c>
      <c r="C1243" s="2" t="n">
        <v>1</v>
      </c>
      <c r="D1243" s="2" t="s">
        <v>231</v>
      </c>
      <c r="E1243" s="2" t="s">
        <v>2011</v>
      </c>
      <c r="F1243" s="3" t="n">
        <v>45782.9131944445</v>
      </c>
      <c r="G1243" s="2" t="s">
        <v>2634</v>
      </c>
      <c r="H1243" s="4" t="n">
        <v>-0.3593</v>
      </c>
      <c r="I1243" s="2" t="s">
        <v>84</v>
      </c>
      <c r="J1243" s="2" t="s">
        <v>33</v>
      </c>
      <c r="K1243" s="2" t="n">
        <v>0</v>
      </c>
      <c r="L1243" s="2" t="n">
        <v>0</v>
      </c>
      <c r="M1243" s="2" t="n">
        <v>0</v>
      </c>
    </row>
    <row r="1244" customFormat="false" ht="15" hidden="false" customHeight="false" outlineLevel="0" collapsed="false">
      <c r="A1244" s="2" t="s">
        <v>2717</v>
      </c>
      <c r="B1244" s="2" t="s">
        <v>2718</v>
      </c>
      <c r="C1244" s="2" t="n">
        <v>2</v>
      </c>
      <c r="D1244" s="2" t="s">
        <v>498</v>
      </c>
      <c r="E1244" s="2" t="s">
        <v>2011</v>
      </c>
      <c r="F1244" s="3" t="n">
        <v>45782.9229166667</v>
      </c>
      <c r="G1244" s="2" t="s">
        <v>2634</v>
      </c>
      <c r="H1244" s="4" t="n">
        <v>0</v>
      </c>
      <c r="I1244" s="2" t="s">
        <v>18</v>
      </c>
      <c r="J1244" s="2" t="s">
        <v>165</v>
      </c>
      <c r="K1244" s="2" t="n">
        <v>1</v>
      </c>
      <c r="L1244" s="2" t="n">
        <v>0</v>
      </c>
      <c r="M1244" s="2" t="n">
        <v>0</v>
      </c>
    </row>
    <row r="1245" customFormat="false" ht="15" hidden="false" customHeight="false" outlineLevel="0" collapsed="false">
      <c r="A1245" s="2" t="s">
        <v>2719</v>
      </c>
      <c r="B1245" s="2" t="s">
        <v>2720</v>
      </c>
      <c r="C1245" s="2" t="n">
        <v>5</v>
      </c>
      <c r="D1245" s="2" t="s">
        <v>127</v>
      </c>
      <c r="E1245" s="2" t="s">
        <v>2011</v>
      </c>
      <c r="F1245" s="3" t="n">
        <v>45783.0569444444</v>
      </c>
      <c r="G1245" s="2" t="s">
        <v>2634</v>
      </c>
      <c r="H1245" s="4" t="n">
        <v>0.9359</v>
      </c>
      <c r="I1245" s="2" t="s">
        <v>23</v>
      </c>
      <c r="J1245" s="2" t="s">
        <v>37</v>
      </c>
      <c r="K1245" s="2" t="n">
        <v>8</v>
      </c>
      <c r="L1245" s="2" t="n">
        <v>0</v>
      </c>
      <c r="M1245" s="2" t="n">
        <v>0</v>
      </c>
    </row>
    <row r="1246" customFormat="false" ht="15" hidden="false" customHeight="false" outlineLevel="0" collapsed="false">
      <c r="A1246" s="2" t="s">
        <v>2721</v>
      </c>
      <c r="B1246" s="2" t="s">
        <v>2722</v>
      </c>
      <c r="C1246" s="2" t="n">
        <v>3</v>
      </c>
      <c r="D1246" s="2" t="s">
        <v>455</v>
      </c>
      <c r="E1246" s="2" t="s">
        <v>2011</v>
      </c>
      <c r="F1246" s="3" t="n">
        <v>45783.1291666667</v>
      </c>
      <c r="G1246" s="2" t="s">
        <v>2634</v>
      </c>
      <c r="H1246" s="4" t="n">
        <v>-0.2263</v>
      </c>
      <c r="I1246" s="2" t="s">
        <v>84</v>
      </c>
      <c r="J1246" s="2" t="s">
        <v>165</v>
      </c>
      <c r="K1246" s="2" t="n">
        <v>3</v>
      </c>
      <c r="L1246" s="2" t="n">
        <v>0</v>
      </c>
      <c r="M1246" s="2" t="n">
        <v>0</v>
      </c>
    </row>
    <row r="1247" customFormat="false" ht="15" hidden="false" customHeight="false" outlineLevel="0" collapsed="false">
      <c r="A1247" s="2" t="s">
        <v>2723</v>
      </c>
      <c r="B1247" s="2" t="s">
        <v>2724</v>
      </c>
      <c r="C1247" s="2" t="n">
        <v>5</v>
      </c>
      <c r="D1247" s="2" t="s">
        <v>40</v>
      </c>
      <c r="E1247" s="2" t="s">
        <v>2011</v>
      </c>
      <c r="F1247" s="3" t="n">
        <v>45783.1388888889</v>
      </c>
      <c r="G1247" s="2" t="s">
        <v>2634</v>
      </c>
      <c r="H1247" s="4" t="n">
        <v>0.4019</v>
      </c>
      <c r="I1247" s="2" t="s">
        <v>23</v>
      </c>
      <c r="J1247" s="2" t="s">
        <v>33</v>
      </c>
      <c r="K1247" s="2" t="n">
        <v>6</v>
      </c>
      <c r="L1247" s="2" t="n">
        <v>0</v>
      </c>
      <c r="M1247" s="2" t="n">
        <v>0</v>
      </c>
    </row>
    <row r="1248" customFormat="false" ht="15" hidden="false" customHeight="false" outlineLevel="0" collapsed="false">
      <c r="A1248" s="2" t="s">
        <v>2725</v>
      </c>
      <c r="B1248" s="2" t="s">
        <v>2726</v>
      </c>
      <c r="C1248" s="2" t="n">
        <v>5</v>
      </c>
      <c r="D1248" s="2" t="s">
        <v>2727</v>
      </c>
      <c r="E1248" s="2" t="s">
        <v>2011</v>
      </c>
      <c r="F1248" s="3" t="n">
        <v>45783.2944444444</v>
      </c>
      <c r="G1248" s="2" t="s">
        <v>2634</v>
      </c>
      <c r="H1248" s="4" t="n">
        <v>0.4019</v>
      </c>
      <c r="I1248" s="2" t="s">
        <v>23</v>
      </c>
      <c r="J1248" s="2" t="s">
        <v>33</v>
      </c>
      <c r="K1248" s="2" t="n">
        <v>0</v>
      </c>
      <c r="L1248" s="2" t="n">
        <v>0</v>
      </c>
      <c r="M1248" s="2" t="n">
        <v>0</v>
      </c>
    </row>
    <row r="1249" customFormat="false" ht="15" hidden="false" customHeight="false" outlineLevel="0" collapsed="false">
      <c r="A1249" s="2" t="s">
        <v>2728</v>
      </c>
      <c r="B1249" s="2" t="s">
        <v>2729</v>
      </c>
      <c r="C1249" s="2" t="n">
        <v>5</v>
      </c>
      <c r="D1249" s="2" t="s">
        <v>90</v>
      </c>
      <c r="E1249" s="2" t="s">
        <v>2011</v>
      </c>
      <c r="F1249" s="3" t="n">
        <v>45783.3159722222</v>
      </c>
      <c r="G1249" s="2" t="s">
        <v>2634</v>
      </c>
      <c r="H1249" s="4" t="n">
        <v>0.6249</v>
      </c>
      <c r="I1249" s="2" t="s">
        <v>23</v>
      </c>
      <c r="J1249" s="2" t="s">
        <v>37</v>
      </c>
      <c r="K1249" s="2" t="n">
        <v>1</v>
      </c>
      <c r="L1249" s="2" t="n">
        <v>0</v>
      </c>
      <c r="M1249" s="2" t="n">
        <v>0</v>
      </c>
    </row>
    <row r="1250" customFormat="false" ht="15" hidden="false" customHeight="false" outlineLevel="0" collapsed="false">
      <c r="A1250" s="2" t="s">
        <v>2730</v>
      </c>
      <c r="B1250" s="2" t="s">
        <v>1709</v>
      </c>
      <c r="C1250" s="2" t="n">
        <v>5</v>
      </c>
      <c r="D1250" s="2" t="s">
        <v>96</v>
      </c>
      <c r="E1250" s="2" t="s">
        <v>2011</v>
      </c>
      <c r="F1250" s="3" t="n">
        <v>45783.3222222222</v>
      </c>
      <c r="G1250" s="2" t="s">
        <v>2634</v>
      </c>
      <c r="H1250" s="4" t="n">
        <v>0.6369</v>
      </c>
      <c r="I1250" s="2" t="s">
        <v>23</v>
      </c>
      <c r="J1250" s="2" t="s">
        <v>19</v>
      </c>
      <c r="K1250" s="2" t="n">
        <v>3</v>
      </c>
      <c r="L1250" s="2" t="n">
        <v>0</v>
      </c>
      <c r="M1250" s="2" t="n">
        <v>0</v>
      </c>
    </row>
    <row r="1251" customFormat="false" ht="15" hidden="false" customHeight="false" outlineLevel="0" collapsed="false">
      <c r="A1251" s="2" t="s">
        <v>2731</v>
      </c>
      <c r="B1251" s="2" t="s">
        <v>2732</v>
      </c>
      <c r="C1251" s="2" t="n">
        <v>5</v>
      </c>
      <c r="D1251" s="2" t="s">
        <v>420</v>
      </c>
      <c r="E1251" s="2" t="s">
        <v>2011</v>
      </c>
      <c r="F1251" s="3" t="n">
        <v>45783.3333333333</v>
      </c>
      <c r="G1251" s="2" t="s">
        <v>2634</v>
      </c>
      <c r="H1251" s="4" t="n">
        <v>0.7845</v>
      </c>
      <c r="I1251" s="2" t="s">
        <v>23</v>
      </c>
      <c r="J1251" s="2" t="s">
        <v>33</v>
      </c>
      <c r="K1251" s="2" t="n">
        <v>2</v>
      </c>
      <c r="L1251" s="2" t="n">
        <v>0</v>
      </c>
      <c r="M1251" s="2" t="n">
        <v>0</v>
      </c>
    </row>
    <row r="1252" customFormat="false" ht="15" hidden="false" customHeight="false" outlineLevel="0" collapsed="false">
      <c r="A1252" s="2" t="s">
        <v>2733</v>
      </c>
      <c r="B1252" s="2" t="s">
        <v>2734</v>
      </c>
      <c r="C1252" s="2" t="n">
        <v>5</v>
      </c>
      <c r="D1252" s="2" t="s">
        <v>1363</v>
      </c>
      <c r="E1252" s="2" t="s">
        <v>2011</v>
      </c>
      <c r="F1252" s="3" t="n">
        <v>45783.3729166667</v>
      </c>
      <c r="G1252" s="2" t="s">
        <v>2634</v>
      </c>
      <c r="H1252" s="4" t="n">
        <v>0.6597</v>
      </c>
      <c r="I1252" s="2" t="s">
        <v>23</v>
      </c>
      <c r="J1252" s="2" t="s">
        <v>33</v>
      </c>
      <c r="K1252" s="2" t="n">
        <v>5</v>
      </c>
      <c r="L1252" s="2" t="n">
        <v>0</v>
      </c>
      <c r="M1252" s="2" t="n">
        <v>0</v>
      </c>
    </row>
    <row r="1253" customFormat="false" ht="15" hidden="false" customHeight="false" outlineLevel="0" collapsed="false">
      <c r="A1253" s="2" t="s">
        <v>2735</v>
      </c>
      <c r="B1253" s="2" t="s">
        <v>2736</v>
      </c>
      <c r="C1253" s="2" t="n">
        <v>4</v>
      </c>
      <c r="D1253" s="2" t="s">
        <v>127</v>
      </c>
      <c r="E1253" s="2" t="s">
        <v>2011</v>
      </c>
      <c r="F1253" s="3" t="n">
        <v>45783.3881944444</v>
      </c>
      <c r="G1253" s="2" t="s">
        <v>2634</v>
      </c>
      <c r="H1253" s="4" t="n">
        <v>0.9359</v>
      </c>
      <c r="I1253" s="2" t="s">
        <v>23</v>
      </c>
      <c r="J1253" s="2" t="s">
        <v>37</v>
      </c>
      <c r="K1253" s="2" t="n">
        <v>1</v>
      </c>
      <c r="L1253" s="2" t="n">
        <v>0</v>
      </c>
      <c r="M1253" s="2" t="n">
        <v>0</v>
      </c>
    </row>
    <row r="1254" customFormat="false" ht="15" hidden="false" customHeight="false" outlineLevel="0" collapsed="false">
      <c r="A1254" s="2" t="s">
        <v>2737</v>
      </c>
      <c r="B1254" s="2" t="s">
        <v>2738</v>
      </c>
      <c r="C1254" s="2" t="n">
        <v>5</v>
      </c>
      <c r="D1254" s="2" t="s">
        <v>674</v>
      </c>
      <c r="E1254" s="2" t="s">
        <v>2011</v>
      </c>
      <c r="F1254" s="3" t="n">
        <v>45783.5444444444</v>
      </c>
      <c r="G1254" s="2" t="s">
        <v>2634</v>
      </c>
      <c r="H1254" s="4" t="n">
        <v>0.9481</v>
      </c>
      <c r="I1254" s="2" t="s">
        <v>23</v>
      </c>
      <c r="J1254" s="2" t="s">
        <v>37</v>
      </c>
      <c r="K1254" s="2" t="n">
        <v>4</v>
      </c>
      <c r="L1254" s="2" t="n">
        <v>0</v>
      </c>
      <c r="M1254" s="2" t="n">
        <v>0</v>
      </c>
    </row>
    <row r="1255" customFormat="false" ht="15" hidden="false" customHeight="false" outlineLevel="0" collapsed="false">
      <c r="A1255" s="2" t="s">
        <v>2739</v>
      </c>
      <c r="B1255" s="2" t="s">
        <v>2740</v>
      </c>
      <c r="C1255" s="2" t="n">
        <v>5</v>
      </c>
      <c r="D1255" s="2" t="s">
        <v>52</v>
      </c>
      <c r="E1255" s="2" t="s">
        <v>2011</v>
      </c>
      <c r="F1255" s="3" t="n">
        <v>45783.6048611111</v>
      </c>
      <c r="G1255" s="2" t="s">
        <v>2634</v>
      </c>
      <c r="H1255" s="4" t="n">
        <v>0.6369</v>
      </c>
      <c r="I1255" s="2" t="s">
        <v>23</v>
      </c>
      <c r="J1255" s="2" t="s">
        <v>19</v>
      </c>
      <c r="K1255" s="2" t="n">
        <v>4</v>
      </c>
      <c r="L1255" s="2" t="n">
        <v>0</v>
      </c>
      <c r="M1255" s="2" t="n">
        <v>0</v>
      </c>
    </row>
    <row r="1256" customFormat="false" ht="15" hidden="false" customHeight="false" outlineLevel="0" collapsed="false">
      <c r="A1256" s="2" t="s">
        <v>2741</v>
      </c>
      <c r="B1256" s="2" t="s">
        <v>2742</v>
      </c>
      <c r="C1256" s="2" t="n">
        <v>3</v>
      </c>
      <c r="D1256" s="2" t="s">
        <v>2743</v>
      </c>
      <c r="E1256" s="2" t="s">
        <v>2011</v>
      </c>
      <c r="F1256" s="3" t="n">
        <v>45783.7159722222</v>
      </c>
      <c r="G1256" s="2" t="s">
        <v>2634</v>
      </c>
      <c r="H1256" s="4" t="n">
        <v>0.3809</v>
      </c>
      <c r="I1256" s="2" t="s">
        <v>23</v>
      </c>
      <c r="J1256" s="2" t="s">
        <v>19</v>
      </c>
      <c r="K1256" s="2" t="n">
        <v>0</v>
      </c>
      <c r="L1256" s="2" t="n">
        <v>0</v>
      </c>
      <c r="M1256" s="2" t="n">
        <v>0</v>
      </c>
    </row>
    <row r="1257" customFormat="false" ht="15" hidden="false" customHeight="false" outlineLevel="0" collapsed="false">
      <c r="A1257" s="2" t="s">
        <v>2744</v>
      </c>
      <c r="B1257" s="2" t="s">
        <v>2745</v>
      </c>
      <c r="C1257" s="2" t="n">
        <v>2</v>
      </c>
      <c r="D1257" s="2" t="s">
        <v>498</v>
      </c>
      <c r="E1257" s="2" t="s">
        <v>2011</v>
      </c>
      <c r="F1257" s="3" t="n">
        <v>45783.7270833333</v>
      </c>
      <c r="G1257" s="2" t="s">
        <v>2634</v>
      </c>
      <c r="H1257" s="4" t="n">
        <v>0</v>
      </c>
      <c r="I1257" s="2" t="s">
        <v>18</v>
      </c>
      <c r="J1257" s="2" t="s">
        <v>165</v>
      </c>
      <c r="K1257" s="2" t="n">
        <v>0</v>
      </c>
      <c r="L1257" s="2" t="n">
        <v>1</v>
      </c>
      <c r="M1257" s="2" t="n">
        <v>0</v>
      </c>
    </row>
    <row r="1258" customFormat="false" ht="15" hidden="false" customHeight="false" outlineLevel="0" collapsed="false">
      <c r="A1258" s="2" t="s">
        <v>2746</v>
      </c>
      <c r="B1258" s="2" t="s">
        <v>2747</v>
      </c>
      <c r="C1258" s="2" t="n">
        <v>5</v>
      </c>
      <c r="D1258" s="2" t="s">
        <v>47</v>
      </c>
      <c r="E1258" s="2" t="s">
        <v>2011</v>
      </c>
      <c r="F1258" s="3" t="n">
        <v>45783.8222222222</v>
      </c>
      <c r="G1258" s="2" t="s">
        <v>2634</v>
      </c>
      <c r="H1258" s="4" t="n">
        <v>0.3089</v>
      </c>
      <c r="I1258" s="2" t="s">
        <v>23</v>
      </c>
      <c r="J1258" s="2" t="s">
        <v>19</v>
      </c>
      <c r="K1258" s="2" t="n">
        <v>1</v>
      </c>
      <c r="L1258" s="2" t="n">
        <v>0</v>
      </c>
      <c r="M1258" s="2" t="n">
        <v>0</v>
      </c>
    </row>
    <row r="1259" customFormat="false" ht="15" hidden="false" customHeight="false" outlineLevel="0" collapsed="false">
      <c r="A1259" s="2" t="s">
        <v>2748</v>
      </c>
      <c r="B1259" s="2" t="s">
        <v>2749</v>
      </c>
      <c r="C1259" s="2" t="n">
        <v>2</v>
      </c>
      <c r="D1259" s="2" t="s">
        <v>168</v>
      </c>
      <c r="E1259" s="2" t="s">
        <v>2011</v>
      </c>
      <c r="F1259" s="3" t="n">
        <v>45783.8555555556</v>
      </c>
      <c r="G1259" s="2" t="s">
        <v>2634</v>
      </c>
      <c r="H1259" s="4" t="n">
        <v>-0.1027</v>
      </c>
      <c r="I1259" s="2" t="s">
        <v>84</v>
      </c>
      <c r="J1259" s="2" t="s">
        <v>33</v>
      </c>
      <c r="K1259" s="2" t="n">
        <v>1</v>
      </c>
      <c r="L1259" s="2" t="n">
        <v>0</v>
      </c>
      <c r="M1259" s="2" t="n">
        <v>0</v>
      </c>
    </row>
    <row r="1260" customFormat="false" ht="15" hidden="false" customHeight="false" outlineLevel="0" collapsed="false">
      <c r="A1260" s="2" t="s">
        <v>2750</v>
      </c>
      <c r="B1260" s="2" t="s">
        <v>2751</v>
      </c>
      <c r="C1260" s="2" t="n">
        <v>3</v>
      </c>
      <c r="D1260" s="2" t="s">
        <v>113</v>
      </c>
      <c r="E1260" s="2" t="s">
        <v>2011</v>
      </c>
      <c r="F1260" s="3" t="n">
        <v>45783.8819444445</v>
      </c>
      <c r="G1260" s="2" t="s">
        <v>2634</v>
      </c>
      <c r="H1260" s="4" t="n">
        <v>-0.431</v>
      </c>
      <c r="I1260" s="2" t="s">
        <v>84</v>
      </c>
      <c r="J1260" s="2" t="s">
        <v>19</v>
      </c>
      <c r="K1260" s="2" t="n">
        <v>6</v>
      </c>
      <c r="L1260" s="2" t="n">
        <v>0</v>
      </c>
      <c r="M1260" s="2" t="n">
        <v>0</v>
      </c>
    </row>
    <row r="1261" customFormat="false" ht="15" hidden="false" customHeight="false" outlineLevel="0" collapsed="false">
      <c r="A1261" s="2" t="s">
        <v>2752</v>
      </c>
      <c r="B1261" s="2" t="s">
        <v>2753</v>
      </c>
      <c r="C1261" s="2" t="n">
        <v>5</v>
      </c>
      <c r="D1261" s="2" t="s">
        <v>90</v>
      </c>
      <c r="E1261" s="2" t="s">
        <v>2011</v>
      </c>
      <c r="F1261" s="3" t="n">
        <v>45784.2145833333</v>
      </c>
      <c r="G1261" s="2" t="s">
        <v>2634</v>
      </c>
      <c r="H1261" s="4" t="n">
        <v>0.6249</v>
      </c>
      <c r="I1261" s="2" t="s">
        <v>23</v>
      </c>
      <c r="J1261" s="2" t="s">
        <v>37</v>
      </c>
      <c r="K1261" s="2" t="n">
        <v>7</v>
      </c>
      <c r="L1261" s="2" t="n">
        <v>0</v>
      </c>
      <c r="M1261" s="2" t="n">
        <v>0</v>
      </c>
    </row>
    <row r="1262" customFormat="false" ht="15" hidden="false" customHeight="false" outlineLevel="0" collapsed="false">
      <c r="A1262" s="2" t="s">
        <v>2754</v>
      </c>
      <c r="B1262" s="2" t="s">
        <v>2755</v>
      </c>
      <c r="C1262" s="2" t="n">
        <v>4</v>
      </c>
      <c r="D1262" s="2" t="s">
        <v>22</v>
      </c>
      <c r="E1262" s="2" t="s">
        <v>2011</v>
      </c>
      <c r="F1262" s="3" t="n">
        <v>45784.3166666667</v>
      </c>
      <c r="G1262" s="2" t="s">
        <v>2634</v>
      </c>
      <c r="H1262" s="4" t="n">
        <v>0.2023</v>
      </c>
      <c r="I1262" s="2" t="s">
        <v>23</v>
      </c>
      <c r="J1262" s="2" t="s">
        <v>19</v>
      </c>
      <c r="K1262" s="2" t="n">
        <v>2</v>
      </c>
      <c r="L1262" s="2" t="n">
        <v>0</v>
      </c>
      <c r="M1262" s="2" t="n">
        <v>0</v>
      </c>
    </row>
    <row r="1263" customFormat="false" ht="15" hidden="false" customHeight="false" outlineLevel="0" collapsed="false">
      <c r="A1263" s="2" t="s">
        <v>2756</v>
      </c>
      <c r="B1263" s="2" t="s">
        <v>2757</v>
      </c>
      <c r="C1263" s="2" t="n">
        <v>3</v>
      </c>
      <c r="D1263" s="2" t="s">
        <v>22</v>
      </c>
      <c r="E1263" s="2" t="s">
        <v>2011</v>
      </c>
      <c r="F1263" s="3" t="n">
        <v>45784.3402777778</v>
      </c>
      <c r="G1263" s="2" t="s">
        <v>2634</v>
      </c>
      <c r="H1263" s="4" t="n">
        <v>0.2023</v>
      </c>
      <c r="I1263" s="2" t="s">
        <v>23</v>
      </c>
      <c r="J1263" s="2" t="s">
        <v>19</v>
      </c>
      <c r="K1263" s="2" t="n">
        <v>0</v>
      </c>
      <c r="L1263" s="2" t="n">
        <v>0</v>
      </c>
      <c r="M1263" s="2" t="n">
        <v>0</v>
      </c>
    </row>
    <row r="1264" customFormat="false" ht="15" hidden="false" customHeight="false" outlineLevel="0" collapsed="false">
      <c r="A1264" s="2" t="s">
        <v>2758</v>
      </c>
      <c r="B1264" s="2" t="s">
        <v>2759</v>
      </c>
      <c r="C1264" s="2" t="n">
        <v>5</v>
      </c>
      <c r="D1264" s="2" t="s">
        <v>127</v>
      </c>
      <c r="E1264" s="2" t="s">
        <v>2011</v>
      </c>
      <c r="F1264" s="3" t="n">
        <v>45784.3881944444</v>
      </c>
      <c r="G1264" s="2" t="s">
        <v>2634</v>
      </c>
      <c r="H1264" s="4" t="n">
        <v>0.9359</v>
      </c>
      <c r="I1264" s="2" t="s">
        <v>23</v>
      </c>
      <c r="J1264" s="2" t="s">
        <v>37</v>
      </c>
      <c r="K1264" s="2" t="n">
        <v>4</v>
      </c>
      <c r="L1264" s="2" t="n">
        <v>0</v>
      </c>
      <c r="M1264" s="2" t="n">
        <v>0</v>
      </c>
    </row>
    <row r="1265" customFormat="false" ht="15" hidden="false" customHeight="false" outlineLevel="0" collapsed="false">
      <c r="A1265" s="2" t="s">
        <v>2760</v>
      </c>
      <c r="B1265" s="2" t="s">
        <v>2761</v>
      </c>
      <c r="C1265" s="2" t="n">
        <v>3</v>
      </c>
      <c r="D1265" s="2" t="s">
        <v>22</v>
      </c>
      <c r="E1265" s="2" t="s">
        <v>2011</v>
      </c>
      <c r="F1265" s="3" t="n">
        <v>45784.46875</v>
      </c>
      <c r="G1265" s="2" t="s">
        <v>2634</v>
      </c>
      <c r="H1265" s="4" t="n">
        <v>0.2023</v>
      </c>
      <c r="I1265" s="2" t="s">
        <v>23</v>
      </c>
      <c r="J1265" s="2" t="s">
        <v>19</v>
      </c>
      <c r="K1265" s="2" t="n">
        <v>1</v>
      </c>
      <c r="L1265" s="2" t="n">
        <v>0</v>
      </c>
      <c r="M1265" s="2" t="n">
        <v>0</v>
      </c>
    </row>
    <row r="1266" customFormat="false" ht="15" hidden="false" customHeight="false" outlineLevel="0" collapsed="false">
      <c r="A1266" s="2" t="s">
        <v>2762</v>
      </c>
      <c r="B1266" s="2" t="s">
        <v>2763</v>
      </c>
      <c r="C1266" s="2" t="n">
        <v>5</v>
      </c>
      <c r="D1266" s="2" t="s">
        <v>127</v>
      </c>
      <c r="E1266" s="2" t="s">
        <v>2011</v>
      </c>
      <c r="F1266" s="3" t="n">
        <v>45784.7083333333</v>
      </c>
      <c r="G1266" s="2" t="s">
        <v>2634</v>
      </c>
      <c r="H1266" s="4" t="n">
        <v>0.9359</v>
      </c>
      <c r="I1266" s="2" t="s">
        <v>23</v>
      </c>
      <c r="J1266" s="2" t="s">
        <v>37</v>
      </c>
      <c r="K1266" s="2" t="n">
        <v>0</v>
      </c>
      <c r="L1266" s="2" t="n">
        <v>0</v>
      </c>
      <c r="M1266" s="2" t="n">
        <v>0</v>
      </c>
    </row>
    <row r="1267" customFormat="false" ht="15" hidden="false" customHeight="false" outlineLevel="0" collapsed="false">
      <c r="A1267" s="2" t="s">
        <v>2764</v>
      </c>
      <c r="B1267" s="2" t="s">
        <v>2765</v>
      </c>
      <c r="C1267" s="2" t="n">
        <v>4</v>
      </c>
      <c r="D1267" s="2" t="s">
        <v>40</v>
      </c>
      <c r="E1267" s="2" t="s">
        <v>2011</v>
      </c>
      <c r="F1267" s="3" t="n">
        <v>45784.7118055556</v>
      </c>
      <c r="G1267" s="2" t="s">
        <v>2634</v>
      </c>
      <c r="H1267" s="4" t="n">
        <v>0.4019</v>
      </c>
      <c r="I1267" s="2" t="s">
        <v>23</v>
      </c>
      <c r="J1267" s="2" t="s">
        <v>33</v>
      </c>
      <c r="K1267" s="2" t="n">
        <v>0</v>
      </c>
      <c r="L1267" s="2" t="n">
        <v>0</v>
      </c>
      <c r="M1267" s="2" t="n">
        <v>0</v>
      </c>
    </row>
    <row r="1268" customFormat="false" ht="15" hidden="false" customHeight="false" outlineLevel="0" collapsed="false">
      <c r="A1268" s="2" t="s">
        <v>2766</v>
      </c>
      <c r="B1268" s="2" t="s">
        <v>2767</v>
      </c>
      <c r="C1268" s="2" t="n">
        <v>1</v>
      </c>
      <c r="D1268" s="2" t="s">
        <v>946</v>
      </c>
      <c r="E1268" s="2" t="s">
        <v>2011</v>
      </c>
      <c r="F1268" s="3" t="n">
        <v>45784.78125</v>
      </c>
      <c r="G1268" s="2" t="s">
        <v>2634</v>
      </c>
      <c r="H1268" s="4" t="n">
        <v>-0.25</v>
      </c>
      <c r="I1268" s="2" t="s">
        <v>84</v>
      </c>
      <c r="J1268" s="2" t="s">
        <v>37</v>
      </c>
      <c r="K1268" s="2" t="n">
        <v>7</v>
      </c>
      <c r="L1268" s="2" t="n">
        <v>1</v>
      </c>
      <c r="M1268" s="2" t="n">
        <v>0</v>
      </c>
    </row>
    <row r="1269" customFormat="false" ht="15" hidden="false" customHeight="false" outlineLevel="0" collapsed="false">
      <c r="A1269" s="2" t="s">
        <v>2768</v>
      </c>
      <c r="B1269" s="2" t="s">
        <v>2769</v>
      </c>
      <c r="C1269" s="2" t="n">
        <v>4</v>
      </c>
      <c r="D1269" s="2" t="s">
        <v>565</v>
      </c>
      <c r="E1269" s="2" t="s">
        <v>2011</v>
      </c>
      <c r="F1269" s="3" t="n">
        <v>45784.8291666667</v>
      </c>
      <c r="G1269" s="2" t="s">
        <v>2634</v>
      </c>
      <c r="H1269" s="4" t="n">
        <v>0.7549</v>
      </c>
      <c r="I1269" s="2" t="s">
        <v>23</v>
      </c>
      <c r="J1269" s="2" t="s">
        <v>19</v>
      </c>
      <c r="K1269" s="2" t="n">
        <v>1</v>
      </c>
      <c r="L1269" s="2" t="n">
        <v>0</v>
      </c>
      <c r="M1269" s="2" t="n">
        <v>0</v>
      </c>
    </row>
    <row r="1270" customFormat="false" ht="15" hidden="false" customHeight="false" outlineLevel="0" collapsed="false">
      <c r="A1270" s="2" t="s">
        <v>2770</v>
      </c>
      <c r="B1270" s="2" t="s">
        <v>2771</v>
      </c>
      <c r="C1270" s="2" t="n">
        <v>5</v>
      </c>
      <c r="D1270" s="2" t="s">
        <v>1424</v>
      </c>
      <c r="E1270" s="2" t="s">
        <v>2011</v>
      </c>
      <c r="F1270" s="3" t="n">
        <v>45784.84375</v>
      </c>
      <c r="G1270" s="2" t="s">
        <v>2634</v>
      </c>
      <c r="H1270" s="4" t="n">
        <v>0.3089</v>
      </c>
      <c r="I1270" s="2" t="s">
        <v>23</v>
      </c>
      <c r="J1270" s="2" t="s">
        <v>19</v>
      </c>
      <c r="K1270" s="2" t="n">
        <v>0</v>
      </c>
      <c r="L1270" s="2" t="n">
        <v>0</v>
      </c>
      <c r="M1270" s="2" t="n">
        <v>0</v>
      </c>
    </row>
    <row r="1271" customFormat="false" ht="15" hidden="false" customHeight="false" outlineLevel="0" collapsed="false">
      <c r="A1271" s="2" t="s">
        <v>2772</v>
      </c>
      <c r="B1271" s="2" t="s">
        <v>2773</v>
      </c>
      <c r="C1271" s="2" t="n">
        <v>4</v>
      </c>
      <c r="D1271" s="2" t="s">
        <v>555</v>
      </c>
      <c r="E1271" s="2" t="s">
        <v>2011</v>
      </c>
      <c r="F1271" s="3" t="n">
        <v>45784.9472222222</v>
      </c>
      <c r="G1271" s="2" t="s">
        <v>2634</v>
      </c>
      <c r="H1271" s="4" t="n">
        <v>0.8221</v>
      </c>
      <c r="I1271" s="2" t="s">
        <v>23</v>
      </c>
      <c r="J1271" s="2" t="s">
        <v>33</v>
      </c>
      <c r="K1271" s="2" t="n">
        <v>2</v>
      </c>
      <c r="L1271" s="2" t="n">
        <v>0</v>
      </c>
      <c r="M1271" s="2" t="n">
        <v>0</v>
      </c>
    </row>
    <row r="1272" customFormat="false" ht="15" hidden="false" customHeight="false" outlineLevel="0" collapsed="false">
      <c r="A1272" s="2" t="s">
        <v>2774</v>
      </c>
      <c r="B1272" s="2" t="s">
        <v>2775</v>
      </c>
      <c r="C1272" s="2" t="n">
        <v>5</v>
      </c>
      <c r="D1272" s="2" t="s">
        <v>130</v>
      </c>
      <c r="E1272" s="2" t="s">
        <v>2011</v>
      </c>
      <c r="F1272" s="3" t="n">
        <v>45785.1208333333</v>
      </c>
      <c r="G1272" s="2" t="s">
        <v>2634</v>
      </c>
      <c r="H1272" s="4" t="n">
        <v>0.6369</v>
      </c>
      <c r="I1272" s="2" t="s">
        <v>23</v>
      </c>
      <c r="J1272" s="2" t="s">
        <v>19</v>
      </c>
      <c r="K1272" s="2" t="n">
        <v>1</v>
      </c>
      <c r="L1272" s="2" t="n">
        <v>0</v>
      </c>
      <c r="M1272" s="2" t="n">
        <v>0</v>
      </c>
    </row>
    <row r="1273" customFormat="false" ht="15" hidden="false" customHeight="false" outlineLevel="0" collapsed="false">
      <c r="A1273" s="2" t="s">
        <v>2776</v>
      </c>
      <c r="B1273" s="2" t="s">
        <v>2777</v>
      </c>
      <c r="C1273" s="2" t="n">
        <v>4</v>
      </c>
      <c r="D1273" s="2" t="s">
        <v>90</v>
      </c>
      <c r="E1273" s="2" t="s">
        <v>2011</v>
      </c>
      <c r="F1273" s="3" t="n">
        <v>45785.1513888889</v>
      </c>
      <c r="G1273" s="2" t="s">
        <v>2634</v>
      </c>
      <c r="H1273" s="4" t="n">
        <v>0.6249</v>
      </c>
      <c r="I1273" s="2" t="s">
        <v>23</v>
      </c>
      <c r="J1273" s="2" t="s">
        <v>37</v>
      </c>
      <c r="K1273" s="2" t="n">
        <v>1</v>
      </c>
      <c r="L1273" s="2" t="n">
        <v>0</v>
      </c>
      <c r="M1273" s="2" t="n">
        <v>0</v>
      </c>
    </row>
    <row r="1274" customFormat="false" ht="15" hidden="false" customHeight="false" outlineLevel="0" collapsed="false">
      <c r="A1274" s="2" t="s">
        <v>2778</v>
      </c>
      <c r="B1274" s="2" t="s">
        <v>2779</v>
      </c>
      <c r="C1274" s="2" t="n">
        <v>4</v>
      </c>
      <c r="D1274" s="2" t="s">
        <v>1600</v>
      </c>
      <c r="E1274" s="2" t="s">
        <v>2011</v>
      </c>
      <c r="F1274" s="3" t="n">
        <v>45785.20625</v>
      </c>
      <c r="G1274" s="2" t="s">
        <v>2634</v>
      </c>
      <c r="H1274" s="4" t="n">
        <v>0.9647</v>
      </c>
      <c r="I1274" s="2" t="s">
        <v>23</v>
      </c>
      <c r="J1274" s="2" t="s">
        <v>37</v>
      </c>
      <c r="K1274" s="2" t="n">
        <v>0</v>
      </c>
      <c r="L1274" s="2" t="n">
        <v>0</v>
      </c>
      <c r="M1274" s="2" t="n">
        <v>0</v>
      </c>
    </row>
    <row r="1275" customFormat="false" ht="15" hidden="false" customHeight="false" outlineLevel="0" collapsed="false">
      <c r="A1275" s="2" t="s">
        <v>2780</v>
      </c>
      <c r="B1275" s="2" t="s">
        <v>2781</v>
      </c>
      <c r="C1275" s="2" t="n">
        <v>1</v>
      </c>
      <c r="D1275" s="2" t="s">
        <v>946</v>
      </c>
      <c r="E1275" s="2" t="s">
        <v>2011</v>
      </c>
      <c r="F1275" s="3" t="n">
        <v>45785.4201388889</v>
      </c>
      <c r="G1275" s="2" t="s">
        <v>2634</v>
      </c>
      <c r="H1275" s="4" t="n">
        <v>-0.25</v>
      </c>
      <c r="I1275" s="2" t="s">
        <v>84</v>
      </c>
      <c r="J1275" s="2" t="s">
        <v>37</v>
      </c>
      <c r="K1275" s="2" t="n">
        <v>2</v>
      </c>
      <c r="L1275" s="2" t="n">
        <v>0</v>
      </c>
      <c r="M1275" s="2" t="n">
        <v>0</v>
      </c>
    </row>
    <row r="1276" customFormat="false" ht="15" hidden="false" customHeight="false" outlineLevel="0" collapsed="false">
      <c r="A1276" s="2" t="s">
        <v>2782</v>
      </c>
      <c r="B1276" s="2" t="s">
        <v>2783</v>
      </c>
      <c r="C1276" s="2" t="n">
        <v>3</v>
      </c>
      <c r="D1276" s="2" t="s">
        <v>22</v>
      </c>
      <c r="E1276" s="2" t="s">
        <v>2011</v>
      </c>
      <c r="F1276" s="3" t="n">
        <v>45785.6868055556</v>
      </c>
      <c r="G1276" s="2" t="s">
        <v>2634</v>
      </c>
      <c r="H1276" s="4" t="n">
        <v>0.2023</v>
      </c>
      <c r="I1276" s="2" t="s">
        <v>23</v>
      </c>
      <c r="J1276" s="2" t="s">
        <v>19</v>
      </c>
      <c r="K1276" s="2" t="n">
        <v>12</v>
      </c>
      <c r="L1276" s="2" t="n">
        <v>0</v>
      </c>
      <c r="M1276" s="2" t="n">
        <v>0</v>
      </c>
    </row>
    <row r="1277" customFormat="false" ht="15" hidden="false" customHeight="false" outlineLevel="0" collapsed="false">
      <c r="A1277" s="2" t="s">
        <v>2784</v>
      </c>
      <c r="B1277" s="2" t="s">
        <v>2785</v>
      </c>
      <c r="C1277" s="2" t="n">
        <v>5</v>
      </c>
      <c r="D1277" s="2" t="s">
        <v>127</v>
      </c>
      <c r="E1277" s="2" t="s">
        <v>2011</v>
      </c>
      <c r="F1277" s="3" t="n">
        <v>45785.8416666667</v>
      </c>
      <c r="G1277" s="2" t="s">
        <v>2634</v>
      </c>
      <c r="H1277" s="4" t="n">
        <v>0.9359</v>
      </c>
      <c r="I1277" s="2" t="s">
        <v>23</v>
      </c>
      <c r="J1277" s="2" t="s">
        <v>37</v>
      </c>
      <c r="K1277" s="2" t="n">
        <v>10</v>
      </c>
      <c r="L1277" s="2" t="n">
        <v>0</v>
      </c>
      <c r="M1277" s="2" t="n">
        <v>0</v>
      </c>
    </row>
    <row r="1278" customFormat="false" ht="15" hidden="false" customHeight="false" outlineLevel="0" collapsed="false">
      <c r="A1278" s="2" t="s">
        <v>2786</v>
      </c>
      <c r="B1278" s="2" t="s">
        <v>2787</v>
      </c>
      <c r="C1278" s="2" t="n">
        <v>4</v>
      </c>
      <c r="D1278" s="2" t="s">
        <v>62</v>
      </c>
      <c r="E1278" s="2" t="s">
        <v>2011</v>
      </c>
      <c r="F1278" s="3" t="n">
        <v>45786.0458333333</v>
      </c>
      <c r="G1278" s="2" t="s">
        <v>2634</v>
      </c>
      <c r="H1278" s="4" t="n">
        <v>0.7088</v>
      </c>
      <c r="I1278" s="2" t="s">
        <v>23</v>
      </c>
      <c r="J1278" s="2" t="s">
        <v>19</v>
      </c>
      <c r="K1278" s="2" t="n">
        <v>4</v>
      </c>
      <c r="L1278" s="2" t="n">
        <v>0</v>
      </c>
      <c r="M1278" s="2" t="n">
        <v>0</v>
      </c>
    </row>
    <row r="1279" customFormat="false" ht="15" hidden="false" customHeight="false" outlineLevel="0" collapsed="false">
      <c r="A1279" s="2" t="s">
        <v>2788</v>
      </c>
      <c r="B1279" s="2" t="s">
        <v>2789</v>
      </c>
      <c r="C1279" s="2" t="n">
        <v>4</v>
      </c>
      <c r="D1279" s="2" t="s">
        <v>99</v>
      </c>
      <c r="E1279" s="2" t="s">
        <v>2011</v>
      </c>
      <c r="F1279" s="3" t="n">
        <v>45786.0875</v>
      </c>
      <c r="G1279" s="2" t="s">
        <v>2634</v>
      </c>
      <c r="H1279" s="4" t="n">
        <v>-0.3089</v>
      </c>
      <c r="I1279" s="2" t="s">
        <v>84</v>
      </c>
      <c r="J1279" s="2" t="s">
        <v>19</v>
      </c>
      <c r="K1279" s="2" t="n">
        <v>2</v>
      </c>
      <c r="L1279" s="2" t="n">
        <v>0</v>
      </c>
      <c r="M1279" s="2" t="n">
        <v>0</v>
      </c>
    </row>
    <row r="1280" customFormat="false" ht="15" hidden="false" customHeight="false" outlineLevel="0" collapsed="false">
      <c r="A1280" s="2" t="s">
        <v>2790</v>
      </c>
      <c r="B1280" s="2" t="s">
        <v>2791</v>
      </c>
      <c r="C1280" s="2" t="n">
        <v>2</v>
      </c>
      <c r="D1280" s="2" t="s">
        <v>455</v>
      </c>
      <c r="E1280" s="2" t="s">
        <v>2011</v>
      </c>
      <c r="F1280" s="3" t="n">
        <v>45786.2194444445</v>
      </c>
      <c r="G1280" s="2" t="s">
        <v>2634</v>
      </c>
      <c r="H1280" s="4" t="n">
        <v>-0.2263</v>
      </c>
      <c r="I1280" s="2" t="s">
        <v>84</v>
      </c>
      <c r="J1280" s="2" t="s">
        <v>165</v>
      </c>
      <c r="K1280" s="2" t="n">
        <v>2</v>
      </c>
      <c r="L1280" s="2" t="n">
        <v>1</v>
      </c>
      <c r="M1280" s="2" t="n">
        <v>0</v>
      </c>
    </row>
    <row r="1281" customFormat="false" ht="15" hidden="false" customHeight="false" outlineLevel="0" collapsed="false">
      <c r="A1281" s="2" t="s">
        <v>2792</v>
      </c>
      <c r="B1281" s="2" t="s">
        <v>2793</v>
      </c>
      <c r="C1281" s="2" t="n">
        <v>5</v>
      </c>
      <c r="D1281" s="2" t="s">
        <v>1714</v>
      </c>
      <c r="E1281" s="2" t="s">
        <v>2011</v>
      </c>
      <c r="F1281" s="3" t="n">
        <v>45786.3097222222</v>
      </c>
      <c r="G1281" s="2" t="s">
        <v>2634</v>
      </c>
      <c r="H1281" s="4" t="n">
        <v>0.9359</v>
      </c>
      <c r="I1281" s="2" t="s">
        <v>23</v>
      </c>
      <c r="J1281" s="2" t="s">
        <v>37</v>
      </c>
      <c r="K1281" s="2" t="n">
        <v>3</v>
      </c>
      <c r="L1281" s="2" t="n">
        <v>0</v>
      </c>
      <c r="M1281" s="2" t="n">
        <v>0</v>
      </c>
    </row>
    <row r="1282" customFormat="false" ht="15" hidden="false" customHeight="false" outlineLevel="0" collapsed="false">
      <c r="A1282" s="2" t="s">
        <v>2794</v>
      </c>
      <c r="B1282" s="2" t="s">
        <v>2795</v>
      </c>
      <c r="C1282" s="2" t="n">
        <v>5</v>
      </c>
      <c r="D1282" s="2" t="s">
        <v>1878</v>
      </c>
      <c r="E1282" s="2" t="s">
        <v>2011</v>
      </c>
      <c r="F1282" s="3" t="n">
        <v>45786.4972222222</v>
      </c>
      <c r="G1282" s="2" t="s">
        <v>2634</v>
      </c>
      <c r="H1282" s="4" t="n">
        <v>0.9516</v>
      </c>
      <c r="I1282" s="2" t="s">
        <v>23</v>
      </c>
      <c r="J1282" s="2" t="s">
        <v>37</v>
      </c>
      <c r="K1282" s="2" t="n">
        <v>6</v>
      </c>
      <c r="L1282" s="2" t="n">
        <v>0</v>
      </c>
      <c r="M1282" s="2" t="n">
        <v>0</v>
      </c>
    </row>
    <row r="1283" customFormat="false" ht="15" hidden="false" customHeight="false" outlineLevel="0" collapsed="false">
      <c r="A1283" s="2" t="s">
        <v>2796</v>
      </c>
      <c r="B1283" s="2" t="s">
        <v>2797</v>
      </c>
      <c r="C1283" s="2" t="n">
        <v>5</v>
      </c>
      <c r="D1283" s="2" t="s">
        <v>40</v>
      </c>
      <c r="E1283" s="2" t="s">
        <v>2011</v>
      </c>
      <c r="F1283" s="3" t="n">
        <v>45786.5486111111</v>
      </c>
      <c r="G1283" s="2" t="s">
        <v>2634</v>
      </c>
      <c r="H1283" s="4" t="n">
        <v>0.4019</v>
      </c>
      <c r="I1283" s="2" t="s">
        <v>23</v>
      </c>
      <c r="J1283" s="2" t="s">
        <v>33</v>
      </c>
      <c r="K1283" s="2" t="n">
        <v>8</v>
      </c>
      <c r="L1283" s="2" t="n">
        <v>0</v>
      </c>
      <c r="M1283" s="2" t="n">
        <v>0</v>
      </c>
    </row>
    <row r="1284" customFormat="false" ht="15" hidden="false" customHeight="false" outlineLevel="0" collapsed="false">
      <c r="A1284" s="2" t="s">
        <v>2798</v>
      </c>
      <c r="B1284" s="2" t="s">
        <v>2799</v>
      </c>
      <c r="C1284" s="2" t="n">
        <v>4</v>
      </c>
      <c r="D1284" s="2" t="s">
        <v>40</v>
      </c>
      <c r="E1284" s="2" t="s">
        <v>2011</v>
      </c>
      <c r="F1284" s="3" t="n">
        <v>45786.6520833333</v>
      </c>
      <c r="G1284" s="2" t="s">
        <v>2634</v>
      </c>
      <c r="H1284" s="4" t="n">
        <v>0.4019</v>
      </c>
      <c r="I1284" s="2" t="s">
        <v>23</v>
      </c>
      <c r="J1284" s="2" t="s">
        <v>33</v>
      </c>
      <c r="K1284" s="2" t="n">
        <v>0</v>
      </c>
      <c r="L1284" s="2" t="n">
        <v>0</v>
      </c>
      <c r="M1284" s="2" t="n">
        <v>0</v>
      </c>
    </row>
    <row r="1285" customFormat="false" ht="15" hidden="false" customHeight="false" outlineLevel="0" collapsed="false">
      <c r="A1285" s="2" t="s">
        <v>2800</v>
      </c>
      <c r="B1285" s="2" t="s">
        <v>2801</v>
      </c>
      <c r="C1285" s="2" t="n">
        <v>5</v>
      </c>
      <c r="D1285" s="2" t="s">
        <v>15</v>
      </c>
      <c r="E1285" s="2" t="s">
        <v>2011</v>
      </c>
      <c r="F1285" s="3" t="n">
        <v>45786.6576388889</v>
      </c>
      <c r="G1285" s="2" t="s">
        <v>2634</v>
      </c>
      <c r="H1285" s="4" t="n">
        <v>0</v>
      </c>
      <c r="I1285" s="2" t="s">
        <v>18</v>
      </c>
      <c r="J1285" s="2" t="s">
        <v>19</v>
      </c>
      <c r="K1285" s="2" t="n">
        <v>0</v>
      </c>
      <c r="L1285" s="2" t="n">
        <v>0</v>
      </c>
      <c r="M1285" s="2" t="n">
        <v>0</v>
      </c>
    </row>
    <row r="1286" customFormat="false" ht="15" hidden="false" customHeight="false" outlineLevel="0" collapsed="false">
      <c r="A1286" s="2" t="s">
        <v>2802</v>
      </c>
      <c r="B1286" s="2" t="s">
        <v>2803</v>
      </c>
      <c r="C1286" s="2" t="n">
        <v>4</v>
      </c>
      <c r="D1286" s="2" t="s">
        <v>336</v>
      </c>
      <c r="E1286" s="2" t="s">
        <v>2011</v>
      </c>
      <c r="F1286" s="3" t="n">
        <v>45786.7006944444</v>
      </c>
      <c r="G1286" s="2" t="s">
        <v>2634</v>
      </c>
      <c r="H1286" s="4" t="n">
        <v>0.7088</v>
      </c>
      <c r="I1286" s="2" t="s">
        <v>23</v>
      </c>
      <c r="J1286" s="2" t="s">
        <v>19</v>
      </c>
      <c r="K1286" s="2" t="n">
        <v>3</v>
      </c>
      <c r="L1286" s="2" t="n">
        <v>0</v>
      </c>
      <c r="M1286" s="2" t="n">
        <v>0</v>
      </c>
    </row>
    <row r="1287" customFormat="false" ht="15" hidden="false" customHeight="false" outlineLevel="0" collapsed="false">
      <c r="A1287" s="2" t="s">
        <v>2804</v>
      </c>
      <c r="B1287" s="2" t="s">
        <v>1678</v>
      </c>
      <c r="C1287" s="2" t="n">
        <v>2</v>
      </c>
      <c r="D1287" s="2" t="s">
        <v>32</v>
      </c>
      <c r="E1287" s="2" t="s">
        <v>2011</v>
      </c>
      <c r="F1287" s="3" t="n">
        <v>45786.7493055556</v>
      </c>
      <c r="G1287" s="2" t="s">
        <v>2634</v>
      </c>
      <c r="H1287" s="4" t="n">
        <v>0.2023</v>
      </c>
      <c r="I1287" s="2" t="s">
        <v>23</v>
      </c>
      <c r="J1287" s="2" t="s">
        <v>33</v>
      </c>
      <c r="K1287" s="2" t="n">
        <v>10</v>
      </c>
      <c r="L1287" s="2" t="n">
        <v>0</v>
      </c>
      <c r="M1287" s="2" t="n">
        <v>0</v>
      </c>
    </row>
    <row r="1288" customFormat="false" ht="15" hidden="false" customHeight="false" outlineLevel="0" collapsed="false">
      <c r="A1288" s="2" t="s">
        <v>2805</v>
      </c>
      <c r="B1288" s="2" t="s">
        <v>2806</v>
      </c>
      <c r="C1288" s="2" t="n">
        <v>1</v>
      </c>
      <c r="D1288" s="2" t="s">
        <v>179</v>
      </c>
      <c r="E1288" s="2" t="s">
        <v>2011</v>
      </c>
      <c r="F1288" s="3" t="n">
        <v>45786.7666666667</v>
      </c>
      <c r="G1288" s="2" t="s">
        <v>2634</v>
      </c>
      <c r="H1288" s="4" t="n">
        <v>-0.0258</v>
      </c>
      <c r="I1288" s="2" t="s">
        <v>18</v>
      </c>
      <c r="J1288" s="2" t="s">
        <v>59</v>
      </c>
      <c r="K1288" s="2" t="n">
        <v>8</v>
      </c>
      <c r="L1288" s="2" t="n">
        <v>1</v>
      </c>
      <c r="M1288" s="2" t="n">
        <v>0</v>
      </c>
    </row>
    <row r="1289" customFormat="false" ht="15" hidden="false" customHeight="false" outlineLevel="0" collapsed="false">
      <c r="A1289" s="2" t="s">
        <v>2807</v>
      </c>
      <c r="B1289" s="2" t="s">
        <v>2808</v>
      </c>
      <c r="C1289" s="2" t="n">
        <v>1</v>
      </c>
      <c r="D1289" s="2" t="s">
        <v>2809</v>
      </c>
      <c r="E1289" s="2" t="s">
        <v>2011</v>
      </c>
      <c r="F1289" s="3" t="n">
        <v>45786.7847222222</v>
      </c>
      <c r="G1289" s="2" t="s">
        <v>2634</v>
      </c>
      <c r="H1289" s="4" t="n">
        <v>0.2023</v>
      </c>
      <c r="I1289" s="2" t="s">
        <v>23</v>
      </c>
      <c r="J1289" s="2" t="s">
        <v>165</v>
      </c>
      <c r="K1289" s="2" t="n">
        <v>15</v>
      </c>
      <c r="L1289" s="2" t="n">
        <v>1</v>
      </c>
      <c r="M1289" s="2" t="n">
        <v>0</v>
      </c>
    </row>
    <row r="1290" customFormat="false" ht="15" hidden="false" customHeight="false" outlineLevel="0" collapsed="false">
      <c r="A1290" s="2" t="s">
        <v>2810</v>
      </c>
      <c r="B1290" s="2" t="s">
        <v>2811</v>
      </c>
      <c r="C1290" s="2" t="n">
        <v>3</v>
      </c>
      <c r="D1290" s="2" t="s">
        <v>710</v>
      </c>
      <c r="E1290" s="2" t="s">
        <v>2011</v>
      </c>
      <c r="F1290" s="3" t="n">
        <v>45786.8</v>
      </c>
      <c r="G1290" s="2" t="s">
        <v>2634</v>
      </c>
      <c r="H1290" s="4" t="n">
        <v>0.5719</v>
      </c>
      <c r="I1290" s="2" t="s">
        <v>23</v>
      </c>
      <c r="J1290" s="2" t="s">
        <v>37</v>
      </c>
      <c r="K1290" s="2" t="n">
        <v>5</v>
      </c>
      <c r="L1290" s="2" t="n">
        <v>0</v>
      </c>
      <c r="M1290" s="2" t="n">
        <v>0</v>
      </c>
    </row>
    <row r="1291" customFormat="false" ht="15" hidden="false" customHeight="false" outlineLevel="0" collapsed="false">
      <c r="A1291" s="2" t="s">
        <v>2812</v>
      </c>
      <c r="B1291" s="2" t="s">
        <v>2813</v>
      </c>
      <c r="C1291" s="2" t="n">
        <v>4</v>
      </c>
      <c r="D1291" s="2" t="s">
        <v>1973</v>
      </c>
      <c r="E1291" s="2" t="s">
        <v>2011</v>
      </c>
      <c r="F1291" s="3" t="n">
        <v>45786.8395833333</v>
      </c>
      <c r="G1291" s="2" t="s">
        <v>2634</v>
      </c>
      <c r="H1291" s="4" t="n">
        <v>0.9612</v>
      </c>
      <c r="I1291" s="2" t="s">
        <v>23</v>
      </c>
      <c r="J1291" s="2" t="s">
        <v>37</v>
      </c>
      <c r="K1291" s="2" t="n">
        <v>0</v>
      </c>
      <c r="L1291" s="2" t="n">
        <v>0</v>
      </c>
      <c r="M1291" s="2" t="n">
        <v>0</v>
      </c>
    </row>
    <row r="1292" customFormat="false" ht="15" hidden="false" customHeight="false" outlineLevel="0" collapsed="false">
      <c r="A1292" s="2" t="s">
        <v>2814</v>
      </c>
      <c r="B1292" s="2" t="s">
        <v>2815</v>
      </c>
      <c r="C1292" s="2" t="n">
        <v>1</v>
      </c>
      <c r="D1292" s="2" t="s">
        <v>2816</v>
      </c>
      <c r="E1292" s="2" t="s">
        <v>2011</v>
      </c>
      <c r="F1292" s="3" t="n">
        <v>45786.8541666667</v>
      </c>
      <c r="G1292" s="2" t="s">
        <v>2634</v>
      </c>
      <c r="H1292" s="4" t="n">
        <v>0</v>
      </c>
      <c r="I1292" s="2" t="s">
        <v>18</v>
      </c>
      <c r="J1292" s="2" t="s">
        <v>110</v>
      </c>
      <c r="K1292" s="2" t="n">
        <v>6</v>
      </c>
      <c r="L1292" s="2" t="n">
        <v>0</v>
      </c>
      <c r="M1292" s="2" t="n">
        <v>0</v>
      </c>
    </row>
    <row r="1293" customFormat="false" ht="15" hidden="false" customHeight="false" outlineLevel="0" collapsed="false">
      <c r="A1293" s="2" t="s">
        <v>2817</v>
      </c>
      <c r="B1293" s="2" t="s">
        <v>2818</v>
      </c>
      <c r="C1293" s="2" t="n">
        <v>5</v>
      </c>
      <c r="D1293" s="2" t="s">
        <v>15</v>
      </c>
      <c r="E1293" s="2" t="s">
        <v>2011</v>
      </c>
      <c r="F1293" s="3" t="n">
        <v>45786.9409722222</v>
      </c>
      <c r="G1293" s="2" t="s">
        <v>2634</v>
      </c>
      <c r="H1293" s="4" t="n">
        <v>0</v>
      </c>
      <c r="I1293" s="2" t="s">
        <v>18</v>
      </c>
      <c r="J1293" s="2" t="s">
        <v>19</v>
      </c>
      <c r="K1293" s="2" t="n">
        <v>1</v>
      </c>
      <c r="L1293" s="2" t="n">
        <v>0</v>
      </c>
      <c r="M1293" s="2" t="n">
        <v>0</v>
      </c>
    </row>
    <row r="1294" customFormat="false" ht="15" hidden="false" customHeight="false" outlineLevel="0" collapsed="false">
      <c r="A1294" s="2" t="s">
        <v>2819</v>
      </c>
      <c r="B1294" s="2" t="s">
        <v>2820</v>
      </c>
      <c r="C1294" s="2" t="n">
        <v>2</v>
      </c>
      <c r="D1294" s="2" t="s">
        <v>32</v>
      </c>
      <c r="E1294" s="2" t="s">
        <v>2011</v>
      </c>
      <c r="F1294" s="3" t="n">
        <v>45786.9868055556</v>
      </c>
      <c r="G1294" s="2" t="s">
        <v>2634</v>
      </c>
      <c r="H1294" s="4" t="n">
        <v>0.2023</v>
      </c>
      <c r="I1294" s="2" t="s">
        <v>23</v>
      </c>
      <c r="J1294" s="2" t="s">
        <v>33</v>
      </c>
      <c r="K1294" s="2" t="n">
        <v>1</v>
      </c>
      <c r="L1294" s="2" t="n">
        <v>1</v>
      </c>
      <c r="M1294" s="2" t="n">
        <v>0</v>
      </c>
    </row>
    <row r="1295" customFormat="false" ht="15" hidden="false" customHeight="false" outlineLevel="0" collapsed="false">
      <c r="A1295" s="2" t="s">
        <v>2821</v>
      </c>
      <c r="B1295" s="2" t="s">
        <v>2822</v>
      </c>
      <c r="C1295" s="2" t="n">
        <v>1</v>
      </c>
      <c r="D1295" s="2" t="s">
        <v>2590</v>
      </c>
      <c r="E1295" s="2" t="s">
        <v>2011</v>
      </c>
      <c r="F1295" s="3" t="n">
        <v>45787.2729166667</v>
      </c>
      <c r="G1295" s="2" t="s">
        <v>2634</v>
      </c>
      <c r="H1295" s="4" t="n">
        <v>-0.3089</v>
      </c>
      <c r="I1295" s="2" t="s">
        <v>84</v>
      </c>
      <c r="J1295" s="2" t="s">
        <v>165</v>
      </c>
      <c r="K1295" s="2" t="n">
        <v>4</v>
      </c>
      <c r="L1295" s="2" t="n">
        <v>0</v>
      </c>
      <c r="M1295" s="2" t="n">
        <v>0</v>
      </c>
    </row>
    <row r="1296" customFormat="false" ht="15" hidden="false" customHeight="false" outlineLevel="0" collapsed="false">
      <c r="A1296" s="2" t="s">
        <v>2823</v>
      </c>
      <c r="B1296" s="2" t="s">
        <v>2824</v>
      </c>
      <c r="C1296" s="2" t="n">
        <v>1</v>
      </c>
      <c r="D1296" s="2" t="s">
        <v>2825</v>
      </c>
      <c r="E1296" s="2" t="s">
        <v>2011</v>
      </c>
      <c r="F1296" s="3" t="n">
        <v>45787.2958333333</v>
      </c>
      <c r="G1296" s="2" t="s">
        <v>2634</v>
      </c>
      <c r="H1296" s="4" t="n">
        <v>-0.4398</v>
      </c>
      <c r="I1296" s="2" t="s">
        <v>84</v>
      </c>
      <c r="J1296" s="2" t="s">
        <v>19</v>
      </c>
      <c r="K1296" s="2" t="n">
        <v>0</v>
      </c>
      <c r="L1296" s="2" t="n">
        <v>0</v>
      </c>
      <c r="M1296" s="2" t="n">
        <v>0</v>
      </c>
    </row>
    <row r="1297" customFormat="false" ht="15" hidden="false" customHeight="false" outlineLevel="0" collapsed="false">
      <c r="A1297" s="2" t="s">
        <v>2826</v>
      </c>
      <c r="B1297" s="2" t="s">
        <v>2827</v>
      </c>
      <c r="C1297" s="2" t="n">
        <v>5</v>
      </c>
      <c r="D1297" s="2" t="s">
        <v>1004</v>
      </c>
      <c r="E1297" s="2" t="s">
        <v>2011</v>
      </c>
      <c r="F1297" s="3" t="n">
        <v>45787.3534722222</v>
      </c>
      <c r="G1297" s="2" t="s">
        <v>2634</v>
      </c>
      <c r="H1297" s="4" t="n">
        <v>0.6249</v>
      </c>
      <c r="I1297" s="2" t="s">
        <v>23</v>
      </c>
      <c r="J1297" s="2" t="s">
        <v>37</v>
      </c>
      <c r="K1297" s="2" t="n">
        <v>1</v>
      </c>
      <c r="L1297" s="2" t="n">
        <v>0</v>
      </c>
      <c r="M1297" s="2" t="n">
        <v>0</v>
      </c>
    </row>
    <row r="1298" customFormat="false" ht="15" hidden="false" customHeight="false" outlineLevel="0" collapsed="false">
      <c r="A1298" s="2" t="s">
        <v>2828</v>
      </c>
      <c r="B1298" s="2" t="s">
        <v>2829</v>
      </c>
      <c r="C1298" s="2" t="n">
        <v>2</v>
      </c>
      <c r="D1298" s="2" t="s">
        <v>295</v>
      </c>
      <c r="E1298" s="2" t="s">
        <v>2011</v>
      </c>
      <c r="F1298" s="3" t="n">
        <v>45787.3680555556</v>
      </c>
      <c r="G1298" s="2" t="s">
        <v>2634</v>
      </c>
      <c r="H1298" s="4" t="n">
        <v>-0.5023</v>
      </c>
      <c r="I1298" s="2" t="s">
        <v>84</v>
      </c>
      <c r="J1298" s="2" t="s">
        <v>33</v>
      </c>
      <c r="K1298" s="2" t="n">
        <v>0</v>
      </c>
      <c r="L1298" s="2" t="n">
        <v>0</v>
      </c>
      <c r="M1298" s="2" t="n">
        <v>0</v>
      </c>
    </row>
    <row r="1299" customFormat="false" ht="15" hidden="false" customHeight="false" outlineLevel="0" collapsed="false">
      <c r="A1299" s="2" t="s">
        <v>2830</v>
      </c>
      <c r="B1299" s="2" t="s">
        <v>2831</v>
      </c>
      <c r="C1299" s="2" t="n">
        <v>1</v>
      </c>
      <c r="D1299" s="2" t="s">
        <v>591</v>
      </c>
      <c r="E1299" s="2" t="s">
        <v>2011</v>
      </c>
      <c r="F1299" s="3" t="n">
        <v>45787.6506944444</v>
      </c>
      <c r="G1299" s="2" t="s">
        <v>2634</v>
      </c>
      <c r="H1299" s="4" t="n">
        <v>0</v>
      </c>
      <c r="I1299" s="2" t="s">
        <v>18</v>
      </c>
      <c r="J1299" s="2" t="s">
        <v>37</v>
      </c>
      <c r="K1299" s="2" t="n">
        <v>14</v>
      </c>
      <c r="L1299" s="2" t="n">
        <v>1</v>
      </c>
      <c r="M1299" s="2" t="n">
        <v>0</v>
      </c>
    </row>
    <row r="1300" customFormat="false" ht="15" hidden="false" customHeight="false" outlineLevel="0" collapsed="false">
      <c r="A1300" s="2" t="s">
        <v>2832</v>
      </c>
      <c r="B1300" s="2" t="s">
        <v>2833</v>
      </c>
      <c r="C1300" s="2" t="n">
        <v>3</v>
      </c>
      <c r="D1300" s="2" t="s">
        <v>2834</v>
      </c>
      <c r="E1300" s="2" t="s">
        <v>2011</v>
      </c>
      <c r="F1300" s="3" t="n">
        <v>45787.7006944444</v>
      </c>
      <c r="G1300" s="2" t="s">
        <v>2634</v>
      </c>
      <c r="H1300" s="4" t="n">
        <v>0.7003</v>
      </c>
      <c r="I1300" s="2" t="s">
        <v>23</v>
      </c>
      <c r="J1300" s="2" t="s">
        <v>37</v>
      </c>
      <c r="K1300" s="2" t="n">
        <v>0</v>
      </c>
      <c r="L1300" s="2" t="n">
        <v>0</v>
      </c>
      <c r="M1300" s="2" t="n">
        <v>0</v>
      </c>
    </row>
    <row r="1301" customFormat="false" ht="15" hidden="false" customHeight="false" outlineLevel="0" collapsed="false">
      <c r="A1301" s="2" t="s">
        <v>2835</v>
      </c>
      <c r="B1301" s="2" t="s">
        <v>2836</v>
      </c>
      <c r="C1301" s="2" t="n">
        <v>5</v>
      </c>
      <c r="D1301" s="2" t="s">
        <v>15</v>
      </c>
      <c r="E1301" s="2" t="s">
        <v>2011</v>
      </c>
      <c r="F1301" s="3" t="n">
        <v>45787.7972222222</v>
      </c>
      <c r="G1301" s="2" t="s">
        <v>2634</v>
      </c>
      <c r="H1301" s="4" t="n">
        <v>0</v>
      </c>
      <c r="I1301" s="2" t="s">
        <v>18</v>
      </c>
      <c r="J1301" s="2" t="s">
        <v>19</v>
      </c>
      <c r="K1301" s="2" t="n">
        <v>2</v>
      </c>
      <c r="L1301" s="2" t="n">
        <v>0</v>
      </c>
      <c r="M1301" s="2" t="n">
        <v>0</v>
      </c>
    </row>
    <row r="1302" customFormat="false" ht="15" hidden="false" customHeight="false" outlineLevel="0" collapsed="false">
      <c r="A1302" s="2" t="s">
        <v>2837</v>
      </c>
      <c r="B1302" s="2" t="s">
        <v>2838</v>
      </c>
      <c r="C1302" s="2" t="n">
        <v>5</v>
      </c>
      <c r="D1302" s="2" t="s">
        <v>52</v>
      </c>
      <c r="E1302" s="2" t="s">
        <v>2011</v>
      </c>
      <c r="F1302" s="3" t="n">
        <v>45787.9423611111</v>
      </c>
      <c r="G1302" s="2" t="s">
        <v>2634</v>
      </c>
      <c r="H1302" s="4" t="n">
        <v>0.6369</v>
      </c>
      <c r="I1302" s="2" t="s">
        <v>23</v>
      </c>
      <c r="J1302" s="2" t="s">
        <v>19</v>
      </c>
      <c r="K1302" s="2" t="n">
        <v>0</v>
      </c>
      <c r="L1302" s="2" t="n">
        <v>1</v>
      </c>
      <c r="M1302" s="2" t="n">
        <v>0</v>
      </c>
    </row>
    <row r="1303" customFormat="false" ht="15" hidden="false" customHeight="false" outlineLevel="0" collapsed="false">
      <c r="A1303" s="2" t="s">
        <v>2839</v>
      </c>
      <c r="B1303" s="2" t="s">
        <v>2840</v>
      </c>
      <c r="C1303" s="2" t="n">
        <v>5</v>
      </c>
      <c r="D1303" s="2" t="s">
        <v>127</v>
      </c>
      <c r="E1303" s="2" t="s">
        <v>2011</v>
      </c>
      <c r="F1303" s="3" t="n">
        <v>45787.9840277778</v>
      </c>
      <c r="G1303" s="2" t="s">
        <v>2634</v>
      </c>
      <c r="H1303" s="4" t="n">
        <v>0.9359</v>
      </c>
      <c r="I1303" s="2" t="s">
        <v>23</v>
      </c>
      <c r="J1303" s="2" t="s">
        <v>37</v>
      </c>
      <c r="K1303" s="2" t="n">
        <v>4</v>
      </c>
      <c r="L1303" s="2" t="n">
        <v>0</v>
      </c>
      <c r="M1303" s="2" t="n">
        <v>0</v>
      </c>
    </row>
    <row r="1304" customFormat="false" ht="15" hidden="false" customHeight="false" outlineLevel="0" collapsed="false">
      <c r="A1304" s="2" t="s">
        <v>2841</v>
      </c>
      <c r="B1304" s="2" t="s">
        <v>2842</v>
      </c>
      <c r="C1304" s="2" t="n">
        <v>5</v>
      </c>
      <c r="D1304" s="2" t="s">
        <v>15</v>
      </c>
      <c r="E1304" s="2" t="s">
        <v>2011</v>
      </c>
      <c r="F1304" s="3" t="n">
        <v>45787.9902777778</v>
      </c>
      <c r="G1304" s="2" t="s">
        <v>2634</v>
      </c>
      <c r="H1304" s="4" t="n">
        <v>0</v>
      </c>
      <c r="I1304" s="2" t="s">
        <v>18</v>
      </c>
      <c r="J1304" s="2" t="s">
        <v>19</v>
      </c>
      <c r="K1304" s="2" t="n">
        <v>1</v>
      </c>
      <c r="L1304" s="2" t="n">
        <v>0</v>
      </c>
      <c r="M1304" s="2" t="n">
        <v>0</v>
      </c>
    </row>
    <row r="1305" customFormat="false" ht="15" hidden="false" customHeight="false" outlineLevel="0" collapsed="false">
      <c r="A1305" s="2" t="s">
        <v>2843</v>
      </c>
      <c r="B1305" s="2" t="s">
        <v>2844</v>
      </c>
      <c r="C1305" s="2" t="n">
        <v>2</v>
      </c>
      <c r="D1305" s="2" t="s">
        <v>295</v>
      </c>
      <c r="E1305" s="2" t="s">
        <v>2011</v>
      </c>
      <c r="F1305" s="3" t="n">
        <v>45788</v>
      </c>
      <c r="G1305" s="2" t="s">
        <v>2634</v>
      </c>
      <c r="H1305" s="4" t="n">
        <v>-0.5023</v>
      </c>
      <c r="I1305" s="2" t="s">
        <v>84</v>
      </c>
      <c r="J1305" s="2" t="s">
        <v>33</v>
      </c>
      <c r="K1305" s="2" t="n">
        <v>9</v>
      </c>
      <c r="L1305" s="2" t="n">
        <v>1</v>
      </c>
      <c r="M1305" s="2" t="n">
        <v>0</v>
      </c>
    </row>
    <row r="1306" customFormat="false" ht="15" hidden="false" customHeight="false" outlineLevel="0" collapsed="false">
      <c r="A1306" s="2" t="s">
        <v>2845</v>
      </c>
      <c r="B1306" s="2" t="s">
        <v>2846</v>
      </c>
      <c r="C1306" s="2" t="n">
        <v>5</v>
      </c>
      <c r="D1306" s="2" t="s">
        <v>127</v>
      </c>
      <c r="E1306" s="2" t="s">
        <v>2011</v>
      </c>
      <c r="F1306" s="3" t="n">
        <v>45788.0736111111</v>
      </c>
      <c r="G1306" s="2" t="s">
        <v>2634</v>
      </c>
      <c r="H1306" s="4" t="n">
        <v>0.9359</v>
      </c>
      <c r="I1306" s="2" t="s">
        <v>23</v>
      </c>
      <c r="J1306" s="2" t="s">
        <v>37</v>
      </c>
      <c r="K1306" s="2" t="n">
        <v>3</v>
      </c>
      <c r="L1306" s="2" t="n">
        <v>0</v>
      </c>
      <c r="M1306" s="2" t="n">
        <v>0</v>
      </c>
    </row>
    <row r="1307" customFormat="false" ht="15" hidden="false" customHeight="false" outlineLevel="0" collapsed="false">
      <c r="A1307" s="2" t="s">
        <v>2847</v>
      </c>
      <c r="B1307" s="2" t="s">
        <v>2848</v>
      </c>
      <c r="C1307" s="2" t="n">
        <v>3</v>
      </c>
      <c r="D1307" s="2" t="s">
        <v>87</v>
      </c>
      <c r="E1307" s="2" t="s">
        <v>2011</v>
      </c>
      <c r="F1307" s="3" t="n">
        <v>45788.0958333333</v>
      </c>
      <c r="G1307" s="2" t="s">
        <v>2634</v>
      </c>
      <c r="H1307" s="4" t="n">
        <v>0</v>
      </c>
      <c r="I1307" s="2" t="s">
        <v>18</v>
      </c>
      <c r="J1307" s="2" t="s">
        <v>19</v>
      </c>
      <c r="K1307" s="2" t="n">
        <v>5</v>
      </c>
      <c r="L1307" s="2" t="n">
        <v>0</v>
      </c>
      <c r="M1307" s="2" t="n">
        <v>0</v>
      </c>
    </row>
    <row r="1308" customFormat="false" ht="15" hidden="false" customHeight="false" outlineLevel="0" collapsed="false">
      <c r="A1308" s="2" t="s">
        <v>2849</v>
      </c>
      <c r="B1308" s="2" t="s">
        <v>2850</v>
      </c>
      <c r="C1308" s="2" t="n">
        <v>5</v>
      </c>
      <c r="D1308" s="2" t="s">
        <v>374</v>
      </c>
      <c r="E1308" s="2" t="s">
        <v>2011</v>
      </c>
      <c r="F1308" s="3" t="n">
        <v>45788.13125</v>
      </c>
      <c r="G1308" s="2" t="s">
        <v>2634</v>
      </c>
      <c r="H1308" s="4" t="n">
        <v>0.6369</v>
      </c>
      <c r="I1308" s="2" t="s">
        <v>23</v>
      </c>
      <c r="J1308" s="2" t="s">
        <v>19</v>
      </c>
      <c r="K1308" s="2" t="n">
        <v>3</v>
      </c>
      <c r="L1308" s="2" t="n">
        <v>0</v>
      </c>
      <c r="M1308" s="2" t="n">
        <v>0</v>
      </c>
    </row>
    <row r="1309" customFormat="false" ht="15" hidden="false" customHeight="false" outlineLevel="0" collapsed="false">
      <c r="A1309" s="2" t="s">
        <v>2851</v>
      </c>
      <c r="B1309" s="2" t="s">
        <v>2852</v>
      </c>
      <c r="C1309" s="2" t="n">
        <v>1</v>
      </c>
      <c r="D1309" s="2" t="s">
        <v>733</v>
      </c>
      <c r="E1309" s="2" t="s">
        <v>2011</v>
      </c>
      <c r="F1309" s="3" t="n">
        <v>45788.3305555556</v>
      </c>
      <c r="G1309" s="2" t="s">
        <v>2634</v>
      </c>
      <c r="H1309" s="4" t="n">
        <v>-0.2846</v>
      </c>
      <c r="I1309" s="2" t="s">
        <v>84</v>
      </c>
      <c r="J1309" s="2" t="s">
        <v>37</v>
      </c>
      <c r="K1309" s="2" t="n">
        <v>6</v>
      </c>
      <c r="L1309" s="2" t="n">
        <v>0</v>
      </c>
      <c r="M1309" s="2" t="n">
        <v>0</v>
      </c>
    </row>
    <row r="1310" customFormat="false" ht="15" hidden="false" customHeight="false" outlineLevel="0" collapsed="false">
      <c r="A1310" s="2" t="s">
        <v>2853</v>
      </c>
      <c r="B1310" s="2" t="s">
        <v>2854</v>
      </c>
      <c r="C1310" s="2" t="n">
        <v>1</v>
      </c>
      <c r="D1310" s="2" t="s">
        <v>234</v>
      </c>
      <c r="E1310" s="2" t="s">
        <v>2011</v>
      </c>
      <c r="F1310" s="3" t="n">
        <v>45788.5069444445</v>
      </c>
      <c r="G1310" s="2" t="s">
        <v>2634</v>
      </c>
      <c r="H1310" s="4" t="n">
        <v>0</v>
      </c>
      <c r="I1310" s="2" t="s">
        <v>18</v>
      </c>
      <c r="J1310" s="2" t="s">
        <v>165</v>
      </c>
      <c r="K1310" s="2" t="n">
        <v>1</v>
      </c>
      <c r="L1310" s="2" t="n">
        <v>1</v>
      </c>
      <c r="M1310" s="2" t="n">
        <v>0</v>
      </c>
    </row>
    <row r="1311" customFormat="false" ht="15" hidden="false" customHeight="false" outlineLevel="0" collapsed="false">
      <c r="A1311" s="2" t="s">
        <v>2855</v>
      </c>
      <c r="B1311" s="2" t="s">
        <v>2856</v>
      </c>
      <c r="C1311" s="2" t="n">
        <v>5</v>
      </c>
      <c r="D1311" s="2" t="s">
        <v>15</v>
      </c>
      <c r="E1311" s="2" t="s">
        <v>2011</v>
      </c>
      <c r="F1311" s="3" t="n">
        <v>45788.5763888889</v>
      </c>
      <c r="G1311" s="2" t="s">
        <v>2634</v>
      </c>
      <c r="H1311" s="4" t="n">
        <v>0</v>
      </c>
      <c r="I1311" s="2" t="s">
        <v>18</v>
      </c>
      <c r="J1311" s="2" t="s">
        <v>19</v>
      </c>
      <c r="K1311" s="2" t="n">
        <v>3</v>
      </c>
      <c r="L1311" s="2" t="n">
        <v>0</v>
      </c>
      <c r="M1311" s="2" t="n">
        <v>0</v>
      </c>
    </row>
    <row r="1312" customFormat="false" ht="15" hidden="false" customHeight="false" outlineLevel="0" collapsed="false">
      <c r="A1312" s="2" t="s">
        <v>2857</v>
      </c>
      <c r="B1312" s="2" t="s">
        <v>2858</v>
      </c>
      <c r="C1312" s="2" t="n">
        <v>5</v>
      </c>
      <c r="D1312" s="2" t="s">
        <v>47</v>
      </c>
      <c r="E1312" s="2" t="s">
        <v>2011</v>
      </c>
      <c r="F1312" s="3" t="n">
        <v>45788.65625</v>
      </c>
      <c r="G1312" s="2" t="s">
        <v>2634</v>
      </c>
      <c r="H1312" s="4" t="n">
        <v>0.3089</v>
      </c>
      <c r="I1312" s="2" t="s">
        <v>23</v>
      </c>
      <c r="J1312" s="2" t="s">
        <v>19</v>
      </c>
      <c r="K1312" s="2" t="n">
        <v>6</v>
      </c>
      <c r="L1312" s="2" t="n">
        <v>0</v>
      </c>
      <c r="M1312" s="2" t="n">
        <v>0</v>
      </c>
    </row>
    <row r="1313" customFormat="false" ht="15" hidden="false" customHeight="false" outlineLevel="0" collapsed="false">
      <c r="A1313" s="2" t="s">
        <v>2859</v>
      </c>
      <c r="B1313" s="2" t="s">
        <v>2860</v>
      </c>
      <c r="C1313" s="2" t="n">
        <v>5</v>
      </c>
      <c r="D1313" s="2" t="s">
        <v>47</v>
      </c>
      <c r="E1313" s="2" t="s">
        <v>2011</v>
      </c>
      <c r="F1313" s="3" t="n">
        <v>45788.70625</v>
      </c>
      <c r="G1313" s="2" t="s">
        <v>2634</v>
      </c>
      <c r="H1313" s="4" t="n">
        <v>0.3089</v>
      </c>
      <c r="I1313" s="2" t="s">
        <v>23</v>
      </c>
      <c r="J1313" s="2" t="s">
        <v>19</v>
      </c>
      <c r="K1313" s="2" t="n">
        <v>5</v>
      </c>
      <c r="L1313" s="2" t="n">
        <v>0</v>
      </c>
      <c r="M1313" s="2" t="n">
        <v>0</v>
      </c>
    </row>
    <row r="1314" customFormat="false" ht="15" hidden="false" customHeight="false" outlineLevel="0" collapsed="false">
      <c r="A1314" s="2" t="s">
        <v>2861</v>
      </c>
      <c r="B1314" s="2" t="s">
        <v>2862</v>
      </c>
      <c r="C1314" s="2" t="n">
        <v>5</v>
      </c>
      <c r="D1314" s="2" t="s">
        <v>15</v>
      </c>
      <c r="E1314" s="2" t="s">
        <v>2011</v>
      </c>
      <c r="F1314" s="3" t="n">
        <v>45788.7173611111</v>
      </c>
      <c r="G1314" s="2" t="s">
        <v>2634</v>
      </c>
      <c r="H1314" s="4" t="n">
        <v>0</v>
      </c>
      <c r="I1314" s="2" t="s">
        <v>18</v>
      </c>
      <c r="J1314" s="2" t="s">
        <v>19</v>
      </c>
      <c r="K1314" s="2" t="n">
        <v>3</v>
      </c>
      <c r="L1314" s="2" t="n">
        <v>0</v>
      </c>
      <c r="M1314" s="2" t="n">
        <v>0</v>
      </c>
    </row>
    <row r="1315" customFormat="false" ht="15" hidden="false" customHeight="false" outlineLevel="0" collapsed="false">
      <c r="A1315" s="2" t="s">
        <v>2863</v>
      </c>
      <c r="B1315" s="2" t="s">
        <v>2864</v>
      </c>
      <c r="C1315" s="2" t="n">
        <v>5</v>
      </c>
      <c r="D1315" s="2" t="s">
        <v>1363</v>
      </c>
      <c r="E1315" s="2" t="s">
        <v>2011</v>
      </c>
      <c r="F1315" s="3" t="n">
        <v>45788.81875</v>
      </c>
      <c r="G1315" s="2" t="s">
        <v>2634</v>
      </c>
      <c r="H1315" s="4" t="n">
        <v>0.6597</v>
      </c>
      <c r="I1315" s="2" t="s">
        <v>23</v>
      </c>
      <c r="J1315" s="2" t="s">
        <v>33</v>
      </c>
      <c r="K1315" s="2" t="n">
        <v>1</v>
      </c>
      <c r="L1315" s="2" t="n">
        <v>0</v>
      </c>
      <c r="M1315" s="2" t="n">
        <v>0</v>
      </c>
    </row>
    <row r="1316" customFormat="false" ht="15" hidden="false" customHeight="false" outlineLevel="0" collapsed="false">
      <c r="A1316" s="2" t="s">
        <v>2865</v>
      </c>
      <c r="B1316" s="2" t="s">
        <v>2866</v>
      </c>
      <c r="C1316" s="2" t="n">
        <v>1</v>
      </c>
      <c r="D1316" s="2" t="s">
        <v>721</v>
      </c>
      <c r="E1316" s="2" t="s">
        <v>2867</v>
      </c>
      <c r="F1316" s="3" t="n">
        <v>45789.0263888889</v>
      </c>
      <c r="G1316" s="2" t="s">
        <v>2634</v>
      </c>
      <c r="H1316" s="4" t="n">
        <v>-0.4588</v>
      </c>
      <c r="I1316" s="2" t="s">
        <v>84</v>
      </c>
      <c r="J1316" s="2" t="s">
        <v>37</v>
      </c>
      <c r="K1316" s="2" t="n">
        <v>0</v>
      </c>
      <c r="L1316" s="2" t="n">
        <v>1</v>
      </c>
      <c r="M1316" s="2" t="n">
        <v>1</v>
      </c>
    </row>
    <row r="1317" customFormat="false" ht="15" hidden="false" customHeight="false" outlineLevel="0" collapsed="false">
      <c r="A1317" s="2" t="s">
        <v>2868</v>
      </c>
      <c r="B1317" s="2" t="s">
        <v>2869</v>
      </c>
      <c r="C1317" s="2" t="n">
        <v>5</v>
      </c>
      <c r="D1317" s="2" t="s">
        <v>96</v>
      </c>
      <c r="E1317" s="2" t="s">
        <v>2867</v>
      </c>
      <c r="F1317" s="3" t="n">
        <v>45789.0416666667</v>
      </c>
      <c r="G1317" s="2" t="s">
        <v>2634</v>
      </c>
      <c r="H1317" s="4" t="n">
        <v>0.6369</v>
      </c>
      <c r="I1317" s="2" t="s">
        <v>23</v>
      </c>
      <c r="J1317" s="2" t="s">
        <v>19</v>
      </c>
      <c r="K1317" s="2" t="n">
        <v>2</v>
      </c>
      <c r="L1317" s="2" t="n">
        <v>0</v>
      </c>
      <c r="M1317" s="2" t="n">
        <v>1</v>
      </c>
    </row>
    <row r="1318" customFormat="false" ht="15" hidden="false" customHeight="false" outlineLevel="0" collapsed="false">
      <c r="A1318" s="2" t="s">
        <v>2870</v>
      </c>
      <c r="B1318" s="2" t="s">
        <v>2871</v>
      </c>
      <c r="C1318" s="2" t="n">
        <v>5</v>
      </c>
      <c r="D1318" s="2" t="s">
        <v>738</v>
      </c>
      <c r="E1318" s="2" t="s">
        <v>2867</v>
      </c>
      <c r="F1318" s="3" t="n">
        <v>45789.0631944445</v>
      </c>
      <c r="G1318" s="2" t="s">
        <v>2634</v>
      </c>
      <c r="H1318" s="4" t="n">
        <v>0.9612</v>
      </c>
      <c r="I1318" s="2" t="s">
        <v>23</v>
      </c>
      <c r="J1318" s="2" t="s">
        <v>37</v>
      </c>
      <c r="K1318" s="2" t="n">
        <v>1</v>
      </c>
      <c r="L1318" s="2" t="n">
        <v>0</v>
      </c>
      <c r="M1318" s="2" t="n">
        <v>1</v>
      </c>
    </row>
    <row r="1319" customFormat="false" ht="15" hidden="false" customHeight="false" outlineLevel="0" collapsed="false">
      <c r="A1319" s="2" t="s">
        <v>2872</v>
      </c>
      <c r="B1319" s="2" t="s">
        <v>2873</v>
      </c>
      <c r="C1319" s="2" t="n">
        <v>2</v>
      </c>
      <c r="D1319" s="2" t="s">
        <v>2874</v>
      </c>
      <c r="E1319" s="2" t="s">
        <v>2867</v>
      </c>
      <c r="F1319" s="3" t="n">
        <v>45789.1895833333</v>
      </c>
      <c r="G1319" s="2" t="s">
        <v>2634</v>
      </c>
      <c r="H1319" s="4" t="n">
        <v>0.2023</v>
      </c>
      <c r="I1319" s="2" t="s">
        <v>23</v>
      </c>
      <c r="J1319" s="2" t="s">
        <v>110</v>
      </c>
      <c r="K1319" s="2" t="n">
        <v>0</v>
      </c>
      <c r="L1319" s="2" t="n">
        <v>0</v>
      </c>
      <c r="M1319" s="2" t="n">
        <v>1</v>
      </c>
    </row>
    <row r="1320" customFormat="false" ht="15" hidden="false" customHeight="false" outlineLevel="0" collapsed="false">
      <c r="A1320" s="2" t="s">
        <v>2875</v>
      </c>
      <c r="B1320" s="2" t="s">
        <v>2876</v>
      </c>
      <c r="C1320" s="2" t="n">
        <v>5</v>
      </c>
      <c r="D1320" s="2" t="s">
        <v>96</v>
      </c>
      <c r="E1320" s="2" t="s">
        <v>2867</v>
      </c>
      <c r="F1320" s="3" t="n">
        <v>45789.2833333333</v>
      </c>
      <c r="G1320" s="2" t="s">
        <v>2634</v>
      </c>
      <c r="H1320" s="4" t="n">
        <v>0.6369</v>
      </c>
      <c r="I1320" s="2" t="s">
        <v>23</v>
      </c>
      <c r="J1320" s="2" t="s">
        <v>19</v>
      </c>
      <c r="K1320" s="2" t="n">
        <v>2</v>
      </c>
      <c r="L1320" s="2" t="n">
        <v>0</v>
      </c>
      <c r="M1320" s="2" t="n">
        <v>1</v>
      </c>
    </row>
    <row r="1321" customFormat="false" ht="15" hidden="false" customHeight="false" outlineLevel="0" collapsed="false">
      <c r="A1321" s="2" t="s">
        <v>2877</v>
      </c>
      <c r="B1321" s="2" t="s">
        <v>2878</v>
      </c>
      <c r="C1321" s="2" t="n">
        <v>2</v>
      </c>
      <c r="D1321" s="2" t="s">
        <v>2879</v>
      </c>
      <c r="E1321" s="2" t="s">
        <v>2867</v>
      </c>
      <c r="F1321" s="3" t="n">
        <v>45789.5236111111</v>
      </c>
      <c r="G1321" s="2" t="s">
        <v>2634</v>
      </c>
      <c r="H1321" s="4" t="n">
        <v>0.2263</v>
      </c>
      <c r="I1321" s="2" t="s">
        <v>23</v>
      </c>
      <c r="J1321" s="2" t="s">
        <v>110</v>
      </c>
      <c r="K1321" s="2" t="n">
        <v>5</v>
      </c>
      <c r="L1321" s="2" t="n">
        <v>0</v>
      </c>
      <c r="M1321" s="2" t="n">
        <v>1</v>
      </c>
    </row>
    <row r="1322" customFormat="false" ht="15" hidden="false" customHeight="false" outlineLevel="0" collapsed="false">
      <c r="A1322" s="2" t="s">
        <v>2880</v>
      </c>
      <c r="B1322" s="2" t="s">
        <v>2881</v>
      </c>
      <c r="C1322" s="2" t="n">
        <v>3</v>
      </c>
      <c r="D1322" s="2" t="s">
        <v>36</v>
      </c>
      <c r="E1322" s="2" t="s">
        <v>2867</v>
      </c>
      <c r="F1322" s="3" t="n">
        <v>45789.5458333333</v>
      </c>
      <c r="G1322" s="2" t="s">
        <v>2634</v>
      </c>
      <c r="H1322" s="4" t="n">
        <v>0.4404</v>
      </c>
      <c r="I1322" s="2" t="s">
        <v>23</v>
      </c>
      <c r="J1322" s="2" t="s">
        <v>37</v>
      </c>
      <c r="K1322" s="2" t="n">
        <v>1</v>
      </c>
      <c r="L1322" s="2" t="n">
        <v>0</v>
      </c>
      <c r="M1322" s="2" t="n">
        <v>1</v>
      </c>
    </row>
    <row r="1323" customFormat="false" ht="15" hidden="false" customHeight="false" outlineLevel="0" collapsed="false">
      <c r="A1323" s="2" t="s">
        <v>2882</v>
      </c>
      <c r="B1323" s="2" t="s">
        <v>2883</v>
      </c>
      <c r="C1323" s="2" t="n">
        <v>3</v>
      </c>
      <c r="D1323" s="2" t="s">
        <v>721</v>
      </c>
      <c r="E1323" s="2" t="s">
        <v>2867</v>
      </c>
      <c r="F1323" s="3" t="n">
        <v>45789.8576388889</v>
      </c>
      <c r="G1323" s="2" t="s">
        <v>2634</v>
      </c>
      <c r="H1323" s="4" t="n">
        <v>-0.4588</v>
      </c>
      <c r="I1323" s="2" t="s">
        <v>84</v>
      </c>
      <c r="J1323" s="2" t="s">
        <v>37</v>
      </c>
      <c r="K1323" s="2" t="n">
        <v>4</v>
      </c>
      <c r="L1323" s="2" t="n">
        <v>0</v>
      </c>
      <c r="M1323" s="2" t="n">
        <v>1</v>
      </c>
    </row>
    <row r="1324" customFormat="false" ht="15" hidden="false" customHeight="false" outlineLevel="0" collapsed="false">
      <c r="A1324" s="2" t="s">
        <v>2884</v>
      </c>
      <c r="B1324" s="2" t="s">
        <v>2885</v>
      </c>
      <c r="C1324" s="2" t="n">
        <v>1</v>
      </c>
      <c r="D1324" s="2" t="s">
        <v>2886</v>
      </c>
      <c r="E1324" s="2" t="s">
        <v>2867</v>
      </c>
      <c r="F1324" s="3" t="n">
        <v>45789.8638888889</v>
      </c>
      <c r="G1324" s="2" t="s">
        <v>2634</v>
      </c>
      <c r="H1324" s="4" t="n">
        <v>-0.4215</v>
      </c>
      <c r="I1324" s="2" t="s">
        <v>84</v>
      </c>
      <c r="J1324" s="2" t="s">
        <v>110</v>
      </c>
      <c r="K1324" s="2" t="n">
        <v>0</v>
      </c>
      <c r="L1324" s="2" t="n">
        <v>1</v>
      </c>
      <c r="M1324" s="2" t="n">
        <v>1</v>
      </c>
    </row>
    <row r="1325" customFormat="false" ht="15" hidden="false" customHeight="false" outlineLevel="0" collapsed="false">
      <c r="A1325" s="2" t="s">
        <v>2887</v>
      </c>
      <c r="B1325" s="2" t="s">
        <v>2888</v>
      </c>
      <c r="C1325" s="2" t="n">
        <v>5</v>
      </c>
      <c r="D1325" s="2" t="s">
        <v>52</v>
      </c>
      <c r="E1325" s="2" t="s">
        <v>2867</v>
      </c>
      <c r="F1325" s="3" t="n">
        <v>45790.05</v>
      </c>
      <c r="G1325" s="2" t="s">
        <v>2634</v>
      </c>
      <c r="H1325" s="4" t="n">
        <v>0.6369</v>
      </c>
      <c r="I1325" s="2" t="s">
        <v>23</v>
      </c>
      <c r="J1325" s="2" t="s">
        <v>19</v>
      </c>
      <c r="K1325" s="2" t="n">
        <v>1</v>
      </c>
      <c r="L1325" s="2" t="n">
        <v>0</v>
      </c>
      <c r="M1325" s="2" t="n">
        <v>1</v>
      </c>
    </row>
    <row r="1326" customFormat="false" ht="15" hidden="false" customHeight="false" outlineLevel="0" collapsed="false">
      <c r="A1326" s="2" t="s">
        <v>2889</v>
      </c>
      <c r="B1326" s="2" t="s">
        <v>2890</v>
      </c>
      <c r="C1326" s="2" t="n">
        <v>1</v>
      </c>
      <c r="D1326" s="2" t="s">
        <v>498</v>
      </c>
      <c r="E1326" s="2" t="s">
        <v>2867</v>
      </c>
      <c r="F1326" s="3" t="n">
        <v>45790.0708333333</v>
      </c>
      <c r="G1326" s="2" t="s">
        <v>2634</v>
      </c>
      <c r="H1326" s="4" t="n">
        <v>0</v>
      </c>
      <c r="I1326" s="2" t="s">
        <v>18</v>
      </c>
      <c r="J1326" s="2" t="s">
        <v>165</v>
      </c>
      <c r="K1326" s="2" t="n">
        <v>3</v>
      </c>
      <c r="L1326" s="2" t="n">
        <v>0</v>
      </c>
      <c r="M1326" s="2" t="n">
        <v>1</v>
      </c>
    </row>
    <row r="1327" customFormat="false" ht="15" hidden="false" customHeight="false" outlineLevel="0" collapsed="false">
      <c r="A1327" s="2" t="s">
        <v>2891</v>
      </c>
      <c r="B1327" s="2" t="s">
        <v>2892</v>
      </c>
      <c r="C1327" s="2" t="n">
        <v>5</v>
      </c>
      <c r="D1327" s="2" t="s">
        <v>2727</v>
      </c>
      <c r="E1327" s="2" t="s">
        <v>2867</v>
      </c>
      <c r="F1327" s="3" t="n">
        <v>45790.1263888889</v>
      </c>
      <c r="G1327" s="2" t="s">
        <v>2634</v>
      </c>
      <c r="H1327" s="4" t="n">
        <v>0.4019</v>
      </c>
      <c r="I1327" s="2" t="s">
        <v>23</v>
      </c>
      <c r="J1327" s="2" t="s">
        <v>33</v>
      </c>
      <c r="K1327" s="2" t="n">
        <v>2</v>
      </c>
      <c r="L1327" s="2" t="n">
        <v>0</v>
      </c>
      <c r="M1327" s="2" t="n">
        <v>1</v>
      </c>
    </row>
    <row r="1328" customFormat="false" ht="15" hidden="false" customHeight="false" outlineLevel="0" collapsed="false">
      <c r="A1328" s="2" t="s">
        <v>2893</v>
      </c>
      <c r="B1328" s="2" t="s">
        <v>2894</v>
      </c>
      <c r="C1328" s="2" t="n">
        <v>2</v>
      </c>
      <c r="D1328" s="2" t="s">
        <v>2895</v>
      </c>
      <c r="E1328" s="2" t="s">
        <v>2867</v>
      </c>
      <c r="F1328" s="3" t="n">
        <v>45790.3347222222</v>
      </c>
      <c r="G1328" s="2" t="s">
        <v>2634</v>
      </c>
      <c r="H1328" s="4" t="n">
        <v>0.4215</v>
      </c>
      <c r="I1328" s="2" t="s">
        <v>23</v>
      </c>
      <c r="J1328" s="2" t="s">
        <v>59</v>
      </c>
      <c r="K1328" s="2" t="n">
        <v>7</v>
      </c>
      <c r="L1328" s="2" t="n">
        <v>1</v>
      </c>
      <c r="M1328" s="2" t="n">
        <v>1</v>
      </c>
    </row>
    <row r="1329" customFormat="false" ht="15" hidden="false" customHeight="false" outlineLevel="0" collapsed="false">
      <c r="A1329" s="2" t="s">
        <v>2896</v>
      </c>
      <c r="B1329" s="2" t="s">
        <v>2897</v>
      </c>
      <c r="C1329" s="2" t="n">
        <v>5</v>
      </c>
      <c r="D1329" s="2" t="s">
        <v>47</v>
      </c>
      <c r="E1329" s="2" t="s">
        <v>2867</v>
      </c>
      <c r="F1329" s="3" t="n">
        <v>45790.4104166667</v>
      </c>
      <c r="G1329" s="2" t="s">
        <v>2634</v>
      </c>
      <c r="H1329" s="4" t="n">
        <v>0.3089</v>
      </c>
      <c r="I1329" s="2" t="s">
        <v>23</v>
      </c>
      <c r="J1329" s="2" t="s">
        <v>19</v>
      </c>
      <c r="K1329" s="2" t="n">
        <v>2</v>
      </c>
      <c r="L1329" s="2" t="n">
        <v>0</v>
      </c>
      <c r="M1329" s="2" t="n">
        <v>1</v>
      </c>
    </row>
    <row r="1330" customFormat="false" ht="15" hidden="false" customHeight="false" outlineLevel="0" collapsed="false">
      <c r="A1330" s="2" t="s">
        <v>2898</v>
      </c>
      <c r="B1330" s="2" t="s">
        <v>2899</v>
      </c>
      <c r="C1330" s="2" t="n">
        <v>4</v>
      </c>
      <c r="D1330" s="2" t="s">
        <v>52</v>
      </c>
      <c r="E1330" s="2" t="s">
        <v>2867</v>
      </c>
      <c r="F1330" s="3" t="n">
        <v>45790.5451388889</v>
      </c>
      <c r="G1330" s="2" t="s">
        <v>2634</v>
      </c>
      <c r="H1330" s="4" t="n">
        <v>0.6369</v>
      </c>
      <c r="I1330" s="2" t="s">
        <v>23</v>
      </c>
      <c r="J1330" s="2" t="s">
        <v>19</v>
      </c>
      <c r="K1330" s="2" t="n">
        <v>4</v>
      </c>
      <c r="L1330" s="2" t="n">
        <v>0</v>
      </c>
      <c r="M1330" s="2" t="n">
        <v>1</v>
      </c>
    </row>
    <row r="1331" customFormat="false" ht="15" hidden="false" customHeight="false" outlineLevel="0" collapsed="false">
      <c r="A1331" s="2" t="s">
        <v>2900</v>
      </c>
      <c r="B1331" s="2" t="s">
        <v>2901</v>
      </c>
      <c r="C1331" s="2" t="n">
        <v>4</v>
      </c>
      <c r="D1331" s="2" t="s">
        <v>15</v>
      </c>
      <c r="E1331" s="2" t="s">
        <v>2867</v>
      </c>
      <c r="F1331" s="3" t="n">
        <v>45790.5965277778</v>
      </c>
      <c r="G1331" s="2" t="s">
        <v>2634</v>
      </c>
      <c r="H1331" s="4" t="n">
        <v>0</v>
      </c>
      <c r="I1331" s="2" t="s">
        <v>18</v>
      </c>
      <c r="J1331" s="2" t="s">
        <v>19</v>
      </c>
      <c r="K1331" s="2" t="n">
        <v>4</v>
      </c>
      <c r="L1331" s="2" t="n">
        <v>0</v>
      </c>
      <c r="M1331" s="2" t="n">
        <v>1</v>
      </c>
    </row>
    <row r="1332" customFormat="false" ht="15" hidden="false" customHeight="false" outlineLevel="0" collapsed="false">
      <c r="A1332" s="2" t="s">
        <v>2902</v>
      </c>
      <c r="B1332" s="2" t="s">
        <v>2903</v>
      </c>
      <c r="C1332" s="2" t="n">
        <v>5</v>
      </c>
      <c r="D1332" s="2" t="s">
        <v>799</v>
      </c>
      <c r="E1332" s="2" t="s">
        <v>2867</v>
      </c>
      <c r="F1332" s="3" t="n">
        <v>45790.9020833333</v>
      </c>
      <c r="G1332" s="2" t="s">
        <v>2634</v>
      </c>
      <c r="H1332" s="4" t="n">
        <v>0.9606</v>
      </c>
      <c r="I1332" s="2" t="s">
        <v>23</v>
      </c>
      <c r="J1332" s="2" t="s">
        <v>37</v>
      </c>
      <c r="K1332" s="2" t="n">
        <v>5</v>
      </c>
      <c r="L1332" s="2" t="n">
        <v>0</v>
      </c>
      <c r="M1332" s="2" t="n">
        <v>1</v>
      </c>
    </row>
    <row r="1333" customFormat="false" ht="15" hidden="false" customHeight="false" outlineLevel="0" collapsed="false">
      <c r="A1333" s="2" t="s">
        <v>2904</v>
      </c>
      <c r="B1333" s="2" t="s">
        <v>2905</v>
      </c>
      <c r="C1333" s="2" t="n">
        <v>1</v>
      </c>
      <c r="D1333" s="2" t="s">
        <v>231</v>
      </c>
      <c r="E1333" s="2" t="s">
        <v>2867</v>
      </c>
      <c r="F1333" s="3" t="n">
        <v>45790.9715277778</v>
      </c>
      <c r="G1333" s="2" t="s">
        <v>2634</v>
      </c>
      <c r="H1333" s="4" t="n">
        <v>-0.3593</v>
      </c>
      <c r="I1333" s="2" t="s">
        <v>84</v>
      </c>
      <c r="J1333" s="2" t="s">
        <v>33</v>
      </c>
      <c r="K1333" s="2" t="n">
        <v>8</v>
      </c>
      <c r="L1333" s="2" t="n">
        <v>0</v>
      </c>
      <c r="M1333" s="2" t="n">
        <v>1</v>
      </c>
    </row>
    <row r="1334" customFormat="false" ht="15" hidden="false" customHeight="false" outlineLevel="0" collapsed="false">
      <c r="A1334" s="2" t="s">
        <v>2906</v>
      </c>
      <c r="B1334" s="2" t="s">
        <v>2907</v>
      </c>
      <c r="C1334" s="2" t="n">
        <v>5</v>
      </c>
      <c r="D1334" s="2" t="s">
        <v>62</v>
      </c>
      <c r="E1334" s="2" t="s">
        <v>2867</v>
      </c>
      <c r="F1334" s="3" t="n">
        <v>45791.1388888889</v>
      </c>
      <c r="G1334" s="2" t="s">
        <v>2634</v>
      </c>
      <c r="H1334" s="4" t="n">
        <v>0.7088</v>
      </c>
      <c r="I1334" s="2" t="s">
        <v>23</v>
      </c>
      <c r="J1334" s="2" t="s">
        <v>19</v>
      </c>
      <c r="K1334" s="2" t="n">
        <v>1</v>
      </c>
      <c r="L1334" s="2" t="n">
        <v>0</v>
      </c>
      <c r="M1334" s="2" t="n">
        <v>1</v>
      </c>
    </row>
    <row r="1335" customFormat="false" ht="15" hidden="false" customHeight="false" outlineLevel="0" collapsed="false">
      <c r="A1335" s="2" t="s">
        <v>2908</v>
      </c>
      <c r="B1335" s="2" t="s">
        <v>2909</v>
      </c>
      <c r="C1335" s="2" t="n">
        <v>3</v>
      </c>
      <c r="D1335" s="2" t="s">
        <v>301</v>
      </c>
      <c r="E1335" s="2" t="s">
        <v>2867</v>
      </c>
      <c r="F1335" s="3" t="n">
        <v>45791.2263888889</v>
      </c>
      <c r="G1335" s="2" t="s">
        <v>2634</v>
      </c>
      <c r="H1335" s="4" t="n">
        <v>0.2263</v>
      </c>
      <c r="I1335" s="2" t="s">
        <v>23</v>
      </c>
      <c r="J1335" s="2" t="s">
        <v>19</v>
      </c>
      <c r="K1335" s="2" t="n">
        <v>4</v>
      </c>
      <c r="L1335" s="2" t="n">
        <v>0</v>
      </c>
      <c r="M1335" s="2" t="n">
        <v>1</v>
      </c>
    </row>
    <row r="1336" customFormat="false" ht="15" hidden="false" customHeight="false" outlineLevel="0" collapsed="false">
      <c r="A1336" s="2" t="s">
        <v>2910</v>
      </c>
      <c r="B1336" s="2" t="s">
        <v>2911</v>
      </c>
      <c r="C1336" s="2" t="n">
        <v>4</v>
      </c>
      <c r="D1336" s="2" t="s">
        <v>62</v>
      </c>
      <c r="E1336" s="2" t="s">
        <v>2867</v>
      </c>
      <c r="F1336" s="3" t="n">
        <v>45791.4</v>
      </c>
      <c r="G1336" s="2" t="s">
        <v>2634</v>
      </c>
      <c r="H1336" s="4" t="n">
        <v>0.7088</v>
      </c>
      <c r="I1336" s="2" t="s">
        <v>23</v>
      </c>
      <c r="J1336" s="2" t="s">
        <v>19</v>
      </c>
      <c r="K1336" s="2" t="n">
        <v>4</v>
      </c>
      <c r="L1336" s="2" t="n">
        <v>0</v>
      </c>
      <c r="M1336" s="2" t="n">
        <v>1</v>
      </c>
    </row>
    <row r="1337" customFormat="false" ht="15" hidden="false" customHeight="false" outlineLevel="0" collapsed="false">
      <c r="A1337" s="2" t="s">
        <v>2912</v>
      </c>
      <c r="B1337" s="2" t="s">
        <v>2913</v>
      </c>
      <c r="C1337" s="2" t="n">
        <v>5</v>
      </c>
      <c r="D1337" s="2" t="s">
        <v>52</v>
      </c>
      <c r="E1337" s="2" t="s">
        <v>2867</v>
      </c>
      <c r="F1337" s="3" t="n">
        <v>45791.71875</v>
      </c>
      <c r="G1337" s="2" t="s">
        <v>2634</v>
      </c>
      <c r="H1337" s="4" t="n">
        <v>0.6369</v>
      </c>
      <c r="I1337" s="2" t="s">
        <v>23</v>
      </c>
      <c r="J1337" s="2" t="s">
        <v>19</v>
      </c>
      <c r="K1337" s="2" t="n">
        <v>2</v>
      </c>
      <c r="L1337" s="2" t="n">
        <v>0</v>
      </c>
      <c r="M1337" s="2" t="n">
        <v>1</v>
      </c>
    </row>
    <row r="1338" customFormat="false" ht="15" hidden="false" customHeight="false" outlineLevel="0" collapsed="false">
      <c r="A1338" s="2" t="s">
        <v>2914</v>
      </c>
      <c r="B1338" s="2" t="s">
        <v>2915</v>
      </c>
      <c r="C1338" s="2" t="n">
        <v>5</v>
      </c>
      <c r="D1338" s="2" t="s">
        <v>40</v>
      </c>
      <c r="E1338" s="2" t="s">
        <v>2867</v>
      </c>
      <c r="F1338" s="3" t="n">
        <v>45791.8020833333</v>
      </c>
      <c r="G1338" s="2" t="s">
        <v>2634</v>
      </c>
      <c r="H1338" s="4" t="n">
        <v>0.4019</v>
      </c>
      <c r="I1338" s="2" t="s">
        <v>23</v>
      </c>
      <c r="J1338" s="2" t="s">
        <v>33</v>
      </c>
      <c r="K1338" s="2" t="n">
        <v>3</v>
      </c>
      <c r="L1338" s="2" t="n">
        <v>0</v>
      </c>
      <c r="M1338" s="2" t="n">
        <v>1</v>
      </c>
    </row>
    <row r="1339" customFormat="false" ht="15" hidden="false" customHeight="false" outlineLevel="0" collapsed="false">
      <c r="A1339" s="2" t="s">
        <v>2916</v>
      </c>
      <c r="B1339" s="2" t="s">
        <v>2917</v>
      </c>
      <c r="C1339" s="2" t="n">
        <v>5</v>
      </c>
      <c r="D1339" s="2" t="s">
        <v>62</v>
      </c>
      <c r="E1339" s="2" t="s">
        <v>2867</v>
      </c>
      <c r="F1339" s="3" t="n">
        <v>45791.8791666667</v>
      </c>
      <c r="G1339" s="2" t="s">
        <v>2634</v>
      </c>
      <c r="H1339" s="4" t="n">
        <v>0.7088</v>
      </c>
      <c r="I1339" s="2" t="s">
        <v>23</v>
      </c>
      <c r="J1339" s="2" t="s">
        <v>19</v>
      </c>
      <c r="K1339" s="2" t="n">
        <v>1</v>
      </c>
      <c r="L1339" s="2" t="n">
        <v>0</v>
      </c>
      <c r="M1339" s="2" t="n">
        <v>1</v>
      </c>
    </row>
    <row r="1340" customFormat="false" ht="15" hidden="false" customHeight="false" outlineLevel="0" collapsed="false">
      <c r="A1340" s="2" t="s">
        <v>2918</v>
      </c>
      <c r="B1340" s="2" t="s">
        <v>2919</v>
      </c>
      <c r="C1340" s="2" t="n">
        <v>5</v>
      </c>
      <c r="D1340" s="2" t="s">
        <v>40</v>
      </c>
      <c r="E1340" s="2" t="s">
        <v>2867</v>
      </c>
      <c r="F1340" s="3" t="n">
        <v>45791.8979166667</v>
      </c>
      <c r="G1340" s="2" t="s">
        <v>2634</v>
      </c>
      <c r="H1340" s="4" t="n">
        <v>0.4019</v>
      </c>
      <c r="I1340" s="2" t="s">
        <v>23</v>
      </c>
      <c r="J1340" s="2" t="s">
        <v>33</v>
      </c>
      <c r="K1340" s="2" t="n">
        <v>3</v>
      </c>
      <c r="L1340" s="2" t="n">
        <v>0</v>
      </c>
      <c r="M1340" s="2" t="n">
        <v>1</v>
      </c>
    </row>
    <row r="1341" customFormat="false" ht="15" hidden="false" customHeight="false" outlineLevel="0" collapsed="false">
      <c r="A1341" s="2" t="s">
        <v>2920</v>
      </c>
      <c r="B1341" s="2" t="s">
        <v>2921</v>
      </c>
      <c r="C1341" s="2" t="n">
        <v>5</v>
      </c>
      <c r="D1341" s="2" t="s">
        <v>15</v>
      </c>
      <c r="E1341" s="2" t="s">
        <v>2867</v>
      </c>
      <c r="F1341" s="3" t="n">
        <v>45791.90625</v>
      </c>
      <c r="G1341" s="2" t="s">
        <v>2634</v>
      </c>
      <c r="H1341" s="4" t="n">
        <v>0</v>
      </c>
      <c r="I1341" s="2" t="s">
        <v>18</v>
      </c>
      <c r="J1341" s="2" t="s">
        <v>19</v>
      </c>
      <c r="K1341" s="2" t="n">
        <v>16</v>
      </c>
      <c r="L1341" s="2" t="n">
        <v>0</v>
      </c>
      <c r="M1341" s="2" t="n">
        <v>1</v>
      </c>
    </row>
    <row r="1342" customFormat="false" ht="15" hidden="false" customHeight="false" outlineLevel="0" collapsed="false">
      <c r="A1342" s="2" t="s">
        <v>2922</v>
      </c>
      <c r="B1342" s="2" t="s">
        <v>2923</v>
      </c>
      <c r="C1342" s="2" t="n">
        <v>5</v>
      </c>
      <c r="D1342" s="2" t="s">
        <v>90</v>
      </c>
      <c r="E1342" s="2" t="s">
        <v>2867</v>
      </c>
      <c r="F1342" s="3" t="n">
        <v>45791.9208333333</v>
      </c>
      <c r="G1342" s="2" t="s">
        <v>2634</v>
      </c>
      <c r="H1342" s="4" t="n">
        <v>0.6249</v>
      </c>
      <c r="I1342" s="2" t="s">
        <v>23</v>
      </c>
      <c r="J1342" s="2" t="s">
        <v>37</v>
      </c>
      <c r="K1342" s="2" t="n">
        <v>2</v>
      </c>
      <c r="L1342" s="2" t="n">
        <v>0</v>
      </c>
      <c r="M1342" s="2" t="n">
        <v>1</v>
      </c>
    </row>
    <row r="1343" customFormat="false" ht="15" hidden="false" customHeight="false" outlineLevel="0" collapsed="false">
      <c r="A1343" s="2" t="s">
        <v>2924</v>
      </c>
      <c r="B1343" s="2" t="s">
        <v>2925</v>
      </c>
      <c r="C1343" s="2" t="n">
        <v>5</v>
      </c>
      <c r="D1343" s="2" t="s">
        <v>127</v>
      </c>
      <c r="E1343" s="2" t="s">
        <v>2867</v>
      </c>
      <c r="F1343" s="3" t="n">
        <v>45792.0527777778</v>
      </c>
      <c r="G1343" s="2" t="s">
        <v>2634</v>
      </c>
      <c r="H1343" s="4" t="n">
        <v>0.9359</v>
      </c>
      <c r="I1343" s="2" t="s">
        <v>23</v>
      </c>
      <c r="J1343" s="2" t="s">
        <v>37</v>
      </c>
      <c r="K1343" s="2" t="n">
        <v>2</v>
      </c>
      <c r="L1343" s="2" t="n">
        <v>0</v>
      </c>
      <c r="M1343" s="2" t="n">
        <v>1</v>
      </c>
    </row>
    <row r="1344" customFormat="false" ht="15" hidden="false" customHeight="false" outlineLevel="0" collapsed="false">
      <c r="A1344" s="2" t="s">
        <v>2926</v>
      </c>
      <c r="B1344" s="2" t="s">
        <v>2927</v>
      </c>
      <c r="C1344" s="2" t="n">
        <v>3</v>
      </c>
      <c r="D1344" s="2" t="s">
        <v>22</v>
      </c>
      <c r="E1344" s="2" t="s">
        <v>2867</v>
      </c>
      <c r="F1344" s="3" t="n">
        <v>45792.1895833333</v>
      </c>
      <c r="G1344" s="2" t="s">
        <v>2634</v>
      </c>
      <c r="H1344" s="4" t="n">
        <v>0.2023</v>
      </c>
      <c r="I1344" s="2" t="s">
        <v>23</v>
      </c>
      <c r="J1344" s="2" t="s">
        <v>19</v>
      </c>
      <c r="K1344" s="2" t="n">
        <v>3</v>
      </c>
      <c r="L1344" s="2" t="n">
        <v>0</v>
      </c>
      <c r="M1344" s="2" t="n">
        <v>1</v>
      </c>
    </row>
    <row r="1345" customFormat="false" ht="15" hidden="false" customHeight="false" outlineLevel="0" collapsed="false">
      <c r="A1345" s="2" t="s">
        <v>2928</v>
      </c>
      <c r="B1345" s="2" t="s">
        <v>2929</v>
      </c>
      <c r="C1345" s="2" t="n">
        <v>5</v>
      </c>
      <c r="D1345" s="2" t="s">
        <v>475</v>
      </c>
      <c r="E1345" s="2" t="s">
        <v>2867</v>
      </c>
      <c r="F1345" s="3" t="n">
        <v>45792.25625</v>
      </c>
      <c r="G1345" s="2" t="s">
        <v>2634</v>
      </c>
      <c r="H1345" s="4" t="n">
        <v>0.7845</v>
      </c>
      <c r="I1345" s="2" t="s">
        <v>23</v>
      </c>
      <c r="J1345" s="2" t="s">
        <v>33</v>
      </c>
      <c r="K1345" s="2" t="n">
        <v>3</v>
      </c>
      <c r="L1345" s="2" t="n">
        <v>0</v>
      </c>
      <c r="M1345" s="2" t="n">
        <v>1</v>
      </c>
    </row>
    <row r="1346" customFormat="false" ht="15" hidden="false" customHeight="false" outlineLevel="0" collapsed="false">
      <c r="A1346" s="2" t="s">
        <v>2930</v>
      </c>
      <c r="B1346" s="2" t="s">
        <v>2931</v>
      </c>
      <c r="C1346" s="2" t="n">
        <v>4</v>
      </c>
      <c r="D1346" s="2" t="s">
        <v>76</v>
      </c>
      <c r="E1346" s="2" t="s">
        <v>2867</v>
      </c>
      <c r="F1346" s="3" t="n">
        <v>45792.3791666667</v>
      </c>
      <c r="G1346" s="2" t="s">
        <v>2634</v>
      </c>
      <c r="H1346" s="4" t="n">
        <v>0.607</v>
      </c>
      <c r="I1346" s="2" t="s">
        <v>23</v>
      </c>
      <c r="J1346" s="2" t="s">
        <v>33</v>
      </c>
      <c r="K1346" s="2" t="n">
        <v>3</v>
      </c>
      <c r="L1346" s="2" t="n">
        <v>0</v>
      </c>
      <c r="M1346" s="2" t="n">
        <v>1</v>
      </c>
    </row>
    <row r="1347" customFormat="false" ht="15" hidden="false" customHeight="false" outlineLevel="0" collapsed="false">
      <c r="A1347" s="2" t="s">
        <v>2932</v>
      </c>
      <c r="B1347" s="2" t="s">
        <v>2933</v>
      </c>
      <c r="C1347" s="2" t="n">
        <v>5</v>
      </c>
      <c r="D1347" s="2" t="s">
        <v>15</v>
      </c>
      <c r="E1347" s="2" t="s">
        <v>2867</v>
      </c>
      <c r="F1347" s="3" t="n">
        <v>45792.3979166667</v>
      </c>
      <c r="G1347" s="2" t="s">
        <v>2634</v>
      </c>
      <c r="H1347" s="4" t="n">
        <v>0</v>
      </c>
      <c r="I1347" s="2" t="s">
        <v>18</v>
      </c>
      <c r="J1347" s="2" t="s">
        <v>19</v>
      </c>
      <c r="K1347" s="2" t="n">
        <v>0</v>
      </c>
      <c r="L1347" s="2" t="n">
        <v>0</v>
      </c>
      <c r="M1347" s="2" t="n">
        <v>1</v>
      </c>
    </row>
    <row r="1348" customFormat="false" ht="15" hidden="false" customHeight="false" outlineLevel="0" collapsed="false">
      <c r="A1348" s="2" t="s">
        <v>2934</v>
      </c>
      <c r="B1348" s="2" t="s">
        <v>2935</v>
      </c>
      <c r="C1348" s="2" t="n">
        <v>5</v>
      </c>
      <c r="D1348" s="2" t="s">
        <v>52</v>
      </c>
      <c r="E1348" s="2" t="s">
        <v>2867</v>
      </c>
      <c r="F1348" s="3" t="n">
        <v>45792.4888888889</v>
      </c>
      <c r="G1348" s="2" t="s">
        <v>2634</v>
      </c>
      <c r="H1348" s="4" t="n">
        <v>0.6369</v>
      </c>
      <c r="I1348" s="2" t="s">
        <v>23</v>
      </c>
      <c r="J1348" s="2" t="s">
        <v>19</v>
      </c>
      <c r="K1348" s="2" t="n">
        <v>1</v>
      </c>
      <c r="L1348" s="2" t="n">
        <v>0</v>
      </c>
      <c r="M1348" s="2" t="n">
        <v>1</v>
      </c>
    </row>
    <row r="1349" customFormat="false" ht="15" hidden="false" customHeight="false" outlineLevel="0" collapsed="false">
      <c r="A1349" s="2" t="s">
        <v>2936</v>
      </c>
      <c r="B1349" s="2" t="s">
        <v>2937</v>
      </c>
      <c r="C1349" s="2" t="n">
        <v>5</v>
      </c>
      <c r="D1349" s="2" t="s">
        <v>96</v>
      </c>
      <c r="E1349" s="2" t="s">
        <v>2867</v>
      </c>
      <c r="F1349" s="3" t="n">
        <v>45792.5395833333</v>
      </c>
      <c r="G1349" s="2" t="s">
        <v>2634</v>
      </c>
      <c r="H1349" s="4" t="n">
        <v>0.6369</v>
      </c>
      <c r="I1349" s="2" t="s">
        <v>23</v>
      </c>
      <c r="J1349" s="2" t="s">
        <v>19</v>
      </c>
      <c r="K1349" s="2" t="n">
        <v>2</v>
      </c>
      <c r="L1349" s="2" t="n">
        <v>0</v>
      </c>
      <c r="M1349" s="2" t="n">
        <v>1</v>
      </c>
    </row>
    <row r="1350" customFormat="false" ht="15" hidden="false" customHeight="false" outlineLevel="0" collapsed="false">
      <c r="A1350" s="2" t="s">
        <v>2938</v>
      </c>
      <c r="B1350" s="2" t="s">
        <v>2939</v>
      </c>
      <c r="C1350" s="2" t="n">
        <v>5</v>
      </c>
      <c r="D1350" s="2" t="s">
        <v>40</v>
      </c>
      <c r="E1350" s="2" t="s">
        <v>2867</v>
      </c>
      <c r="F1350" s="3" t="n">
        <v>45792.5875</v>
      </c>
      <c r="G1350" s="2" t="s">
        <v>2634</v>
      </c>
      <c r="H1350" s="4" t="n">
        <v>0.4019</v>
      </c>
      <c r="I1350" s="2" t="s">
        <v>23</v>
      </c>
      <c r="J1350" s="2" t="s">
        <v>33</v>
      </c>
      <c r="K1350" s="2" t="n">
        <v>3</v>
      </c>
      <c r="L1350" s="2" t="n">
        <v>0</v>
      </c>
      <c r="M1350" s="2" t="n">
        <v>1</v>
      </c>
    </row>
    <row r="1351" customFormat="false" ht="15" hidden="false" customHeight="false" outlineLevel="0" collapsed="false">
      <c r="A1351" s="2" t="s">
        <v>2940</v>
      </c>
      <c r="B1351" s="2" t="s">
        <v>2941</v>
      </c>
      <c r="C1351" s="2" t="n">
        <v>4</v>
      </c>
      <c r="D1351" s="2" t="s">
        <v>15</v>
      </c>
      <c r="E1351" s="2" t="s">
        <v>2867</v>
      </c>
      <c r="F1351" s="3" t="n">
        <v>45792.6222222222</v>
      </c>
      <c r="G1351" s="2" t="s">
        <v>2634</v>
      </c>
      <c r="H1351" s="4" t="n">
        <v>0</v>
      </c>
      <c r="I1351" s="2" t="s">
        <v>18</v>
      </c>
      <c r="J1351" s="2" t="s">
        <v>19</v>
      </c>
      <c r="K1351" s="2" t="n">
        <v>0</v>
      </c>
      <c r="L1351" s="2" t="n">
        <v>0</v>
      </c>
      <c r="M1351" s="2" t="n">
        <v>1</v>
      </c>
    </row>
    <row r="1352" customFormat="false" ht="15" hidden="false" customHeight="false" outlineLevel="0" collapsed="false">
      <c r="A1352" s="2" t="s">
        <v>2942</v>
      </c>
      <c r="B1352" s="2" t="s">
        <v>2943</v>
      </c>
      <c r="C1352" s="2" t="n">
        <v>5</v>
      </c>
      <c r="D1352" s="2" t="s">
        <v>62</v>
      </c>
      <c r="E1352" s="2" t="s">
        <v>2867</v>
      </c>
      <c r="F1352" s="3" t="n">
        <v>45792.6222222222</v>
      </c>
      <c r="G1352" s="2" t="s">
        <v>2634</v>
      </c>
      <c r="H1352" s="4" t="n">
        <v>0.7088</v>
      </c>
      <c r="I1352" s="2" t="s">
        <v>23</v>
      </c>
      <c r="J1352" s="2" t="s">
        <v>19</v>
      </c>
      <c r="K1352" s="2" t="n">
        <v>5</v>
      </c>
      <c r="L1352" s="2" t="n">
        <v>0</v>
      </c>
      <c r="M1352" s="2" t="n">
        <v>1</v>
      </c>
    </row>
    <row r="1353" customFormat="false" ht="15" hidden="false" customHeight="false" outlineLevel="0" collapsed="false">
      <c r="A1353" s="2" t="s">
        <v>2944</v>
      </c>
      <c r="B1353" s="2" t="s">
        <v>2945</v>
      </c>
      <c r="C1353" s="2" t="n">
        <v>4</v>
      </c>
      <c r="D1353" s="2" t="s">
        <v>52</v>
      </c>
      <c r="E1353" s="2" t="s">
        <v>2867</v>
      </c>
      <c r="F1353" s="3" t="n">
        <v>45792.6270833333</v>
      </c>
      <c r="G1353" s="2" t="s">
        <v>2634</v>
      </c>
      <c r="H1353" s="4" t="n">
        <v>0.6369</v>
      </c>
      <c r="I1353" s="2" t="s">
        <v>23</v>
      </c>
      <c r="J1353" s="2" t="s">
        <v>19</v>
      </c>
      <c r="K1353" s="2" t="n">
        <v>0</v>
      </c>
      <c r="L1353" s="2" t="n">
        <v>0</v>
      </c>
      <c r="M1353" s="2" t="n">
        <v>1</v>
      </c>
    </row>
    <row r="1354" customFormat="false" ht="15" hidden="false" customHeight="false" outlineLevel="0" collapsed="false">
      <c r="A1354" s="2" t="s">
        <v>2946</v>
      </c>
      <c r="B1354" s="2" t="s">
        <v>2947</v>
      </c>
      <c r="C1354" s="2" t="n">
        <v>5</v>
      </c>
      <c r="D1354" s="2" t="s">
        <v>47</v>
      </c>
      <c r="E1354" s="2" t="s">
        <v>2867</v>
      </c>
      <c r="F1354" s="3" t="n">
        <v>45792.6715277778</v>
      </c>
      <c r="G1354" s="2" t="s">
        <v>2634</v>
      </c>
      <c r="H1354" s="4" t="n">
        <v>0.3089</v>
      </c>
      <c r="I1354" s="2" t="s">
        <v>23</v>
      </c>
      <c r="J1354" s="2" t="s">
        <v>19</v>
      </c>
      <c r="K1354" s="2" t="n">
        <v>1</v>
      </c>
      <c r="L1354" s="2" t="n">
        <v>0</v>
      </c>
      <c r="M1354" s="2" t="n">
        <v>1</v>
      </c>
    </row>
    <row r="1355" customFormat="false" ht="15" hidden="false" customHeight="false" outlineLevel="0" collapsed="false">
      <c r="A1355" s="2" t="s">
        <v>2948</v>
      </c>
      <c r="B1355" s="2" t="s">
        <v>2949</v>
      </c>
      <c r="C1355" s="2" t="n">
        <v>4</v>
      </c>
      <c r="D1355" s="2" t="s">
        <v>1279</v>
      </c>
      <c r="E1355" s="2" t="s">
        <v>2867</v>
      </c>
      <c r="F1355" s="3" t="n">
        <v>45792.6958333333</v>
      </c>
      <c r="G1355" s="2" t="s">
        <v>2634</v>
      </c>
      <c r="H1355" s="4" t="n">
        <v>0.7783</v>
      </c>
      <c r="I1355" s="2" t="s">
        <v>23</v>
      </c>
      <c r="J1355" s="2" t="s">
        <v>37</v>
      </c>
      <c r="K1355" s="2" t="n">
        <v>1</v>
      </c>
      <c r="L1355" s="2" t="n">
        <v>0</v>
      </c>
      <c r="M1355" s="2" t="n">
        <v>1</v>
      </c>
    </row>
    <row r="1356" customFormat="false" ht="15" hidden="false" customHeight="false" outlineLevel="0" collapsed="false">
      <c r="A1356" s="2" t="s">
        <v>2950</v>
      </c>
      <c r="B1356" s="2" t="s">
        <v>2951</v>
      </c>
      <c r="C1356" s="2" t="n">
        <v>4</v>
      </c>
      <c r="D1356" s="2" t="s">
        <v>127</v>
      </c>
      <c r="E1356" s="2" t="s">
        <v>2867</v>
      </c>
      <c r="F1356" s="3" t="n">
        <v>45792.8715277778</v>
      </c>
      <c r="G1356" s="2" t="s">
        <v>2634</v>
      </c>
      <c r="H1356" s="4" t="n">
        <v>0.9359</v>
      </c>
      <c r="I1356" s="2" t="s">
        <v>23</v>
      </c>
      <c r="J1356" s="2" t="s">
        <v>37</v>
      </c>
      <c r="K1356" s="2" t="n">
        <v>2</v>
      </c>
      <c r="L1356" s="2" t="n">
        <v>0</v>
      </c>
      <c r="M1356" s="2" t="n">
        <v>1</v>
      </c>
    </row>
    <row r="1357" customFormat="false" ht="15" hidden="false" customHeight="false" outlineLevel="0" collapsed="false">
      <c r="A1357" s="2" t="s">
        <v>2952</v>
      </c>
      <c r="B1357" s="2" t="s">
        <v>2953</v>
      </c>
      <c r="C1357" s="2" t="n">
        <v>4</v>
      </c>
      <c r="D1357" s="2" t="s">
        <v>2954</v>
      </c>
      <c r="E1357" s="2" t="s">
        <v>2867</v>
      </c>
      <c r="F1357" s="3" t="n">
        <v>45793.1375</v>
      </c>
      <c r="G1357" s="2" t="s">
        <v>2634</v>
      </c>
      <c r="H1357" s="4" t="n">
        <v>0.9606</v>
      </c>
      <c r="I1357" s="2" t="s">
        <v>23</v>
      </c>
      <c r="J1357" s="2" t="s">
        <v>37</v>
      </c>
      <c r="K1357" s="2" t="n">
        <v>0</v>
      </c>
      <c r="L1357" s="2" t="n">
        <v>0</v>
      </c>
      <c r="M1357" s="2" t="n">
        <v>1</v>
      </c>
    </row>
    <row r="1358" customFormat="false" ht="15" hidden="false" customHeight="false" outlineLevel="0" collapsed="false">
      <c r="A1358" s="2" t="s">
        <v>2955</v>
      </c>
      <c r="B1358" s="2" t="s">
        <v>2956</v>
      </c>
      <c r="C1358" s="2" t="n">
        <v>5</v>
      </c>
      <c r="D1358" s="2" t="s">
        <v>52</v>
      </c>
      <c r="E1358" s="2" t="s">
        <v>2867</v>
      </c>
      <c r="F1358" s="3" t="n">
        <v>45793.2680555556</v>
      </c>
      <c r="G1358" s="2" t="s">
        <v>2634</v>
      </c>
      <c r="H1358" s="4" t="n">
        <v>0.6369</v>
      </c>
      <c r="I1358" s="2" t="s">
        <v>23</v>
      </c>
      <c r="J1358" s="2" t="s">
        <v>19</v>
      </c>
      <c r="K1358" s="2" t="n">
        <v>1</v>
      </c>
      <c r="L1358" s="2" t="n">
        <v>0</v>
      </c>
      <c r="M1358" s="2" t="n">
        <v>1</v>
      </c>
    </row>
    <row r="1359" customFormat="false" ht="15" hidden="false" customHeight="false" outlineLevel="0" collapsed="false">
      <c r="A1359" s="2" t="s">
        <v>2957</v>
      </c>
      <c r="B1359" s="2" t="s">
        <v>2958</v>
      </c>
      <c r="C1359" s="2" t="n">
        <v>2</v>
      </c>
      <c r="D1359" s="2" t="s">
        <v>823</v>
      </c>
      <c r="E1359" s="2" t="s">
        <v>2867</v>
      </c>
      <c r="F1359" s="3" t="n">
        <v>45793.2881944445</v>
      </c>
      <c r="G1359" s="2" t="s">
        <v>2634</v>
      </c>
      <c r="H1359" s="4" t="n">
        <v>-0.6997</v>
      </c>
      <c r="I1359" s="2" t="s">
        <v>84</v>
      </c>
      <c r="J1359" s="2" t="s">
        <v>19</v>
      </c>
      <c r="K1359" s="2" t="n">
        <v>0</v>
      </c>
      <c r="L1359" s="2" t="n">
        <v>1</v>
      </c>
      <c r="M1359" s="2" t="n">
        <v>1</v>
      </c>
    </row>
    <row r="1360" customFormat="false" ht="15" hidden="false" customHeight="false" outlineLevel="0" collapsed="false">
      <c r="A1360" s="2" t="s">
        <v>2959</v>
      </c>
      <c r="B1360" s="2" t="s">
        <v>2960</v>
      </c>
      <c r="C1360" s="2" t="n">
        <v>5</v>
      </c>
      <c r="D1360" s="2" t="s">
        <v>652</v>
      </c>
      <c r="E1360" s="2" t="s">
        <v>2867</v>
      </c>
      <c r="F1360" s="3" t="n">
        <v>45793.2993055556</v>
      </c>
      <c r="G1360" s="2" t="s">
        <v>2634</v>
      </c>
      <c r="H1360" s="4" t="n">
        <v>0.8555</v>
      </c>
      <c r="I1360" s="2" t="s">
        <v>23</v>
      </c>
      <c r="J1360" s="2" t="s">
        <v>19</v>
      </c>
      <c r="K1360" s="2" t="n">
        <v>4</v>
      </c>
      <c r="L1360" s="2" t="n">
        <v>0</v>
      </c>
      <c r="M1360" s="2" t="n">
        <v>1</v>
      </c>
    </row>
    <row r="1361" customFormat="false" ht="15" hidden="false" customHeight="false" outlineLevel="0" collapsed="false">
      <c r="A1361" s="2" t="s">
        <v>2961</v>
      </c>
      <c r="B1361" s="2" t="s">
        <v>2962</v>
      </c>
      <c r="C1361" s="2" t="n">
        <v>5</v>
      </c>
      <c r="D1361" s="2" t="s">
        <v>52</v>
      </c>
      <c r="E1361" s="2" t="s">
        <v>2867</v>
      </c>
      <c r="F1361" s="3" t="n">
        <v>45793.3354166667</v>
      </c>
      <c r="G1361" s="2" t="s">
        <v>2634</v>
      </c>
      <c r="H1361" s="4" t="n">
        <v>0.6369</v>
      </c>
      <c r="I1361" s="2" t="s">
        <v>23</v>
      </c>
      <c r="J1361" s="2" t="s">
        <v>19</v>
      </c>
      <c r="K1361" s="2" t="n">
        <v>3</v>
      </c>
      <c r="L1361" s="2" t="n">
        <v>0</v>
      </c>
      <c r="M1361" s="2" t="n">
        <v>1</v>
      </c>
    </row>
    <row r="1362" customFormat="false" ht="15" hidden="false" customHeight="false" outlineLevel="0" collapsed="false">
      <c r="A1362" s="2" t="s">
        <v>2963</v>
      </c>
      <c r="B1362" s="2" t="s">
        <v>2964</v>
      </c>
      <c r="C1362" s="2" t="n">
        <v>2</v>
      </c>
      <c r="D1362" s="2" t="s">
        <v>295</v>
      </c>
      <c r="E1362" s="2" t="s">
        <v>2867</v>
      </c>
      <c r="F1362" s="3" t="n">
        <v>45793.3493055556</v>
      </c>
      <c r="G1362" s="2" t="s">
        <v>2634</v>
      </c>
      <c r="H1362" s="4" t="n">
        <v>-0.5023</v>
      </c>
      <c r="I1362" s="2" t="s">
        <v>84</v>
      </c>
      <c r="J1362" s="2" t="s">
        <v>33</v>
      </c>
      <c r="K1362" s="2" t="n">
        <v>1</v>
      </c>
      <c r="L1362" s="2" t="n">
        <v>0</v>
      </c>
      <c r="M1362" s="2" t="n">
        <v>1</v>
      </c>
    </row>
    <row r="1363" customFormat="false" ht="15" hidden="false" customHeight="false" outlineLevel="0" collapsed="false">
      <c r="A1363" s="2" t="s">
        <v>2965</v>
      </c>
      <c r="B1363" s="2" t="s">
        <v>2671</v>
      </c>
      <c r="C1363" s="2" t="n">
        <v>5</v>
      </c>
      <c r="D1363" s="2" t="s">
        <v>127</v>
      </c>
      <c r="E1363" s="2" t="s">
        <v>2867</v>
      </c>
      <c r="F1363" s="3" t="n">
        <v>45793.4868055556</v>
      </c>
      <c r="G1363" s="2" t="s">
        <v>2634</v>
      </c>
      <c r="H1363" s="4" t="n">
        <v>0.9359</v>
      </c>
      <c r="I1363" s="2" t="s">
        <v>23</v>
      </c>
      <c r="J1363" s="2" t="s">
        <v>37</v>
      </c>
      <c r="K1363" s="2" t="n">
        <v>0</v>
      </c>
      <c r="L1363" s="2" t="n">
        <v>0</v>
      </c>
      <c r="M1363" s="2" t="n">
        <v>1</v>
      </c>
    </row>
    <row r="1364" customFormat="false" ht="15" hidden="false" customHeight="false" outlineLevel="0" collapsed="false">
      <c r="A1364" s="2" t="s">
        <v>2966</v>
      </c>
      <c r="B1364" s="2" t="s">
        <v>2967</v>
      </c>
      <c r="C1364" s="2" t="n">
        <v>3</v>
      </c>
      <c r="D1364" s="2" t="s">
        <v>2127</v>
      </c>
      <c r="E1364" s="2" t="s">
        <v>2867</v>
      </c>
      <c r="F1364" s="3" t="n">
        <v>45793.7090277778</v>
      </c>
      <c r="G1364" s="2" t="s">
        <v>2634</v>
      </c>
      <c r="H1364" s="4" t="n">
        <v>0.3818</v>
      </c>
      <c r="I1364" s="2" t="s">
        <v>23</v>
      </c>
      <c r="J1364" s="2" t="s">
        <v>19</v>
      </c>
      <c r="K1364" s="2" t="n">
        <v>7</v>
      </c>
      <c r="L1364" s="2" t="n">
        <v>0</v>
      </c>
      <c r="M1364" s="2" t="n">
        <v>1</v>
      </c>
    </row>
    <row r="1365" customFormat="false" ht="15" hidden="false" customHeight="false" outlineLevel="0" collapsed="false">
      <c r="A1365" s="2" t="s">
        <v>2968</v>
      </c>
      <c r="B1365" s="2" t="s">
        <v>2969</v>
      </c>
      <c r="C1365" s="2" t="n">
        <v>5</v>
      </c>
      <c r="D1365" s="2" t="s">
        <v>52</v>
      </c>
      <c r="E1365" s="2" t="s">
        <v>2867</v>
      </c>
      <c r="F1365" s="3" t="n">
        <v>45793.8034722222</v>
      </c>
      <c r="G1365" s="2" t="s">
        <v>2634</v>
      </c>
      <c r="H1365" s="4" t="n">
        <v>0.6369</v>
      </c>
      <c r="I1365" s="2" t="s">
        <v>23</v>
      </c>
      <c r="J1365" s="2" t="s">
        <v>19</v>
      </c>
      <c r="K1365" s="2" t="n">
        <v>1</v>
      </c>
      <c r="L1365" s="2" t="n">
        <v>0</v>
      </c>
      <c r="M1365" s="2" t="n">
        <v>1</v>
      </c>
    </row>
    <row r="1366" customFormat="false" ht="15" hidden="false" customHeight="false" outlineLevel="0" collapsed="false">
      <c r="A1366" s="2" t="s">
        <v>2970</v>
      </c>
      <c r="B1366" s="2" t="s">
        <v>2971</v>
      </c>
      <c r="C1366" s="2" t="n">
        <v>4</v>
      </c>
      <c r="D1366" s="2" t="s">
        <v>301</v>
      </c>
      <c r="E1366" s="2" t="s">
        <v>2867</v>
      </c>
      <c r="F1366" s="3" t="n">
        <v>45793.8152777778</v>
      </c>
      <c r="G1366" s="2" t="s">
        <v>2634</v>
      </c>
      <c r="H1366" s="4" t="n">
        <v>0.2263</v>
      </c>
      <c r="I1366" s="2" t="s">
        <v>23</v>
      </c>
      <c r="J1366" s="2" t="s">
        <v>19</v>
      </c>
      <c r="K1366" s="2" t="n">
        <v>12</v>
      </c>
      <c r="L1366" s="2" t="n">
        <v>0</v>
      </c>
      <c r="M1366" s="2" t="n">
        <v>1</v>
      </c>
    </row>
    <row r="1367" customFormat="false" ht="15" hidden="false" customHeight="false" outlineLevel="0" collapsed="false">
      <c r="A1367" s="2" t="s">
        <v>2972</v>
      </c>
      <c r="B1367" s="2" t="s">
        <v>2973</v>
      </c>
      <c r="C1367" s="2" t="n">
        <v>5</v>
      </c>
      <c r="D1367" s="2" t="s">
        <v>15</v>
      </c>
      <c r="E1367" s="2" t="s">
        <v>2867</v>
      </c>
      <c r="F1367" s="3" t="n">
        <v>45793.8486111111</v>
      </c>
      <c r="G1367" s="2" t="s">
        <v>2634</v>
      </c>
      <c r="H1367" s="4" t="n">
        <v>0</v>
      </c>
      <c r="I1367" s="2" t="s">
        <v>18</v>
      </c>
      <c r="J1367" s="2" t="s">
        <v>19</v>
      </c>
      <c r="K1367" s="2" t="n">
        <v>5</v>
      </c>
      <c r="L1367" s="2" t="n">
        <v>0</v>
      </c>
      <c r="M1367" s="2" t="n">
        <v>1</v>
      </c>
    </row>
    <row r="1368" customFormat="false" ht="15" hidden="false" customHeight="false" outlineLevel="0" collapsed="false">
      <c r="A1368" s="2" t="s">
        <v>2974</v>
      </c>
      <c r="B1368" s="2" t="s">
        <v>2975</v>
      </c>
      <c r="C1368" s="2" t="n">
        <v>5</v>
      </c>
      <c r="D1368" s="2" t="s">
        <v>90</v>
      </c>
      <c r="E1368" s="2" t="s">
        <v>2867</v>
      </c>
      <c r="F1368" s="3" t="n">
        <v>45794.0895833333</v>
      </c>
      <c r="G1368" s="2" t="s">
        <v>2634</v>
      </c>
      <c r="H1368" s="4" t="n">
        <v>0.6249</v>
      </c>
      <c r="I1368" s="2" t="s">
        <v>23</v>
      </c>
      <c r="J1368" s="2" t="s">
        <v>37</v>
      </c>
      <c r="K1368" s="2" t="n">
        <v>4</v>
      </c>
      <c r="L1368" s="2" t="n">
        <v>0</v>
      </c>
      <c r="M1368" s="2" t="n">
        <v>1</v>
      </c>
    </row>
    <row r="1369" customFormat="false" ht="15" hidden="false" customHeight="false" outlineLevel="0" collapsed="false">
      <c r="A1369" s="2" t="s">
        <v>2976</v>
      </c>
      <c r="B1369" s="2" t="s">
        <v>2977</v>
      </c>
      <c r="C1369" s="2" t="n">
        <v>5</v>
      </c>
      <c r="D1369" s="2" t="s">
        <v>90</v>
      </c>
      <c r="E1369" s="2" t="s">
        <v>2867</v>
      </c>
      <c r="F1369" s="3" t="n">
        <v>45794.1652777778</v>
      </c>
      <c r="G1369" s="2" t="s">
        <v>2634</v>
      </c>
      <c r="H1369" s="4" t="n">
        <v>0.6249</v>
      </c>
      <c r="I1369" s="2" t="s">
        <v>23</v>
      </c>
      <c r="J1369" s="2" t="s">
        <v>37</v>
      </c>
      <c r="K1369" s="2" t="n">
        <v>2</v>
      </c>
      <c r="L1369" s="2" t="n">
        <v>0</v>
      </c>
      <c r="M1369" s="2" t="n">
        <v>1</v>
      </c>
    </row>
    <row r="1370" customFormat="false" ht="15" hidden="false" customHeight="false" outlineLevel="0" collapsed="false">
      <c r="A1370" s="2" t="s">
        <v>2978</v>
      </c>
      <c r="B1370" s="2" t="s">
        <v>2979</v>
      </c>
      <c r="C1370" s="2" t="n">
        <v>5</v>
      </c>
      <c r="D1370" s="2" t="s">
        <v>787</v>
      </c>
      <c r="E1370" s="2" t="s">
        <v>2867</v>
      </c>
      <c r="F1370" s="3" t="n">
        <v>45794.2694444444</v>
      </c>
      <c r="G1370" s="2" t="s">
        <v>2634</v>
      </c>
      <c r="H1370" s="4" t="n">
        <v>0.7475</v>
      </c>
      <c r="I1370" s="2" t="s">
        <v>23</v>
      </c>
      <c r="J1370" s="2" t="s">
        <v>37</v>
      </c>
      <c r="K1370" s="2" t="n">
        <v>3</v>
      </c>
      <c r="L1370" s="2" t="n">
        <v>0</v>
      </c>
      <c r="M1370" s="2" t="n">
        <v>1</v>
      </c>
    </row>
    <row r="1371" customFormat="false" ht="15" hidden="false" customHeight="false" outlineLevel="0" collapsed="false">
      <c r="A1371" s="2" t="s">
        <v>2980</v>
      </c>
      <c r="B1371" s="2" t="s">
        <v>2981</v>
      </c>
      <c r="C1371" s="2" t="n">
        <v>4</v>
      </c>
      <c r="D1371" s="2" t="s">
        <v>96</v>
      </c>
      <c r="E1371" s="2" t="s">
        <v>2867</v>
      </c>
      <c r="F1371" s="3" t="n">
        <v>45794.3875</v>
      </c>
      <c r="G1371" s="2" t="s">
        <v>2634</v>
      </c>
      <c r="H1371" s="4" t="n">
        <v>0.6369</v>
      </c>
      <c r="I1371" s="2" t="s">
        <v>23</v>
      </c>
      <c r="J1371" s="2" t="s">
        <v>19</v>
      </c>
      <c r="K1371" s="2" t="n">
        <v>3</v>
      </c>
      <c r="L1371" s="2" t="n">
        <v>0</v>
      </c>
      <c r="M1371" s="2" t="n">
        <v>1</v>
      </c>
    </row>
    <row r="1372" customFormat="false" ht="15" hidden="false" customHeight="false" outlineLevel="0" collapsed="false">
      <c r="A1372" s="2" t="s">
        <v>2982</v>
      </c>
      <c r="B1372" s="2" t="s">
        <v>2983</v>
      </c>
      <c r="C1372" s="2" t="n">
        <v>2</v>
      </c>
      <c r="D1372" s="2" t="s">
        <v>295</v>
      </c>
      <c r="E1372" s="2" t="s">
        <v>2867</v>
      </c>
      <c r="F1372" s="3" t="n">
        <v>45794.4173611111</v>
      </c>
      <c r="G1372" s="2" t="s">
        <v>2634</v>
      </c>
      <c r="H1372" s="4" t="n">
        <v>-0.5023</v>
      </c>
      <c r="I1372" s="2" t="s">
        <v>84</v>
      </c>
      <c r="J1372" s="2" t="s">
        <v>33</v>
      </c>
      <c r="K1372" s="2" t="n">
        <v>1</v>
      </c>
      <c r="L1372" s="2" t="n">
        <v>1</v>
      </c>
      <c r="M1372" s="2" t="n">
        <v>1</v>
      </c>
    </row>
    <row r="1373" customFormat="false" ht="15" hidden="false" customHeight="false" outlineLevel="0" collapsed="false">
      <c r="A1373" s="2" t="s">
        <v>2984</v>
      </c>
      <c r="B1373" s="2" t="s">
        <v>2985</v>
      </c>
      <c r="C1373" s="2" t="n">
        <v>4</v>
      </c>
      <c r="D1373" s="2" t="s">
        <v>22</v>
      </c>
      <c r="E1373" s="2" t="s">
        <v>2867</v>
      </c>
      <c r="F1373" s="3" t="n">
        <v>45794.4319444444</v>
      </c>
      <c r="G1373" s="2" t="s">
        <v>2634</v>
      </c>
      <c r="H1373" s="4" t="n">
        <v>0.2023</v>
      </c>
      <c r="I1373" s="2" t="s">
        <v>23</v>
      </c>
      <c r="J1373" s="2" t="s">
        <v>19</v>
      </c>
      <c r="K1373" s="2" t="n">
        <v>0</v>
      </c>
      <c r="L1373" s="2" t="n">
        <v>0</v>
      </c>
      <c r="M1373" s="2" t="n">
        <v>1</v>
      </c>
    </row>
    <row r="1374" customFormat="false" ht="15" hidden="false" customHeight="false" outlineLevel="0" collapsed="false">
      <c r="A1374" s="2" t="s">
        <v>2986</v>
      </c>
      <c r="B1374" s="2" t="s">
        <v>2987</v>
      </c>
      <c r="C1374" s="2" t="n">
        <v>4</v>
      </c>
      <c r="D1374" s="2" t="s">
        <v>87</v>
      </c>
      <c r="E1374" s="2" t="s">
        <v>2867</v>
      </c>
      <c r="F1374" s="3" t="n">
        <v>45794.5756944444</v>
      </c>
      <c r="G1374" s="2" t="s">
        <v>2634</v>
      </c>
      <c r="H1374" s="4" t="n">
        <v>0</v>
      </c>
      <c r="I1374" s="2" t="s">
        <v>18</v>
      </c>
      <c r="J1374" s="2" t="s">
        <v>19</v>
      </c>
      <c r="K1374" s="2" t="n">
        <v>2</v>
      </c>
      <c r="L1374" s="2" t="n">
        <v>0</v>
      </c>
      <c r="M1374" s="2" t="n">
        <v>1</v>
      </c>
    </row>
    <row r="1375" customFormat="false" ht="15" hidden="false" customHeight="false" outlineLevel="0" collapsed="false">
      <c r="A1375" s="2" t="s">
        <v>2988</v>
      </c>
      <c r="B1375" s="2" t="s">
        <v>2989</v>
      </c>
      <c r="C1375" s="2" t="n">
        <v>5</v>
      </c>
      <c r="D1375" s="2" t="s">
        <v>40</v>
      </c>
      <c r="E1375" s="2" t="s">
        <v>2867</v>
      </c>
      <c r="F1375" s="3" t="n">
        <v>45794.6618055556</v>
      </c>
      <c r="G1375" s="2" t="s">
        <v>2634</v>
      </c>
      <c r="H1375" s="4" t="n">
        <v>0.4019</v>
      </c>
      <c r="I1375" s="2" t="s">
        <v>23</v>
      </c>
      <c r="J1375" s="2" t="s">
        <v>33</v>
      </c>
      <c r="K1375" s="2" t="n">
        <v>3</v>
      </c>
      <c r="L1375" s="2" t="n">
        <v>1</v>
      </c>
      <c r="M1375" s="2" t="n">
        <v>1</v>
      </c>
    </row>
    <row r="1376" customFormat="false" ht="15" hidden="false" customHeight="false" outlineLevel="0" collapsed="false">
      <c r="A1376" s="2" t="s">
        <v>2990</v>
      </c>
      <c r="B1376" s="2" t="s">
        <v>2991</v>
      </c>
      <c r="C1376" s="2" t="n">
        <v>5</v>
      </c>
      <c r="D1376" s="2" t="s">
        <v>336</v>
      </c>
      <c r="E1376" s="2" t="s">
        <v>2867</v>
      </c>
      <c r="F1376" s="3" t="n">
        <v>45794.9770833333</v>
      </c>
      <c r="G1376" s="2" t="s">
        <v>2634</v>
      </c>
      <c r="H1376" s="4" t="n">
        <v>0.7088</v>
      </c>
      <c r="I1376" s="2" t="s">
        <v>23</v>
      </c>
      <c r="J1376" s="2" t="s">
        <v>19</v>
      </c>
      <c r="K1376" s="2" t="n">
        <v>0</v>
      </c>
      <c r="L1376" s="2" t="n">
        <v>0</v>
      </c>
      <c r="M1376" s="2" t="n">
        <v>1</v>
      </c>
    </row>
    <row r="1377" customFormat="false" ht="15" hidden="false" customHeight="false" outlineLevel="0" collapsed="false">
      <c r="A1377" s="2" t="s">
        <v>2992</v>
      </c>
      <c r="B1377" s="2" t="s">
        <v>2993</v>
      </c>
      <c r="C1377" s="2" t="n">
        <v>5</v>
      </c>
      <c r="D1377" s="2" t="s">
        <v>40</v>
      </c>
      <c r="E1377" s="2" t="s">
        <v>2867</v>
      </c>
      <c r="F1377" s="3" t="n">
        <v>45794.9819444444</v>
      </c>
      <c r="G1377" s="2" t="s">
        <v>2634</v>
      </c>
      <c r="H1377" s="4" t="n">
        <v>0.4019</v>
      </c>
      <c r="I1377" s="2" t="s">
        <v>23</v>
      </c>
      <c r="J1377" s="2" t="s">
        <v>33</v>
      </c>
      <c r="K1377" s="2" t="n">
        <v>1</v>
      </c>
      <c r="L1377" s="2" t="n">
        <v>0</v>
      </c>
      <c r="M1377" s="2" t="n">
        <v>1</v>
      </c>
    </row>
    <row r="1378" customFormat="false" ht="15" hidden="false" customHeight="false" outlineLevel="0" collapsed="false">
      <c r="A1378" s="2" t="s">
        <v>2994</v>
      </c>
      <c r="B1378" s="2" t="s">
        <v>2995</v>
      </c>
      <c r="C1378" s="2" t="n">
        <v>5</v>
      </c>
      <c r="D1378" s="2" t="s">
        <v>47</v>
      </c>
      <c r="E1378" s="2" t="s">
        <v>2867</v>
      </c>
      <c r="F1378" s="3" t="n">
        <v>45794.9854166667</v>
      </c>
      <c r="G1378" s="2" t="s">
        <v>2634</v>
      </c>
      <c r="H1378" s="4" t="n">
        <v>0.3089</v>
      </c>
      <c r="I1378" s="2" t="s">
        <v>23</v>
      </c>
      <c r="J1378" s="2" t="s">
        <v>19</v>
      </c>
      <c r="K1378" s="2" t="n">
        <v>2</v>
      </c>
      <c r="L1378" s="2" t="n">
        <v>0</v>
      </c>
      <c r="M1378" s="2" t="n">
        <v>1</v>
      </c>
    </row>
    <row r="1379" customFormat="false" ht="15" hidden="false" customHeight="false" outlineLevel="0" collapsed="false">
      <c r="A1379" s="2" t="s">
        <v>2996</v>
      </c>
      <c r="B1379" s="2" t="s">
        <v>2997</v>
      </c>
      <c r="C1379" s="2" t="n">
        <v>4</v>
      </c>
      <c r="D1379" s="2" t="s">
        <v>374</v>
      </c>
      <c r="E1379" s="2" t="s">
        <v>2867</v>
      </c>
      <c r="F1379" s="3" t="n">
        <v>45795.2840277778</v>
      </c>
      <c r="G1379" s="2" t="s">
        <v>2634</v>
      </c>
      <c r="H1379" s="4" t="n">
        <v>0.6369</v>
      </c>
      <c r="I1379" s="2" t="s">
        <v>23</v>
      </c>
      <c r="J1379" s="2" t="s">
        <v>19</v>
      </c>
      <c r="K1379" s="2" t="n">
        <v>4</v>
      </c>
      <c r="L1379" s="2" t="n">
        <v>0</v>
      </c>
      <c r="M1379" s="2" t="n">
        <v>1</v>
      </c>
    </row>
    <row r="1380" customFormat="false" ht="15" hidden="false" customHeight="false" outlineLevel="0" collapsed="false">
      <c r="A1380" s="2" t="s">
        <v>2998</v>
      </c>
      <c r="B1380" s="2" t="s">
        <v>2999</v>
      </c>
      <c r="C1380" s="2" t="n">
        <v>4</v>
      </c>
      <c r="D1380" s="2" t="s">
        <v>799</v>
      </c>
      <c r="E1380" s="2" t="s">
        <v>2867</v>
      </c>
      <c r="F1380" s="3" t="n">
        <v>45795.3340277778</v>
      </c>
      <c r="G1380" s="2" t="s">
        <v>2634</v>
      </c>
      <c r="H1380" s="4" t="n">
        <v>0.9606</v>
      </c>
      <c r="I1380" s="2" t="s">
        <v>23</v>
      </c>
      <c r="J1380" s="2" t="s">
        <v>37</v>
      </c>
      <c r="K1380" s="2" t="n">
        <v>1</v>
      </c>
      <c r="L1380" s="2" t="n">
        <v>0</v>
      </c>
      <c r="M1380" s="2" t="n">
        <v>1</v>
      </c>
    </row>
    <row r="1381" customFormat="false" ht="15" hidden="false" customHeight="false" outlineLevel="0" collapsed="false">
      <c r="A1381" s="2" t="s">
        <v>3000</v>
      </c>
      <c r="B1381" s="2" t="s">
        <v>3001</v>
      </c>
      <c r="C1381" s="2" t="n">
        <v>5</v>
      </c>
      <c r="D1381" s="2" t="s">
        <v>47</v>
      </c>
      <c r="E1381" s="2" t="s">
        <v>2867</v>
      </c>
      <c r="F1381" s="3" t="n">
        <v>45795.5069444445</v>
      </c>
      <c r="G1381" s="2" t="s">
        <v>2634</v>
      </c>
      <c r="H1381" s="4" t="n">
        <v>0.3089</v>
      </c>
      <c r="I1381" s="2" t="s">
        <v>23</v>
      </c>
      <c r="J1381" s="2" t="s">
        <v>19</v>
      </c>
      <c r="K1381" s="2" t="n">
        <v>1</v>
      </c>
      <c r="L1381" s="2" t="n">
        <v>0</v>
      </c>
      <c r="M1381" s="2" t="n">
        <v>1</v>
      </c>
    </row>
    <row r="1382" customFormat="false" ht="15" hidden="false" customHeight="false" outlineLevel="0" collapsed="false">
      <c r="A1382" s="2" t="s">
        <v>3002</v>
      </c>
      <c r="B1382" s="2" t="s">
        <v>3003</v>
      </c>
      <c r="C1382" s="2" t="n">
        <v>5</v>
      </c>
      <c r="D1382" s="2" t="s">
        <v>96</v>
      </c>
      <c r="E1382" s="2" t="s">
        <v>2867</v>
      </c>
      <c r="F1382" s="3" t="n">
        <v>45795.6006944445</v>
      </c>
      <c r="G1382" s="2" t="s">
        <v>2634</v>
      </c>
      <c r="H1382" s="4" t="n">
        <v>0.6369</v>
      </c>
      <c r="I1382" s="2" t="s">
        <v>23</v>
      </c>
      <c r="J1382" s="2" t="s">
        <v>19</v>
      </c>
      <c r="K1382" s="2" t="n">
        <v>8</v>
      </c>
      <c r="L1382" s="2" t="n">
        <v>0</v>
      </c>
      <c r="M1382" s="2" t="n">
        <v>1</v>
      </c>
    </row>
    <row r="1383" customFormat="false" ht="15" hidden="false" customHeight="false" outlineLevel="0" collapsed="false">
      <c r="A1383" s="2" t="s">
        <v>3004</v>
      </c>
      <c r="B1383" s="2" t="s">
        <v>3005</v>
      </c>
      <c r="C1383" s="2" t="n">
        <v>5</v>
      </c>
      <c r="D1383" s="2" t="s">
        <v>127</v>
      </c>
      <c r="E1383" s="2" t="s">
        <v>2867</v>
      </c>
      <c r="F1383" s="3" t="n">
        <v>45795.6048611111</v>
      </c>
      <c r="G1383" s="2" t="s">
        <v>2634</v>
      </c>
      <c r="H1383" s="4" t="n">
        <v>0.9359</v>
      </c>
      <c r="I1383" s="2" t="s">
        <v>23</v>
      </c>
      <c r="J1383" s="2" t="s">
        <v>37</v>
      </c>
      <c r="K1383" s="2" t="n">
        <v>3</v>
      </c>
      <c r="L1383" s="2" t="n">
        <v>0</v>
      </c>
      <c r="M1383" s="2" t="n">
        <v>1</v>
      </c>
    </row>
    <row r="1384" customFormat="false" ht="15" hidden="false" customHeight="false" outlineLevel="0" collapsed="false">
      <c r="A1384" s="2" t="s">
        <v>3006</v>
      </c>
      <c r="B1384" s="2" t="s">
        <v>3007</v>
      </c>
      <c r="C1384" s="2" t="n">
        <v>5</v>
      </c>
      <c r="D1384" s="2" t="s">
        <v>1217</v>
      </c>
      <c r="E1384" s="2" t="s">
        <v>2867</v>
      </c>
      <c r="F1384" s="3" t="n">
        <v>45795.6326388889</v>
      </c>
      <c r="G1384" s="2" t="s">
        <v>2634</v>
      </c>
      <c r="H1384" s="4" t="n">
        <v>0.8748</v>
      </c>
      <c r="I1384" s="2" t="s">
        <v>23</v>
      </c>
      <c r="J1384" s="2" t="s">
        <v>37</v>
      </c>
      <c r="K1384" s="2" t="n">
        <v>6</v>
      </c>
      <c r="L1384" s="2" t="n">
        <v>0</v>
      </c>
      <c r="M1384" s="2" t="n">
        <v>1</v>
      </c>
    </row>
    <row r="1385" customFormat="false" ht="15" hidden="false" customHeight="false" outlineLevel="0" collapsed="false">
      <c r="A1385" s="2" t="s">
        <v>3008</v>
      </c>
      <c r="B1385" s="2" t="s">
        <v>3009</v>
      </c>
      <c r="C1385" s="2" t="n">
        <v>1</v>
      </c>
      <c r="D1385" s="2" t="s">
        <v>823</v>
      </c>
      <c r="E1385" s="2" t="s">
        <v>2867</v>
      </c>
      <c r="F1385" s="3" t="n">
        <v>45795.6416666667</v>
      </c>
      <c r="G1385" s="2" t="s">
        <v>2634</v>
      </c>
      <c r="H1385" s="4" t="n">
        <v>-0.6997</v>
      </c>
      <c r="I1385" s="2" t="s">
        <v>84</v>
      </c>
      <c r="J1385" s="2" t="s">
        <v>19</v>
      </c>
      <c r="K1385" s="2" t="n">
        <v>8</v>
      </c>
      <c r="L1385" s="2" t="n">
        <v>0</v>
      </c>
      <c r="M1385" s="2" t="n">
        <v>1</v>
      </c>
    </row>
    <row r="1386" customFormat="false" ht="15" hidden="false" customHeight="false" outlineLevel="0" collapsed="false">
      <c r="A1386" s="2" t="s">
        <v>3010</v>
      </c>
      <c r="B1386" s="2" t="s">
        <v>3011</v>
      </c>
      <c r="C1386" s="2" t="n">
        <v>4</v>
      </c>
      <c r="D1386" s="2" t="s">
        <v>67</v>
      </c>
      <c r="E1386" s="2" t="s">
        <v>2867</v>
      </c>
      <c r="F1386" s="3" t="n">
        <v>45795.7263888889</v>
      </c>
      <c r="G1386" s="2" t="s">
        <v>2634</v>
      </c>
      <c r="H1386" s="4" t="n">
        <v>0.8953</v>
      </c>
      <c r="I1386" s="2" t="s">
        <v>23</v>
      </c>
      <c r="J1386" s="2" t="s">
        <v>19</v>
      </c>
      <c r="K1386" s="2" t="n">
        <v>12</v>
      </c>
      <c r="L1386" s="2" t="n">
        <v>0</v>
      </c>
      <c r="M1386" s="2" t="n">
        <v>1</v>
      </c>
    </row>
    <row r="1387" customFormat="false" ht="15" hidden="false" customHeight="false" outlineLevel="0" collapsed="false">
      <c r="A1387" s="2" t="s">
        <v>3012</v>
      </c>
      <c r="B1387" s="2" t="s">
        <v>3013</v>
      </c>
      <c r="C1387" s="2" t="n">
        <v>5</v>
      </c>
      <c r="D1387" s="2" t="s">
        <v>96</v>
      </c>
      <c r="E1387" s="2" t="s">
        <v>2867</v>
      </c>
      <c r="F1387" s="3" t="n">
        <v>45796.0076388889</v>
      </c>
      <c r="G1387" s="2" t="s">
        <v>2634</v>
      </c>
      <c r="H1387" s="4" t="n">
        <v>0.6369</v>
      </c>
      <c r="I1387" s="2" t="s">
        <v>23</v>
      </c>
      <c r="J1387" s="2" t="s">
        <v>19</v>
      </c>
      <c r="K1387" s="2" t="n">
        <v>4</v>
      </c>
      <c r="L1387" s="2" t="n">
        <v>0</v>
      </c>
      <c r="M1387" s="2" t="n">
        <v>1</v>
      </c>
    </row>
    <row r="1388" customFormat="false" ht="15" hidden="false" customHeight="false" outlineLevel="0" collapsed="false">
      <c r="A1388" s="2" t="s">
        <v>3014</v>
      </c>
      <c r="B1388" s="2" t="s">
        <v>3015</v>
      </c>
      <c r="C1388" s="2" t="n">
        <v>4</v>
      </c>
      <c r="D1388" s="2" t="s">
        <v>62</v>
      </c>
      <c r="E1388" s="2" t="s">
        <v>2867</v>
      </c>
      <c r="F1388" s="3" t="n">
        <v>45796.1020833333</v>
      </c>
      <c r="G1388" s="2" t="s">
        <v>2634</v>
      </c>
      <c r="H1388" s="4" t="n">
        <v>0.7088</v>
      </c>
      <c r="I1388" s="2" t="s">
        <v>23</v>
      </c>
      <c r="J1388" s="2" t="s">
        <v>19</v>
      </c>
      <c r="K1388" s="2" t="n">
        <v>5</v>
      </c>
      <c r="L1388" s="2" t="n">
        <v>0</v>
      </c>
      <c r="M1388" s="2" t="n">
        <v>1</v>
      </c>
    </row>
    <row r="1389" customFormat="false" ht="15" hidden="false" customHeight="false" outlineLevel="0" collapsed="false">
      <c r="A1389" s="2" t="s">
        <v>3016</v>
      </c>
      <c r="B1389" s="2" t="s">
        <v>3017</v>
      </c>
      <c r="C1389" s="2" t="n">
        <v>5</v>
      </c>
      <c r="D1389" s="2" t="s">
        <v>62</v>
      </c>
      <c r="E1389" s="2" t="s">
        <v>2867</v>
      </c>
      <c r="F1389" s="3" t="n">
        <v>45796.1875</v>
      </c>
      <c r="G1389" s="2" t="s">
        <v>2634</v>
      </c>
      <c r="H1389" s="4" t="n">
        <v>0.7088</v>
      </c>
      <c r="I1389" s="2" t="s">
        <v>23</v>
      </c>
      <c r="J1389" s="2" t="s">
        <v>19</v>
      </c>
      <c r="K1389" s="2" t="n">
        <v>3</v>
      </c>
      <c r="L1389" s="2" t="n">
        <v>0</v>
      </c>
      <c r="M1389" s="2" t="n">
        <v>1</v>
      </c>
    </row>
    <row r="1390" customFormat="false" ht="15" hidden="false" customHeight="false" outlineLevel="0" collapsed="false">
      <c r="A1390" s="2" t="s">
        <v>3018</v>
      </c>
      <c r="B1390" s="2" t="s">
        <v>367</v>
      </c>
      <c r="C1390" s="2" t="n">
        <v>4</v>
      </c>
      <c r="D1390" s="2" t="s">
        <v>99</v>
      </c>
      <c r="E1390" s="2" t="s">
        <v>2867</v>
      </c>
      <c r="F1390" s="3" t="n">
        <v>45796.3361111111</v>
      </c>
      <c r="G1390" s="2" t="s">
        <v>2634</v>
      </c>
      <c r="H1390" s="4" t="n">
        <v>-0.3089</v>
      </c>
      <c r="I1390" s="2" t="s">
        <v>84</v>
      </c>
      <c r="J1390" s="2" t="s">
        <v>19</v>
      </c>
      <c r="K1390" s="2" t="n">
        <v>4</v>
      </c>
      <c r="L1390" s="2" t="n">
        <v>0</v>
      </c>
      <c r="M1390" s="2" t="n">
        <v>1</v>
      </c>
    </row>
    <row r="1391" customFormat="false" ht="15" hidden="false" customHeight="false" outlineLevel="0" collapsed="false">
      <c r="A1391" s="2" t="s">
        <v>3019</v>
      </c>
      <c r="B1391" s="2" t="s">
        <v>3020</v>
      </c>
      <c r="C1391" s="2" t="n">
        <v>5</v>
      </c>
      <c r="D1391" s="2" t="s">
        <v>1683</v>
      </c>
      <c r="E1391" s="2" t="s">
        <v>2867</v>
      </c>
      <c r="F1391" s="3" t="n">
        <v>45796.4479166667</v>
      </c>
      <c r="G1391" s="2" t="s">
        <v>2634</v>
      </c>
      <c r="H1391" s="4" t="n">
        <v>0.6369</v>
      </c>
      <c r="I1391" s="2" t="s">
        <v>23</v>
      </c>
      <c r="J1391" s="2" t="s">
        <v>19</v>
      </c>
      <c r="K1391" s="2" t="n">
        <v>15</v>
      </c>
      <c r="L1391" s="2" t="n">
        <v>0</v>
      </c>
      <c r="M1391" s="2" t="n">
        <v>1</v>
      </c>
    </row>
    <row r="1392" customFormat="false" ht="15" hidden="false" customHeight="false" outlineLevel="0" collapsed="false">
      <c r="A1392" s="2" t="s">
        <v>3021</v>
      </c>
      <c r="B1392" s="2" t="s">
        <v>3022</v>
      </c>
      <c r="C1392" s="2" t="n">
        <v>5</v>
      </c>
      <c r="D1392" s="2" t="s">
        <v>127</v>
      </c>
      <c r="E1392" s="2" t="s">
        <v>2867</v>
      </c>
      <c r="F1392" s="3" t="n">
        <v>45796.5701388889</v>
      </c>
      <c r="G1392" s="2" t="s">
        <v>2634</v>
      </c>
      <c r="H1392" s="4" t="n">
        <v>0.9359</v>
      </c>
      <c r="I1392" s="2" t="s">
        <v>23</v>
      </c>
      <c r="J1392" s="2" t="s">
        <v>37</v>
      </c>
      <c r="K1392" s="2" t="n">
        <v>4</v>
      </c>
      <c r="L1392" s="2" t="n">
        <v>0</v>
      </c>
      <c r="M1392" s="2" t="n">
        <v>1</v>
      </c>
    </row>
    <row r="1393" customFormat="false" ht="15" hidden="false" customHeight="false" outlineLevel="0" collapsed="false">
      <c r="A1393" s="2" t="s">
        <v>3023</v>
      </c>
      <c r="B1393" s="2" t="s">
        <v>3024</v>
      </c>
      <c r="C1393" s="2" t="n">
        <v>5</v>
      </c>
      <c r="D1393" s="2" t="s">
        <v>96</v>
      </c>
      <c r="E1393" s="2" t="s">
        <v>2867</v>
      </c>
      <c r="F1393" s="3" t="n">
        <v>45796.7534722222</v>
      </c>
      <c r="G1393" s="2" t="s">
        <v>2634</v>
      </c>
      <c r="H1393" s="4" t="n">
        <v>0.6369</v>
      </c>
      <c r="I1393" s="2" t="s">
        <v>23</v>
      </c>
      <c r="J1393" s="2" t="s">
        <v>19</v>
      </c>
      <c r="K1393" s="2" t="n">
        <v>6</v>
      </c>
      <c r="L1393" s="2" t="n">
        <v>0</v>
      </c>
      <c r="M1393" s="2" t="n">
        <v>1</v>
      </c>
    </row>
    <row r="1394" customFormat="false" ht="15" hidden="false" customHeight="false" outlineLevel="0" collapsed="false">
      <c r="A1394" s="2" t="s">
        <v>3025</v>
      </c>
      <c r="B1394" s="2" t="s">
        <v>3026</v>
      </c>
      <c r="C1394" s="2" t="n">
        <v>3</v>
      </c>
      <c r="D1394" s="2" t="s">
        <v>1400</v>
      </c>
      <c r="E1394" s="2" t="s">
        <v>2867</v>
      </c>
      <c r="F1394" s="3" t="n">
        <v>45796.7875</v>
      </c>
      <c r="G1394" s="2" t="s">
        <v>2634</v>
      </c>
      <c r="H1394" s="4" t="n">
        <v>0.4019</v>
      </c>
      <c r="I1394" s="2" t="s">
        <v>23</v>
      </c>
      <c r="J1394" s="2" t="s">
        <v>19</v>
      </c>
      <c r="K1394" s="2" t="n">
        <v>5</v>
      </c>
      <c r="L1394" s="2" t="n">
        <v>0</v>
      </c>
      <c r="M1394" s="2" t="n">
        <v>1</v>
      </c>
    </row>
    <row r="1395" customFormat="false" ht="15" hidden="false" customHeight="false" outlineLevel="0" collapsed="false">
      <c r="A1395" s="2" t="s">
        <v>3027</v>
      </c>
      <c r="B1395" s="2" t="s">
        <v>3028</v>
      </c>
      <c r="C1395" s="2" t="n">
        <v>5</v>
      </c>
      <c r="D1395" s="2" t="s">
        <v>90</v>
      </c>
      <c r="E1395" s="2" t="s">
        <v>2867</v>
      </c>
      <c r="F1395" s="3" t="n">
        <v>45796.8215277778</v>
      </c>
      <c r="G1395" s="2" t="s">
        <v>2634</v>
      </c>
      <c r="H1395" s="4" t="n">
        <v>0.6249</v>
      </c>
      <c r="I1395" s="2" t="s">
        <v>23</v>
      </c>
      <c r="J1395" s="2" t="s">
        <v>37</v>
      </c>
      <c r="K1395" s="2" t="n">
        <v>1</v>
      </c>
      <c r="L1395" s="2" t="n">
        <v>0</v>
      </c>
      <c r="M1395" s="2" t="n">
        <v>1</v>
      </c>
    </row>
    <row r="1396" customFormat="false" ht="15" hidden="false" customHeight="false" outlineLevel="0" collapsed="false">
      <c r="A1396" s="2" t="s">
        <v>3029</v>
      </c>
      <c r="B1396" s="2" t="s">
        <v>3030</v>
      </c>
      <c r="C1396" s="2" t="n">
        <v>5</v>
      </c>
      <c r="D1396" s="2" t="s">
        <v>47</v>
      </c>
      <c r="E1396" s="2" t="s">
        <v>2867</v>
      </c>
      <c r="F1396" s="3" t="n">
        <v>45797.0145833333</v>
      </c>
      <c r="G1396" s="2" t="s">
        <v>2634</v>
      </c>
      <c r="H1396" s="4" t="n">
        <v>0.3089</v>
      </c>
      <c r="I1396" s="2" t="s">
        <v>23</v>
      </c>
      <c r="J1396" s="2" t="s">
        <v>19</v>
      </c>
      <c r="K1396" s="2" t="n">
        <v>1</v>
      </c>
      <c r="L1396" s="2" t="n">
        <v>0</v>
      </c>
      <c r="M1396" s="2" t="n">
        <v>1</v>
      </c>
    </row>
    <row r="1397" customFormat="false" ht="15" hidden="false" customHeight="false" outlineLevel="0" collapsed="false">
      <c r="A1397" s="2" t="s">
        <v>3031</v>
      </c>
      <c r="B1397" s="2" t="s">
        <v>3032</v>
      </c>
      <c r="C1397" s="2" t="n">
        <v>5</v>
      </c>
      <c r="D1397" s="2" t="s">
        <v>738</v>
      </c>
      <c r="E1397" s="2" t="s">
        <v>2867</v>
      </c>
      <c r="F1397" s="3" t="n">
        <v>45797.0472222222</v>
      </c>
      <c r="G1397" s="2" t="s">
        <v>2634</v>
      </c>
      <c r="H1397" s="4" t="n">
        <v>0.9612</v>
      </c>
      <c r="I1397" s="2" t="s">
        <v>23</v>
      </c>
      <c r="J1397" s="2" t="s">
        <v>37</v>
      </c>
      <c r="K1397" s="2" t="n">
        <v>6</v>
      </c>
      <c r="L1397" s="2" t="n">
        <v>0</v>
      </c>
      <c r="M1397" s="2" t="n">
        <v>1</v>
      </c>
    </row>
    <row r="1398" customFormat="false" ht="15" hidden="false" customHeight="false" outlineLevel="0" collapsed="false">
      <c r="A1398" s="2" t="s">
        <v>3033</v>
      </c>
      <c r="B1398" s="2" t="s">
        <v>3034</v>
      </c>
      <c r="C1398" s="2" t="n">
        <v>1</v>
      </c>
      <c r="D1398" s="2" t="s">
        <v>721</v>
      </c>
      <c r="E1398" s="2" t="s">
        <v>2867</v>
      </c>
      <c r="F1398" s="3" t="n">
        <v>45797.3006944444</v>
      </c>
      <c r="G1398" s="2" t="s">
        <v>2634</v>
      </c>
      <c r="H1398" s="4" t="n">
        <v>-0.4588</v>
      </c>
      <c r="I1398" s="2" t="s">
        <v>84</v>
      </c>
      <c r="J1398" s="2" t="s">
        <v>37</v>
      </c>
      <c r="K1398" s="2" t="n">
        <v>3</v>
      </c>
      <c r="L1398" s="2" t="n">
        <v>0</v>
      </c>
      <c r="M1398" s="2" t="n">
        <v>1</v>
      </c>
    </row>
    <row r="1399" customFormat="false" ht="15" hidden="false" customHeight="false" outlineLevel="0" collapsed="false">
      <c r="A1399" s="2" t="s">
        <v>3035</v>
      </c>
      <c r="B1399" s="2" t="s">
        <v>3036</v>
      </c>
      <c r="C1399" s="2" t="n">
        <v>5</v>
      </c>
      <c r="D1399" s="2" t="s">
        <v>127</v>
      </c>
      <c r="E1399" s="2" t="s">
        <v>2867</v>
      </c>
      <c r="F1399" s="3" t="n">
        <v>45797.4972222222</v>
      </c>
      <c r="G1399" s="2" t="s">
        <v>2634</v>
      </c>
      <c r="H1399" s="4" t="n">
        <v>0.9359</v>
      </c>
      <c r="I1399" s="2" t="s">
        <v>23</v>
      </c>
      <c r="J1399" s="2" t="s">
        <v>37</v>
      </c>
      <c r="K1399" s="2" t="n">
        <v>5</v>
      </c>
      <c r="L1399" s="2" t="n">
        <v>0</v>
      </c>
      <c r="M1399" s="2" t="n">
        <v>1</v>
      </c>
    </row>
    <row r="1400" customFormat="false" ht="15" hidden="false" customHeight="false" outlineLevel="0" collapsed="false">
      <c r="A1400" s="2" t="s">
        <v>3037</v>
      </c>
      <c r="B1400" s="2" t="s">
        <v>3038</v>
      </c>
      <c r="C1400" s="2" t="n">
        <v>5</v>
      </c>
      <c r="D1400" s="2" t="s">
        <v>62</v>
      </c>
      <c r="E1400" s="2" t="s">
        <v>2867</v>
      </c>
      <c r="F1400" s="3" t="n">
        <v>45797.6701388889</v>
      </c>
      <c r="G1400" s="2" t="s">
        <v>2634</v>
      </c>
      <c r="H1400" s="4" t="n">
        <v>0.7088</v>
      </c>
      <c r="I1400" s="2" t="s">
        <v>23</v>
      </c>
      <c r="J1400" s="2" t="s">
        <v>19</v>
      </c>
      <c r="K1400" s="2" t="n">
        <v>0</v>
      </c>
      <c r="L1400" s="2" t="n">
        <v>0</v>
      </c>
      <c r="M1400" s="2" t="n">
        <v>1</v>
      </c>
    </row>
    <row r="1401" customFormat="false" ht="15" hidden="false" customHeight="false" outlineLevel="0" collapsed="false">
      <c r="A1401" s="2" t="s">
        <v>3039</v>
      </c>
      <c r="B1401" s="2" t="s">
        <v>3040</v>
      </c>
      <c r="C1401" s="2" t="n">
        <v>3</v>
      </c>
      <c r="D1401" s="2" t="s">
        <v>455</v>
      </c>
      <c r="E1401" s="2" t="s">
        <v>2867</v>
      </c>
      <c r="F1401" s="3" t="n">
        <v>45797.7</v>
      </c>
      <c r="G1401" s="2" t="s">
        <v>2634</v>
      </c>
      <c r="H1401" s="4" t="n">
        <v>-0.2263</v>
      </c>
      <c r="I1401" s="2" t="s">
        <v>84</v>
      </c>
      <c r="J1401" s="2" t="s">
        <v>165</v>
      </c>
      <c r="K1401" s="2" t="n">
        <v>0</v>
      </c>
      <c r="L1401" s="2" t="n">
        <v>0</v>
      </c>
      <c r="M1401" s="2" t="n">
        <v>1</v>
      </c>
    </row>
    <row r="1402" customFormat="false" ht="15" hidden="false" customHeight="false" outlineLevel="0" collapsed="false">
      <c r="A1402" s="2" t="s">
        <v>3041</v>
      </c>
      <c r="B1402" s="2" t="s">
        <v>3042</v>
      </c>
      <c r="C1402" s="2" t="n">
        <v>1</v>
      </c>
      <c r="D1402" s="2" t="s">
        <v>701</v>
      </c>
      <c r="E1402" s="2" t="s">
        <v>2867</v>
      </c>
      <c r="F1402" s="3" t="n">
        <v>45797.725</v>
      </c>
      <c r="G1402" s="2" t="s">
        <v>2634</v>
      </c>
      <c r="H1402" s="4" t="n">
        <v>-0.7184</v>
      </c>
      <c r="I1402" s="2" t="s">
        <v>84</v>
      </c>
      <c r="J1402" s="2" t="s">
        <v>37</v>
      </c>
      <c r="K1402" s="2" t="n">
        <v>4</v>
      </c>
      <c r="L1402" s="2" t="n">
        <v>1</v>
      </c>
      <c r="M1402" s="2" t="n">
        <v>1</v>
      </c>
    </row>
    <row r="1403" customFormat="false" ht="15" hidden="false" customHeight="false" outlineLevel="0" collapsed="false">
      <c r="A1403" s="2" t="s">
        <v>3043</v>
      </c>
      <c r="B1403" s="2" t="s">
        <v>3044</v>
      </c>
      <c r="C1403" s="2" t="n">
        <v>4</v>
      </c>
      <c r="D1403" s="2" t="s">
        <v>47</v>
      </c>
      <c r="E1403" s="2" t="s">
        <v>2867</v>
      </c>
      <c r="F1403" s="3" t="n">
        <v>45797.7395833333</v>
      </c>
      <c r="G1403" s="2" t="s">
        <v>2634</v>
      </c>
      <c r="H1403" s="4" t="n">
        <v>0.3089</v>
      </c>
      <c r="I1403" s="2" t="s">
        <v>23</v>
      </c>
      <c r="J1403" s="2" t="s">
        <v>19</v>
      </c>
      <c r="K1403" s="2" t="n">
        <v>2</v>
      </c>
      <c r="L1403" s="2" t="n">
        <v>0</v>
      </c>
      <c r="M1403" s="2" t="n">
        <v>1</v>
      </c>
    </row>
    <row r="1404" customFormat="false" ht="15" hidden="false" customHeight="false" outlineLevel="0" collapsed="false">
      <c r="A1404" s="2" t="s">
        <v>3045</v>
      </c>
      <c r="B1404" s="2" t="s">
        <v>3046</v>
      </c>
      <c r="C1404" s="2" t="n">
        <v>4</v>
      </c>
      <c r="D1404" s="2" t="s">
        <v>47</v>
      </c>
      <c r="E1404" s="2" t="s">
        <v>2867</v>
      </c>
      <c r="F1404" s="3" t="n">
        <v>45797.7798611111</v>
      </c>
      <c r="G1404" s="2" t="s">
        <v>2634</v>
      </c>
      <c r="H1404" s="4" t="n">
        <v>0.3089</v>
      </c>
      <c r="I1404" s="2" t="s">
        <v>23</v>
      </c>
      <c r="J1404" s="2" t="s">
        <v>19</v>
      </c>
      <c r="K1404" s="2" t="n">
        <v>11</v>
      </c>
      <c r="L1404" s="2" t="n">
        <v>0</v>
      </c>
      <c r="M1404" s="2" t="n">
        <v>1</v>
      </c>
    </row>
    <row r="1405" customFormat="false" ht="15" hidden="false" customHeight="false" outlineLevel="0" collapsed="false">
      <c r="A1405" s="2" t="s">
        <v>3047</v>
      </c>
      <c r="B1405" s="2" t="s">
        <v>3048</v>
      </c>
      <c r="C1405" s="2" t="n">
        <v>1</v>
      </c>
      <c r="D1405" s="2" t="s">
        <v>482</v>
      </c>
      <c r="E1405" s="2" t="s">
        <v>2867</v>
      </c>
      <c r="F1405" s="3" t="n">
        <v>45797.8083333333</v>
      </c>
      <c r="G1405" s="2" t="s">
        <v>2634</v>
      </c>
      <c r="H1405" s="4" t="n">
        <v>-0.6808</v>
      </c>
      <c r="I1405" s="2" t="s">
        <v>84</v>
      </c>
      <c r="J1405" s="2" t="s">
        <v>110</v>
      </c>
      <c r="K1405" s="2" t="n">
        <v>2</v>
      </c>
      <c r="L1405" s="2" t="n">
        <v>1</v>
      </c>
      <c r="M1405" s="2" t="n">
        <v>1</v>
      </c>
    </row>
    <row r="1406" customFormat="false" ht="15" hidden="false" customHeight="false" outlineLevel="0" collapsed="false">
      <c r="A1406" s="2" t="s">
        <v>3049</v>
      </c>
      <c r="B1406" s="2" t="s">
        <v>3050</v>
      </c>
      <c r="C1406" s="2" t="n">
        <v>3</v>
      </c>
      <c r="D1406" s="2" t="s">
        <v>87</v>
      </c>
      <c r="E1406" s="2" t="s">
        <v>2867</v>
      </c>
      <c r="F1406" s="3" t="n">
        <v>45797.8458333333</v>
      </c>
      <c r="G1406" s="2" t="s">
        <v>2634</v>
      </c>
      <c r="H1406" s="4" t="n">
        <v>0</v>
      </c>
      <c r="I1406" s="2" t="s">
        <v>18</v>
      </c>
      <c r="J1406" s="2" t="s">
        <v>19</v>
      </c>
      <c r="K1406" s="2" t="n">
        <v>0</v>
      </c>
      <c r="L1406" s="2" t="n">
        <v>0</v>
      </c>
      <c r="M1406" s="2" t="n">
        <v>1</v>
      </c>
    </row>
    <row r="1407" customFormat="false" ht="15" hidden="false" customHeight="false" outlineLevel="0" collapsed="false">
      <c r="A1407" s="2" t="s">
        <v>3051</v>
      </c>
      <c r="B1407" s="2" t="s">
        <v>3052</v>
      </c>
      <c r="C1407" s="2" t="n">
        <v>3</v>
      </c>
      <c r="D1407" s="2" t="s">
        <v>3053</v>
      </c>
      <c r="E1407" s="2" t="s">
        <v>2867</v>
      </c>
      <c r="F1407" s="3" t="n">
        <v>45797.9680555556</v>
      </c>
      <c r="G1407" s="2" t="s">
        <v>2634</v>
      </c>
      <c r="H1407" s="4" t="n">
        <v>-0.4449</v>
      </c>
      <c r="I1407" s="2" t="s">
        <v>84</v>
      </c>
      <c r="J1407" s="2" t="s">
        <v>19</v>
      </c>
      <c r="K1407" s="2" t="n">
        <v>4</v>
      </c>
      <c r="L1407" s="2" t="n">
        <v>0</v>
      </c>
      <c r="M1407" s="2" t="n">
        <v>1</v>
      </c>
    </row>
    <row r="1408" customFormat="false" ht="15" hidden="false" customHeight="false" outlineLevel="0" collapsed="false">
      <c r="A1408" s="2" t="s">
        <v>3054</v>
      </c>
      <c r="B1408" s="2" t="s">
        <v>3055</v>
      </c>
      <c r="C1408" s="2" t="n">
        <v>5</v>
      </c>
      <c r="D1408" s="2" t="s">
        <v>127</v>
      </c>
      <c r="E1408" s="2" t="s">
        <v>2867</v>
      </c>
      <c r="F1408" s="3" t="n">
        <v>45798.0368055556</v>
      </c>
      <c r="G1408" s="2" t="s">
        <v>2634</v>
      </c>
      <c r="H1408" s="4" t="n">
        <v>0.9359</v>
      </c>
      <c r="I1408" s="2" t="s">
        <v>23</v>
      </c>
      <c r="J1408" s="2" t="s">
        <v>37</v>
      </c>
      <c r="K1408" s="2" t="n">
        <v>5</v>
      </c>
      <c r="L1408" s="2" t="n">
        <v>0</v>
      </c>
      <c r="M1408" s="2" t="n">
        <v>1</v>
      </c>
    </row>
    <row r="1409" customFormat="false" ht="15" hidden="false" customHeight="false" outlineLevel="0" collapsed="false">
      <c r="A1409" s="2" t="s">
        <v>3056</v>
      </c>
      <c r="B1409" s="2" t="s">
        <v>3057</v>
      </c>
      <c r="C1409" s="2" t="n">
        <v>5</v>
      </c>
      <c r="D1409" s="2" t="s">
        <v>40</v>
      </c>
      <c r="E1409" s="2" t="s">
        <v>2867</v>
      </c>
      <c r="F1409" s="3" t="n">
        <v>45798.1256944445</v>
      </c>
      <c r="G1409" s="2" t="s">
        <v>2634</v>
      </c>
      <c r="H1409" s="4" t="n">
        <v>0.4019</v>
      </c>
      <c r="I1409" s="2" t="s">
        <v>23</v>
      </c>
      <c r="J1409" s="2" t="s">
        <v>33</v>
      </c>
      <c r="K1409" s="2" t="n">
        <v>0</v>
      </c>
      <c r="L1409" s="2" t="n">
        <v>0</v>
      </c>
      <c r="M1409" s="2" t="n">
        <v>1</v>
      </c>
    </row>
    <row r="1410" customFormat="false" ht="15" hidden="false" customHeight="false" outlineLevel="0" collapsed="false">
      <c r="A1410" s="2" t="s">
        <v>3058</v>
      </c>
      <c r="B1410" s="2" t="s">
        <v>763</v>
      </c>
      <c r="C1410" s="2" t="n">
        <v>4</v>
      </c>
      <c r="D1410" s="2" t="s">
        <v>1363</v>
      </c>
      <c r="E1410" s="2" t="s">
        <v>2867</v>
      </c>
      <c r="F1410" s="3" t="n">
        <v>45798.33125</v>
      </c>
      <c r="G1410" s="2" t="s">
        <v>2634</v>
      </c>
      <c r="H1410" s="4" t="n">
        <v>0.6597</v>
      </c>
      <c r="I1410" s="2" t="s">
        <v>23</v>
      </c>
      <c r="J1410" s="2" t="s">
        <v>33</v>
      </c>
      <c r="K1410" s="2" t="n">
        <v>1</v>
      </c>
      <c r="L1410" s="2" t="n">
        <v>0</v>
      </c>
      <c r="M1410" s="2" t="n">
        <v>1</v>
      </c>
    </row>
    <row r="1411" customFormat="false" ht="15" hidden="false" customHeight="false" outlineLevel="0" collapsed="false">
      <c r="A1411" s="2" t="s">
        <v>3059</v>
      </c>
      <c r="B1411" s="2" t="s">
        <v>3060</v>
      </c>
      <c r="C1411" s="2" t="n">
        <v>1</v>
      </c>
      <c r="D1411" s="2" t="s">
        <v>199</v>
      </c>
      <c r="E1411" s="2" t="s">
        <v>2867</v>
      </c>
      <c r="F1411" s="3" t="n">
        <v>45798.5458333333</v>
      </c>
      <c r="G1411" s="2" t="s">
        <v>2634</v>
      </c>
      <c r="H1411" s="4" t="n">
        <v>-0.7424</v>
      </c>
      <c r="I1411" s="2" t="s">
        <v>84</v>
      </c>
      <c r="J1411" s="2" t="s">
        <v>59</v>
      </c>
      <c r="K1411" s="2" t="n">
        <v>6</v>
      </c>
      <c r="L1411" s="2" t="n">
        <v>1</v>
      </c>
      <c r="M1411" s="2" t="n">
        <v>1</v>
      </c>
    </row>
    <row r="1412" customFormat="false" ht="15" hidden="false" customHeight="false" outlineLevel="0" collapsed="false">
      <c r="A1412" s="2" t="s">
        <v>3061</v>
      </c>
      <c r="B1412" s="2" t="s">
        <v>3062</v>
      </c>
      <c r="C1412" s="2" t="n">
        <v>5</v>
      </c>
      <c r="D1412" s="2" t="s">
        <v>389</v>
      </c>
      <c r="E1412" s="2" t="s">
        <v>2867</v>
      </c>
      <c r="F1412" s="3" t="n">
        <v>45798.6409722222</v>
      </c>
      <c r="G1412" s="2" t="s">
        <v>2634</v>
      </c>
      <c r="H1412" s="4" t="n">
        <v>0.8519</v>
      </c>
      <c r="I1412" s="2" t="s">
        <v>23</v>
      </c>
      <c r="J1412" s="2" t="s">
        <v>37</v>
      </c>
      <c r="K1412" s="2" t="n">
        <v>1</v>
      </c>
      <c r="L1412" s="2" t="n">
        <v>0</v>
      </c>
      <c r="M1412" s="2" t="n">
        <v>1</v>
      </c>
    </row>
    <row r="1413" customFormat="false" ht="15" hidden="false" customHeight="false" outlineLevel="0" collapsed="false">
      <c r="A1413" s="2" t="s">
        <v>3063</v>
      </c>
      <c r="B1413" s="2" t="s">
        <v>3064</v>
      </c>
      <c r="C1413" s="2" t="n">
        <v>5</v>
      </c>
      <c r="D1413" s="2" t="s">
        <v>1949</v>
      </c>
      <c r="E1413" s="2" t="s">
        <v>2867</v>
      </c>
      <c r="F1413" s="3" t="n">
        <v>45798.7020833333</v>
      </c>
      <c r="G1413" s="2" t="s">
        <v>2634</v>
      </c>
      <c r="H1413" s="4" t="n">
        <v>0</v>
      </c>
      <c r="I1413" s="2" t="s">
        <v>18</v>
      </c>
      <c r="J1413" s="2" t="s">
        <v>19</v>
      </c>
      <c r="K1413" s="2" t="n">
        <v>0</v>
      </c>
      <c r="L1413" s="2" t="n">
        <v>0</v>
      </c>
      <c r="M1413" s="2" t="n">
        <v>1</v>
      </c>
    </row>
    <row r="1414" customFormat="false" ht="15" hidden="false" customHeight="false" outlineLevel="0" collapsed="false">
      <c r="A1414" s="2" t="s">
        <v>3065</v>
      </c>
      <c r="B1414" s="2" t="s">
        <v>3066</v>
      </c>
      <c r="C1414" s="2" t="n">
        <v>5</v>
      </c>
      <c r="D1414" s="2" t="s">
        <v>62</v>
      </c>
      <c r="E1414" s="2" t="s">
        <v>2867</v>
      </c>
      <c r="F1414" s="3" t="n">
        <v>45798.7673611111</v>
      </c>
      <c r="G1414" s="2" t="s">
        <v>2634</v>
      </c>
      <c r="H1414" s="4" t="n">
        <v>0.7088</v>
      </c>
      <c r="I1414" s="2" t="s">
        <v>23</v>
      </c>
      <c r="J1414" s="2" t="s">
        <v>19</v>
      </c>
      <c r="K1414" s="2" t="n">
        <v>8</v>
      </c>
      <c r="L1414" s="2" t="n">
        <v>0</v>
      </c>
      <c r="M1414" s="2" t="n">
        <v>1</v>
      </c>
    </row>
    <row r="1415" customFormat="false" ht="15" hidden="false" customHeight="false" outlineLevel="0" collapsed="false">
      <c r="A1415" s="2" t="s">
        <v>3067</v>
      </c>
      <c r="B1415" s="2" t="s">
        <v>3068</v>
      </c>
      <c r="C1415" s="2" t="n">
        <v>5</v>
      </c>
      <c r="D1415" s="2" t="s">
        <v>52</v>
      </c>
      <c r="E1415" s="2" t="s">
        <v>2867</v>
      </c>
      <c r="F1415" s="3" t="n">
        <v>45799.0736111111</v>
      </c>
      <c r="G1415" s="2" t="s">
        <v>2634</v>
      </c>
      <c r="H1415" s="4" t="n">
        <v>0.6369</v>
      </c>
      <c r="I1415" s="2" t="s">
        <v>23</v>
      </c>
      <c r="J1415" s="2" t="s">
        <v>19</v>
      </c>
      <c r="K1415" s="2" t="n">
        <v>1</v>
      </c>
      <c r="L1415" s="2" t="n">
        <v>0</v>
      </c>
      <c r="M1415" s="2" t="n">
        <v>1</v>
      </c>
    </row>
    <row r="1416" customFormat="false" ht="15" hidden="false" customHeight="false" outlineLevel="0" collapsed="false">
      <c r="A1416" s="2" t="s">
        <v>3069</v>
      </c>
      <c r="B1416" s="2" t="s">
        <v>3070</v>
      </c>
      <c r="C1416" s="2" t="n">
        <v>5</v>
      </c>
      <c r="D1416" s="2" t="s">
        <v>127</v>
      </c>
      <c r="E1416" s="2" t="s">
        <v>2867</v>
      </c>
      <c r="F1416" s="3" t="n">
        <v>45799.1923611111</v>
      </c>
      <c r="G1416" s="2" t="s">
        <v>2634</v>
      </c>
      <c r="H1416" s="4" t="n">
        <v>0.9359</v>
      </c>
      <c r="I1416" s="2" t="s">
        <v>23</v>
      </c>
      <c r="J1416" s="2" t="s">
        <v>37</v>
      </c>
      <c r="K1416" s="2" t="n">
        <v>0</v>
      </c>
      <c r="L1416" s="2" t="n">
        <v>1</v>
      </c>
      <c r="M1416" s="2" t="n">
        <v>1</v>
      </c>
    </row>
    <row r="1417" customFormat="false" ht="15" hidden="false" customHeight="false" outlineLevel="0" collapsed="false">
      <c r="A1417" s="2" t="s">
        <v>3071</v>
      </c>
      <c r="B1417" s="2" t="s">
        <v>3072</v>
      </c>
      <c r="C1417" s="2" t="n">
        <v>2</v>
      </c>
      <c r="D1417" s="2" t="s">
        <v>133</v>
      </c>
      <c r="E1417" s="2" t="s">
        <v>2867</v>
      </c>
      <c r="F1417" s="3" t="n">
        <v>45799.2034722222</v>
      </c>
      <c r="G1417" s="2" t="s">
        <v>2634</v>
      </c>
      <c r="H1417" s="4" t="n">
        <v>-0.5719</v>
      </c>
      <c r="I1417" s="2" t="s">
        <v>84</v>
      </c>
      <c r="J1417" s="2" t="s">
        <v>33</v>
      </c>
      <c r="K1417" s="2" t="n">
        <v>15</v>
      </c>
      <c r="L1417" s="2" t="n">
        <v>1</v>
      </c>
      <c r="M1417" s="2" t="n">
        <v>1</v>
      </c>
    </row>
    <row r="1418" customFormat="false" ht="15" hidden="false" customHeight="false" outlineLevel="0" collapsed="false">
      <c r="A1418" s="2" t="s">
        <v>3073</v>
      </c>
      <c r="B1418" s="2" t="s">
        <v>3074</v>
      </c>
      <c r="C1418" s="2" t="n">
        <v>1</v>
      </c>
      <c r="D1418" s="2" t="s">
        <v>3075</v>
      </c>
      <c r="E1418" s="2" t="s">
        <v>2867</v>
      </c>
      <c r="F1418" s="3" t="n">
        <v>45799.2166666667</v>
      </c>
      <c r="G1418" s="2" t="s">
        <v>2634</v>
      </c>
      <c r="H1418" s="4" t="n">
        <v>0.2263</v>
      </c>
      <c r="I1418" s="2" t="s">
        <v>23</v>
      </c>
      <c r="J1418" s="2" t="s">
        <v>110</v>
      </c>
      <c r="K1418" s="2" t="n">
        <v>2</v>
      </c>
      <c r="L1418" s="2" t="n">
        <v>0</v>
      </c>
      <c r="M1418" s="2" t="n">
        <v>1</v>
      </c>
    </row>
    <row r="1419" customFormat="false" ht="15" hidden="false" customHeight="false" outlineLevel="0" collapsed="false">
      <c r="A1419" s="2" t="s">
        <v>3076</v>
      </c>
      <c r="B1419" s="2" t="s">
        <v>3077</v>
      </c>
      <c r="C1419" s="2" t="n">
        <v>5</v>
      </c>
      <c r="D1419" s="2" t="s">
        <v>96</v>
      </c>
      <c r="E1419" s="2" t="s">
        <v>2867</v>
      </c>
      <c r="F1419" s="3" t="n">
        <v>45799.3131944445</v>
      </c>
      <c r="G1419" s="2" t="s">
        <v>2634</v>
      </c>
      <c r="H1419" s="4" t="n">
        <v>0.6369</v>
      </c>
      <c r="I1419" s="2" t="s">
        <v>23</v>
      </c>
      <c r="J1419" s="2" t="s">
        <v>19</v>
      </c>
      <c r="K1419" s="2" t="n">
        <v>0</v>
      </c>
      <c r="L1419" s="2" t="n">
        <v>0</v>
      </c>
      <c r="M1419" s="2" t="n">
        <v>1</v>
      </c>
    </row>
    <row r="1420" customFormat="false" ht="15" hidden="false" customHeight="false" outlineLevel="0" collapsed="false">
      <c r="A1420" s="2" t="s">
        <v>3078</v>
      </c>
      <c r="B1420" s="2" t="s">
        <v>3079</v>
      </c>
      <c r="C1420" s="2" t="n">
        <v>3</v>
      </c>
      <c r="D1420" s="2" t="s">
        <v>87</v>
      </c>
      <c r="E1420" s="2" t="s">
        <v>2867</v>
      </c>
      <c r="F1420" s="3" t="n">
        <v>45799.35</v>
      </c>
      <c r="G1420" s="2" t="s">
        <v>2634</v>
      </c>
      <c r="H1420" s="4" t="n">
        <v>0</v>
      </c>
      <c r="I1420" s="2" t="s">
        <v>18</v>
      </c>
      <c r="J1420" s="2" t="s">
        <v>19</v>
      </c>
      <c r="K1420" s="2" t="n">
        <v>5</v>
      </c>
      <c r="L1420" s="2" t="n">
        <v>0</v>
      </c>
      <c r="M1420" s="2" t="n">
        <v>1</v>
      </c>
    </row>
    <row r="1421" customFormat="false" ht="15" hidden="false" customHeight="false" outlineLevel="0" collapsed="false">
      <c r="A1421" s="2" t="s">
        <v>3080</v>
      </c>
      <c r="B1421" s="2" t="s">
        <v>163</v>
      </c>
      <c r="C1421" s="2" t="n">
        <v>4</v>
      </c>
      <c r="D1421" s="2" t="s">
        <v>52</v>
      </c>
      <c r="E1421" s="2" t="s">
        <v>2867</v>
      </c>
      <c r="F1421" s="3" t="n">
        <v>45799.5159722222</v>
      </c>
      <c r="G1421" s="2" t="s">
        <v>2634</v>
      </c>
      <c r="H1421" s="4" t="n">
        <v>0.6369</v>
      </c>
      <c r="I1421" s="2" t="s">
        <v>23</v>
      </c>
      <c r="J1421" s="2" t="s">
        <v>19</v>
      </c>
      <c r="K1421" s="2" t="n">
        <v>3</v>
      </c>
      <c r="L1421" s="2" t="n">
        <v>0</v>
      </c>
      <c r="M1421" s="2" t="n">
        <v>1</v>
      </c>
    </row>
    <row r="1422" customFormat="false" ht="15" hidden="false" customHeight="false" outlineLevel="0" collapsed="false">
      <c r="A1422" s="2" t="s">
        <v>3081</v>
      </c>
      <c r="B1422" s="2" t="s">
        <v>3082</v>
      </c>
      <c r="C1422" s="2" t="n">
        <v>3</v>
      </c>
      <c r="D1422" s="2" t="s">
        <v>22</v>
      </c>
      <c r="E1422" s="2" t="s">
        <v>2867</v>
      </c>
      <c r="F1422" s="3" t="n">
        <v>45799.5534722222</v>
      </c>
      <c r="G1422" s="2" t="s">
        <v>2634</v>
      </c>
      <c r="H1422" s="4" t="n">
        <v>0.2023</v>
      </c>
      <c r="I1422" s="2" t="s">
        <v>23</v>
      </c>
      <c r="J1422" s="2" t="s">
        <v>19</v>
      </c>
      <c r="K1422" s="2" t="n">
        <v>2</v>
      </c>
      <c r="L1422" s="2" t="n">
        <v>0</v>
      </c>
      <c r="M1422" s="2" t="n">
        <v>1</v>
      </c>
    </row>
    <row r="1423" customFormat="false" ht="15" hidden="false" customHeight="false" outlineLevel="0" collapsed="false">
      <c r="A1423" s="2" t="s">
        <v>3083</v>
      </c>
      <c r="B1423" s="2" t="s">
        <v>3084</v>
      </c>
      <c r="C1423" s="2" t="n">
        <v>2</v>
      </c>
      <c r="D1423" s="2" t="s">
        <v>3085</v>
      </c>
      <c r="E1423" s="2" t="s">
        <v>2867</v>
      </c>
      <c r="F1423" s="3" t="n">
        <v>45799.6458333333</v>
      </c>
      <c r="G1423" s="2" t="s">
        <v>2634</v>
      </c>
      <c r="H1423" s="4" t="n">
        <v>0.2023</v>
      </c>
      <c r="I1423" s="2" t="s">
        <v>23</v>
      </c>
      <c r="J1423" s="2" t="s">
        <v>59</v>
      </c>
      <c r="K1423" s="2" t="n">
        <v>3</v>
      </c>
      <c r="L1423" s="2" t="n">
        <v>0</v>
      </c>
      <c r="M1423" s="2" t="n">
        <v>1</v>
      </c>
    </row>
    <row r="1424" customFormat="false" ht="15" hidden="false" customHeight="false" outlineLevel="0" collapsed="false">
      <c r="A1424" s="2" t="s">
        <v>3086</v>
      </c>
      <c r="B1424" s="2" t="s">
        <v>3087</v>
      </c>
      <c r="C1424" s="2" t="n">
        <v>5</v>
      </c>
      <c r="D1424" s="2" t="s">
        <v>121</v>
      </c>
      <c r="E1424" s="2" t="s">
        <v>2867</v>
      </c>
      <c r="F1424" s="3" t="n">
        <v>45799.7381944444</v>
      </c>
      <c r="G1424" s="2" t="s">
        <v>2634</v>
      </c>
      <c r="H1424" s="4" t="n">
        <v>0.607</v>
      </c>
      <c r="I1424" s="2" t="s">
        <v>23</v>
      </c>
      <c r="J1424" s="2" t="s">
        <v>33</v>
      </c>
      <c r="K1424" s="2" t="n">
        <v>0</v>
      </c>
      <c r="L1424" s="2" t="n">
        <v>0</v>
      </c>
      <c r="M1424" s="2" t="n">
        <v>1</v>
      </c>
    </row>
    <row r="1425" customFormat="false" ht="15" hidden="false" customHeight="false" outlineLevel="0" collapsed="false">
      <c r="A1425" s="2" t="s">
        <v>3088</v>
      </c>
      <c r="B1425" s="2" t="s">
        <v>3089</v>
      </c>
      <c r="C1425" s="2" t="n">
        <v>4</v>
      </c>
      <c r="D1425" s="2" t="s">
        <v>420</v>
      </c>
      <c r="E1425" s="2" t="s">
        <v>2867</v>
      </c>
      <c r="F1425" s="3" t="n">
        <v>45799.8805555556</v>
      </c>
      <c r="G1425" s="2" t="s">
        <v>2634</v>
      </c>
      <c r="H1425" s="4" t="n">
        <v>0.7845</v>
      </c>
      <c r="I1425" s="2" t="s">
        <v>23</v>
      </c>
      <c r="J1425" s="2" t="s">
        <v>33</v>
      </c>
      <c r="K1425" s="2" t="n">
        <v>0</v>
      </c>
      <c r="L1425" s="2" t="n">
        <v>0</v>
      </c>
      <c r="M1425" s="2" t="n">
        <v>1</v>
      </c>
    </row>
    <row r="1426" customFormat="false" ht="15" hidden="false" customHeight="false" outlineLevel="0" collapsed="false">
      <c r="A1426" s="2" t="s">
        <v>3090</v>
      </c>
      <c r="B1426" s="2" t="s">
        <v>3091</v>
      </c>
      <c r="C1426" s="2" t="n">
        <v>5</v>
      </c>
      <c r="D1426" s="2" t="s">
        <v>40</v>
      </c>
      <c r="E1426" s="2" t="s">
        <v>2867</v>
      </c>
      <c r="F1426" s="3" t="n">
        <v>45799.8986111111</v>
      </c>
      <c r="G1426" s="2" t="s">
        <v>2634</v>
      </c>
      <c r="H1426" s="4" t="n">
        <v>0.4019</v>
      </c>
      <c r="I1426" s="2" t="s">
        <v>23</v>
      </c>
      <c r="J1426" s="2" t="s">
        <v>33</v>
      </c>
      <c r="K1426" s="2" t="n">
        <v>0</v>
      </c>
      <c r="L1426" s="2" t="n">
        <v>0</v>
      </c>
      <c r="M1426" s="2" t="n">
        <v>1</v>
      </c>
    </row>
    <row r="1427" customFormat="false" ht="15" hidden="false" customHeight="false" outlineLevel="0" collapsed="false">
      <c r="A1427" s="2" t="s">
        <v>3092</v>
      </c>
      <c r="B1427" s="2" t="s">
        <v>3093</v>
      </c>
      <c r="C1427" s="2" t="n">
        <v>5</v>
      </c>
      <c r="D1427" s="2" t="s">
        <v>62</v>
      </c>
      <c r="E1427" s="2" t="s">
        <v>2867</v>
      </c>
      <c r="F1427" s="3" t="n">
        <v>45800.1555555556</v>
      </c>
      <c r="G1427" s="2" t="s">
        <v>2634</v>
      </c>
      <c r="H1427" s="4" t="n">
        <v>0.7088</v>
      </c>
      <c r="I1427" s="2" t="s">
        <v>23</v>
      </c>
      <c r="J1427" s="2" t="s">
        <v>19</v>
      </c>
      <c r="K1427" s="2" t="n">
        <v>1</v>
      </c>
      <c r="L1427" s="2" t="n">
        <v>0</v>
      </c>
      <c r="M1427" s="2" t="n">
        <v>1</v>
      </c>
    </row>
    <row r="1428" customFormat="false" ht="15" hidden="false" customHeight="false" outlineLevel="0" collapsed="false">
      <c r="A1428" s="2" t="s">
        <v>3094</v>
      </c>
      <c r="B1428" s="2" t="s">
        <v>3095</v>
      </c>
      <c r="C1428" s="2" t="n">
        <v>3</v>
      </c>
      <c r="D1428" s="2" t="s">
        <v>113</v>
      </c>
      <c r="E1428" s="2" t="s">
        <v>2867</v>
      </c>
      <c r="F1428" s="3" t="n">
        <v>45800.1861111111</v>
      </c>
      <c r="G1428" s="2" t="s">
        <v>2634</v>
      </c>
      <c r="H1428" s="4" t="n">
        <v>-0.431</v>
      </c>
      <c r="I1428" s="2" t="s">
        <v>84</v>
      </c>
      <c r="J1428" s="2" t="s">
        <v>19</v>
      </c>
      <c r="K1428" s="2" t="n">
        <v>3</v>
      </c>
      <c r="L1428" s="2" t="n">
        <v>0</v>
      </c>
      <c r="M1428" s="2" t="n">
        <v>1</v>
      </c>
    </row>
    <row r="1429" customFormat="false" ht="15" hidden="false" customHeight="false" outlineLevel="0" collapsed="false">
      <c r="A1429" s="2" t="s">
        <v>3096</v>
      </c>
      <c r="B1429" s="2" t="s">
        <v>3097</v>
      </c>
      <c r="C1429" s="2" t="n">
        <v>5</v>
      </c>
      <c r="D1429" s="2" t="s">
        <v>652</v>
      </c>
      <c r="E1429" s="2" t="s">
        <v>2867</v>
      </c>
      <c r="F1429" s="3" t="n">
        <v>45800.3173611111</v>
      </c>
      <c r="G1429" s="2" t="s">
        <v>2634</v>
      </c>
      <c r="H1429" s="4" t="n">
        <v>0.8555</v>
      </c>
      <c r="I1429" s="2" t="s">
        <v>23</v>
      </c>
      <c r="J1429" s="2" t="s">
        <v>19</v>
      </c>
      <c r="K1429" s="2" t="n">
        <v>2</v>
      </c>
      <c r="L1429" s="2" t="n">
        <v>0</v>
      </c>
      <c r="M1429" s="2" t="n">
        <v>1</v>
      </c>
    </row>
    <row r="1430" customFormat="false" ht="15" hidden="false" customHeight="false" outlineLevel="0" collapsed="false">
      <c r="A1430" s="2" t="s">
        <v>3098</v>
      </c>
      <c r="B1430" s="2" t="s">
        <v>3099</v>
      </c>
      <c r="C1430" s="2" t="n">
        <v>4</v>
      </c>
      <c r="D1430" s="2" t="s">
        <v>62</v>
      </c>
      <c r="E1430" s="2" t="s">
        <v>2867</v>
      </c>
      <c r="F1430" s="3" t="n">
        <v>45800.4340277778</v>
      </c>
      <c r="G1430" s="2" t="s">
        <v>2634</v>
      </c>
      <c r="H1430" s="4" t="n">
        <v>0.7088</v>
      </c>
      <c r="I1430" s="2" t="s">
        <v>23</v>
      </c>
      <c r="J1430" s="2" t="s">
        <v>19</v>
      </c>
      <c r="K1430" s="2" t="n">
        <v>1</v>
      </c>
      <c r="L1430" s="2" t="n">
        <v>0</v>
      </c>
      <c r="M1430" s="2" t="n">
        <v>1</v>
      </c>
    </row>
    <row r="1431" customFormat="false" ht="15" hidden="false" customHeight="false" outlineLevel="0" collapsed="false">
      <c r="A1431" s="2" t="s">
        <v>3100</v>
      </c>
      <c r="B1431" s="2" t="s">
        <v>3101</v>
      </c>
      <c r="C1431" s="2" t="n">
        <v>4</v>
      </c>
      <c r="D1431" s="2" t="s">
        <v>565</v>
      </c>
      <c r="E1431" s="2" t="s">
        <v>2867</v>
      </c>
      <c r="F1431" s="3" t="n">
        <v>45800.8131944445</v>
      </c>
      <c r="G1431" s="2" t="s">
        <v>2634</v>
      </c>
      <c r="H1431" s="4" t="n">
        <v>0.7549</v>
      </c>
      <c r="I1431" s="2" t="s">
        <v>23</v>
      </c>
      <c r="J1431" s="2" t="s">
        <v>19</v>
      </c>
      <c r="K1431" s="2" t="n">
        <v>1</v>
      </c>
      <c r="L1431" s="2" t="n">
        <v>0</v>
      </c>
      <c r="M1431" s="2" t="n">
        <v>1</v>
      </c>
    </row>
    <row r="1432" customFormat="false" ht="15" hidden="false" customHeight="false" outlineLevel="0" collapsed="false">
      <c r="A1432" s="2" t="s">
        <v>3102</v>
      </c>
      <c r="B1432" s="2" t="s">
        <v>3103</v>
      </c>
      <c r="C1432" s="2" t="n">
        <v>4</v>
      </c>
      <c r="D1432" s="2" t="s">
        <v>3104</v>
      </c>
      <c r="E1432" s="2" t="s">
        <v>2867</v>
      </c>
      <c r="F1432" s="3" t="n">
        <v>45801.0604166667</v>
      </c>
      <c r="G1432" s="2" t="s">
        <v>2634</v>
      </c>
      <c r="H1432" s="4" t="n">
        <v>0.3089</v>
      </c>
      <c r="I1432" s="2" t="s">
        <v>23</v>
      </c>
      <c r="J1432" s="2" t="s">
        <v>19</v>
      </c>
      <c r="K1432" s="2" t="n">
        <v>2</v>
      </c>
      <c r="L1432" s="2" t="n">
        <v>0</v>
      </c>
      <c r="M1432" s="2" t="n">
        <v>1</v>
      </c>
    </row>
    <row r="1433" customFormat="false" ht="15" hidden="false" customHeight="false" outlineLevel="0" collapsed="false">
      <c r="A1433" s="2" t="s">
        <v>3105</v>
      </c>
      <c r="B1433" s="2" t="s">
        <v>3106</v>
      </c>
      <c r="C1433" s="2" t="n">
        <v>5</v>
      </c>
      <c r="D1433" s="2" t="s">
        <v>2578</v>
      </c>
      <c r="E1433" s="2" t="s">
        <v>2867</v>
      </c>
      <c r="F1433" s="3" t="n">
        <v>45801.0645833333</v>
      </c>
      <c r="G1433" s="2" t="s">
        <v>2634</v>
      </c>
      <c r="H1433" s="4" t="n">
        <v>0.9626</v>
      </c>
      <c r="I1433" s="2" t="s">
        <v>23</v>
      </c>
      <c r="J1433" s="2" t="s">
        <v>37</v>
      </c>
      <c r="K1433" s="2" t="n">
        <v>5</v>
      </c>
      <c r="L1433" s="2" t="n">
        <v>0</v>
      </c>
      <c r="M1433" s="2" t="n">
        <v>1</v>
      </c>
    </row>
    <row r="1434" customFormat="false" ht="15" hidden="false" customHeight="false" outlineLevel="0" collapsed="false">
      <c r="A1434" s="2" t="s">
        <v>3107</v>
      </c>
      <c r="B1434" s="2" t="s">
        <v>3108</v>
      </c>
      <c r="C1434" s="2" t="n">
        <v>5</v>
      </c>
      <c r="D1434" s="2" t="s">
        <v>121</v>
      </c>
      <c r="E1434" s="2" t="s">
        <v>2867</v>
      </c>
      <c r="F1434" s="3" t="n">
        <v>45801.0791666667</v>
      </c>
      <c r="G1434" s="2" t="s">
        <v>2634</v>
      </c>
      <c r="H1434" s="4" t="n">
        <v>0.607</v>
      </c>
      <c r="I1434" s="2" t="s">
        <v>23</v>
      </c>
      <c r="J1434" s="2" t="s">
        <v>33</v>
      </c>
      <c r="K1434" s="2" t="n">
        <v>0</v>
      </c>
      <c r="L1434" s="2" t="n">
        <v>0</v>
      </c>
      <c r="M1434" s="2" t="n">
        <v>1</v>
      </c>
    </row>
    <row r="1435" customFormat="false" ht="15" hidden="false" customHeight="false" outlineLevel="0" collapsed="false">
      <c r="A1435" s="2" t="s">
        <v>3109</v>
      </c>
      <c r="B1435" s="2" t="s">
        <v>3110</v>
      </c>
      <c r="C1435" s="2" t="n">
        <v>4</v>
      </c>
      <c r="D1435" s="2" t="s">
        <v>943</v>
      </c>
      <c r="E1435" s="2" t="s">
        <v>2867</v>
      </c>
      <c r="F1435" s="3" t="n">
        <v>45801.1673611111</v>
      </c>
      <c r="G1435" s="2" t="s">
        <v>2634</v>
      </c>
      <c r="H1435" s="4" t="n">
        <v>0.7549</v>
      </c>
      <c r="I1435" s="2" t="s">
        <v>23</v>
      </c>
      <c r="J1435" s="2" t="s">
        <v>19</v>
      </c>
      <c r="K1435" s="2" t="n">
        <v>2</v>
      </c>
      <c r="L1435" s="2" t="n">
        <v>0</v>
      </c>
      <c r="M1435" s="2" t="n">
        <v>1</v>
      </c>
    </row>
    <row r="1436" customFormat="false" ht="15" hidden="false" customHeight="false" outlineLevel="0" collapsed="false">
      <c r="A1436" s="2" t="s">
        <v>3111</v>
      </c>
      <c r="B1436" s="2" t="s">
        <v>3112</v>
      </c>
      <c r="C1436" s="2" t="n">
        <v>5</v>
      </c>
      <c r="D1436" s="2" t="s">
        <v>15</v>
      </c>
      <c r="E1436" s="2" t="s">
        <v>2867</v>
      </c>
      <c r="F1436" s="3" t="n">
        <v>45801.23125</v>
      </c>
      <c r="G1436" s="2" t="s">
        <v>2634</v>
      </c>
      <c r="H1436" s="4" t="n">
        <v>0</v>
      </c>
      <c r="I1436" s="2" t="s">
        <v>18</v>
      </c>
      <c r="J1436" s="2" t="s">
        <v>19</v>
      </c>
      <c r="K1436" s="2" t="n">
        <v>0</v>
      </c>
      <c r="L1436" s="2" t="n">
        <v>0</v>
      </c>
      <c r="M1436" s="2" t="n">
        <v>1</v>
      </c>
    </row>
    <row r="1437" customFormat="false" ht="15" hidden="false" customHeight="false" outlineLevel="0" collapsed="false">
      <c r="A1437" s="2" t="s">
        <v>3113</v>
      </c>
      <c r="B1437" s="2" t="s">
        <v>3114</v>
      </c>
      <c r="C1437" s="2" t="n">
        <v>4</v>
      </c>
      <c r="D1437" s="2" t="s">
        <v>96</v>
      </c>
      <c r="E1437" s="2" t="s">
        <v>2867</v>
      </c>
      <c r="F1437" s="3" t="n">
        <v>45801.3840277778</v>
      </c>
      <c r="G1437" s="2" t="s">
        <v>2634</v>
      </c>
      <c r="H1437" s="4" t="n">
        <v>0.6369</v>
      </c>
      <c r="I1437" s="2" t="s">
        <v>23</v>
      </c>
      <c r="J1437" s="2" t="s">
        <v>19</v>
      </c>
      <c r="K1437" s="2" t="n">
        <v>1</v>
      </c>
      <c r="L1437" s="2" t="n">
        <v>0</v>
      </c>
      <c r="M1437" s="2" t="n">
        <v>1</v>
      </c>
    </row>
    <row r="1438" customFormat="false" ht="15" hidden="false" customHeight="false" outlineLevel="0" collapsed="false">
      <c r="A1438" s="2" t="s">
        <v>3115</v>
      </c>
      <c r="B1438" s="2" t="s">
        <v>3116</v>
      </c>
      <c r="C1438" s="2" t="n">
        <v>4</v>
      </c>
      <c r="D1438" s="2" t="s">
        <v>127</v>
      </c>
      <c r="E1438" s="2" t="s">
        <v>2867</v>
      </c>
      <c r="F1438" s="3" t="n">
        <v>45801.5020833333</v>
      </c>
      <c r="G1438" s="2" t="s">
        <v>2634</v>
      </c>
      <c r="H1438" s="4" t="n">
        <v>0.9359</v>
      </c>
      <c r="I1438" s="2" t="s">
        <v>23</v>
      </c>
      <c r="J1438" s="2" t="s">
        <v>37</v>
      </c>
      <c r="K1438" s="2" t="n">
        <v>8</v>
      </c>
      <c r="L1438" s="2" t="n">
        <v>0</v>
      </c>
      <c r="M1438" s="2" t="n">
        <v>1</v>
      </c>
    </row>
    <row r="1439" customFormat="false" ht="15" hidden="false" customHeight="false" outlineLevel="0" collapsed="false">
      <c r="A1439" s="2" t="s">
        <v>3117</v>
      </c>
      <c r="B1439" s="2" t="s">
        <v>3118</v>
      </c>
      <c r="C1439" s="2" t="n">
        <v>4</v>
      </c>
      <c r="D1439" s="2" t="s">
        <v>266</v>
      </c>
      <c r="E1439" s="2" t="s">
        <v>2867</v>
      </c>
      <c r="F1439" s="3" t="n">
        <v>45801.50625</v>
      </c>
      <c r="G1439" s="2" t="s">
        <v>2634</v>
      </c>
      <c r="H1439" s="4" t="n">
        <v>0.7184</v>
      </c>
      <c r="I1439" s="2" t="s">
        <v>23</v>
      </c>
      <c r="J1439" s="2" t="s">
        <v>19</v>
      </c>
      <c r="K1439" s="2" t="n">
        <v>10</v>
      </c>
      <c r="L1439" s="2" t="n">
        <v>0</v>
      </c>
      <c r="M1439" s="2" t="n">
        <v>1</v>
      </c>
    </row>
    <row r="1440" customFormat="false" ht="15" hidden="false" customHeight="false" outlineLevel="0" collapsed="false">
      <c r="A1440" s="2" t="s">
        <v>3119</v>
      </c>
      <c r="B1440" s="2" t="s">
        <v>2168</v>
      </c>
      <c r="C1440" s="2" t="n">
        <v>2</v>
      </c>
      <c r="D1440" s="2" t="s">
        <v>109</v>
      </c>
      <c r="E1440" s="2" t="s">
        <v>2867</v>
      </c>
      <c r="F1440" s="3" t="n">
        <v>45801.5347222222</v>
      </c>
      <c r="G1440" s="2" t="s">
        <v>2634</v>
      </c>
      <c r="H1440" s="4" t="n">
        <v>0</v>
      </c>
      <c r="I1440" s="2" t="s">
        <v>18</v>
      </c>
      <c r="J1440" s="2" t="s">
        <v>110</v>
      </c>
      <c r="K1440" s="2" t="n">
        <v>6</v>
      </c>
      <c r="L1440" s="2" t="n">
        <v>1</v>
      </c>
      <c r="M1440" s="2" t="n">
        <v>1</v>
      </c>
    </row>
    <row r="1441" customFormat="false" ht="15" hidden="false" customHeight="false" outlineLevel="0" collapsed="false">
      <c r="A1441" s="2" t="s">
        <v>3120</v>
      </c>
      <c r="B1441" s="2" t="s">
        <v>3121</v>
      </c>
      <c r="C1441" s="2" t="n">
        <v>4</v>
      </c>
      <c r="D1441" s="2" t="s">
        <v>96</v>
      </c>
      <c r="E1441" s="2" t="s">
        <v>2867</v>
      </c>
      <c r="F1441" s="3" t="n">
        <v>45801.6152777778</v>
      </c>
      <c r="G1441" s="2" t="s">
        <v>2634</v>
      </c>
      <c r="H1441" s="4" t="n">
        <v>0.6369</v>
      </c>
      <c r="I1441" s="2" t="s">
        <v>23</v>
      </c>
      <c r="J1441" s="2" t="s">
        <v>19</v>
      </c>
      <c r="K1441" s="2" t="n">
        <v>5</v>
      </c>
      <c r="L1441" s="2" t="n">
        <v>0</v>
      </c>
      <c r="M1441" s="2" t="n">
        <v>1</v>
      </c>
    </row>
    <row r="1442" customFormat="false" ht="15" hidden="false" customHeight="false" outlineLevel="0" collapsed="false">
      <c r="A1442" s="2" t="s">
        <v>3122</v>
      </c>
      <c r="B1442" s="2" t="s">
        <v>3123</v>
      </c>
      <c r="C1442" s="2" t="n">
        <v>4</v>
      </c>
      <c r="D1442" s="2" t="s">
        <v>40</v>
      </c>
      <c r="E1442" s="2" t="s">
        <v>2867</v>
      </c>
      <c r="F1442" s="3" t="n">
        <v>45801.8930555556</v>
      </c>
      <c r="G1442" s="2" t="s">
        <v>2634</v>
      </c>
      <c r="H1442" s="4" t="n">
        <v>0.4019</v>
      </c>
      <c r="I1442" s="2" t="s">
        <v>23</v>
      </c>
      <c r="J1442" s="2" t="s">
        <v>33</v>
      </c>
      <c r="K1442" s="2" t="n">
        <v>7</v>
      </c>
      <c r="L1442" s="2" t="n">
        <v>0</v>
      </c>
      <c r="M1442" s="2" t="n">
        <v>1</v>
      </c>
    </row>
    <row r="1443" customFormat="false" ht="15" hidden="false" customHeight="false" outlineLevel="0" collapsed="false">
      <c r="A1443" s="2" t="s">
        <v>3124</v>
      </c>
      <c r="B1443" s="2" t="s">
        <v>3125</v>
      </c>
      <c r="C1443" s="2" t="n">
        <v>4</v>
      </c>
      <c r="D1443" s="2" t="s">
        <v>90</v>
      </c>
      <c r="E1443" s="2" t="s">
        <v>2867</v>
      </c>
      <c r="F1443" s="3" t="n">
        <v>45801.9125</v>
      </c>
      <c r="G1443" s="2" t="s">
        <v>2634</v>
      </c>
      <c r="H1443" s="4" t="n">
        <v>0.6249</v>
      </c>
      <c r="I1443" s="2" t="s">
        <v>23</v>
      </c>
      <c r="J1443" s="2" t="s">
        <v>37</v>
      </c>
      <c r="K1443" s="2" t="n">
        <v>0</v>
      </c>
      <c r="L1443" s="2" t="n">
        <v>0</v>
      </c>
      <c r="M1443" s="2" t="n">
        <v>1</v>
      </c>
    </row>
    <row r="1444" customFormat="false" ht="15" hidden="false" customHeight="false" outlineLevel="0" collapsed="false">
      <c r="A1444" s="2" t="s">
        <v>3126</v>
      </c>
      <c r="B1444" s="2" t="s">
        <v>3127</v>
      </c>
      <c r="C1444" s="2" t="n">
        <v>2</v>
      </c>
      <c r="D1444" s="2" t="s">
        <v>3128</v>
      </c>
      <c r="E1444" s="2" t="s">
        <v>2867</v>
      </c>
      <c r="F1444" s="3" t="n">
        <v>45801.9194444444</v>
      </c>
      <c r="G1444" s="2" t="s">
        <v>2634</v>
      </c>
      <c r="H1444" s="4" t="n">
        <v>0.3818</v>
      </c>
      <c r="I1444" s="2" t="s">
        <v>23</v>
      </c>
      <c r="J1444" s="2" t="s">
        <v>33</v>
      </c>
      <c r="K1444" s="2" t="n">
        <v>0</v>
      </c>
      <c r="L1444" s="2" t="n">
        <v>0</v>
      </c>
      <c r="M1444" s="2" t="n">
        <v>1</v>
      </c>
    </row>
    <row r="1445" customFormat="false" ht="15" hidden="false" customHeight="false" outlineLevel="0" collapsed="false">
      <c r="A1445" s="2" t="s">
        <v>3129</v>
      </c>
      <c r="B1445" s="2" t="s">
        <v>3130</v>
      </c>
      <c r="C1445" s="2" t="n">
        <v>1</v>
      </c>
      <c r="D1445" s="2" t="s">
        <v>498</v>
      </c>
      <c r="E1445" s="2" t="s">
        <v>2867</v>
      </c>
      <c r="F1445" s="3" t="n">
        <v>45802.0388888889</v>
      </c>
      <c r="G1445" s="2" t="s">
        <v>2634</v>
      </c>
      <c r="H1445" s="4" t="n">
        <v>0</v>
      </c>
      <c r="I1445" s="2" t="s">
        <v>18</v>
      </c>
      <c r="J1445" s="2" t="s">
        <v>165</v>
      </c>
      <c r="K1445" s="2" t="n">
        <v>4</v>
      </c>
      <c r="L1445" s="2" t="n">
        <v>1</v>
      </c>
      <c r="M1445" s="2" t="n">
        <v>1</v>
      </c>
    </row>
    <row r="1446" customFormat="false" ht="15" hidden="false" customHeight="false" outlineLevel="0" collapsed="false">
      <c r="A1446" s="2" t="s">
        <v>3131</v>
      </c>
      <c r="B1446" s="2" t="s">
        <v>3132</v>
      </c>
      <c r="C1446" s="2" t="n">
        <v>1</v>
      </c>
      <c r="D1446" s="2" t="s">
        <v>58</v>
      </c>
      <c r="E1446" s="2" t="s">
        <v>2867</v>
      </c>
      <c r="F1446" s="3" t="n">
        <v>45802.2513888889</v>
      </c>
      <c r="G1446" s="2" t="s">
        <v>2634</v>
      </c>
      <c r="H1446" s="4" t="n">
        <v>0</v>
      </c>
      <c r="I1446" s="2" t="s">
        <v>18</v>
      </c>
      <c r="J1446" s="2" t="s">
        <v>59</v>
      </c>
      <c r="K1446" s="2" t="n">
        <v>0</v>
      </c>
      <c r="L1446" s="2" t="n">
        <v>0</v>
      </c>
      <c r="M1446" s="2" t="n">
        <v>1</v>
      </c>
    </row>
    <row r="1447" customFormat="false" ht="15" hidden="false" customHeight="false" outlineLevel="0" collapsed="false">
      <c r="A1447" s="2" t="s">
        <v>3133</v>
      </c>
      <c r="B1447" s="2" t="s">
        <v>3134</v>
      </c>
      <c r="C1447" s="2" t="n">
        <v>5</v>
      </c>
      <c r="D1447" s="2" t="s">
        <v>47</v>
      </c>
      <c r="E1447" s="2" t="s">
        <v>2867</v>
      </c>
      <c r="F1447" s="3" t="n">
        <v>45802.33125</v>
      </c>
      <c r="G1447" s="2" t="s">
        <v>2634</v>
      </c>
      <c r="H1447" s="4" t="n">
        <v>0.3089</v>
      </c>
      <c r="I1447" s="2" t="s">
        <v>23</v>
      </c>
      <c r="J1447" s="2" t="s">
        <v>19</v>
      </c>
      <c r="K1447" s="2" t="n">
        <v>5</v>
      </c>
      <c r="L1447" s="2" t="n">
        <v>0</v>
      </c>
      <c r="M1447" s="2" t="n">
        <v>1</v>
      </c>
    </row>
    <row r="1448" customFormat="false" ht="15" hidden="false" customHeight="false" outlineLevel="0" collapsed="false">
      <c r="A1448" s="2" t="s">
        <v>3135</v>
      </c>
      <c r="B1448" s="2" t="s">
        <v>3136</v>
      </c>
      <c r="C1448" s="2" t="n">
        <v>4</v>
      </c>
      <c r="D1448" s="2" t="s">
        <v>2242</v>
      </c>
      <c r="E1448" s="2" t="s">
        <v>2867</v>
      </c>
      <c r="F1448" s="3" t="n">
        <v>45802.35</v>
      </c>
      <c r="G1448" s="2" t="s">
        <v>2634</v>
      </c>
      <c r="H1448" s="4" t="n">
        <v>0.9647</v>
      </c>
      <c r="I1448" s="2" t="s">
        <v>23</v>
      </c>
      <c r="J1448" s="2" t="s">
        <v>37</v>
      </c>
      <c r="K1448" s="2" t="n">
        <v>7</v>
      </c>
      <c r="L1448" s="2" t="n">
        <v>0</v>
      </c>
      <c r="M1448" s="2" t="n">
        <v>1</v>
      </c>
    </row>
    <row r="1449" customFormat="false" ht="15" hidden="false" customHeight="false" outlineLevel="0" collapsed="false">
      <c r="A1449" s="2" t="s">
        <v>3137</v>
      </c>
      <c r="B1449" s="2" t="s">
        <v>3138</v>
      </c>
      <c r="C1449" s="2" t="n">
        <v>3</v>
      </c>
      <c r="D1449" s="2" t="s">
        <v>36</v>
      </c>
      <c r="E1449" s="2" t="s">
        <v>2867</v>
      </c>
      <c r="F1449" s="3" t="n">
        <v>45802.3659722222</v>
      </c>
      <c r="G1449" s="2" t="s">
        <v>2634</v>
      </c>
      <c r="H1449" s="4" t="n">
        <v>0.4404</v>
      </c>
      <c r="I1449" s="2" t="s">
        <v>23</v>
      </c>
      <c r="J1449" s="2" t="s">
        <v>37</v>
      </c>
      <c r="K1449" s="2" t="n">
        <v>12</v>
      </c>
      <c r="L1449" s="2" t="n">
        <v>0</v>
      </c>
      <c r="M1449" s="2" t="n">
        <v>1</v>
      </c>
    </row>
    <row r="1450" customFormat="false" ht="15" hidden="false" customHeight="false" outlineLevel="0" collapsed="false">
      <c r="A1450" s="2" t="s">
        <v>3139</v>
      </c>
      <c r="B1450" s="2" t="s">
        <v>3140</v>
      </c>
      <c r="C1450" s="2" t="n">
        <v>4</v>
      </c>
      <c r="D1450" s="2" t="s">
        <v>2424</v>
      </c>
      <c r="E1450" s="2" t="s">
        <v>2867</v>
      </c>
      <c r="F1450" s="3" t="n">
        <v>45802.3708333333</v>
      </c>
      <c r="G1450" s="2" t="s">
        <v>2634</v>
      </c>
      <c r="H1450" s="4" t="n">
        <v>0.4404</v>
      </c>
      <c r="I1450" s="2" t="s">
        <v>23</v>
      </c>
      <c r="J1450" s="2" t="s">
        <v>37</v>
      </c>
      <c r="K1450" s="2" t="n">
        <v>0</v>
      </c>
      <c r="L1450" s="2" t="n">
        <v>0</v>
      </c>
      <c r="M1450" s="2" t="n">
        <v>1</v>
      </c>
    </row>
    <row r="1451" customFormat="false" ht="15" hidden="false" customHeight="false" outlineLevel="0" collapsed="false">
      <c r="A1451" s="2" t="s">
        <v>3141</v>
      </c>
      <c r="B1451" s="2" t="s">
        <v>3142</v>
      </c>
      <c r="C1451" s="2" t="n">
        <v>4</v>
      </c>
      <c r="D1451" s="2" t="s">
        <v>104</v>
      </c>
      <c r="E1451" s="2" t="s">
        <v>2867</v>
      </c>
      <c r="F1451" s="3" t="n">
        <v>45802.4520833333</v>
      </c>
      <c r="G1451" s="2" t="s">
        <v>2634</v>
      </c>
      <c r="H1451" s="4" t="n">
        <v>0.8481</v>
      </c>
      <c r="I1451" s="2" t="s">
        <v>23</v>
      </c>
      <c r="J1451" s="2" t="s">
        <v>37</v>
      </c>
      <c r="K1451" s="2" t="n">
        <v>3</v>
      </c>
      <c r="L1451" s="2" t="n">
        <v>0</v>
      </c>
      <c r="M1451" s="2" t="n">
        <v>1</v>
      </c>
    </row>
    <row r="1452" customFormat="false" ht="15" hidden="false" customHeight="false" outlineLevel="0" collapsed="false">
      <c r="A1452" s="2" t="s">
        <v>3143</v>
      </c>
      <c r="B1452" s="2" t="s">
        <v>3144</v>
      </c>
      <c r="C1452" s="2" t="n">
        <v>5</v>
      </c>
      <c r="D1452" s="2" t="s">
        <v>639</v>
      </c>
      <c r="E1452" s="2" t="s">
        <v>2867</v>
      </c>
      <c r="F1452" s="3" t="n">
        <v>45802.4951388889</v>
      </c>
      <c r="G1452" s="2" t="s">
        <v>2634</v>
      </c>
      <c r="H1452" s="4" t="n">
        <v>0.7088</v>
      </c>
      <c r="I1452" s="2" t="s">
        <v>23</v>
      </c>
      <c r="J1452" s="2" t="s">
        <v>19</v>
      </c>
      <c r="K1452" s="2" t="n">
        <v>12</v>
      </c>
      <c r="L1452" s="2" t="n">
        <v>0</v>
      </c>
      <c r="M1452" s="2" t="n">
        <v>1</v>
      </c>
    </row>
    <row r="1453" customFormat="false" ht="15" hidden="false" customHeight="false" outlineLevel="0" collapsed="false">
      <c r="A1453" s="2" t="s">
        <v>3145</v>
      </c>
      <c r="B1453" s="2" t="s">
        <v>3146</v>
      </c>
      <c r="C1453" s="2" t="n">
        <v>2</v>
      </c>
      <c r="D1453" s="2" t="s">
        <v>946</v>
      </c>
      <c r="E1453" s="2" t="s">
        <v>2867</v>
      </c>
      <c r="F1453" s="3" t="n">
        <v>45802.5055555556</v>
      </c>
      <c r="G1453" s="2" t="s">
        <v>2634</v>
      </c>
      <c r="H1453" s="4" t="n">
        <v>-0.25</v>
      </c>
      <c r="I1453" s="2" t="s">
        <v>84</v>
      </c>
      <c r="J1453" s="2" t="s">
        <v>37</v>
      </c>
      <c r="K1453" s="2" t="n">
        <v>0</v>
      </c>
      <c r="L1453" s="2" t="n">
        <v>0</v>
      </c>
      <c r="M1453" s="2" t="n">
        <v>1</v>
      </c>
    </row>
    <row r="1454" customFormat="false" ht="15" hidden="false" customHeight="false" outlineLevel="0" collapsed="false">
      <c r="A1454" s="2" t="s">
        <v>3147</v>
      </c>
      <c r="B1454" s="2" t="s">
        <v>3148</v>
      </c>
      <c r="C1454" s="2" t="n">
        <v>5</v>
      </c>
      <c r="D1454" s="2" t="s">
        <v>116</v>
      </c>
      <c r="E1454" s="2" t="s">
        <v>2867</v>
      </c>
      <c r="F1454" s="3" t="n">
        <v>45802.6465277778</v>
      </c>
      <c r="G1454" s="2" t="s">
        <v>2634</v>
      </c>
      <c r="H1454" s="4" t="n">
        <v>0.9359</v>
      </c>
      <c r="I1454" s="2" t="s">
        <v>23</v>
      </c>
      <c r="J1454" s="2" t="s">
        <v>37</v>
      </c>
      <c r="K1454" s="2" t="n">
        <v>5</v>
      </c>
      <c r="L1454" s="2" t="n">
        <v>0</v>
      </c>
      <c r="M1454" s="2" t="n">
        <v>1</v>
      </c>
    </row>
    <row r="1455" customFormat="false" ht="15" hidden="false" customHeight="false" outlineLevel="0" collapsed="false">
      <c r="A1455" s="2" t="s">
        <v>3149</v>
      </c>
      <c r="B1455" s="2" t="s">
        <v>3150</v>
      </c>
      <c r="C1455" s="2" t="n">
        <v>5</v>
      </c>
      <c r="D1455" s="2" t="s">
        <v>407</v>
      </c>
      <c r="E1455" s="2" t="s">
        <v>2867</v>
      </c>
      <c r="F1455" s="3" t="n">
        <v>45802.7881944445</v>
      </c>
      <c r="G1455" s="2" t="s">
        <v>2634</v>
      </c>
      <c r="H1455" s="4" t="n">
        <v>0.7783</v>
      </c>
      <c r="I1455" s="2" t="s">
        <v>23</v>
      </c>
      <c r="J1455" s="2" t="s">
        <v>37</v>
      </c>
      <c r="K1455" s="2" t="n">
        <v>9</v>
      </c>
      <c r="L1455" s="2" t="n">
        <v>0</v>
      </c>
      <c r="M1455" s="2" t="n">
        <v>1</v>
      </c>
    </row>
    <row r="1456" customFormat="false" ht="15" hidden="false" customHeight="false" outlineLevel="0" collapsed="false">
      <c r="A1456" s="2" t="s">
        <v>3151</v>
      </c>
      <c r="B1456" s="2" t="s">
        <v>3152</v>
      </c>
      <c r="C1456" s="2" t="n">
        <v>1</v>
      </c>
      <c r="D1456" s="2" t="s">
        <v>701</v>
      </c>
      <c r="E1456" s="2" t="s">
        <v>2867</v>
      </c>
      <c r="F1456" s="3" t="n">
        <v>45802.9097222222</v>
      </c>
      <c r="G1456" s="2" t="s">
        <v>2634</v>
      </c>
      <c r="H1456" s="4" t="n">
        <v>-0.7184</v>
      </c>
      <c r="I1456" s="2" t="s">
        <v>84</v>
      </c>
      <c r="J1456" s="2" t="s">
        <v>37</v>
      </c>
      <c r="K1456" s="2" t="n">
        <v>0</v>
      </c>
      <c r="L1456" s="2" t="n">
        <v>0</v>
      </c>
      <c r="M1456" s="2" t="n">
        <v>1</v>
      </c>
    </row>
    <row r="1457" customFormat="false" ht="15" hidden="false" customHeight="false" outlineLevel="0" collapsed="false">
      <c r="A1457" s="2" t="s">
        <v>3153</v>
      </c>
      <c r="B1457" s="2" t="s">
        <v>3154</v>
      </c>
      <c r="C1457" s="2" t="n">
        <v>5</v>
      </c>
      <c r="D1457" s="2" t="s">
        <v>47</v>
      </c>
      <c r="E1457" s="2" t="s">
        <v>2867</v>
      </c>
      <c r="F1457" s="3" t="n">
        <v>45803.0555555556</v>
      </c>
      <c r="G1457" s="2" t="s">
        <v>2634</v>
      </c>
      <c r="H1457" s="4" t="n">
        <v>0.3089</v>
      </c>
      <c r="I1457" s="2" t="s">
        <v>23</v>
      </c>
      <c r="J1457" s="2" t="s">
        <v>19</v>
      </c>
      <c r="K1457" s="2" t="n">
        <v>4</v>
      </c>
      <c r="L1457" s="2" t="n">
        <v>0</v>
      </c>
      <c r="M1457" s="2" t="n">
        <v>1</v>
      </c>
    </row>
    <row r="1458" customFormat="false" ht="15" hidden="false" customHeight="false" outlineLevel="0" collapsed="false">
      <c r="A1458" s="2" t="s">
        <v>3155</v>
      </c>
      <c r="B1458" s="2" t="s">
        <v>3156</v>
      </c>
      <c r="C1458" s="2" t="n">
        <v>5</v>
      </c>
      <c r="D1458" s="2" t="s">
        <v>2727</v>
      </c>
      <c r="E1458" s="2" t="s">
        <v>2867</v>
      </c>
      <c r="F1458" s="3" t="n">
        <v>45803.0722222222</v>
      </c>
      <c r="G1458" s="2" t="s">
        <v>2634</v>
      </c>
      <c r="H1458" s="4" t="n">
        <v>0.4019</v>
      </c>
      <c r="I1458" s="2" t="s">
        <v>23</v>
      </c>
      <c r="J1458" s="2" t="s">
        <v>33</v>
      </c>
      <c r="K1458" s="2" t="n">
        <v>4</v>
      </c>
      <c r="L1458" s="2" t="n">
        <v>0</v>
      </c>
      <c r="M1458" s="2" t="n">
        <v>1</v>
      </c>
    </row>
    <row r="1459" customFormat="false" ht="15" hidden="false" customHeight="false" outlineLevel="0" collapsed="false">
      <c r="A1459" s="2" t="s">
        <v>3157</v>
      </c>
      <c r="B1459" s="2" t="s">
        <v>3158</v>
      </c>
      <c r="C1459" s="2" t="n">
        <v>4</v>
      </c>
      <c r="D1459" s="2" t="s">
        <v>943</v>
      </c>
      <c r="E1459" s="2" t="s">
        <v>2867</v>
      </c>
      <c r="F1459" s="3" t="n">
        <v>45803.1631944445</v>
      </c>
      <c r="G1459" s="2" t="s">
        <v>2634</v>
      </c>
      <c r="H1459" s="4" t="n">
        <v>0.7549</v>
      </c>
      <c r="I1459" s="2" t="s">
        <v>23</v>
      </c>
      <c r="J1459" s="2" t="s">
        <v>19</v>
      </c>
      <c r="K1459" s="2" t="n">
        <v>3</v>
      </c>
      <c r="L1459" s="2" t="n">
        <v>0</v>
      </c>
      <c r="M1459" s="2" t="n">
        <v>1</v>
      </c>
    </row>
    <row r="1460" customFormat="false" ht="15" hidden="false" customHeight="false" outlineLevel="0" collapsed="false">
      <c r="A1460" s="2" t="s">
        <v>3159</v>
      </c>
      <c r="B1460" s="2" t="s">
        <v>3160</v>
      </c>
      <c r="C1460" s="2" t="n">
        <v>3</v>
      </c>
      <c r="D1460" s="2" t="s">
        <v>113</v>
      </c>
      <c r="E1460" s="2" t="s">
        <v>2867</v>
      </c>
      <c r="F1460" s="3" t="n">
        <v>45803.2576388889</v>
      </c>
      <c r="G1460" s="2" t="s">
        <v>2634</v>
      </c>
      <c r="H1460" s="4" t="n">
        <v>-0.431</v>
      </c>
      <c r="I1460" s="2" t="s">
        <v>84</v>
      </c>
      <c r="J1460" s="2" t="s">
        <v>19</v>
      </c>
      <c r="K1460" s="2" t="n">
        <v>1</v>
      </c>
      <c r="L1460" s="2" t="n">
        <v>0</v>
      </c>
      <c r="M1460" s="2" t="n">
        <v>1</v>
      </c>
    </row>
    <row r="1461" customFormat="false" ht="15" hidden="false" customHeight="false" outlineLevel="0" collapsed="false">
      <c r="A1461" s="2" t="s">
        <v>3161</v>
      </c>
      <c r="B1461" s="2" t="s">
        <v>3162</v>
      </c>
      <c r="C1461" s="2" t="n">
        <v>4</v>
      </c>
      <c r="D1461" s="2" t="s">
        <v>1973</v>
      </c>
      <c r="E1461" s="2" t="s">
        <v>2867</v>
      </c>
      <c r="F1461" s="3" t="n">
        <v>45803.2638888889</v>
      </c>
      <c r="G1461" s="2" t="s">
        <v>2634</v>
      </c>
      <c r="H1461" s="4" t="n">
        <v>0.9612</v>
      </c>
      <c r="I1461" s="2" t="s">
        <v>23</v>
      </c>
      <c r="J1461" s="2" t="s">
        <v>37</v>
      </c>
      <c r="K1461" s="2" t="n">
        <v>4</v>
      </c>
      <c r="L1461" s="2" t="n">
        <v>0</v>
      </c>
      <c r="M1461" s="2" t="n">
        <v>1</v>
      </c>
    </row>
    <row r="1462" customFormat="false" ht="15" hidden="false" customHeight="false" outlineLevel="0" collapsed="false">
      <c r="A1462" s="2" t="s">
        <v>3163</v>
      </c>
      <c r="B1462" s="2" t="s">
        <v>3164</v>
      </c>
      <c r="C1462" s="2" t="n">
        <v>5</v>
      </c>
      <c r="D1462" s="2" t="s">
        <v>62</v>
      </c>
      <c r="E1462" s="2" t="s">
        <v>2867</v>
      </c>
      <c r="F1462" s="3" t="n">
        <v>45803.4020833333</v>
      </c>
      <c r="G1462" s="2" t="s">
        <v>2634</v>
      </c>
      <c r="H1462" s="4" t="n">
        <v>0.7088</v>
      </c>
      <c r="I1462" s="2" t="s">
        <v>23</v>
      </c>
      <c r="J1462" s="2" t="s">
        <v>19</v>
      </c>
      <c r="K1462" s="2" t="n">
        <v>2</v>
      </c>
      <c r="L1462" s="2" t="n">
        <v>0</v>
      </c>
      <c r="M1462" s="2" t="n">
        <v>1</v>
      </c>
    </row>
    <row r="1463" customFormat="false" ht="15" hidden="false" customHeight="false" outlineLevel="0" collapsed="false">
      <c r="A1463" s="2" t="s">
        <v>3165</v>
      </c>
      <c r="B1463" s="2" t="s">
        <v>3166</v>
      </c>
      <c r="C1463" s="2" t="n">
        <v>5</v>
      </c>
      <c r="D1463" s="2" t="s">
        <v>2578</v>
      </c>
      <c r="E1463" s="2" t="s">
        <v>2867</v>
      </c>
      <c r="F1463" s="3" t="n">
        <v>45803.5340277778</v>
      </c>
      <c r="G1463" s="2" t="s">
        <v>2634</v>
      </c>
      <c r="H1463" s="4" t="n">
        <v>0.9626</v>
      </c>
      <c r="I1463" s="2" t="s">
        <v>23</v>
      </c>
      <c r="J1463" s="2" t="s">
        <v>37</v>
      </c>
      <c r="K1463" s="2" t="n">
        <v>0</v>
      </c>
      <c r="L1463" s="2" t="n">
        <v>0</v>
      </c>
      <c r="M1463" s="2" t="n">
        <v>1</v>
      </c>
    </row>
    <row r="1464" customFormat="false" ht="15" hidden="false" customHeight="false" outlineLevel="0" collapsed="false">
      <c r="A1464" s="2" t="s">
        <v>3167</v>
      </c>
      <c r="B1464" s="2" t="s">
        <v>3168</v>
      </c>
      <c r="C1464" s="2" t="n">
        <v>3</v>
      </c>
      <c r="D1464" s="2" t="s">
        <v>1952</v>
      </c>
      <c r="E1464" s="2" t="s">
        <v>2867</v>
      </c>
      <c r="F1464" s="3" t="n">
        <v>45803.5784722222</v>
      </c>
      <c r="G1464" s="2" t="s">
        <v>2634</v>
      </c>
      <c r="H1464" s="4" t="n">
        <v>0.5859</v>
      </c>
      <c r="I1464" s="2" t="s">
        <v>23</v>
      </c>
      <c r="J1464" s="2" t="s">
        <v>37</v>
      </c>
      <c r="K1464" s="2" t="n">
        <v>3</v>
      </c>
      <c r="L1464" s="2" t="n">
        <v>0</v>
      </c>
      <c r="M1464" s="2" t="n">
        <v>1</v>
      </c>
    </row>
    <row r="1465" customFormat="false" ht="15" hidden="false" customHeight="false" outlineLevel="0" collapsed="false">
      <c r="A1465" s="2" t="s">
        <v>3169</v>
      </c>
      <c r="B1465" s="2" t="s">
        <v>3170</v>
      </c>
      <c r="C1465" s="2" t="n">
        <v>5</v>
      </c>
      <c r="D1465" s="2" t="s">
        <v>52</v>
      </c>
      <c r="E1465" s="2" t="s">
        <v>2867</v>
      </c>
      <c r="F1465" s="3" t="n">
        <v>45803.6076388889</v>
      </c>
      <c r="G1465" s="2" t="s">
        <v>2634</v>
      </c>
      <c r="H1465" s="4" t="n">
        <v>0.6369</v>
      </c>
      <c r="I1465" s="2" t="s">
        <v>23</v>
      </c>
      <c r="J1465" s="2" t="s">
        <v>19</v>
      </c>
      <c r="K1465" s="2" t="n">
        <v>1</v>
      </c>
      <c r="L1465" s="2" t="n">
        <v>1</v>
      </c>
      <c r="M1465" s="2" t="n">
        <v>1</v>
      </c>
    </row>
    <row r="1466" customFormat="false" ht="15" hidden="false" customHeight="false" outlineLevel="0" collapsed="false">
      <c r="A1466" s="2" t="s">
        <v>3171</v>
      </c>
      <c r="B1466" s="2" t="s">
        <v>3172</v>
      </c>
      <c r="C1466" s="2" t="n">
        <v>1</v>
      </c>
      <c r="D1466" s="2" t="s">
        <v>823</v>
      </c>
      <c r="E1466" s="2" t="s">
        <v>2867</v>
      </c>
      <c r="F1466" s="3" t="n">
        <v>45803.6395833333</v>
      </c>
      <c r="G1466" s="2" t="s">
        <v>2634</v>
      </c>
      <c r="H1466" s="4" t="n">
        <v>-0.6997</v>
      </c>
      <c r="I1466" s="2" t="s">
        <v>84</v>
      </c>
      <c r="J1466" s="2" t="s">
        <v>19</v>
      </c>
      <c r="K1466" s="2" t="n">
        <v>5</v>
      </c>
      <c r="L1466" s="2" t="n">
        <v>0</v>
      </c>
      <c r="M1466" s="2" t="n">
        <v>1</v>
      </c>
    </row>
    <row r="1467" customFormat="false" ht="15" hidden="false" customHeight="false" outlineLevel="0" collapsed="false">
      <c r="A1467" s="2" t="s">
        <v>3173</v>
      </c>
      <c r="B1467" s="2" t="s">
        <v>3174</v>
      </c>
      <c r="C1467" s="2" t="n">
        <v>5</v>
      </c>
      <c r="D1467" s="2" t="s">
        <v>67</v>
      </c>
      <c r="E1467" s="2" t="s">
        <v>2867</v>
      </c>
      <c r="F1467" s="3" t="n">
        <v>45803.8229166667</v>
      </c>
      <c r="G1467" s="2" t="s">
        <v>2634</v>
      </c>
      <c r="H1467" s="4" t="n">
        <v>0.8953</v>
      </c>
      <c r="I1467" s="2" t="s">
        <v>23</v>
      </c>
      <c r="J1467" s="2" t="s">
        <v>19</v>
      </c>
      <c r="K1467" s="2" t="n">
        <v>2</v>
      </c>
      <c r="L1467" s="2" t="n">
        <v>0</v>
      </c>
      <c r="M1467" s="2" t="n">
        <v>1</v>
      </c>
    </row>
    <row r="1468" customFormat="false" ht="15" hidden="false" customHeight="false" outlineLevel="0" collapsed="false">
      <c r="A1468" s="2" t="s">
        <v>3175</v>
      </c>
      <c r="B1468" s="2" t="s">
        <v>3176</v>
      </c>
      <c r="C1468" s="2" t="n">
        <v>4</v>
      </c>
      <c r="D1468" s="2" t="s">
        <v>22</v>
      </c>
      <c r="E1468" s="2" t="s">
        <v>2867</v>
      </c>
      <c r="F1468" s="3" t="n">
        <v>45803.8375</v>
      </c>
      <c r="G1468" s="2" t="s">
        <v>2634</v>
      </c>
      <c r="H1468" s="4" t="n">
        <v>0.2023</v>
      </c>
      <c r="I1468" s="2" t="s">
        <v>23</v>
      </c>
      <c r="J1468" s="2" t="s">
        <v>19</v>
      </c>
      <c r="K1468" s="2" t="n">
        <v>1</v>
      </c>
      <c r="L1468" s="2" t="n">
        <v>1</v>
      </c>
      <c r="M1468" s="2" t="n">
        <v>1</v>
      </c>
    </row>
    <row r="1469" customFormat="false" ht="15" hidden="false" customHeight="false" outlineLevel="0" collapsed="false">
      <c r="A1469" s="2" t="s">
        <v>3177</v>
      </c>
      <c r="B1469" s="2" t="s">
        <v>3178</v>
      </c>
      <c r="C1469" s="2" t="n">
        <v>5</v>
      </c>
      <c r="D1469" s="2" t="s">
        <v>96</v>
      </c>
      <c r="E1469" s="2" t="s">
        <v>2867</v>
      </c>
      <c r="F1469" s="3" t="n">
        <v>45803.8729166667</v>
      </c>
      <c r="G1469" s="2" t="s">
        <v>2634</v>
      </c>
      <c r="H1469" s="4" t="n">
        <v>0.6369</v>
      </c>
      <c r="I1469" s="2" t="s">
        <v>23</v>
      </c>
      <c r="J1469" s="2" t="s">
        <v>19</v>
      </c>
      <c r="K1469" s="2" t="n">
        <v>8</v>
      </c>
      <c r="L1469" s="2" t="n">
        <v>0</v>
      </c>
      <c r="M1469" s="2" t="n">
        <v>1</v>
      </c>
    </row>
    <row r="1470" customFormat="false" ht="15" hidden="false" customHeight="false" outlineLevel="0" collapsed="false">
      <c r="A1470" s="2" t="s">
        <v>3179</v>
      </c>
      <c r="B1470" s="2" t="s">
        <v>3180</v>
      </c>
      <c r="C1470" s="2" t="n">
        <v>4</v>
      </c>
      <c r="D1470" s="2" t="s">
        <v>301</v>
      </c>
      <c r="E1470" s="2" t="s">
        <v>2867</v>
      </c>
      <c r="F1470" s="3" t="n">
        <v>45803.9298611111</v>
      </c>
      <c r="G1470" s="2" t="s">
        <v>2634</v>
      </c>
      <c r="H1470" s="4" t="n">
        <v>0.2263</v>
      </c>
      <c r="I1470" s="2" t="s">
        <v>23</v>
      </c>
      <c r="J1470" s="2" t="s">
        <v>19</v>
      </c>
      <c r="K1470" s="2" t="n">
        <v>4</v>
      </c>
      <c r="L1470" s="2" t="n">
        <v>0</v>
      </c>
      <c r="M1470" s="2" t="n">
        <v>1</v>
      </c>
    </row>
    <row r="1471" customFormat="false" ht="15" hidden="false" customHeight="false" outlineLevel="0" collapsed="false">
      <c r="A1471" s="2" t="s">
        <v>3181</v>
      </c>
      <c r="B1471" s="2" t="s">
        <v>3182</v>
      </c>
      <c r="C1471" s="2" t="n">
        <v>2</v>
      </c>
      <c r="D1471" s="2" t="s">
        <v>295</v>
      </c>
      <c r="E1471" s="2" t="s">
        <v>2867</v>
      </c>
      <c r="F1471" s="3" t="n">
        <v>45804.0625</v>
      </c>
      <c r="G1471" s="2" t="s">
        <v>2634</v>
      </c>
      <c r="H1471" s="4" t="n">
        <v>-0.5023</v>
      </c>
      <c r="I1471" s="2" t="s">
        <v>84</v>
      </c>
      <c r="J1471" s="2" t="s">
        <v>33</v>
      </c>
      <c r="K1471" s="2" t="n">
        <v>0</v>
      </c>
      <c r="L1471" s="2" t="n">
        <v>0</v>
      </c>
      <c r="M1471" s="2" t="n">
        <v>0</v>
      </c>
    </row>
    <row r="1472" customFormat="false" ht="15" hidden="false" customHeight="false" outlineLevel="0" collapsed="false">
      <c r="A1472" s="2" t="s">
        <v>3183</v>
      </c>
      <c r="B1472" s="2" t="s">
        <v>3184</v>
      </c>
      <c r="C1472" s="2" t="n">
        <v>5</v>
      </c>
      <c r="D1472" s="2" t="s">
        <v>96</v>
      </c>
      <c r="E1472" s="2" t="s">
        <v>2867</v>
      </c>
      <c r="F1472" s="3" t="n">
        <v>45804.1027777778</v>
      </c>
      <c r="G1472" s="2" t="s">
        <v>2634</v>
      </c>
      <c r="H1472" s="4" t="n">
        <v>0.6369</v>
      </c>
      <c r="I1472" s="2" t="s">
        <v>23</v>
      </c>
      <c r="J1472" s="2" t="s">
        <v>19</v>
      </c>
      <c r="K1472" s="2" t="n">
        <v>3</v>
      </c>
      <c r="L1472" s="2" t="n">
        <v>0</v>
      </c>
      <c r="M1472" s="2" t="n">
        <v>0</v>
      </c>
    </row>
    <row r="1473" customFormat="false" ht="15" hidden="false" customHeight="false" outlineLevel="0" collapsed="false">
      <c r="A1473" s="2" t="s">
        <v>3185</v>
      </c>
      <c r="B1473" s="2" t="s">
        <v>3186</v>
      </c>
      <c r="C1473" s="2" t="n">
        <v>5</v>
      </c>
      <c r="D1473" s="2" t="s">
        <v>15</v>
      </c>
      <c r="E1473" s="2" t="s">
        <v>2867</v>
      </c>
      <c r="F1473" s="3" t="n">
        <v>45804.1159722222</v>
      </c>
      <c r="G1473" s="2" t="s">
        <v>2634</v>
      </c>
      <c r="H1473" s="4" t="n">
        <v>0</v>
      </c>
      <c r="I1473" s="2" t="s">
        <v>18</v>
      </c>
      <c r="J1473" s="2" t="s">
        <v>19</v>
      </c>
      <c r="K1473" s="2" t="n">
        <v>2</v>
      </c>
      <c r="L1473" s="2" t="n">
        <v>0</v>
      </c>
      <c r="M1473" s="2" t="n">
        <v>0</v>
      </c>
    </row>
    <row r="1474" customFormat="false" ht="15" hidden="false" customHeight="false" outlineLevel="0" collapsed="false">
      <c r="A1474" s="2" t="s">
        <v>3187</v>
      </c>
      <c r="B1474" s="2" t="s">
        <v>3188</v>
      </c>
      <c r="C1474" s="2" t="n">
        <v>5</v>
      </c>
      <c r="D1474" s="2" t="s">
        <v>1222</v>
      </c>
      <c r="E1474" s="2" t="s">
        <v>2867</v>
      </c>
      <c r="F1474" s="3" t="n">
        <v>45804.2833333333</v>
      </c>
      <c r="G1474" s="2" t="s">
        <v>2634</v>
      </c>
      <c r="H1474" s="4" t="n">
        <v>0.8221</v>
      </c>
      <c r="I1474" s="2" t="s">
        <v>23</v>
      </c>
      <c r="J1474" s="2" t="s">
        <v>33</v>
      </c>
      <c r="K1474" s="2" t="n">
        <v>2</v>
      </c>
      <c r="L1474" s="2" t="n">
        <v>0</v>
      </c>
      <c r="M1474" s="2" t="n">
        <v>0</v>
      </c>
    </row>
    <row r="1475" customFormat="false" ht="15" hidden="false" customHeight="false" outlineLevel="0" collapsed="false">
      <c r="A1475" s="2" t="s">
        <v>3189</v>
      </c>
      <c r="B1475" s="2" t="s">
        <v>3190</v>
      </c>
      <c r="C1475" s="2" t="n">
        <v>3</v>
      </c>
      <c r="D1475" s="2" t="s">
        <v>36</v>
      </c>
      <c r="E1475" s="2" t="s">
        <v>2867</v>
      </c>
      <c r="F1475" s="3" t="n">
        <v>45804.3777777778</v>
      </c>
      <c r="G1475" s="2" t="s">
        <v>2634</v>
      </c>
      <c r="H1475" s="4" t="n">
        <v>0.4404</v>
      </c>
      <c r="I1475" s="2" t="s">
        <v>23</v>
      </c>
      <c r="J1475" s="2" t="s">
        <v>37</v>
      </c>
      <c r="K1475" s="2" t="n">
        <v>0</v>
      </c>
      <c r="L1475" s="2" t="n">
        <v>0</v>
      </c>
      <c r="M1475" s="2" t="n">
        <v>0</v>
      </c>
    </row>
    <row r="1476" customFormat="false" ht="15" hidden="false" customHeight="false" outlineLevel="0" collapsed="false">
      <c r="A1476" s="2" t="s">
        <v>3191</v>
      </c>
      <c r="B1476" s="2" t="s">
        <v>3192</v>
      </c>
      <c r="C1476" s="2" t="n">
        <v>5</v>
      </c>
      <c r="D1476" s="2" t="s">
        <v>127</v>
      </c>
      <c r="E1476" s="2" t="s">
        <v>2867</v>
      </c>
      <c r="F1476" s="3" t="n">
        <v>45804.3881944444</v>
      </c>
      <c r="G1476" s="2" t="s">
        <v>2634</v>
      </c>
      <c r="H1476" s="4" t="n">
        <v>0.9359</v>
      </c>
      <c r="I1476" s="2" t="s">
        <v>23</v>
      </c>
      <c r="J1476" s="2" t="s">
        <v>37</v>
      </c>
      <c r="K1476" s="2" t="n">
        <v>3</v>
      </c>
      <c r="L1476" s="2" t="n">
        <v>0</v>
      </c>
      <c r="M1476" s="2" t="n">
        <v>0</v>
      </c>
    </row>
    <row r="1477" customFormat="false" ht="15" hidden="false" customHeight="false" outlineLevel="0" collapsed="false">
      <c r="A1477" s="2" t="s">
        <v>3193</v>
      </c>
      <c r="B1477" s="2" t="s">
        <v>3194</v>
      </c>
      <c r="C1477" s="2" t="n">
        <v>5</v>
      </c>
      <c r="D1477" s="2" t="s">
        <v>52</v>
      </c>
      <c r="E1477" s="2" t="s">
        <v>2867</v>
      </c>
      <c r="F1477" s="3" t="n">
        <v>45804.4055555556</v>
      </c>
      <c r="G1477" s="2" t="s">
        <v>2634</v>
      </c>
      <c r="H1477" s="4" t="n">
        <v>0.6369</v>
      </c>
      <c r="I1477" s="2" t="s">
        <v>23</v>
      </c>
      <c r="J1477" s="2" t="s">
        <v>19</v>
      </c>
      <c r="K1477" s="2" t="n">
        <v>9</v>
      </c>
      <c r="L1477" s="2" t="n">
        <v>0</v>
      </c>
      <c r="M1477" s="2" t="n">
        <v>0</v>
      </c>
    </row>
    <row r="1478" customFormat="false" ht="15" hidden="false" customHeight="false" outlineLevel="0" collapsed="false">
      <c r="A1478" s="2" t="s">
        <v>3195</v>
      </c>
      <c r="B1478" s="2" t="s">
        <v>3196</v>
      </c>
      <c r="C1478" s="2" t="n">
        <v>5</v>
      </c>
      <c r="D1478" s="2" t="s">
        <v>47</v>
      </c>
      <c r="E1478" s="2" t="s">
        <v>2867</v>
      </c>
      <c r="F1478" s="3" t="n">
        <v>45804.5680555556</v>
      </c>
      <c r="G1478" s="2" t="s">
        <v>2634</v>
      </c>
      <c r="H1478" s="4" t="n">
        <v>0.3089</v>
      </c>
      <c r="I1478" s="2" t="s">
        <v>23</v>
      </c>
      <c r="J1478" s="2" t="s">
        <v>19</v>
      </c>
      <c r="K1478" s="2" t="n">
        <v>1</v>
      </c>
      <c r="L1478" s="2" t="n">
        <v>0</v>
      </c>
      <c r="M1478" s="2" t="n">
        <v>0</v>
      </c>
    </row>
    <row r="1479" customFormat="false" ht="15" hidden="false" customHeight="false" outlineLevel="0" collapsed="false">
      <c r="A1479" s="2" t="s">
        <v>3197</v>
      </c>
      <c r="B1479" s="2" t="s">
        <v>3198</v>
      </c>
      <c r="C1479" s="2" t="n">
        <v>4</v>
      </c>
      <c r="D1479" s="2" t="s">
        <v>15</v>
      </c>
      <c r="E1479" s="2" t="s">
        <v>2867</v>
      </c>
      <c r="F1479" s="3" t="n">
        <v>45804.5826388889</v>
      </c>
      <c r="G1479" s="2" t="s">
        <v>2634</v>
      </c>
      <c r="H1479" s="4" t="n">
        <v>0</v>
      </c>
      <c r="I1479" s="2" t="s">
        <v>18</v>
      </c>
      <c r="J1479" s="2" t="s">
        <v>19</v>
      </c>
      <c r="K1479" s="2" t="n">
        <v>2</v>
      </c>
      <c r="L1479" s="2" t="n">
        <v>0</v>
      </c>
      <c r="M1479" s="2" t="n">
        <v>0</v>
      </c>
    </row>
    <row r="1480" customFormat="false" ht="15" hidden="false" customHeight="false" outlineLevel="0" collapsed="false">
      <c r="A1480" s="2" t="s">
        <v>3199</v>
      </c>
      <c r="B1480" s="2" t="s">
        <v>3200</v>
      </c>
      <c r="C1480" s="2" t="n">
        <v>3</v>
      </c>
      <c r="D1480" s="2" t="s">
        <v>3201</v>
      </c>
      <c r="E1480" s="2" t="s">
        <v>2867</v>
      </c>
      <c r="F1480" s="3" t="n">
        <v>45804.7743055556</v>
      </c>
      <c r="G1480" s="2" t="s">
        <v>2634</v>
      </c>
      <c r="H1480" s="4" t="n">
        <v>0.4109</v>
      </c>
      <c r="I1480" s="2" t="s">
        <v>23</v>
      </c>
      <c r="J1480" s="2" t="s">
        <v>19</v>
      </c>
      <c r="K1480" s="2" t="n">
        <v>2</v>
      </c>
      <c r="L1480" s="2" t="n">
        <v>0</v>
      </c>
      <c r="M1480" s="2" t="n">
        <v>0</v>
      </c>
    </row>
    <row r="1481" customFormat="false" ht="15" hidden="false" customHeight="false" outlineLevel="0" collapsed="false">
      <c r="A1481" s="2" t="s">
        <v>3202</v>
      </c>
      <c r="B1481" s="2" t="s">
        <v>3203</v>
      </c>
      <c r="C1481" s="2" t="n">
        <v>5</v>
      </c>
      <c r="D1481" s="2" t="s">
        <v>90</v>
      </c>
      <c r="E1481" s="2" t="s">
        <v>2867</v>
      </c>
      <c r="F1481" s="3" t="n">
        <v>45804.9340277778</v>
      </c>
      <c r="G1481" s="2" t="s">
        <v>2634</v>
      </c>
      <c r="H1481" s="4" t="n">
        <v>0.6249</v>
      </c>
      <c r="I1481" s="2" t="s">
        <v>23</v>
      </c>
      <c r="J1481" s="2" t="s">
        <v>37</v>
      </c>
      <c r="K1481" s="2" t="n">
        <v>0</v>
      </c>
      <c r="L1481" s="2" t="n">
        <v>0</v>
      </c>
      <c r="M1481" s="2" t="n">
        <v>0</v>
      </c>
    </row>
    <row r="1482" customFormat="false" ht="15" hidden="false" customHeight="false" outlineLevel="0" collapsed="false">
      <c r="A1482" s="2" t="s">
        <v>3204</v>
      </c>
      <c r="B1482" s="2" t="s">
        <v>3205</v>
      </c>
      <c r="C1482" s="2" t="n">
        <v>2</v>
      </c>
      <c r="D1482" s="2" t="s">
        <v>231</v>
      </c>
      <c r="E1482" s="2" t="s">
        <v>2867</v>
      </c>
      <c r="F1482" s="3" t="n">
        <v>45804.975</v>
      </c>
      <c r="G1482" s="2" t="s">
        <v>2634</v>
      </c>
      <c r="H1482" s="4" t="n">
        <v>-0.3593</v>
      </c>
      <c r="I1482" s="2" t="s">
        <v>84</v>
      </c>
      <c r="J1482" s="2" t="s">
        <v>33</v>
      </c>
      <c r="K1482" s="2" t="n">
        <v>6</v>
      </c>
      <c r="L1482" s="2" t="n">
        <v>0</v>
      </c>
      <c r="M1482" s="2" t="n">
        <v>0</v>
      </c>
    </row>
    <row r="1483" customFormat="false" ht="15" hidden="false" customHeight="false" outlineLevel="0" collapsed="false">
      <c r="A1483" s="2" t="s">
        <v>3206</v>
      </c>
      <c r="B1483" s="2" t="s">
        <v>3207</v>
      </c>
      <c r="C1483" s="2" t="n">
        <v>4</v>
      </c>
      <c r="D1483" s="2" t="s">
        <v>40</v>
      </c>
      <c r="E1483" s="2" t="s">
        <v>2867</v>
      </c>
      <c r="F1483" s="3" t="n">
        <v>45805.1555555556</v>
      </c>
      <c r="G1483" s="2" t="s">
        <v>2634</v>
      </c>
      <c r="H1483" s="4" t="n">
        <v>0.4019</v>
      </c>
      <c r="I1483" s="2" t="s">
        <v>23</v>
      </c>
      <c r="J1483" s="2" t="s">
        <v>33</v>
      </c>
      <c r="K1483" s="2" t="n">
        <v>4</v>
      </c>
      <c r="L1483" s="2" t="n">
        <v>0</v>
      </c>
      <c r="M1483" s="2" t="n">
        <v>0</v>
      </c>
    </row>
    <row r="1484" customFormat="false" ht="15" hidden="false" customHeight="false" outlineLevel="0" collapsed="false">
      <c r="A1484" s="2" t="s">
        <v>3208</v>
      </c>
      <c r="B1484" s="2" t="s">
        <v>3209</v>
      </c>
      <c r="C1484" s="2" t="n">
        <v>4</v>
      </c>
      <c r="D1484" s="2" t="s">
        <v>3210</v>
      </c>
      <c r="E1484" s="2" t="s">
        <v>2867</v>
      </c>
      <c r="F1484" s="3" t="n">
        <v>45805.1722222222</v>
      </c>
      <c r="G1484" s="2" t="s">
        <v>2634</v>
      </c>
      <c r="H1484" s="4" t="n">
        <v>0.4692</v>
      </c>
      <c r="I1484" s="2" t="s">
        <v>23</v>
      </c>
      <c r="J1484" s="2" t="s">
        <v>19</v>
      </c>
      <c r="K1484" s="2" t="n">
        <v>2</v>
      </c>
      <c r="L1484" s="2" t="n">
        <v>0</v>
      </c>
      <c r="M1484" s="2" t="n">
        <v>0</v>
      </c>
    </row>
    <row r="1485" customFormat="false" ht="15" hidden="false" customHeight="false" outlineLevel="0" collapsed="false">
      <c r="A1485" s="2" t="s">
        <v>3211</v>
      </c>
      <c r="B1485" s="2" t="s">
        <v>3212</v>
      </c>
      <c r="C1485" s="2" t="n">
        <v>5</v>
      </c>
      <c r="D1485" s="2" t="s">
        <v>96</v>
      </c>
      <c r="E1485" s="2" t="s">
        <v>2867</v>
      </c>
      <c r="F1485" s="3" t="n">
        <v>45805.1958333333</v>
      </c>
      <c r="G1485" s="2" t="s">
        <v>2634</v>
      </c>
      <c r="H1485" s="4" t="n">
        <v>0.6369</v>
      </c>
      <c r="I1485" s="2" t="s">
        <v>23</v>
      </c>
      <c r="J1485" s="2" t="s">
        <v>19</v>
      </c>
      <c r="K1485" s="2" t="n">
        <v>0</v>
      </c>
      <c r="L1485" s="2" t="n">
        <v>0</v>
      </c>
      <c r="M1485" s="2" t="n">
        <v>0</v>
      </c>
    </row>
    <row r="1486" customFormat="false" ht="15" hidden="false" customHeight="false" outlineLevel="0" collapsed="false">
      <c r="A1486" s="2" t="s">
        <v>3213</v>
      </c>
      <c r="B1486" s="2" t="s">
        <v>3214</v>
      </c>
      <c r="C1486" s="2" t="n">
        <v>4</v>
      </c>
      <c r="D1486" s="2" t="s">
        <v>15</v>
      </c>
      <c r="E1486" s="2" t="s">
        <v>2867</v>
      </c>
      <c r="F1486" s="3" t="n">
        <v>45805.2861111111</v>
      </c>
      <c r="G1486" s="2" t="s">
        <v>2634</v>
      </c>
      <c r="H1486" s="4" t="n">
        <v>0</v>
      </c>
      <c r="I1486" s="2" t="s">
        <v>18</v>
      </c>
      <c r="J1486" s="2" t="s">
        <v>19</v>
      </c>
      <c r="K1486" s="2" t="n">
        <v>0</v>
      </c>
      <c r="L1486" s="2" t="n">
        <v>0</v>
      </c>
      <c r="M1486" s="2" t="n">
        <v>0</v>
      </c>
    </row>
    <row r="1487" customFormat="false" ht="15" hidden="false" customHeight="false" outlineLevel="0" collapsed="false">
      <c r="A1487" s="2" t="s">
        <v>3215</v>
      </c>
      <c r="B1487" s="2" t="s">
        <v>3216</v>
      </c>
      <c r="C1487" s="2" t="n">
        <v>5</v>
      </c>
      <c r="D1487" s="2" t="s">
        <v>15</v>
      </c>
      <c r="E1487" s="2" t="s">
        <v>2867</v>
      </c>
      <c r="F1487" s="3" t="n">
        <v>45805.3298611111</v>
      </c>
      <c r="G1487" s="2" t="s">
        <v>2634</v>
      </c>
      <c r="H1487" s="4" t="n">
        <v>0</v>
      </c>
      <c r="I1487" s="2" t="s">
        <v>18</v>
      </c>
      <c r="J1487" s="2" t="s">
        <v>19</v>
      </c>
      <c r="K1487" s="2" t="n">
        <v>7</v>
      </c>
      <c r="L1487" s="2" t="n">
        <v>0</v>
      </c>
      <c r="M1487" s="2" t="n">
        <v>0</v>
      </c>
    </row>
    <row r="1488" customFormat="false" ht="15" hidden="false" customHeight="false" outlineLevel="0" collapsed="false">
      <c r="A1488" s="2" t="s">
        <v>3217</v>
      </c>
      <c r="B1488" s="2" t="s">
        <v>3218</v>
      </c>
      <c r="C1488" s="2" t="n">
        <v>5</v>
      </c>
      <c r="D1488" s="2" t="s">
        <v>127</v>
      </c>
      <c r="E1488" s="2" t="s">
        <v>2867</v>
      </c>
      <c r="F1488" s="3" t="n">
        <v>45805.4416666667</v>
      </c>
      <c r="G1488" s="2" t="s">
        <v>2634</v>
      </c>
      <c r="H1488" s="4" t="n">
        <v>0.9359</v>
      </c>
      <c r="I1488" s="2" t="s">
        <v>23</v>
      </c>
      <c r="J1488" s="2" t="s">
        <v>37</v>
      </c>
      <c r="K1488" s="2" t="n">
        <v>6</v>
      </c>
      <c r="L1488" s="2" t="n">
        <v>0</v>
      </c>
      <c r="M1488" s="2" t="n">
        <v>0</v>
      </c>
    </row>
    <row r="1489" customFormat="false" ht="15" hidden="false" customHeight="false" outlineLevel="0" collapsed="false">
      <c r="A1489" s="2" t="s">
        <v>3219</v>
      </c>
      <c r="B1489" s="2" t="s">
        <v>3220</v>
      </c>
      <c r="C1489" s="2" t="n">
        <v>2</v>
      </c>
      <c r="D1489" s="2" t="s">
        <v>1034</v>
      </c>
      <c r="E1489" s="2" t="s">
        <v>2867</v>
      </c>
      <c r="F1489" s="3" t="n">
        <v>45805.5909722222</v>
      </c>
      <c r="G1489" s="2" t="s">
        <v>2634</v>
      </c>
      <c r="H1489" s="4" t="n">
        <v>0</v>
      </c>
      <c r="I1489" s="2" t="s">
        <v>18</v>
      </c>
      <c r="J1489" s="2" t="s">
        <v>110</v>
      </c>
      <c r="K1489" s="2" t="n">
        <v>6</v>
      </c>
      <c r="L1489" s="2" t="n">
        <v>0</v>
      </c>
      <c r="M1489" s="2" t="n">
        <v>0</v>
      </c>
    </row>
    <row r="1490" customFormat="false" ht="15" hidden="false" customHeight="false" outlineLevel="0" collapsed="false">
      <c r="A1490" s="2" t="s">
        <v>3221</v>
      </c>
      <c r="B1490" s="2" t="s">
        <v>3222</v>
      </c>
      <c r="C1490" s="2" t="n">
        <v>5</v>
      </c>
      <c r="D1490" s="2" t="s">
        <v>1212</v>
      </c>
      <c r="E1490" s="2" t="s">
        <v>2867</v>
      </c>
      <c r="F1490" s="3" t="n">
        <v>45805.7145833333</v>
      </c>
      <c r="G1490" s="2" t="s">
        <v>2634</v>
      </c>
      <c r="H1490" s="4" t="n">
        <v>0.8777</v>
      </c>
      <c r="I1490" s="2" t="s">
        <v>23</v>
      </c>
      <c r="J1490" s="2" t="s">
        <v>19</v>
      </c>
      <c r="K1490" s="2" t="n">
        <v>2</v>
      </c>
      <c r="L1490" s="2" t="n">
        <v>0</v>
      </c>
      <c r="M1490" s="2" t="n">
        <v>0</v>
      </c>
    </row>
    <row r="1491" customFormat="false" ht="15" hidden="false" customHeight="false" outlineLevel="0" collapsed="false">
      <c r="A1491" s="2" t="s">
        <v>3223</v>
      </c>
      <c r="B1491" s="2" t="s">
        <v>3224</v>
      </c>
      <c r="C1491" s="2" t="n">
        <v>3</v>
      </c>
      <c r="D1491" s="2" t="s">
        <v>3225</v>
      </c>
      <c r="E1491" s="2" t="s">
        <v>2867</v>
      </c>
      <c r="F1491" s="3" t="n">
        <v>45805.7777777778</v>
      </c>
      <c r="G1491" s="2" t="s">
        <v>2634</v>
      </c>
      <c r="H1491" s="4" t="n">
        <v>0</v>
      </c>
      <c r="I1491" s="2" t="s">
        <v>18</v>
      </c>
      <c r="J1491" s="2" t="s">
        <v>37</v>
      </c>
      <c r="K1491" s="2" t="n">
        <v>1</v>
      </c>
      <c r="L1491" s="2" t="n">
        <v>1</v>
      </c>
      <c r="M1491" s="2" t="n">
        <v>0</v>
      </c>
    </row>
    <row r="1492" customFormat="false" ht="15" hidden="false" customHeight="false" outlineLevel="0" collapsed="false">
      <c r="A1492" s="2" t="s">
        <v>3226</v>
      </c>
      <c r="B1492" s="2" t="s">
        <v>3227</v>
      </c>
      <c r="C1492" s="2" t="n">
        <v>5</v>
      </c>
      <c r="D1492" s="2" t="s">
        <v>52</v>
      </c>
      <c r="E1492" s="2" t="s">
        <v>2867</v>
      </c>
      <c r="F1492" s="3" t="n">
        <v>45805.7895833333</v>
      </c>
      <c r="G1492" s="2" t="s">
        <v>2634</v>
      </c>
      <c r="H1492" s="4" t="n">
        <v>0.6369</v>
      </c>
      <c r="I1492" s="2" t="s">
        <v>23</v>
      </c>
      <c r="J1492" s="2" t="s">
        <v>19</v>
      </c>
      <c r="K1492" s="2" t="n">
        <v>1</v>
      </c>
      <c r="L1492" s="2" t="n">
        <v>0</v>
      </c>
      <c r="M1492" s="2" t="n">
        <v>0</v>
      </c>
    </row>
    <row r="1493" customFormat="false" ht="15" hidden="false" customHeight="false" outlineLevel="0" collapsed="false">
      <c r="A1493" s="2" t="s">
        <v>3228</v>
      </c>
      <c r="B1493" s="2" t="s">
        <v>3229</v>
      </c>
      <c r="C1493" s="2" t="n">
        <v>4</v>
      </c>
      <c r="D1493" s="2" t="s">
        <v>90</v>
      </c>
      <c r="E1493" s="2" t="s">
        <v>2867</v>
      </c>
      <c r="F1493" s="3" t="n">
        <v>45805.9076388889</v>
      </c>
      <c r="G1493" s="2" t="s">
        <v>2634</v>
      </c>
      <c r="H1493" s="4" t="n">
        <v>0.6249</v>
      </c>
      <c r="I1493" s="2" t="s">
        <v>23</v>
      </c>
      <c r="J1493" s="2" t="s">
        <v>37</v>
      </c>
      <c r="K1493" s="2" t="n">
        <v>0</v>
      </c>
      <c r="L1493" s="2" t="n">
        <v>0</v>
      </c>
      <c r="M1493" s="2" t="n">
        <v>0</v>
      </c>
    </row>
    <row r="1494" customFormat="false" ht="15" hidden="false" customHeight="false" outlineLevel="0" collapsed="false">
      <c r="A1494" s="2" t="s">
        <v>3230</v>
      </c>
      <c r="B1494" s="2" t="s">
        <v>3231</v>
      </c>
      <c r="C1494" s="2" t="n">
        <v>5</v>
      </c>
      <c r="D1494" s="2" t="s">
        <v>1004</v>
      </c>
      <c r="E1494" s="2" t="s">
        <v>2867</v>
      </c>
      <c r="F1494" s="3" t="n">
        <v>45805.9291666667</v>
      </c>
      <c r="G1494" s="2" t="s">
        <v>2634</v>
      </c>
      <c r="H1494" s="4" t="n">
        <v>0.6249</v>
      </c>
      <c r="I1494" s="2" t="s">
        <v>23</v>
      </c>
      <c r="J1494" s="2" t="s">
        <v>37</v>
      </c>
      <c r="K1494" s="2" t="n">
        <v>0</v>
      </c>
      <c r="L1494" s="2" t="n">
        <v>0</v>
      </c>
      <c r="M1494" s="2" t="n">
        <v>0</v>
      </c>
    </row>
    <row r="1495" customFormat="false" ht="15" hidden="false" customHeight="false" outlineLevel="0" collapsed="false">
      <c r="A1495" s="2" t="s">
        <v>3232</v>
      </c>
      <c r="B1495" s="2" t="s">
        <v>3233</v>
      </c>
      <c r="C1495" s="2" t="n">
        <v>4</v>
      </c>
      <c r="D1495" s="2" t="s">
        <v>40</v>
      </c>
      <c r="E1495" s="2" t="s">
        <v>2867</v>
      </c>
      <c r="F1495" s="3" t="n">
        <v>45806.0180555556</v>
      </c>
      <c r="G1495" s="2" t="s">
        <v>2634</v>
      </c>
      <c r="H1495" s="4" t="n">
        <v>0.4019</v>
      </c>
      <c r="I1495" s="2" t="s">
        <v>23</v>
      </c>
      <c r="J1495" s="2" t="s">
        <v>33</v>
      </c>
      <c r="K1495" s="2" t="n">
        <v>2</v>
      </c>
      <c r="L1495" s="2" t="n">
        <v>0</v>
      </c>
      <c r="M1495" s="2" t="n">
        <v>0</v>
      </c>
    </row>
    <row r="1496" customFormat="false" ht="15" hidden="false" customHeight="false" outlineLevel="0" collapsed="false">
      <c r="A1496" s="2" t="s">
        <v>3234</v>
      </c>
      <c r="B1496" s="2" t="s">
        <v>3235</v>
      </c>
      <c r="C1496" s="2" t="n">
        <v>5</v>
      </c>
      <c r="D1496" s="2" t="s">
        <v>52</v>
      </c>
      <c r="E1496" s="2" t="s">
        <v>2867</v>
      </c>
      <c r="F1496" s="3" t="n">
        <v>45806.1166666667</v>
      </c>
      <c r="G1496" s="2" t="s">
        <v>2634</v>
      </c>
      <c r="H1496" s="4" t="n">
        <v>0.6369</v>
      </c>
      <c r="I1496" s="2" t="s">
        <v>23</v>
      </c>
      <c r="J1496" s="2" t="s">
        <v>19</v>
      </c>
      <c r="K1496" s="2" t="n">
        <v>3</v>
      </c>
      <c r="L1496" s="2" t="n">
        <v>1</v>
      </c>
      <c r="M1496" s="2" t="n">
        <v>0</v>
      </c>
    </row>
    <row r="1497" customFormat="false" ht="15" hidden="false" customHeight="false" outlineLevel="0" collapsed="false">
      <c r="A1497" s="2" t="s">
        <v>3236</v>
      </c>
      <c r="B1497" s="2" t="s">
        <v>3237</v>
      </c>
      <c r="C1497" s="2" t="n">
        <v>5</v>
      </c>
      <c r="D1497" s="2" t="s">
        <v>47</v>
      </c>
      <c r="E1497" s="2" t="s">
        <v>2867</v>
      </c>
      <c r="F1497" s="3" t="n">
        <v>45806.15</v>
      </c>
      <c r="G1497" s="2" t="s">
        <v>2634</v>
      </c>
      <c r="H1497" s="4" t="n">
        <v>0.3089</v>
      </c>
      <c r="I1497" s="2" t="s">
        <v>23</v>
      </c>
      <c r="J1497" s="2" t="s">
        <v>19</v>
      </c>
      <c r="K1497" s="2" t="n">
        <v>2</v>
      </c>
      <c r="L1497" s="2" t="n">
        <v>0</v>
      </c>
      <c r="M1497" s="2" t="n">
        <v>0</v>
      </c>
    </row>
    <row r="1498" customFormat="false" ht="15" hidden="false" customHeight="false" outlineLevel="0" collapsed="false">
      <c r="A1498" s="2" t="s">
        <v>3238</v>
      </c>
      <c r="B1498" s="2" t="s">
        <v>3239</v>
      </c>
      <c r="C1498" s="2" t="n">
        <v>5</v>
      </c>
      <c r="D1498" s="2" t="s">
        <v>127</v>
      </c>
      <c r="E1498" s="2" t="s">
        <v>2867</v>
      </c>
      <c r="F1498" s="3" t="n">
        <v>45806.2131944444</v>
      </c>
      <c r="G1498" s="2" t="s">
        <v>2634</v>
      </c>
      <c r="H1498" s="4" t="n">
        <v>0.9359</v>
      </c>
      <c r="I1498" s="2" t="s">
        <v>23</v>
      </c>
      <c r="J1498" s="2" t="s">
        <v>37</v>
      </c>
      <c r="K1498" s="2" t="n">
        <v>2</v>
      </c>
      <c r="L1498" s="2" t="n">
        <v>0</v>
      </c>
      <c r="M1498" s="2" t="n">
        <v>0</v>
      </c>
    </row>
    <row r="1499" customFormat="false" ht="15" hidden="false" customHeight="false" outlineLevel="0" collapsed="false">
      <c r="A1499" s="2" t="s">
        <v>3240</v>
      </c>
      <c r="B1499" s="2" t="s">
        <v>3241</v>
      </c>
      <c r="C1499" s="2" t="n">
        <v>5</v>
      </c>
      <c r="D1499" s="2" t="s">
        <v>15</v>
      </c>
      <c r="E1499" s="2" t="s">
        <v>2867</v>
      </c>
      <c r="F1499" s="3" t="n">
        <v>45806.2611111111</v>
      </c>
      <c r="G1499" s="2" t="s">
        <v>2634</v>
      </c>
      <c r="H1499" s="4" t="n">
        <v>0</v>
      </c>
      <c r="I1499" s="2" t="s">
        <v>18</v>
      </c>
      <c r="J1499" s="2" t="s">
        <v>19</v>
      </c>
      <c r="K1499" s="2" t="n">
        <v>0</v>
      </c>
      <c r="L1499" s="2" t="n">
        <v>0</v>
      </c>
      <c r="M1499" s="2" t="n">
        <v>0</v>
      </c>
    </row>
    <row r="1500" customFormat="false" ht="15" hidden="false" customHeight="false" outlineLevel="0" collapsed="false">
      <c r="A1500" s="2" t="s">
        <v>3242</v>
      </c>
      <c r="B1500" s="2" t="s">
        <v>3243</v>
      </c>
      <c r="C1500" s="2" t="n">
        <v>5</v>
      </c>
      <c r="D1500" s="2" t="s">
        <v>90</v>
      </c>
      <c r="E1500" s="2" t="s">
        <v>2867</v>
      </c>
      <c r="F1500" s="3" t="n">
        <v>45806.4388888889</v>
      </c>
      <c r="G1500" s="2" t="s">
        <v>2634</v>
      </c>
      <c r="H1500" s="4" t="n">
        <v>0.6249</v>
      </c>
      <c r="I1500" s="2" t="s">
        <v>23</v>
      </c>
      <c r="J1500" s="2" t="s">
        <v>37</v>
      </c>
      <c r="K1500" s="2" t="n">
        <v>1</v>
      </c>
      <c r="L1500" s="2" t="n">
        <v>0</v>
      </c>
      <c r="M1500" s="2" t="n">
        <v>0</v>
      </c>
    </row>
    <row r="1501" customFormat="false" ht="15" hidden="false" customHeight="false" outlineLevel="0" collapsed="false">
      <c r="A1501" s="2" t="s">
        <v>3244</v>
      </c>
      <c r="B1501" s="2" t="s">
        <v>3245</v>
      </c>
      <c r="C1501" s="2" t="n">
        <v>5</v>
      </c>
      <c r="D1501" s="2" t="s">
        <v>40</v>
      </c>
      <c r="E1501" s="2" t="s">
        <v>2867</v>
      </c>
      <c r="F1501" s="3" t="n">
        <v>45806.5868055556</v>
      </c>
      <c r="G1501" s="2" t="s">
        <v>2634</v>
      </c>
      <c r="H1501" s="4" t="n">
        <v>0.4019</v>
      </c>
      <c r="I1501" s="2" t="s">
        <v>23</v>
      </c>
      <c r="J1501" s="2" t="s">
        <v>33</v>
      </c>
      <c r="K1501" s="2" t="n">
        <v>1</v>
      </c>
      <c r="L1501" s="2" t="n">
        <v>0</v>
      </c>
      <c r="M1501" s="2" t="n">
        <v>0</v>
      </c>
    </row>
    <row r="1502" customFormat="false" ht="15" hidden="false" customHeight="false" outlineLevel="0" collapsed="false">
      <c r="A1502" s="2" t="s">
        <v>3246</v>
      </c>
      <c r="B1502" s="2" t="s">
        <v>3247</v>
      </c>
      <c r="C1502" s="2" t="n">
        <v>5</v>
      </c>
      <c r="D1502" s="2" t="s">
        <v>875</v>
      </c>
      <c r="E1502" s="2" t="s">
        <v>2867</v>
      </c>
      <c r="F1502" s="3" t="n">
        <v>45806.6173611111</v>
      </c>
      <c r="G1502" s="2" t="s">
        <v>2634</v>
      </c>
      <c r="H1502" s="4" t="n">
        <v>0.7992</v>
      </c>
      <c r="I1502" s="2" t="s">
        <v>23</v>
      </c>
      <c r="J1502" s="2" t="s">
        <v>19</v>
      </c>
      <c r="K1502" s="2" t="n">
        <v>2</v>
      </c>
      <c r="L1502" s="2" t="n">
        <v>0</v>
      </c>
      <c r="M1502" s="2" t="n">
        <v>0</v>
      </c>
    </row>
    <row r="1503" customFormat="false" ht="15" hidden="false" customHeight="false" outlineLevel="0" collapsed="false">
      <c r="A1503" s="2" t="s">
        <v>3248</v>
      </c>
      <c r="B1503" s="2" t="s">
        <v>3249</v>
      </c>
      <c r="C1503" s="2" t="n">
        <v>3</v>
      </c>
      <c r="D1503" s="2" t="s">
        <v>113</v>
      </c>
      <c r="E1503" s="2" t="s">
        <v>2867</v>
      </c>
      <c r="F1503" s="3" t="n">
        <v>45806.6388888889</v>
      </c>
      <c r="G1503" s="2" t="s">
        <v>2634</v>
      </c>
      <c r="H1503" s="4" t="n">
        <v>-0.431</v>
      </c>
      <c r="I1503" s="2" t="s">
        <v>84</v>
      </c>
      <c r="J1503" s="2" t="s">
        <v>19</v>
      </c>
      <c r="K1503" s="2" t="n">
        <v>1</v>
      </c>
      <c r="L1503" s="2" t="n">
        <v>0</v>
      </c>
      <c r="M1503" s="2" t="n">
        <v>0</v>
      </c>
    </row>
    <row r="1504" customFormat="false" ht="15" hidden="false" customHeight="false" outlineLevel="0" collapsed="false">
      <c r="A1504" s="2" t="s">
        <v>3250</v>
      </c>
      <c r="B1504" s="2" t="s">
        <v>3251</v>
      </c>
      <c r="C1504" s="2" t="n">
        <v>4</v>
      </c>
      <c r="D1504" s="2" t="s">
        <v>62</v>
      </c>
      <c r="E1504" s="2" t="s">
        <v>2867</v>
      </c>
      <c r="F1504" s="3" t="n">
        <v>45806.9375</v>
      </c>
      <c r="G1504" s="2" t="s">
        <v>2634</v>
      </c>
      <c r="H1504" s="4" t="n">
        <v>0.7088</v>
      </c>
      <c r="I1504" s="2" t="s">
        <v>23</v>
      </c>
      <c r="J1504" s="2" t="s">
        <v>19</v>
      </c>
      <c r="K1504" s="2" t="n">
        <v>2</v>
      </c>
      <c r="L1504" s="2" t="n">
        <v>0</v>
      </c>
      <c r="M1504" s="2" t="n">
        <v>0</v>
      </c>
    </row>
    <row r="1505" customFormat="false" ht="15" hidden="false" customHeight="false" outlineLevel="0" collapsed="false">
      <c r="A1505" s="2" t="s">
        <v>3252</v>
      </c>
      <c r="B1505" s="2" t="s">
        <v>2979</v>
      </c>
      <c r="C1505" s="2" t="n">
        <v>5</v>
      </c>
      <c r="D1505" s="2" t="s">
        <v>47</v>
      </c>
      <c r="E1505" s="2" t="s">
        <v>2867</v>
      </c>
      <c r="F1505" s="3" t="n">
        <v>45806.9590277778</v>
      </c>
      <c r="G1505" s="2" t="s">
        <v>2634</v>
      </c>
      <c r="H1505" s="4" t="n">
        <v>0.3089</v>
      </c>
      <c r="I1505" s="2" t="s">
        <v>23</v>
      </c>
      <c r="J1505" s="2" t="s">
        <v>19</v>
      </c>
      <c r="K1505" s="2" t="n">
        <v>8</v>
      </c>
      <c r="L1505" s="2" t="n">
        <v>0</v>
      </c>
      <c r="M1505" s="2" t="n">
        <v>0</v>
      </c>
    </row>
    <row r="1506" customFormat="false" ht="15" hidden="false" customHeight="false" outlineLevel="0" collapsed="false">
      <c r="A1506" s="2" t="s">
        <v>3253</v>
      </c>
      <c r="B1506" s="2" t="s">
        <v>3254</v>
      </c>
      <c r="C1506" s="2" t="n">
        <v>4</v>
      </c>
      <c r="D1506" s="2" t="s">
        <v>47</v>
      </c>
      <c r="E1506" s="2" t="s">
        <v>2867</v>
      </c>
      <c r="F1506" s="3" t="n">
        <v>45807.0236111111</v>
      </c>
      <c r="G1506" s="2" t="s">
        <v>2634</v>
      </c>
      <c r="H1506" s="4" t="n">
        <v>0.3089</v>
      </c>
      <c r="I1506" s="2" t="s">
        <v>23</v>
      </c>
      <c r="J1506" s="2" t="s">
        <v>19</v>
      </c>
      <c r="K1506" s="2" t="n">
        <v>0</v>
      </c>
      <c r="L1506" s="2" t="n">
        <v>0</v>
      </c>
      <c r="M1506" s="2" t="n">
        <v>0</v>
      </c>
    </row>
    <row r="1507" customFormat="false" ht="15" hidden="false" customHeight="false" outlineLevel="0" collapsed="false">
      <c r="A1507" s="2" t="s">
        <v>3255</v>
      </c>
      <c r="B1507" s="2" t="s">
        <v>3256</v>
      </c>
      <c r="C1507" s="2" t="n">
        <v>4</v>
      </c>
      <c r="D1507" s="2" t="s">
        <v>47</v>
      </c>
      <c r="E1507" s="2" t="s">
        <v>2867</v>
      </c>
      <c r="F1507" s="3" t="n">
        <v>45807.1208333333</v>
      </c>
      <c r="G1507" s="2" t="s">
        <v>2634</v>
      </c>
      <c r="H1507" s="4" t="n">
        <v>0.3089</v>
      </c>
      <c r="I1507" s="2" t="s">
        <v>23</v>
      </c>
      <c r="J1507" s="2" t="s">
        <v>19</v>
      </c>
      <c r="K1507" s="2" t="n">
        <v>3</v>
      </c>
      <c r="L1507" s="2" t="n">
        <v>0</v>
      </c>
      <c r="M1507" s="2" t="n">
        <v>0</v>
      </c>
    </row>
    <row r="1508" customFormat="false" ht="15" hidden="false" customHeight="false" outlineLevel="0" collapsed="false">
      <c r="A1508" s="2" t="s">
        <v>3257</v>
      </c>
      <c r="B1508" s="2" t="s">
        <v>3258</v>
      </c>
      <c r="C1508" s="2" t="n">
        <v>3</v>
      </c>
      <c r="D1508" s="2" t="s">
        <v>22</v>
      </c>
      <c r="E1508" s="2" t="s">
        <v>2867</v>
      </c>
      <c r="F1508" s="3" t="n">
        <v>45807.6444444444</v>
      </c>
      <c r="G1508" s="2" t="s">
        <v>2634</v>
      </c>
      <c r="H1508" s="4" t="n">
        <v>0.2023</v>
      </c>
      <c r="I1508" s="2" t="s">
        <v>23</v>
      </c>
      <c r="J1508" s="2" t="s">
        <v>19</v>
      </c>
      <c r="K1508" s="2" t="n">
        <v>6</v>
      </c>
      <c r="L1508" s="2" t="n">
        <v>0</v>
      </c>
      <c r="M1508" s="2" t="n">
        <v>0</v>
      </c>
    </row>
    <row r="1509" customFormat="false" ht="15" hidden="false" customHeight="false" outlineLevel="0" collapsed="false">
      <c r="A1509" s="2" t="s">
        <v>3259</v>
      </c>
      <c r="B1509" s="2" t="s">
        <v>3260</v>
      </c>
      <c r="C1509" s="2" t="n">
        <v>5</v>
      </c>
      <c r="D1509" s="2" t="s">
        <v>565</v>
      </c>
      <c r="E1509" s="2" t="s">
        <v>2867</v>
      </c>
      <c r="F1509" s="3" t="n">
        <v>45807.7715277778</v>
      </c>
      <c r="G1509" s="2" t="s">
        <v>2634</v>
      </c>
      <c r="H1509" s="4" t="n">
        <v>0.7549</v>
      </c>
      <c r="I1509" s="2" t="s">
        <v>23</v>
      </c>
      <c r="J1509" s="2" t="s">
        <v>19</v>
      </c>
      <c r="K1509" s="2" t="n">
        <v>7</v>
      </c>
      <c r="L1509" s="2" t="n">
        <v>0</v>
      </c>
      <c r="M1509" s="2" t="n">
        <v>0</v>
      </c>
    </row>
    <row r="1510" customFormat="false" ht="15" hidden="false" customHeight="false" outlineLevel="0" collapsed="false">
      <c r="A1510" s="2" t="s">
        <v>3261</v>
      </c>
      <c r="B1510" s="2" t="s">
        <v>3262</v>
      </c>
      <c r="C1510" s="2" t="n">
        <v>2</v>
      </c>
      <c r="D1510" s="2" t="s">
        <v>498</v>
      </c>
      <c r="E1510" s="2" t="s">
        <v>2867</v>
      </c>
      <c r="F1510" s="3" t="n">
        <v>45807.8416666667</v>
      </c>
      <c r="G1510" s="2" t="s">
        <v>2634</v>
      </c>
      <c r="H1510" s="4" t="n">
        <v>0</v>
      </c>
      <c r="I1510" s="2" t="s">
        <v>18</v>
      </c>
      <c r="J1510" s="2" t="s">
        <v>165</v>
      </c>
      <c r="K1510" s="2" t="n">
        <v>3</v>
      </c>
      <c r="L1510" s="2" t="n">
        <v>1</v>
      </c>
      <c r="M1510" s="2" t="n">
        <v>0</v>
      </c>
    </row>
    <row r="1511" customFormat="false" ht="15" hidden="false" customHeight="false" outlineLevel="0" collapsed="false">
      <c r="A1511" s="2" t="s">
        <v>3263</v>
      </c>
      <c r="B1511" s="2" t="s">
        <v>3264</v>
      </c>
      <c r="C1511" s="2" t="n">
        <v>4</v>
      </c>
      <c r="D1511" s="2" t="s">
        <v>52</v>
      </c>
      <c r="E1511" s="2" t="s">
        <v>2867</v>
      </c>
      <c r="F1511" s="3" t="n">
        <v>45807.8659722222</v>
      </c>
      <c r="G1511" s="2" t="s">
        <v>2634</v>
      </c>
      <c r="H1511" s="4" t="n">
        <v>0.6369</v>
      </c>
      <c r="I1511" s="2" t="s">
        <v>23</v>
      </c>
      <c r="J1511" s="2" t="s">
        <v>19</v>
      </c>
      <c r="K1511" s="2" t="n">
        <v>6</v>
      </c>
      <c r="L1511" s="2" t="n">
        <v>0</v>
      </c>
      <c r="M1511" s="2" t="n">
        <v>0</v>
      </c>
    </row>
    <row r="1512" customFormat="false" ht="15" hidden="false" customHeight="false" outlineLevel="0" collapsed="false">
      <c r="A1512" s="2" t="s">
        <v>3265</v>
      </c>
      <c r="B1512" s="2" t="s">
        <v>3266</v>
      </c>
      <c r="C1512" s="2" t="n">
        <v>4</v>
      </c>
      <c r="D1512" s="2" t="s">
        <v>96</v>
      </c>
      <c r="E1512" s="2" t="s">
        <v>2867</v>
      </c>
      <c r="F1512" s="3" t="n">
        <v>45807.9520833333</v>
      </c>
      <c r="G1512" s="2" t="s">
        <v>2634</v>
      </c>
      <c r="H1512" s="4" t="n">
        <v>0.6369</v>
      </c>
      <c r="I1512" s="2" t="s">
        <v>23</v>
      </c>
      <c r="J1512" s="2" t="s">
        <v>19</v>
      </c>
      <c r="K1512" s="2" t="n">
        <v>4</v>
      </c>
      <c r="L1512" s="2" t="n">
        <v>0</v>
      </c>
      <c r="M1512" s="2" t="n">
        <v>0</v>
      </c>
    </row>
    <row r="1513" customFormat="false" ht="15" hidden="false" customHeight="false" outlineLevel="0" collapsed="false">
      <c r="A1513" s="2" t="s">
        <v>3267</v>
      </c>
      <c r="B1513" s="2" t="s">
        <v>3268</v>
      </c>
      <c r="C1513" s="2" t="n">
        <v>5</v>
      </c>
      <c r="D1513" s="2" t="s">
        <v>52</v>
      </c>
      <c r="E1513" s="2" t="s">
        <v>2867</v>
      </c>
      <c r="F1513" s="3" t="n">
        <v>45808.0291666667</v>
      </c>
      <c r="G1513" s="2" t="s">
        <v>2634</v>
      </c>
      <c r="H1513" s="4" t="n">
        <v>0.6369</v>
      </c>
      <c r="I1513" s="2" t="s">
        <v>23</v>
      </c>
      <c r="J1513" s="2" t="s">
        <v>19</v>
      </c>
      <c r="K1513" s="2" t="n">
        <v>0</v>
      </c>
      <c r="L1513" s="2" t="n">
        <v>0</v>
      </c>
      <c r="M1513" s="2" t="n">
        <v>0</v>
      </c>
    </row>
    <row r="1514" customFormat="false" ht="15" hidden="false" customHeight="false" outlineLevel="0" collapsed="false">
      <c r="A1514" s="2" t="s">
        <v>3269</v>
      </c>
      <c r="B1514" s="2" t="s">
        <v>3270</v>
      </c>
      <c r="C1514" s="2" t="n">
        <v>1</v>
      </c>
      <c r="D1514" s="2" t="s">
        <v>482</v>
      </c>
      <c r="E1514" s="2" t="s">
        <v>2867</v>
      </c>
      <c r="F1514" s="3" t="n">
        <v>45808.0854166667</v>
      </c>
      <c r="G1514" s="2" t="s">
        <v>2634</v>
      </c>
      <c r="H1514" s="4" t="n">
        <v>-0.6808</v>
      </c>
      <c r="I1514" s="2" t="s">
        <v>84</v>
      </c>
      <c r="J1514" s="2" t="s">
        <v>110</v>
      </c>
      <c r="K1514" s="2" t="n">
        <v>0</v>
      </c>
      <c r="L1514" s="2" t="n">
        <v>0</v>
      </c>
      <c r="M1514" s="2" t="n">
        <v>0</v>
      </c>
    </row>
    <row r="1515" customFormat="false" ht="15" hidden="false" customHeight="false" outlineLevel="0" collapsed="false">
      <c r="A1515" s="2" t="s">
        <v>3271</v>
      </c>
      <c r="B1515" s="2" t="s">
        <v>3272</v>
      </c>
      <c r="C1515" s="2" t="n">
        <v>5</v>
      </c>
      <c r="D1515" s="2" t="s">
        <v>90</v>
      </c>
      <c r="E1515" s="2" t="s">
        <v>2867</v>
      </c>
      <c r="F1515" s="3" t="n">
        <v>45808.1770833333</v>
      </c>
      <c r="G1515" s="2" t="s">
        <v>2634</v>
      </c>
      <c r="H1515" s="4" t="n">
        <v>0.6249</v>
      </c>
      <c r="I1515" s="2" t="s">
        <v>23</v>
      </c>
      <c r="J1515" s="2" t="s">
        <v>37</v>
      </c>
      <c r="K1515" s="2" t="n">
        <v>3</v>
      </c>
      <c r="L1515" s="2" t="n">
        <v>0</v>
      </c>
      <c r="M1515" s="2" t="n">
        <v>0</v>
      </c>
    </row>
    <row r="1516" customFormat="false" ht="15" hidden="false" customHeight="false" outlineLevel="0" collapsed="false">
      <c r="A1516" s="2" t="s">
        <v>3273</v>
      </c>
      <c r="B1516" s="2" t="s">
        <v>3274</v>
      </c>
      <c r="C1516" s="2" t="n">
        <v>5</v>
      </c>
      <c r="D1516" s="2" t="s">
        <v>40</v>
      </c>
      <c r="E1516" s="2" t="s">
        <v>2867</v>
      </c>
      <c r="F1516" s="3" t="n">
        <v>45808.2493055556</v>
      </c>
      <c r="G1516" s="2" t="s">
        <v>2634</v>
      </c>
      <c r="H1516" s="4" t="n">
        <v>0.4019</v>
      </c>
      <c r="I1516" s="2" t="s">
        <v>23</v>
      </c>
      <c r="J1516" s="2" t="s">
        <v>33</v>
      </c>
      <c r="K1516" s="2" t="n">
        <v>0</v>
      </c>
      <c r="L1516" s="2" t="n">
        <v>0</v>
      </c>
      <c r="M1516" s="2" t="n">
        <v>0</v>
      </c>
    </row>
    <row r="1517" customFormat="false" ht="15" hidden="false" customHeight="false" outlineLevel="0" collapsed="false">
      <c r="A1517" s="2" t="s">
        <v>3275</v>
      </c>
      <c r="B1517" s="2" t="s">
        <v>3276</v>
      </c>
      <c r="C1517" s="2" t="n">
        <v>5</v>
      </c>
      <c r="D1517" s="2" t="s">
        <v>15</v>
      </c>
      <c r="E1517" s="2" t="s">
        <v>2867</v>
      </c>
      <c r="F1517" s="3" t="n">
        <v>45808.275</v>
      </c>
      <c r="G1517" s="2" t="s">
        <v>2634</v>
      </c>
      <c r="H1517" s="4" t="n">
        <v>0</v>
      </c>
      <c r="I1517" s="2" t="s">
        <v>18</v>
      </c>
      <c r="J1517" s="2" t="s">
        <v>19</v>
      </c>
      <c r="K1517" s="2" t="n">
        <v>9</v>
      </c>
      <c r="L1517" s="2" t="n">
        <v>0</v>
      </c>
      <c r="M1517" s="2" t="n">
        <v>0</v>
      </c>
    </row>
    <row r="1518" customFormat="false" ht="15" hidden="false" customHeight="false" outlineLevel="0" collapsed="false">
      <c r="A1518" s="2" t="s">
        <v>3277</v>
      </c>
      <c r="B1518" s="2" t="s">
        <v>2358</v>
      </c>
      <c r="C1518" s="2" t="n">
        <v>4</v>
      </c>
      <c r="D1518" s="2" t="s">
        <v>22</v>
      </c>
      <c r="E1518" s="2" t="s">
        <v>2867</v>
      </c>
      <c r="F1518" s="3" t="n">
        <v>45808.3194444445</v>
      </c>
      <c r="G1518" s="2" t="s">
        <v>2634</v>
      </c>
      <c r="H1518" s="4" t="n">
        <v>0.2023</v>
      </c>
      <c r="I1518" s="2" t="s">
        <v>23</v>
      </c>
      <c r="J1518" s="2" t="s">
        <v>19</v>
      </c>
      <c r="K1518" s="2" t="n">
        <v>1</v>
      </c>
      <c r="L1518" s="2" t="n">
        <v>0</v>
      </c>
      <c r="M1518" s="2" t="n">
        <v>0</v>
      </c>
    </row>
    <row r="1519" customFormat="false" ht="15" hidden="false" customHeight="false" outlineLevel="0" collapsed="false">
      <c r="A1519" s="2" t="s">
        <v>3278</v>
      </c>
      <c r="B1519" s="2" t="s">
        <v>3279</v>
      </c>
      <c r="C1519" s="2" t="n">
        <v>5</v>
      </c>
      <c r="D1519" s="2" t="s">
        <v>1254</v>
      </c>
      <c r="E1519" s="2" t="s">
        <v>2867</v>
      </c>
      <c r="F1519" s="3" t="n">
        <v>45808.3416666667</v>
      </c>
      <c r="G1519" s="2" t="s">
        <v>2634</v>
      </c>
      <c r="H1519" s="4" t="n">
        <v>0</v>
      </c>
      <c r="I1519" s="2" t="s">
        <v>18</v>
      </c>
      <c r="J1519" s="2" t="s">
        <v>19</v>
      </c>
      <c r="K1519" s="2" t="n">
        <v>0</v>
      </c>
      <c r="L1519" s="2" t="n">
        <v>0</v>
      </c>
      <c r="M1519" s="2" t="n">
        <v>0</v>
      </c>
    </row>
    <row r="1520" customFormat="false" ht="15" hidden="false" customHeight="false" outlineLevel="0" collapsed="false">
      <c r="A1520" s="2" t="s">
        <v>3280</v>
      </c>
      <c r="B1520" s="2" t="s">
        <v>3281</v>
      </c>
      <c r="C1520" s="2" t="n">
        <v>5</v>
      </c>
      <c r="D1520" s="2" t="s">
        <v>127</v>
      </c>
      <c r="E1520" s="2" t="s">
        <v>2867</v>
      </c>
      <c r="F1520" s="3" t="n">
        <v>45808.4534722222</v>
      </c>
      <c r="G1520" s="2" t="s">
        <v>2634</v>
      </c>
      <c r="H1520" s="4" t="n">
        <v>0.9359</v>
      </c>
      <c r="I1520" s="2" t="s">
        <v>23</v>
      </c>
      <c r="J1520" s="2" t="s">
        <v>37</v>
      </c>
      <c r="K1520" s="2" t="n">
        <v>2</v>
      </c>
      <c r="L1520" s="2" t="n">
        <v>0</v>
      </c>
      <c r="M1520" s="2" t="n">
        <v>0</v>
      </c>
    </row>
    <row r="1521" customFormat="false" ht="15" hidden="false" customHeight="false" outlineLevel="0" collapsed="false">
      <c r="A1521" s="2" t="s">
        <v>3282</v>
      </c>
      <c r="B1521" s="2" t="s">
        <v>3283</v>
      </c>
      <c r="C1521" s="2" t="n">
        <v>5</v>
      </c>
      <c r="D1521" s="2" t="s">
        <v>90</v>
      </c>
      <c r="E1521" s="2" t="s">
        <v>2867</v>
      </c>
      <c r="F1521" s="3" t="n">
        <v>45808.4715277778</v>
      </c>
      <c r="G1521" s="2" t="s">
        <v>2634</v>
      </c>
      <c r="H1521" s="4" t="n">
        <v>0.6249</v>
      </c>
      <c r="I1521" s="2" t="s">
        <v>23</v>
      </c>
      <c r="J1521" s="2" t="s">
        <v>37</v>
      </c>
      <c r="K1521" s="2" t="n">
        <v>8</v>
      </c>
      <c r="L1521" s="2" t="n">
        <v>0</v>
      </c>
      <c r="M1521" s="2" t="n">
        <v>0</v>
      </c>
    </row>
    <row r="1522" customFormat="false" ht="15" hidden="false" customHeight="false" outlineLevel="0" collapsed="false">
      <c r="A1522" s="2" t="s">
        <v>3284</v>
      </c>
      <c r="B1522" s="2" t="s">
        <v>3285</v>
      </c>
      <c r="C1522" s="2" t="n">
        <v>3</v>
      </c>
      <c r="D1522" s="2" t="s">
        <v>99</v>
      </c>
      <c r="E1522" s="2" t="s">
        <v>2867</v>
      </c>
      <c r="F1522" s="3" t="n">
        <v>45808.5284722222</v>
      </c>
      <c r="G1522" s="2" t="s">
        <v>2634</v>
      </c>
      <c r="H1522" s="4" t="n">
        <v>-0.3089</v>
      </c>
      <c r="I1522" s="2" t="s">
        <v>84</v>
      </c>
      <c r="J1522" s="2" t="s">
        <v>19</v>
      </c>
      <c r="K1522" s="2" t="n">
        <v>6</v>
      </c>
      <c r="L1522" s="2" t="n">
        <v>0</v>
      </c>
      <c r="M1522" s="2" t="n">
        <v>0</v>
      </c>
    </row>
    <row r="1523" customFormat="false" ht="15" hidden="false" customHeight="false" outlineLevel="0" collapsed="false">
      <c r="A1523" s="2" t="s">
        <v>3286</v>
      </c>
      <c r="B1523" s="2" t="s">
        <v>3287</v>
      </c>
      <c r="C1523" s="2" t="n">
        <v>5</v>
      </c>
      <c r="D1523" s="2" t="s">
        <v>1004</v>
      </c>
      <c r="E1523" s="2" t="s">
        <v>2867</v>
      </c>
      <c r="F1523" s="3" t="n">
        <v>45808.5645833333</v>
      </c>
      <c r="G1523" s="2" t="s">
        <v>2634</v>
      </c>
      <c r="H1523" s="4" t="n">
        <v>0.6249</v>
      </c>
      <c r="I1523" s="2" t="s">
        <v>23</v>
      </c>
      <c r="J1523" s="2" t="s">
        <v>37</v>
      </c>
      <c r="K1523" s="2" t="n">
        <v>11</v>
      </c>
      <c r="L1523" s="2" t="n">
        <v>0</v>
      </c>
      <c r="M1523" s="2" t="n">
        <v>0</v>
      </c>
    </row>
    <row r="1524" customFormat="false" ht="15" hidden="false" customHeight="false" outlineLevel="0" collapsed="false">
      <c r="A1524" s="2" t="s">
        <v>3288</v>
      </c>
      <c r="B1524" s="2" t="s">
        <v>3289</v>
      </c>
      <c r="C1524" s="2" t="n">
        <v>3</v>
      </c>
      <c r="D1524" s="2" t="s">
        <v>3290</v>
      </c>
      <c r="E1524" s="2" t="s">
        <v>2867</v>
      </c>
      <c r="F1524" s="3" t="n">
        <v>45808.5805555556</v>
      </c>
      <c r="G1524" s="2" t="s">
        <v>2634</v>
      </c>
      <c r="H1524" s="4" t="n">
        <v>0.6448</v>
      </c>
      <c r="I1524" s="2" t="s">
        <v>23</v>
      </c>
      <c r="J1524" s="2" t="s">
        <v>37</v>
      </c>
      <c r="K1524" s="2" t="n">
        <v>2</v>
      </c>
      <c r="L1524" s="2" t="n">
        <v>0</v>
      </c>
      <c r="M1524" s="2" t="n">
        <v>0</v>
      </c>
    </row>
    <row r="1525" customFormat="false" ht="15" hidden="false" customHeight="false" outlineLevel="0" collapsed="false">
      <c r="A1525" s="2" t="s">
        <v>3291</v>
      </c>
      <c r="B1525" s="2" t="s">
        <v>3292</v>
      </c>
      <c r="C1525" s="2" t="n">
        <v>5</v>
      </c>
      <c r="D1525" s="2" t="s">
        <v>47</v>
      </c>
      <c r="E1525" s="2" t="s">
        <v>2867</v>
      </c>
      <c r="F1525" s="3" t="n">
        <v>45808.6194444444</v>
      </c>
      <c r="G1525" s="2" t="s">
        <v>2634</v>
      </c>
      <c r="H1525" s="4" t="n">
        <v>0.3089</v>
      </c>
      <c r="I1525" s="2" t="s">
        <v>23</v>
      </c>
      <c r="J1525" s="2" t="s">
        <v>19</v>
      </c>
      <c r="K1525" s="2" t="n">
        <v>1</v>
      </c>
      <c r="L1525" s="2" t="n">
        <v>0</v>
      </c>
      <c r="M1525" s="2" t="n">
        <v>0</v>
      </c>
    </row>
    <row r="1526" customFormat="false" ht="15" hidden="false" customHeight="false" outlineLevel="0" collapsed="false">
      <c r="A1526" s="2" t="s">
        <v>3293</v>
      </c>
      <c r="B1526" s="2" t="s">
        <v>3294</v>
      </c>
      <c r="C1526" s="2" t="n">
        <v>1</v>
      </c>
      <c r="D1526" s="2" t="s">
        <v>2098</v>
      </c>
      <c r="E1526" s="2" t="s">
        <v>2867</v>
      </c>
      <c r="F1526" s="3" t="n">
        <v>45808.8034722222</v>
      </c>
      <c r="G1526" s="2" t="s">
        <v>2634</v>
      </c>
      <c r="H1526" s="4" t="n">
        <v>-0.4588</v>
      </c>
      <c r="I1526" s="2" t="s">
        <v>84</v>
      </c>
      <c r="J1526" s="2" t="s">
        <v>37</v>
      </c>
      <c r="K1526" s="2" t="n">
        <v>5</v>
      </c>
      <c r="L1526" s="2" t="n">
        <v>1</v>
      </c>
      <c r="M1526" s="2" t="n">
        <v>0</v>
      </c>
    </row>
    <row r="1527" customFormat="false" ht="15" hidden="false" customHeight="false" outlineLevel="0" collapsed="false">
      <c r="A1527" s="2" t="s">
        <v>3295</v>
      </c>
      <c r="B1527" s="2" t="s">
        <v>3296</v>
      </c>
      <c r="C1527" s="2" t="n">
        <v>5</v>
      </c>
      <c r="D1527" s="2" t="s">
        <v>62</v>
      </c>
      <c r="E1527" s="2" t="s">
        <v>2867</v>
      </c>
      <c r="F1527" s="3" t="n">
        <v>45808.8423611111</v>
      </c>
      <c r="G1527" s="2" t="s">
        <v>2634</v>
      </c>
      <c r="H1527" s="4" t="n">
        <v>0.7088</v>
      </c>
      <c r="I1527" s="2" t="s">
        <v>23</v>
      </c>
      <c r="J1527" s="2" t="s">
        <v>19</v>
      </c>
      <c r="K1527" s="2" t="n">
        <v>1</v>
      </c>
      <c r="L1527" s="2" t="n">
        <v>1</v>
      </c>
      <c r="M1527" s="2" t="n">
        <v>0</v>
      </c>
    </row>
    <row r="1528" customFormat="false" ht="15" hidden="false" customHeight="false" outlineLevel="0" collapsed="false">
      <c r="A1528" s="2" t="s">
        <v>3297</v>
      </c>
      <c r="B1528" s="2" t="s">
        <v>3298</v>
      </c>
      <c r="C1528" s="2" t="n">
        <v>1</v>
      </c>
      <c r="D1528" s="2" t="s">
        <v>946</v>
      </c>
      <c r="E1528" s="2" t="s">
        <v>2867</v>
      </c>
      <c r="F1528" s="3" t="n">
        <v>45808.8555555556</v>
      </c>
      <c r="G1528" s="2" t="s">
        <v>2634</v>
      </c>
      <c r="H1528" s="4" t="n">
        <v>-0.25</v>
      </c>
      <c r="I1528" s="2" t="s">
        <v>84</v>
      </c>
      <c r="J1528" s="2" t="s">
        <v>37</v>
      </c>
      <c r="K1528" s="2" t="n">
        <v>3</v>
      </c>
      <c r="L1528" s="2" t="n">
        <v>1</v>
      </c>
      <c r="M1528" s="2" t="n">
        <v>0</v>
      </c>
    </row>
    <row r="1529" customFormat="false" ht="15" hidden="false" customHeight="false" outlineLevel="0" collapsed="false">
      <c r="A1529" s="2" t="s">
        <v>3299</v>
      </c>
      <c r="B1529" s="2" t="s">
        <v>3300</v>
      </c>
      <c r="C1529" s="2" t="n">
        <v>4</v>
      </c>
      <c r="D1529" s="2" t="s">
        <v>96</v>
      </c>
      <c r="E1529" s="2" t="s">
        <v>2867</v>
      </c>
      <c r="F1529" s="3" t="n">
        <v>45808.9263888889</v>
      </c>
      <c r="G1529" s="2" t="s">
        <v>2634</v>
      </c>
      <c r="H1529" s="4" t="n">
        <v>0.6369</v>
      </c>
      <c r="I1529" s="2" t="s">
        <v>23</v>
      </c>
      <c r="J1529" s="2" t="s">
        <v>19</v>
      </c>
      <c r="K1529" s="2" t="n">
        <v>3</v>
      </c>
      <c r="L1529" s="2" t="n">
        <v>0</v>
      </c>
      <c r="M1529" s="2" t="n">
        <v>0</v>
      </c>
    </row>
    <row r="1530" customFormat="false" ht="15" hidden="false" customHeight="false" outlineLevel="0" collapsed="false">
      <c r="A1530" s="2" t="s">
        <v>3301</v>
      </c>
      <c r="B1530" s="2" t="s">
        <v>3302</v>
      </c>
      <c r="C1530" s="2" t="n">
        <v>5</v>
      </c>
      <c r="D1530" s="2" t="s">
        <v>47</v>
      </c>
      <c r="E1530" s="2" t="s">
        <v>2867</v>
      </c>
      <c r="F1530" s="3" t="n">
        <v>45808.9395833333</v>
      </c>
      <c r="G1530" s="2" t="s">
        <v>2634</v>
      </c>
      <c r="H1530" s="4" t="n">
        <v>0.3089</v>
      </c>
      <c r="I1530" s="2" t="s">
        <v>23</v>
      </c>
      <c r="J1530" s="2" t="s">
        <v>19</v>
      </c>
      <c r="K1530" s="2" t="n">
        <v>2</v>
      </c>
      <c r="L1530" s="2" t="n">
        <v>0</v>
      </c>
      <c r="M1530" s="2" t="n">
        <v>0</v>
      </c>
    </row>
    <row r="1531" customFormat="false" ht="15" hidden="false" customHeight="false" outlineLevel="0" collapsed="false">
      <c r="A1531" s="2" t="s">
        <v>3303</v>
      </c>
      <c r="B1531" s="2" t="s">
        <v>3304</v>
      </c>
      <c r="C1531" s="2" t="n">
        <v>5</v>
      </c>
      <c r="D1531" s="2" t="s">
        <v>47</v>
      </c>
      <c r="E1531" s="2" t="s">
        <v>2867</v>
      </c>
      <c r="F1531" s="3" t="n">
        <v>45808.9902777778</v>
      </c>
      <c r="G1531" s="2" t="s">
        <v>2634</v>
      </c>
      <c r="H1531" s="4" t="n">
        <v>0.3089</v>
      </c>
      <c r="I1531" s="2" t="s">
        <v>23</v>
      </c>
      <c r="J1531" s="2" t="s">
        <v>19</v>
      </c>
      <c r="K1531" s="2" t="n">
        <v>3</v>
      </c>
      <c r="L1531" s="2" t="n">
        <v>0</v>
      </c>
      <c r="M1531" s="2" t="n">
        <v>0</v>
      </c>
    </row>
    <row r="1532" customFormat="false" ht="15" hidden="false" customHeight="false" outlineLevel="0" collapsed="false">
      <c r="A1532" s="2" t="s">
        <v>3305</v>
      </c>
      <c r="B1532" s="2" t="s">
        <v>2467</v>
      </c>
      <c r="C1532" s="2" t="n">
        <v>5</v>
      </c>
      <c r="D1532" s="2" t="s">
        <v>127</v>
      </c>
      <c r="E1532" s="2" t="s">
        <v>2867</v>
      </c>
      <c r="F1532" s="3" t="n">
        <v>45809.3118055556</v>
      </c>
      <c r="G1532" s="2" t="s">
        <v>3306</v>
      </c>
      <c r="H1532" s="4" t="n">
        <v>0.9359</v>
      </c>
      <c r="I1532" s="2" t="s">
        <v>23</v>
      </c>
      <c r="J1532" s="2" t="s">
        <v>37</v>
      </c>
      <c r="K1532" s="2" t="n">
        <v>1</v>
      </c>
      <c r="L1532" s="2" t="n">
        <v>0</v>
      </c>
      <c r="M1532" s="2" t="n">
        <v>0</v>
      </c>
    </row>
    <row r="1533" customFormat="false" ht="15" hidden="false" customHeight="false" outlineLevel="0" collapsed="false">
      <c r="A1533" s="2" t="s">
        <v>3307</v>
      </c>
      <c r="B1533" s="2" t="s">
        <v>3308</v>
      </c>
      <c r="C1533" s="2" t="n">
        <v>5</v>
      </c>
      <c r="D1533" s="2" t="s">
        <v>40</v>
      </c>
      <c r="E1533" s="2" t="s">
        <v>2867</v>
      </c>
      <c r="F1533" s="3" t="n">
        <v>45809.3819444445</v>
      </c>
      <c r="G1533" s="2" t="s">
        <v>3306</v>
      </c>
      <c r="H1533" s="4" t="n">
        <v>0.4019</v>
      </c>
      <c r="I1533" s="2" t="s">
        <v>23</v>
      </c>
      <c r="J1533" s="2" t="s">
        <v>33</v>
      </c>
      <c r="K1533" s="2" t="n">
        <v>1</v>
      </c>
      <c r="L1533" s="2" t="n">
        <v>0</v>
      </c>
      <c r="M1533" s="2" t="n">
        <v>0</v>
      </c>
    </row>
    <row r="1534" customFormat="false" ht="15" hidden="false" customHeight="false" outlineLevel="0" collapsed="false">
      <c r="A1534" s="2" t="s">
        <v>3309</v>
      </c>
      <c r="B1534" s="2" t="s">
        <v>3310</v>
      </c>
      <c r="C1534" s="2" t="n">
        <v>5</v>
      </c>
      <c r="D1534" s="2" t="s">
        <v>47</v>
      </c>
      <c r="E1534" s="2" t="s">
        <v>2867</v>
      </c>
      <c r="F1534" s="3" t="n">
        <v>45809.4513888889</v>
      </c>
      <c r="G1534" s="2" t="s">
        <v>3306</v>
      </c>
      <c r="H1534" s="4" t="n">
        <v>0.3089</v>
      </c>
      <c r="I1534" s="2" t="s">
        <v>23</v>
      </c>
      <c r="J1534" s="2" t="s">
        <v>19</v>
      </c>
      <c r="K1534" s="2" t="n">
        <v>2</v>
      </c>
      <c r="L1534" s="2" t="n">
        <v>1</v>
      </c>
      <c r="M1534" s="2" t="n">
        <v>0</v>
      </c>
    </row>
    <row r="1535" customFormat="false" ht="15" hidden="false" customHeight="false" outlineLevel="0" collapsed="false">
      <c r="A1535" s="2" t="s">
        <v>3311</v>
      </c>
      <c r="B1535" s="2" t="s">
        <v>3312</v>
      </c>
      <c r="C1535" s="2" t="n">
        <v>1</v>
      </c>
      <c r="D1535" s="2" t="s">
        <v>3313</v>
      </c>
      <c r="E1535" s="2" t="s">
        <v>2867</v>
      </c>
      <c r="F1535" s="3" t="n">
        <v>45809.4638888889</v>
      </c>
      <c r="G1535" s="2" t="s">
        <v>3306</v>
      </c>
      <c r="H1535" s="4" t="n">
        <v>0</v>
      </c>
      <c r="I1535" s="2" t="s">
        <v>18</v>
      </c>
      <c r="J1535" s="2" t="s">
        <v>59</v>
      </c>
      <c r="K1535" s="2" t="n">
        <v>9</v>
      </c>
      <c r="L1535" s="2" t="n">
        <v>0</v>
      </c>
      <c r="M1535" s="2" t="n">
        <v>0</v>
      </c>
    </row>
    <row r="1536" customFormat="false" ht="15" hidden="false" customHeight="false" outlineLevel="0" collapsed="false">
      <c r="A1536" s="2" t="s">
        <v>3314</v>
      </c>
      <c r="B1536" s="2" t="s">
        <v>3315</v>
      </c>
      <c r="C1536" s="2" t="n">
        <v>4</v>
      </c>
      <c r="D1536" s="2" t="s">
        <v>15</v>
      </c>
      <c r="E1536" s="2" t="s">
        <v>2867</v>
      </c>
      <c r="F1536" s="3" t="n">
        <v>45809.525</v>
      </c>
      <c r="G1536" s="2" t="s">
        <v>3306</v>
      </c>
      <c r="H1536" s="4" t="n">
        <v>0</v>
      </c>
      <c r="I1536" s="2" t="s">
        <v>18</v>
      </c>
      <c r="J1536" s="2" t="s">
        <v>19</v>
      </c>
      <c r="K1536" s="2" t="n">
        <v>5</v>
      </c>
      <c r="L1536" s="2" t="n">
        <v>0</v>
      </c>
      <c r="M1536" s="2" t="n">
        <v>0</v>
      </c>
    </row>
    <row r="1537" customFormat="false" ht="15" hidden="false" customHeight="false" outlineLevel="0" collapsed="false">
      <c r="A1537" s="2" t="s">
        <v>3316</v>
      </c>
      <c r="B1537" s="2" t="s">
        <v>3317</v>
      </c>
      <c r="C1537" s="2" t="n">
        <v>5</v>
      </c>
      <c r="D1537" s="2" t="s">
        <v>127</v>
      </c>
      <c r="E1537" s="2" t="s">
        <v>2867</v>
      </c>
      <c r="F1537" s="3" t="n">
        <v>45809.5708333333</v>
      </c>
      <c r="G1537" s="2" t="s">
        <v>3306</v>
      </c>
      <c r="H1537" s="4" t="n">
        <v>0.9359</v>
      </c>
      <c r="I1537" s="2" t="s">
        <v>23</v>
      </c>
      <c r="J1537" s="2" t="s">
        <v>37</v>
      </c>
      <c r="K1537" s="2" t="n">
        <v>13</v>
      </c>
      <c r="L1537" s="2" t="n">
        <v>0</v>
      </c>
      <c r="M1537" s="2" t="n">
        <v>0</v>
      </c>
    </row>
    <row r="1538" customFormat="false" ht="15" hidden="false" customHeight="false" outlineLevel="0" collapsed="false">
      <c r="A1538" s="2" t="s">
        <v>3318</v>
      </c>
      <c r="B1538" s="2" t="s">
        <v>3319</v>
      </c>
      <c r="C1538" s="2" t="n">
        <v>4</v>
      </c>
      <c r="D1538" s="2" t="s">
        <v>15</v>
      </c>
      <c r="E1538" s="2" t="s">
        <v>2867</v>
      </c>
      <c r="F1538" s="3" t="n">
        <v>45809.6298611111</v>
      </c>
      <c r="G1538" s="2" t="s">
        <v>3306</v>
      </c>
      <c r="H1538" s="4" t="n">
        <v>0</v>
      </c>
      <c r="I1538" s="2" t="s">
        <v>18</v>
      </c>
      <c r="J1538" s="2" t="s">
        <v>19</v>
      </c>
      <c r="K1538" s="2" t="n">
        <v>2</v>
      </c>
      <c r="L1538" s="2" t="n">
        <v>0</v>
      </c>
      <c r="M1538" s="2" t="n">
        <v>0</v>
      </c>
    </row>
    <row r="1539" customFormat="false" ht="15" hidden="false" customHeight="false" outlineLevel="0" collapsed="false">
      <c r="A1539" s="2" t="s">
        <v>3320</v>
      </c>
      <c r="B1539" s="2" t="s">
        <v>3321</v>
      </c>
      <c r="C1539" s="2" t="n">
        <v>5</v>
      </c>
      <c r="D1539" s="2" t="s">
        <v>787</v>
      </c>
      <c r="E1539" s="2" t="s">
        <v>2867</v>
      </c>
      <c r="F1539" s="3" t="n">
        <v>45809.6416666667</v>
      </c>
      <c r="G1539" s="2" t="s">
        <v>3306</v>
      </c>
      <c r="H1539" s="4" t="n">
        <v>0.7475</v>
      </c>
      <c r="I1539" s="2" t="s">
        <v>23</v>
      </c>
      <c r="J1539" s="2" t="s">
        <v>37</v>
      </c>
      <c r="K1539" s="2" t="n">
        <v>5</v>
      </c>
      <c r="L1539" s="2" t="n">
        <v>0</v>
      </c>
      <c r="M1539" s="2" t="n">
        <v>0</v>
      </c>
    </row>
    <row r="1540" customFormat="false" ht="15" hidden="false" customHeight="false" outlineLevel="0" collapsed="false">
      <c r="A1540" s="2" t="s">
        <v>3322</v>
      </c>
      <c r="B1540" s="2" t="s">
        <v>3323</v>
      </c>
      <c r="C1540" s="2" t="n">
        <v>5</v>
      </c>
      <c r="D1540" s="2" t="s">
        <v>325</v>
      </c>
      <c r="E1540" s="2" t="s">
        <v>2867</v>
      </c>
      <c r="F1540" s="3" t="n">
        <v>45809.7055555556</v>
      </c>
      <c r="G1540" s="2" t="s">
        <v>3306</v>
      </c>
      <c r="H1540" s="4" t="n">
        <v>0.9612</v>
      </c>
      <c r="I1540" s="2" t="s">
        <v>23</v>
      </c>
      <c r="J1540" s="2" t="s">
        <v>37</v>
      </c>
      <c r="K1540" s="2" t="n">
        <v>6</v>
      </c>
      <c r="L1540" s="2" t="n">
        <v>0</v>
      </c>
      <c r="M1540" s="2" t="n">
        <v>0</v>
      </c>
    </row>
    <row r="1541" customFormat="false" ht="15" hidden="false" customHeight="false" outlineLevel="0" collapsed="false">
      <c r="A1541" s="2" t="s">
        <v>3324</v>
      </c>
      <c r="B1541" s="2" t="s">
        <v>3325</v>
      </c>
      <c r="C1541" s="2" t="n">
        <v>3</v>
      </c>
      <c r="D1541" s="2" t="s">
        <v>721</v>
      </c>
      <c r="E1541" s="2" t="s">
        <v>2867</v>
      </c>
      <c r="F1541" s="3" t="n">
        <v>45809.7173611111</v>
      </c>
      <c r="G1541" s="2" t="s">
        <v>3306</v>
      </c>
      <c r="H1541" s="4" t="n">
        <v>-0.4588</v>
      </c>
      <c r="I1541" s="2" t="s">
        <v>84</v>
      </c>
      <c r="J1541" s="2" t="s">
        <v>37</v>
      </c>
      <c r="K1541" s="2" t="n">
        <v>2</v>
      </c>
      <c r="L1541" s="2" t="n">
        <v>0</v>
      </c>
      <c r="M1541" s="2" t="n">
        <v>0</v>
      </c>
    </row>
    <row r="1542" customFormat="false" ht="15" hidden="false" customHeight="false" outlineLevel="0" collapsed="false">
      <c r="A1542" s="2" t="s">
        <v>3326</v>
      </c>
      <c r="B1542" s="2" t="s">
        <v>3327</v>
      </c>
      <c r="C1542" s="2" t="n">
        <v>4</v>
      </c>
      <c r="D1542" s="2" t="s">
        <v>2242</v>
      </c>
      <c r="E1542" s="2" t="s">
        <v>2867</v>
      </c>
      <c r="F1542" s="3" t="n">
        <v>45809.7791666667</v>
      </c>
      <c r="G1542" s="2" t="s">
        <v>3306</v>
      </c>
      <c r="H1542" s="4" t="n">
        <v>0.9647</v>
      </c>
      <c r="I1542" s="2" t="s">
        <v>23</v>
      </c>
      <c r="J1542" s="2" t="s">
        <v>37</v>
      </c>
      <c r="K1542" s="2" t="n">
        <v>3</v>
      </c>
      <c r="L1542" s="2" t="n">
        <v>0</v>
      </c>
      <c r="M1542" s="2" t="n">
        <v>0</v>
      </c>
    </row>
    <row r="1543" customFormat="false" ht="15" hidden="false" customHeight="false" outlineLevel="0" collapsed="false">
      <c r="A1543" s="2" t="s">
        <v>3328</v>
      </c>
      <c r="B1543" s="2" t="s">
        <v>3329</v>
      </c>
      <c r="C1543" s="2" t="n">
        <v>4</v>
      </c>
      <c r="D1543" s="2" t="s">
        <v>831</v>
      </c>
      <c r="E1543" s="2" t="s">
        <v>2867</v>
      </c>
      <c r="F1543" s="3" t="n">
        <v>45809.8006944444</v>
      </c>
      <c r="G1543" s="2" t="s">
        <v>3306</v>
      </c>
      <c r="H1543" s="4" t="n">
        <v>0.2023</v>
      </c>
      <c r="I1543" s="2" t="s">
        <v>23</v>
      </c>
      <c r="J1543" s="2" t="s">
        <v>19</v>
      </c>
      <c r="K1543" s="2" t="n">
        <v>1</v>
      </c>
      <c r="L1543" s="2" t="n">
        <v>1</v>
      </c>
      <c r="M1543" s="2" t="n">
        <v>0</v>
      </c>
    </row>
    <row r="1544" customFormat="false" ht="15" hidden="false" customHeight="false" outlineLevel="0" collapsed="false">
      <c r="A1544" s="2" t="s">
        <v>3330</v>
      </c>
      <c r="B1544" s="2" t="s">
        <v>3331</v>
      </c>
      <c r="C1544" s="2" t="n">
        <v>5</v>
      </c>
      <c r="D1544" s="2" t="s">
        <v>47</v>
      </c>
      <c r="E1544" s="2" t="s">
        <v>2867</v>
      </c>
      <c r="F1544" s="3" t="n">
        <v>45809.83125</v>
      </c>
      <c r="G1544" s="2" t="s">
        <v>3306</v>
      </c>
      <c r="H1544" s="4" t="n">
        <v>0.3089</v>
      </c>
      <c r="I1544" s="2" t="s">
        <v>23</v>
      </c>
      <c r="J1544" s="2" t="s">
        <v>19</v>
      </c>
      <c r="K1544" s="2" t="n">
        <v>0</v>
      </c>
      <c r="L1544" s="2" t="n">
        <v>0</v>
      </c>
      <c r="M1544" s="2" t="n">
        <v>0</v>
      </c>
    </row>
    <row r="1545" customFormat="false" ht="15" hidden="false" customHeight="false" outlineLevel="0" collapsed="false">
      <c r="A1545" s="2" t="s">
        <v>3332</v>
      </c>
      <c r="B1545" s="2" t="s">
        <v>3333</v>
      </c>
      <c r="C1545" s="2" t="n">
        <v>2</v>
      </c>
      <c r="D1545" s="2" t="s">
        <v>3334</v>
      </c>
      <c r="E1545" s="2" t="s">
        <v>2867</v>
      </c>
      <c r="F1545" s="3" t="n">
        <v>45810.0513888889</v>
      </c>
      <c r="G1545" s="2" t="s">
        <v>3306</v>
      </c>
      <c r="H1545" s="4" t="n">
        <v>-0.0258</v>
      </c>
      <c r="I1545" s="2" t="s">
        <v>18</v>
      </c>
      <c r="J1545" s="2" t="s">
        <v>165</v>
      </c>
      <c r="K1545" s="2" t="n">
        <v>5</v>
      </c>
      <c r="L1545" s="2" t="n">
        <v>1</v>
      </c>
      <c r="M1545" s="2" t="n">
        <v>0</v>
      </c>
    </row>
    <row r="1546" customFormat="false" ht="15" hidden="false" customHeight="false" outlineLevel="0" collapsed="false">
      <c r="A1546" s="2" t="s">
        <v>3335</v>
      </c>
      <c r="B1546" s="2" t="s">
        <v>3336</v>
      </c>
      <c r="C1546" s="2" t="n">
        <v>4</v>
      </c>
      <c r="D1546" s="2" t="s">
        <v>820</v>
      </c>
      <c r="E1546" s="2" t="s">
        <v>2867</v>
      </c>
      <c r="F1546" s="3" t="n">
        <v>45810.1152777778</v>
      </c>
      <c r="G1546" s="2" t="s">
        <v>3306</v>
      </c>
      <c r="H1546" s="4" t="n">
        <v>0.6808</v>
      </c>
      <c r="I1546" s="2" t="s">
        <v>23</v>
      </c>
      <c r="J1546" s="2" t="s">
        <v>37</v>
      </c>
      <c r="K1546" s="2" t="n">
        <v>1</v>
      </c>
      <c r="L1546" s="2" t="n">
        <v>0</v>
      </c>
      <c r="M1546" s="2" t="n">
        <v>0</v>
      </c>
    </row>
    <row r="1547" customFormat="false" ht="15" hidden="false" customHeight="false" outlineLevel="0" collapsed="false">
      <c r="A1547" s="2" t="s">
        <v>3337</v>
      </c>
      <c r="B1547" s="2" t="s">
        <v>623</v>
      </c>
      <c r="C1547" s="2" t="n">
        <v>4</v>
      </c>
      <c r="D1547" s="2" t="s">
        <v>90</v>
      </c>
      <c r="E1547" s="2" t="s">
        <v>2867</v>
      </c>
      <c r="F1547" s="3" t="n">
        <v>45810.2638888889</v>
      </c>
      <c r="G1547" s="2" t="s">
        <v>3306</v>
      </c>
      <c r="H1547" s="4" t="n">
        <v>0.6249</v>
      </c>
      <c r="I1547" s="2" t="s">
        <v>23</v>
      </c>
      <c r="J1547" s="2" t="s">
        <v>37</v>
      </c>
      <c r="K1547" s="2" t="n">
        <v>10</v>
      </c>
      <c r="L1547" s="2" t="n">
        <v>0</v>
      </c>
      <c r="M1547" s="2" t="n">
        <v>0</v>
      </c>
    </row>
    <row r="1548" customFormat="false" ht="15" hidden="false" customHeight="false" outlineLevel="0" collapsed="false">
      <c r="A1548" s="2" t="s">
        <v>3338</v>
      </c>
      <c r="B1548" s="2" t="s">
        <v>3339</v>
      </c>
      <c r="C1548" s="2" t="n">
        <v>5</v>
      </c>
      <c r="D1548" s="2" t="s">
        <v>52</v>
      </c>
      <c r="E1548" s="2" t="s">
        <v>2867</v>
      </c>
      <c r="F1548" s="3" t="n">
        <v>45810.3</v>
      </c>
      <c r="G1548" s="2" t="s">
        <v>3306</v>
      </c>
      <c r="H1548" s="4" t="n">
        <v>0.6369</v>
      </c>
      <c r="I1548" s="2" t="s">
        <v>23</v>
      </c>
      <c r="J1548" s="2" t="s">
        <v>19</v>
      </c>
      <c r="K1548" s="2" t="n">
        <v>7</v>
      </c>
      <c r="L1548" s="2" t="n">
        <v>0</v>
      </c>
      <c r="M1548" s="2" t="n">
        <v>0</v>
      </c>
    </row>
    <row r="1549" customFormat="false" ht="15" hidden="false" customHeight="false" outlineLevel="0" collapsed="false">
      <c r="A1549" s="2" t="s">
        <v>3340</v>
      </c>
      <c r="B1549" s="2" t="s">
        <v>3341</v>
      </c>
      <c r="C1549" s="2" t="n">
        <v>2</v>
      </c>
      <c r="D1549" s="2" t="s">
        <v>3342</v>
      </c>
      <c r="E1549" s="2" t="s">
        <v>2867</v>
      </c>
      <c r="F1549" s="3" t="n">
        <v>45810.3756944445</v>
      </c>
      <c r="G1549" s="2" t="s">
        <v>3306</v>
      </c>
      <c r="H1549" s="4" t="n">
        <v>-0.3089</v>
      </c>
      <c r="I1549" s="2" t="s">
        <v>84</v>
      </c>
      <c r="J1549" s="2" t="s">
        <v>59</v>
      </c>
      <c r="K1549" s="2" t="n">
        <v>3</v>
      </c>
      <c r="L1549" s="2" t="n">
        <v>1</v>
      </c>
      <c r="M1549" s="2" t="n">
        <v>0</v>
      </c>
    </row>
    <row r="1550" customFormat="false" ht="15" hidden="false" customHeight="false" outlineLevel="0" collapsed="false">
      <c r="A1550" s="2" t="s">
        <v>3343</v>
      </c>
      <c r="B1550" s="2" t="s">
        <v>3344</v>
      </c>
      <c r="C1550" s="2" t="n">
        <v>1</v>
      </c>
      <c r="D1550" s="2" t="s">
        <v>231</v>
      </c>
      <c r="E1550" s="2" t="s">
        <v>2867</v>
      </c>
      <c r="F1550" s="3" t="n">
        <v>45810.6152777778</v>
      </c>
      <c r="G1550" s="2" t="s">
        <v>3306</v>
      </c>
      <c r="H1550" s="4" t="n">
        <v>-0.3593</v>
      </c>
      <c r="I1550" s="2" t="s">
        <v>84</v>
      </c>
      <c r="J1550" s="2" t="s">
        <v>33</v>
      </c>
      <c r="K1550" s="2" t="n">
        <v>5</v>
      </c>
      <c r="L1550" s="2" t="n">
        <v>1</v>
      </c>
      <c r="M1550" s="2" t="n">
        <v>0</v>
      </c>
    </row>
    <row r="1551" customFormat="false" ht="15" hidden="false" customHeight="false" outlineLevel="0" collapsed="false">
      <c r="A1551" s="2" t="s">
        <v>3345</v>
      </c>
      <c r="B1551" s="2" t="s">
        <v>3346</v>
      </c>
      <c r="C1551" s="2" t="n">
        <v>5</v>
      </c>
      <c r="D1551" s="2" t="s">
        <v>127</v>
      </c>
      <c r="E1551" s="2" t="s">
        <v>2867</v>
      </c>
      <c r="F1551" s="3" t="n">
        <v>45810.7381944444</v>
      </c>
      <c r="G1551" s="2" t="s">
        <v>3306</v>
      </c>
      <c r="H1551" s="4" t="n">
        <v>0.9359</v>
      </c>
      <c r="I1551" s="2" t="s">
        <v>23</v>
      </c>
      <c r="J1551" s="2" t="s">
        <v>37</v>
      </c>
      <c r="K1551" s="2" t="n">
        <v>0</v>
      </c>
      <c r="L1551" s="2" t="n">
        <v>0</v>
      </c>
      <c r="M1551" s="2" t="n">
        <v>0</v>
      </c>
    </row>
    <row r="1552" customFormat="false" ht="15" hidden="false" customHeight="false" outlineLevel="0" collapsed="false">
      <c r="A1552" s="2" t="s">
        <v>3347</v>
      </c>
      <c r="B1552" s="2" t="s">
        <v>3348</v>
      </c>
      <c r="C1552" s="2" t="n">
        <v>3</v>
      </c>
      <c r="D1552" s="2" t="s">
        <v>99</v>
      </c>
      <c r="E1552" s="2" t="s">
        <v>2867</v>
      </c>
      <c r="F1552" s="3" t="n">
        <v>45811.0972222222</v>
      </c>
      <c r="G1552" s="2" t="s">
        <v>3306</v>
      </c>
      <c r="H1552" s="4" t="n">
        <v>-0.3089</v>
      </c>
      <c r="I1552" s="2" t="s">
        <v>84</v>
      </c>
      <c r="J1552" s="2" t="s">
        <v>19</v>
      </c>
      <c r="K1552" s="2" t="n">
        <v>3</v>
      </c>
      <c r="L1552" s="2" t="n">
        <v>0</v>
      </c>
      <c r="M1552" s="2" t="n">
        <v>0</v>
      </c>
    </row>
    <row r="1553" customFormat="false" ht="15" hidden="false" customHeight="false" outlineLevel="0" collapsed="false">
      <c r="A1553" s="2" t="s">
        <v>3349</v>
      </c>
      <c r="B1553" s="2" t="s">
        <v>365</v>
      </c>
      <c r="C1553" s="2" t="n">
        <v>4</v>
      </c>
      <c r="D1553" s="2" t="s">
        <v>22</v>
      </c>
      <c r="E1553" s="2" t="s">
        <v>2867</v>
      </c>
      <c r="F1553" s="3" t="n">
        <v>45811.1527777778</v>
      </c>
      <c r="G1553" s="2" t="s">
        <v>3306</v>
      </c>
      <c r="H1553" s="4" t="n">
        <v>0.2023</v>
      </c>
      <c r="I1553" s="2" t="s">
        <v>23</v>
      </c>
      <c r="J1553" s="2" t="s">
        <v>19</v>
      </c>
      <c r="K1553" s="2" t="n">
        <v>1</v>
      </c>
      <c r="L1553" s="2" t="n">
        <v>0</v>
      </c>
      <c r="M1553" s="2" t="n">
        <v>0</v>
      </c>
    </row>
    <row r="1554" customFormat="false" ht="15" hidden="false" customHeight="false" outlineLevel="0" collapsed="false">
      <c r="A1554" s="2" t="s">
        <v>3350</v>
      </c>
      <c r="B1554" s="2" t="s">
        <v>3351</v>
      </c>
      <c r="C1554" s="2" t="n">
        <v>5</v>
      </c>
      <c r="D1554" s="2" t="s">
        <v>90</v>
      </c>
      <c r="E1554" s="2" t="s">
        <v>2867</v>
      </c>
      <c r="F1554" s="3" t="n">
        <v>45811.1576388889</v>
      </c>
      <c r="G1554" s="2" t="s">
        <v>3306</v>
      </c>
      <c r="H1554" s="4" t="n">
        <v>0.6249</v>
      </c>
      <c r="I1554" s="2" t="s">
        <v>23</v>
      </c>
      <c r="J1554" s="2" t="s">
        <v>37</v>
      </c>
      <c r="K1554" s="2" t="n">
        <v>1</v>
      </c>
      <c r="L1554" s="2" t="n">
        <v>0</v>
      </c>
      <c r="M1554" s="2" t="n">
        <v>0</v>
      </c>
    </row>
    <row r="1555" customFormat="false" ht="15" hidden="false" customHeight="false" outlineLevel="0" collapsed="false">
      <c r="A1555" s="2" t="s">
        <v>3352</v>
      </c>
      <c r="B1555" s="2" t="s">
        <v>3353</v>
      </c>
      <c r="C1555" s="2" t="n">
        <v>4</v>
      </c>
      <c r="D1555" s="2" t="s">
        <v>90</v>
      </c>
      <c r="E1555" s="2" t="s">
        <v>2867</v>
      </c>
      <c r="F1555" s="3" t="n">
        <v>45811.3638888889</v>
      </c>
      <c r="G1555" s="2" t="s">
        <v>3306</v>
      </c>
      <c r="H1555" s="4" t="n">
        <v>0.6249</v>
      </c>
      <c r="I1555" s="2" t="s">
        <v>23</v>
      </c>
      <c r="J1555" s="2" t="s">
        <v>37</v>
      </c>
      <c r="K1555" s="2" t="n">
        <v>1</v>
      </c>
      <c r="L1555" s="2" t="n">
        <v>0</v>
      </c>
      <c r="M1555" s="2" t="n">
        <v>0</v>
      </c>
    </row>
    <row r="1556" customFormat="false" ht="15" hidden="false" customHeight="false" outlineLevel="0" collapsed="false">
      <c r="A1556" s="2" t="s">
        <v>3354</v>
      </c>
      <c r="B1556" s="2" t="s">
        <v>3355</v>
      </c>
      <c r="C1556" s="2" t="n">
        <v>4</v>
      </c>
      <c r="D1556" s="2" t="s">
        <v>1164</v>
      </c>
      <c r="E1556" s="2" t="s">
        <v>2867</v>
      </c>
      <c r="F1556" s="3" t="n">
        <v>45811.4458333333</v>
      </c>
      <c r="G1556" s="2" t="s">
        <v>3306</v>
      </c>
      <c r="H1556" s="4" t="n">
        <v>0.7096</v>
      </c>
      <c r="I1556" s="2" t="s">
        <v>23</v>
      </c>
      <c r="J1556" s="2" t="s">
        <v>37</v>
      </c>
      <c r="K1556" s="2" t="n">
        <v>3</v>
      </c>
      <c r="L1556" s="2" t="n">
        <v>0</v>
      </c>
      <c r="M1556" s="2" t="n">
        <v>0</v>
      </c>
    </row>
    <row r="1557" customFormat="false" ht="15" hidden="false" customHeight="false" outlineLevel="0" collapsed="false">
      <c r="A1557" s="2" t="s">
        <v>3356</v>
      </c>
      <c r="B1557" s="2" t="s">
        <v>3357</v>
      </c>
      <c r="C1557" s="2" t="n">
        <v>3</v>
      </c>
      <c r="D1557" s="2" t="s">
        <v>3358</v>
      </c>
      <c r="E1557" s="2" t="s">
        <v>2867</v>
      </c>
      <c r="F1557" s="3" t="n">
        <v>45811.5027777778</v>
      </c>
      <c r="G1557" s="2" t="s">
        <v>3306</v>
      </c>
      <c r="H1557" s="4" t="n">
        <v>0.2263</v>
      </c>
      <c r="I1557" s="2" t="s">
        <v>23</v>
      </c>
      <c r="J1557" s="2" t="s">
        <v>59</v>
      </c>
      <c r="K1557" s="2" t="n">
        <v>9</v>
      </c>
      <c r="L1557" s="2" t="n">
        <v>0</v>
      </c>
      <c r="M1557" s="2" t="n">
        <v>0</v>
      </c>
    </row>
    <row r="1558" customFormat="false" ht="15" hidden="false" customHeight="false" outlineLevel="0" collapsed="false">
      <c r="A1558" s="2" t="s">
        <v>3359</v>
      </c>
      <c r="B1558" s="2" t="s">
        <v>3360</v>
      </c>
      <c r="C1558" s="2" t="n">
        <v>1</v>
      </c>
      <c r="D1558" s="2" t="s">
        <v>823</v>
      </c>
      <c r="E1558" s="2" t="s">
        <v>2867</v>
      </c>
      <c r="F1558" s="3" t="n">
        <v>45811.5166666667</v>
      </c>
      <c r="G1558" s="2" t="s">
        <v>3306</v>
      </c>
      <c r="H1558" s="4" t="n">
        <v>-0.6997</v>
      </c>
      <c r="I1558" s="2" t="s">
        <v>84</v>
      </c>
      <c r="J1558" s="2" t="s">
        <v>19</v>
      </c>
      <c r="K1558" s="2" t="n">
        <v>2</v>
      </c>
      <c r="L1558" s="2" t="n">
        <v>0</v>
      </c>
      <c r="M1558" s="2" t="n">
        <v>0</v>
      </c>
    </row>
    <row r="1559" customFormat="false" ht="15" hidden="false" customHeight="false" outlineLevel="0" collapsed="false">
      <c r="A1559" s="2" t="s">
        <v>3361</v>
      </c>
      <c r="B1559" s="2" t="s">
        <v>3362</v>
      </c>
      <c r="C1559" s="2" t="n">
        <v>2</v>
      </c>
      <c r="D1559" s="2" t="s">
        <v>482</v>
      </c>
      <c r="E1559" s="2" t="s">
        <v>2867</v>
      </c>
      <c r="F1559" s="3" t="n">
        <v>45811.5458333333</v>
      </c>
      <c r="G1559" s="2" t="s">
        <v>3306</v>
      </c>
      <c r="H1559" s="4" t="n">
        <v>-0.6808</v>
      </c>
      <c r="I1559" s="2" t="s">
        <v>84</v>
      </c>
      <c r="J1559" s="2" t="s">
        <v>110</v>
      </c>
      <c r="K1559" s="2" t="n">
        <v>3</v>
      </c>
      <c r="L1559" s="2" t="n">
        <v>0</v>
      </c>
      <c r="M1559" s="2" t="n">
        <v>0</v>
      </c>
    </row>
    <row r="1560" customFormat="false" ht="15" hidden="false" customHeight="false" outlineLevel="0" collapsed="false">
      <c r="A1560" s="2" t="s">
        <v>3363</v>
      </c>
      <c r="B1560" s="2" t="s">
        <v>3364</v>
      </c>
      <c r="C1560" s="2" t="n">
        <v>5</v>
      </c>
      <c r="D1560" s="2" t="s">
        <v>96</v>
      </c>
      <c r="E1560" s="2" t="s">
        <v>2867</v>
      </c>
      <c r="F1560" s="3" t="n">
        <v>45811.6020833333</v>
      </c>
      <c r="G1560" s="2" t="s">
        <v>3306</v>
      </c>
      <c r="H1560" s="4" t="n">
        <v>0.6369</v>
      </c>
      <c r="I1560" s="2" t="s">
        <v>23</v>
      </c>
      <c r="J1560" s="2" t="s">
        <v>19</v>
      </c>
      <c r="K1560" s="2" t="n">
        <v>3</v>
      </c>
      <c r="L1560" s="2" t="n">
        <v>0</v>
      </c>
      <c r="M1560" s="2" t="n">
        <v>0</v>
      </c>
    </row>
    <row r="1561" customFormat="false" ht="15" hidden="false" customHeight="false" outlineLevel="0" collapsed="false">
      <c r="A1561" s="2" t="s">
        <v>3365</v>
      </c>
      <c r="B1561" s="2" t="s">
        <v>3366</v>
      </c>
      <c r="C1561" s="2" t="n">
        <v>4</v>
      </c>
      <c r="D1561" s="2" t="s">
        <v>222</v>
      </c>
      <c r="E1561" s="2" t="s">
        <v>2867</v>
      </c>
      <c r="F1561" s="3" t="n">
        <v>45812.1263888889</v>
      </c>
      <c r="G1561" s="2" t="s">
        <v>3306</v>
      </c>
      <c r="H1561" s="4" t="n">
        <v>0.9647</v>
      </c>
      <c r="I1561" s="2" t="s">
        <v>23</v>
      </c>
      <c r="J1561" s="2" t="s">
        <v>37</v>
      </c>
      <c r="K1561" s="2" t="n">
        <v>3</v>
      </c>
      <c r="L1561" s="2" t="n">
        <v>0</v>
      </c>
      <c r="M1561" s="2" t="n">
        <v>0</v>
      </c>
    </row>
    <row r="1562" customFormat="false" ht="15" hidden="false" customHeight="false" outlineLevel="0" collapsed="false">
      <c r="A1562" s="2" t="s">
        <v>3367</v>
      </c>
      <c r="B1562" s="2" t="s">
        <v>3368</v>
      </c>
      <c r="C1562" s="2" t="n">
        <v>5</v>
      </c>
      <c r="D1562" s="2" t="s">
        <v>52</v>
      </c>
      <c r="E1562" s="2" t="s">
        <v>2867</v>
      </c>
      <c r="F1562" s="3" t="n">
        <v>45812.1680555556</v>
      </c>
      <c r="G1562" s="2" t="s">
        <v>3306</v>
      </c>
      <c r="H1562" s="4" t="n">
        <v>0.6369</v>
      </c>
      <c r="I1562" s="2" t="s">
        <v>23</v>
      </c>
      <c r="J1562" s="2" t="s">
        <v>19</v>
      </c>
      <c r="K1562" s="2" t="n">
        <v>5</v>
      </c>
      <c r="L1562" s="2" t="n">
        <v>0</v>
      </c>
      <c r="M1562" s="2" t="n">
        <v>0</v>
      </c>
    </row>
    <row r="1563" customFormat="false" ht="15" hidden="false" customHeight="false" outlineLevel="0" collapsed="false">
      <c r="A1563" s="2" t="s">
        <v>3369</v>
      </c>
      <c r="B1563" s="2" t="s">
        <v>3370</v>
      </c>
      <c r="C1563" s="2" t="n">
        <v>5</v>
      </c>
      <c r="D1563" s="2" t="s">
        <v>62</v>
      </c>
      <c r="E1563" s="2" t="s">
        <v>2867</v>
      </c>
      <c r="F1563" s="3" t="n">
        <v>45812.3604166667</v>
      </c>
      <c r="G1563" s="2" t="s">
        <v>3306</v>
      </c>
      <c r="H1563" s="4" t="n">
        <v>0.7088</v>
      </c>
      <c r="I1563" s="2" t="s">
        <v>23</v>
      </c>
      <c r="J1563" s="2" t="s">
        <v>19</v>
      </c>
      <c r="K1563" s="2" t="n">
        <v>0</v>
      </c>
      <c r="L1563" s="2" t="n">
        <v>0</v>
      </c>
      <c r="M1563" s="2" t="n">
        <v>0</v>
      </c>
    </row>
    <row r="1564" customFormat="false" ht="15" hidden="false" customHeight="false" outlineLevel="0" collapsed="false">
      <c r="A1564" s="2" t="s">
        <v>3371</v>
      </c>
      <c r="B1564" s="2" t="s">
        <v>3372</v>
      </c>
      <c r="C1564" s="2" t="n">
        <v>4</v>
      </c>
      <c r="D1564" s="2" t="s">
        <v>1889</v>
      </c>
      <c r="E1564" s="2" t="s">
        <v>2867</v>
      </c>
      <c r="F1564" s="3" t="n">
        <v>45812.3715277778</v>
      </c>
      <c r="G1564" s="2" t="s">
        <v>3306</v>
      </c>
      <c r="H1564" s="4" t="n">
        <v>0.7906</v>
      </c>
      <c r="I1564" s="2" t="s">
        <v>23</v>
      </c>
      <c r="J1564" s="2" t="s">
        <v>37</v>
      </c>
      <c r="K1564" s="2" t="n">
        <v>9</v>
      </c>
      <c r="L1564" s="2" t="n">
        <v>0</v>
      </c>
      <c r="M1564" s="2" t="n">
        <v>0</v>
      </c>
    </row>
    <row r="1565" customFormat="false" ht="15" hidden="false" customHeight="false" outlineLevel="0" collapsed="false">
      <c r="A1565" s="2" t="s">
        <v>3373</v>
      </c>
      <c r="B1565" s="2" t="s">
        <v>3374</v>
      </c>
      <c r="C1565" s="2" t="n">
        <v>5</v>
      </c>
      <c r="D1565" s="2" t="s">
        <v>62</v>
      </c>
      <c r="E1565" s="2" t="s">
        <v>2867</v>
      </c>
      <c r="F1565" s="3" t="n">
        <v>45812.41875</v>
      </c>
      <c r="G1565" s="2" t="s">
        <v>3306</v>
      </c>
      <c r="H1565" s="4" t="n">
        <v>0.7088</v>
      </c>
      <c r="I1565" s="2" t="s">
        <v>23</v>
      </c>
      <c r="J1565" s="2" t="s">
        <v>19</v>
      </c>
      <c r="K1565" s="2" t="n">
        <v>2</v>
      </c>
      <c r="L1565" s="2" t="n">
        <v>0</v>
      </c>
      <c r="M1565" s="2" t="n">
        <v>0</v>
      </c>
    </row>
    <row r="1566" customFormat="false" ht="15" hidden="false" customHeight="false" outlineLevel="0" collapsed="false">
      <c r="A1566" s="2" t="s">
        <v>3375</v>
      </c>
      <c r="B1566" s="2" t="s">
        <v>3376</v>
      </c>
      <c r="C1566" s="2" t="n">
        <v>5</v>
      </c>
      <c r="D1566" s="2" t="s">
        <v>62</v>
      </c>
      <c r="E1566" s="2" t="s">
        <v>2867</v>
      </c>
      <c r="F1566" s="3" t="n">
        <v>45812.4430555556</v>
      </c>
      <c r="G1566" s="2" t="s">
        <v>3306</v>
      </c>
      <c r="H1566" s="4" t="n">
        <v>0.7088</v>
      </c>
      <c r="I1566" s="2" t="s">
        <v>23</v>
      </c>
      <c r="J1566" s="2" t="s">
        <v>19</v>
      </c>
      <c r="K1566" s="2" t="n">
        <v>0</v>
      </c>
      <c r="L1566" s="2" t="n">
        <v>0</v>
      </c>
      <c r="M1566" s="2" t="n">
        <v>0</v>
      </c>
    </row>
    <row r="1567" customFormat="false" ht="15" hidden="false" customHeight="false" outlineLevel="0" collapsed="false">
      <c r="A1567" s="2" t="s">
        <v>3377</v>
      </c>
      <c r="B1567" s="2" t="s">
        <v>3378</v>
      </c>
      <c r="C1567" s="2" t="n">
        <v>2</v>
      </c>
      <c r="D1567" s="2" t="s">
        <v>701</v>
      </c>
      <c r="E1567" s="2" t="s">
        <v>2867</v>
      </c>
      <c r="F1567" s="3" t="n">
        <v>45812.5701388889</v>
      </c>
      <c r="G1567" s="2" t="s">
        <v>3306</v>
      </c>
      <c r="H1567" s="4" t="n">
        <v>-0.7184</v>
      </c>
      <c r="I1567" s="2" t="s">
        <v>84</v>
      </c>
      <c r="J1567" s="2" t="s">
        <v>37</v>
      </c>
      <c r="K1567" s="2" t="n">
        <v>1</v>
      </c>
      <c r="L1567" s="2" t="n">
        <v>0</v>
      </c>
      <c r="M1567" s="2" t="n">
        <v>0</v>
      </c>
    </row>
    <row r="1568" customFormat="false" ht="15" hidden="false" customHeight="false" outlineLevel="0" collapsed="false">
      <c r="A1568" s="2" t="s">
        <v>3379</v>
      </c>
      <c r="B1568" s="2" t="s">
        <v>3380</v>
      </c>
      <c r="C1568" s="2" t="n">
        <v>5</v>
      </c>
      <c r="D1568" s="2" t="s">
        <v>52</v>
      </c>
      <c r="E1568" s="2" t="s">
        <v>2867</v>
      </c>
      <c r="F1568" s="3" t="n">
        <v>45812.7569444445</v>
      </c>
      <c r="G1568" s="2" t="s">
        <v>3306</v>
      </c>
      <c r="H1568" s="4" t="n">
        <v>0.6369</v>
      </c>
      <c r="I1568" s="2" t="s">
        <v>23</v>
      </c>
      <c r="J1568" s="2" t="s">
        <v>19</v>
      </c>
      <c r="K1568" s="2" t="n">
        <v>3</v>
      </c>
      <c r="L1568" s="2" t="n">
        <v>0</v>
      </c>
      <c r="M1568" s="2" t="n">
        <v>0</v>
      </c>
    </row>
    <row r="1569" customFormat="false" ht="15" hidden="false" customHeight="false" outlineLevel="0" collapsed="false">
      <c r="A1569" s="2" t="s">
        <v>3381</v>
      </c>
      <c r="B1569" s="2" t="s">
        <v>3382</v>
      </c>
      <c r="C1569" s="2" t="n">
        <v>2</v>
      </c>
      <c r="D1569" s="2" t="s">
        <v>1912</v>
      </c>
      <c r="E1569" s="2" t="s">
        <v>2867</v>
      </c>
      <c r="F1569" s="3" t="n">
        <v>45812.7611111111</v>
      </c>
      <c r="G1569" s="2" t="s">
        <v>3306</v>
      </c>
      <c r="H1569" s="4" t="n">
        <v>-0.4404</v>
      </c>
      <c r="I1569" s="2" t="s">
        <v>84</v>
      </c>
      <c r="J1569" s="2" t="s">
        <v>33</v>
      </c>
      <c r="K1569" s="2" t="n">
        <v>2</v>
      </c>
      <c r="L1569" s="2" t="n">
        <v>0</v>
      </c>
      <c r="M1569" s="2" t="n">
        <v>0</v>
      </c>
    </row>
    <row r="1570" customFormat="false" ht="15" hidden="false" customHeight="false" outlineLevel="0" collapsed="false">
      <c r="A1570" s="2" t="s">
        <v>3383</v>
      </c>
      <c r="B1570" s="2" t="s">
        <v>3384</v>
      </c>
      <c r="C1570" s="2" t="n">
        <v>5</v>
      </c>
      <c r="D1570" s="2" t="s">
        <v>90</v>
      </c>
      <c r="E1570" s="2" t="s">
        <v>2867</v>
      </c>
      <c r="F1570" s="3" t="n">
        <v>45812.8347222222</v>
      </c>
      <c r="G1570" s="2" t="s">
        <v>3306</v>
      </c>
      <c r="H1570" s="4" t="n">
        <v>0.6249</v>
      </c>
      <c r="I1570" s="2" t="s">
        <v>23</v>
      </c>
      <c r="J1570" s="2" t="s">
        <v>37</v>
      </c>
      <c r="K1570" s="2" t="n">
        <v>2</v>
      </c>
      <c r="L1570" s="2" t="n">
        <v>0</v>
      </c>
      <c r="M1570" s="2" t="n">
        <v>0</v>
      </c>
    </row>
    <row r="1571" customFormat="false" ht="15" hidden="false" customHeight="false" outlineLevel="0" collapsed="false">
      <c r="A1571" s="2" t="s">
        <v>3385</v>
      </c>
      <c r="B1571" s="2" t="s">
        <v>3386</v>
      </c>
      <c r="C1571" s="2" t="n">
        <v>1</v>
      </c>
      <c r="D1571" s="2" t="s">
        <v>124</v>
      </c>
      <c r="E1571" s="2" t="s">
        <v>2867</v>
      </c>
      <c r="F1571" s="3" t="n">
        <v>45812.8611111111</v>
      </c>
      <c r="G1571" s="2" t="s">
        <v>3306</v>
      </c>
      <c r="H1571" s="4" t="n">
        <v>-0.0129</v>
      </c>
      <c r="I1571" s="2" t="s">
        <v>18</v>
      </c>
      <c r="J1571" s="2" t="s">
        <v>59</v>
      </c>
      <c r="K1571" s="2" t="n">
        <v>3</v>
      </c>
      <c r="L1571" s="2" t="n">
        <v>0</v>
      </c>
      <c r="M1571" s="2" t="n">
        <v>0</v>
      </c>
    </row>
    <row r="1572" customFormat="false" ht="15" hidden="false" customHeight="false" outlineLevel="0" collapsed="false">
      <c r="A1572" s="2" t="s">
        <v>3387</v>
      </c>
      <c r="B1572" s="2" t="s">
        <v>3388</v>
      </c>
      <c r="C1572" s="2" t="n">
        <v>5</v>
      </c>
      <c r="D1572" s="2" t="s">
        <v>62</v>
      </c>
      <c r="E1572" s="2" t="s">
        <v>2867</v>
      </c>
      <c r="F1572" s="3" t="n">
        <v>45812.9902777778</v>
      </c>
      <c r="G1572" s="2" t="s">
        <v>3306</v>
      </c>
      <c r="H1572" s="4" t="n">
        <v>0.7088</v>
      </c>
      <c r="I1572" s="2" t="s">
        <v>23</v>
      </c>
      <c r="J1572" s="2" t="s">
        <v>19</v>
      </c>
      <c r="K1572" s="2" t="n">
        <v>1</v>
      </c>
      <c r="L1572" s="2" t="n">
        <v>0</v>
      </c>
      <c r="M1572" s="2" t="n">
        <v>0</v>
      </c>
    </row>
    <row r="1573" customFormat="false" ht="15" hidden="false" customHeight="false" outlineLevel="0" collapsed="false">
      <c r="A1573" s="2" t="s">
        <v>3389</v>
      </c>
      <c r="B1573" s="2" t="s">
        <v>3390</v>
      </c>
      <c r="C1573" s="2" t="n">
        <v>4</v>
      </c>
      <c r="D1573" s="2" t="s">
        <v>40</v>
      </c>
      <c r="E1573" s="2" t="s">
        <v>2867</v>
      </c>
      <c r="F1573" s="3" t="n">
        <v>45813.0486111111</v>
      </c>
      <c r="G1573" s="2" t="s">
        <v>3306</v>
      </c>
      <c r="H1573" s="4" t="n">
        <v>0.4019</v>
      </c>
      <c r="I1573" s="2" t="s">
        <v>23</v>
      </c>
      <c r="J1573" s="2" t="s">
        <v>33</v>
      </c>
      <c r="K1573" s="2" t="n">
        <v>0</v>
      </c>
      <c r="L1573" s="2" t="n">
        <v>0</v>
      </c>
      <c r="M1573" s="2" t="n">
        <v>0</v>
      </c>
    </row>
    <row r="1574" customFormat="false" ht="15" hidden="false" customHeight="false" outlineLevel="0" collapsed="false">
      <c r="A1574" s="2" t="s">
        <v>3391</v>
      </c>
      <c r="B1574" s="2" t="s">
        <v>3392</v>
      </c>
      <c r="C1574" s="2" t="n">
        <v>3</v>
      </c>
      <c r="D1574" s="2" t="s">
        <v>3393</v>
      </c>
      <c r="E1574" s="2" t="s">
        <v>2867</v>
      </c>
      <c r="F1574" s="3" t="n">
        <v>45813.0729166667</v>
      </c>
      <c r="G1574" s="2" t="s">
        <v>3306</v>
      </c>
      <c r="H1574" s="4" t="n">
        <v>0.4215</v>
      </c>
      <c r="I1574" s="2" t="s">
        <v>23</v>
      </c>
      <c r="J1574" s="2" t="s">
        <v>19</v>
      </c>
      <c r="K1574" s="2" t="n">
        <v>3</v>
      </c>
      <c r="L1574" s="2" t="n">
        <v>0</v>
      </c>
      <c r="M1574" s="2" t="n">
        <v>0</v>
      </c>
    </row>
    <row r="1575" customFormat="false" ht="15" hidden="false" customHeight="false" outlineLevel="0" collapsed="false">
      <c r="A1575" s="2" t="s">
        <v>3394</v>
      </c>
      <c r="B1575" s="2" t="s">
        <v>3395</v>
      </c>
      <c r="C1575" s="2" t="n">
        <v>5</v>
      </c>
      <c r="D1575" s="2" t="s">
        <v>52</v>
      </c>
      <c r="E1575" s="2" t="s">
        <v>2867</v>
      </c>
      <c r="F1575" s="3" t="n">
        <v>45813.1583333333</v>
      </c>
      <c r="G1575" s="2" t="s">
        <v>3306</v>
      </c>
      <c r="H1575" s="4" t="n">
        <v>0.6369</v>
      </c>
      <c r="I1575" s="2" t="s">
        <v>23</v>
      </c>
      <c r="J1575" s="2" t="s">
        <v>19</v>
      </c>
      <c r="K1575" s="2" t="n">
        <v>0</v>
      </c>
      <c r="L1575" s="2" t="n">
        <v>0</v>
      </c>
      <c r="M1575" s="2" t="n">
        <v>0</v>
      </c>
    </row>
    <row r="1576" customFormat="false" ht="15" hidden="false" customHeight="false" outlineLevel="0" collapsed="false">
      <c r="A1576" s="2" t="s">
        <v>3396</v>
      </c>
      <c r="B1576" s="2" t="s">
        <v>3397</v>
      </c>
      <c r="C1576" s="2" t="n">
        <v>5</v>
      </c>
      <c r="D1576" s="2" t="s">
        <v>47</v>
      </c>
      <c r="E1576" s="2" t="s">
        <v>2867</v>
      </c>
      <c r="F1576" s="3" t="n">
        <v>45813.1597222222</v>
      </c>
      <c r="G1576" s="2" t="s">
        <v>3306</v>
      </c>
      <c r="H1576" s="4" t="n">
        <v>0.3089</v>
      </c>
      <c r="I1576" s="2" t="s">
        <v>23</v>
      </c>
      <c r="J1576" s="2" t="s">
        <v>19</v>
      </c>
      <c r="K1576" s="2" t="n">
        <v>1</v>
      </c>
      <c r="L1576" s="2" t="n">
        <v>0</v>
      </c>
      <c r="M1576" s="2" t="n">
        <v>0</v>
      </c>
    </row>
    <row r="1577" customFormat="false" ht="15" hidden="false" customHeight="false" outlineLevel="0" collapsed="false">
      <c r="A1577" s="2" t="s">
        <v>3398</v>
      </c>
      <c r="B1577" s="2" t="s">
        <v>3399</v>
      </c>
      <c r="C1577" s="2" t="n">
        <v>3</v>
      </c>
      <c r="D1577" s="2" t="s">
        <v>3400</v>
      </c>
      <c r="E1577" s="2" t="s">
        <v>2867</v>
      </c>
      <c r="F1577" s="3" t="n">
        <v>45813.2583333333</v>
      </c>
      <c r="G1577" s="2" t="s">
        <v>3306</v>
      </c>
      <c r="H1577" s="4" t="n">
        <v>-0.5667</v>
      </c>
      <c r="I1577" s="2" t="s">
        <v>84</v>
      </c>
      <c r="J1577" s="2" t="s">
        <v>37</v>
      </c>
      <c r="K1577" s="2" t="n">
        <v>4</v>
      </c>
      <c r="L1577" s="2" t="n">
        <v>0</v>
      </c>
      <c r="M1577" s="2" t="n">
        <v>0</v>
      </c>
    </row>
    <row r="1578" customFormat="false" ht="15" hidden="false" customHeight="false" outlineLevel="0" collapsed="false">
      <c r="A1578" s="2" t="s">
        <v>3401</v>
      </c>
      <c r="B1578" s="2" t="s">
        <v>3402</v>
      </c>
      <c r="C1578" s="2" t="n">
        <v>5</v>
      </c>
      <c r="D1578" s="2" t="s">
        <v>96</v>
      </c>
      <c r="E1578" s="2" t="s">
        <v>2867</v>
      </c>
      <c r="F1578" s="3" t="n">
        <v>45813.2951388889</v>
      </c>
      <c r="G1578" s="2" t="s">
        <v>3306</v>
      </c>
      <c r="H1578" s="4" t="n">
        <v>0.6369</v>
      </c>
      <c r="I1578" s="2" t="s">
        <v>23</v>
      </c>
      <c r="J1578" s="2" t="s">
        <v>19</v>
      </c>
      <c r="K1578" s="2" t="n">
        <v>4</v>
      </c>
      <c r="L1578" s="2" t="n">
        <v>0</v>
      </c>
      <c r="M1578" s="2" t="n">
        <v>0</v>
      </c>
    </row>
    <row r="1579" customFormat="false" ht="15" hidden="false" customHeight="false" outlineLevel="0" collapsed="false">
      <c r="A1579" s="2" t="s">
        <v>3403</v>
      </c>
      <c r="B1579" s="2" t="s">
        <v>3404</v>
      </c>
      <c r="C1579" s="2" t="n">
        <v>4</v>
      </c>
      <c r="D1579" s="2" t="s">
        <v>127</v>
      </c>
      <c r="E1579" s="2" t="s">
        <v>2867</v>
      </c>
      <c r="F1579" s="3" t="n">
        <v>45813.3041666667</v>
      </c>
      <c r="G1579" s="2" t="s">
        <v>3306</v>
      </c>
      <c r="H1579" s="4" t="n">
        <v>0.9359</v>
      </c>
      <c r="I1579" s="2" t="s">
        <v>23</v>
      </c>
      <c r="J1579" s="2" t="s">
        <v>37</v>
      </c>
      <c r="K1579" s="2" t="n">
        <v>0</v>
      </c>
      <c r="L1579" s="2" t="n">
        <v>0</v>
      </c>
      <c r="M1579" s="2" t="n">
        <v>0</v>
      </c>
    </row>
    <row r="1580" customFormat="false" ht="15" hidden="false" customHeight="false" outlineLevel="0" collapsed="false">
      <c r="A1580" s="2" t="s">
        <v>3405</v>
      </c>
      <c r="B1580" s="2" t="s">
        <v>3406</v>
      </c>
      <c r="C1580" s="2" t="n">
        <v>5</v>
      </c>
      <c r="D1580" s="2" t="s">
        <v>40</v>
      </c>
      <c r="E1580" s="2" t="s">
        <v>2867</v>
      </c>
      <c r="F1580" s="3" t="n">
        <v>45813.3458333333</v>
      </c>
      <c r="G1580" s="2" t="s">
        <v>3306</v>
      </c>
      <c r="H1580" s="4" t="n">
        <v>0.4019</v>
      </c>
      <c r="I1580" s="2" t="s">
        <v>23</v>
      </c>
      <c r="J1580" s="2" t="s">
        <v>33</v>
      </c>
      <c r="K1580" s="2" t="n">
        <v>0</v>
      </c>
      <c r="L1580" s="2" t="n">
        <v>0</v>
      </c>
      <c r="M1580" s="2" t="n">
        <v>0</v>
      </c>
    </row>
    <row r="1581" customFormat="false" ht="15" hidden="false" customHeight="false" outlineLevel="0" collapsed="false">
      <c r="A1581" s="2" t="s">
        <v>3407</v>
      </c>
      <c r="B1581" s="2" t="s">
        <v>3408</v>
      </c>
      <c r="C1581" s="2" t="n">
        <v>5</v>
      </c>
      <c r="D1581" s="2" t="s">
        <v>52</v>
      </c>
      <c r="E1581" s="2" t="s">
        <v>2867</v>
      </c>
      <c r="F1581" s="3" t="n">
        <v>45813.5256944444</v>
      </c>
      <c r="G1581" s="2" t="s">
        <v>3306</v>
      </c>
      <c r="H1581" s="4" t="n">
        <v>0.6369</v>
      </c>
      <c r="I1581" s="2" t="s">
        <v>23</v>
      </c>
      <c r="J1581" s="2" t="s">
        <v>19</v>
      </c>
      <c r="K1581" s="2" t="n">
        <v>2</v>
      </c>
      <c r="L1581" s="2" t="n">
        <v>0</v>
      </c>
      <c r="M1581" s="2" t="n">
        <v>0</v>
      </c>
    </row>
    <row r="1582" customFormat="false" ht="15" hidden="false" customHeight="false" outlineLevel="0" collapsed="false">
      <c r="A1582" s="2" t="s">
        <v>3409</v>
      </c>
      <c r="B1582" s="2" t="s">
        <v>3410</v>
      </c>
      <c r="C1582" s="2" t="n">
        <v>3</v>
      </c>
      <c r="D1582" s="2" t="s">
        <v>99</v>
      </c>
      <c r="E1582" s="2" t="s">
        <v>2867</v>
      </c>
      <c r="F1582" s="3" t="n">
        <v>45813.5451388889</v>
      </c>
      <c r="G1582" s="2" t="s">
        <v>3306</v>
      </c>
      <c r="H1582" s="4" t="n">
        <v>-0.3089</v>
      </c>
      <c r="I1582" s="2" t="s">
        <v>84</v>
      </c>
      <c r="J1582" s="2" t="s">
        <v>19</v>
      </c>
      <c r="K1582" s="2" t="n">
        <v>2</v>
      </c>
      <c r="L1582" s="2" t="n">
        <v>0</v>
      </c>
      <c r="M1582" s="2" t="n">
        <v>0</v>
      </c>
    </row>
    <row r="1583" customFormat="false" ht="15" hidden="false" customHeight="false" outlineLevel="0" collapsed="false">
      <c r="A1583" s="2" t="s">
        <v>3411</v>
      </c>
      <c r="B1583" s="2" t="s">
        <v>3412</v>
      </c>
      <c r="C1583" s="2" t="n">
        <v>3</v>
      </c>
      <c r="D1583" s="2" t="s">
        <v>298</v>
      </c>
      <c r="E1583" s="2" t="s">
        <v>2867</v>
      </c>
      <c r="F1583" s="3" t="n">
        <v>45813.5909722222</v>
      </c>
      <c r="G1583" s="2" t="s">
        <v>3306</v>
      </c>
      <c r="H1583" s="4" t="n">
        <v>0</v>
      </c>
      <c r="I1583" s="2" t="s">
        <v>18</v>
      </c>
      <c r="J1583" s="2" t="s">
        <v>19</v>
      </c>
      <c r="K1583" s="2" t="n">
        <v>6</v>
      </c>
      <c r="L1583" s="2" t="n">
        <v>0</v>
      </c>
      <c r="M1583" s="2" t="n">
        <v>0</v>
      </c>
    </row>
    <row r="1584" customFormat="false" ht="15" hidden="false" customHeight="false" outlineLevel="0" collapsed="false">
      <c r="A1584" s="2" t="s">
        <v>3413</v>
      </c>
      <c r="B1584" s="2" t="s">
        <v>3414</v>
      </c>
      <c r="C1584" s="2" t="n">
        <v>5</v>
      </c>
      <c r="D1584" s="2" t="s">
        <v>96</v>
      </c>
      <c r="E1584" s="2" t="s">
        <v>2867</v>
      </c>
      <c r="F1584" s="3" t="n">
        <v>45813.6256944445</v>
      </c>
      <c r="G1584" s="2" t="s">
        <v>3306</v>
      </c>
      <c r="H1584" s="4" t="n">
        <v>0.6369</v>
      </c>
      <c r="I1584" s="2" t="s">
        <v>23</v>
      </c>
      <c r="J1584" s="2" t="s">
        <v>19</v>
      </c>
      <c r="K1584" s="2" t="n">
        <v>0</v>
      </c>
      <c r="L1584" s="2" t="n">
        <v>0</v>
      </c>
      <c r="M1584" s="2" t="n">
        <v>0</v>
      </c>
    </row>
    <row r="1585" customFormat="false" ht="15" hidden="false" customHeight="false" outlineLevel="0" collapsed="false">
      <c r="A1585" s="2" t="s">
        <v>3415</v>
      </c>
      <c r="B1585" s="2" t="s">
        <v>3416</v>
      </c>
      <c r="C1585" s="2" t="n">
        <v>3</v>
      </c>
      <c r="D1585" s="2" t="s">
        <v>301</v>
      </c>
      <c r="E1585" s="2" t="s">
        <v>2867</v>
      </c>
      <c r="F1585" s="3" t="n">
        <v>45813.7819444445</v>
      </c>
      <c r="G1585" s="2" t="s">
        <v>3306</v>
      </c>
      <c r="H1585" s="4" t="n">
        <v>0.2263</v>
      </c>
      <c r="I1585" s="2" t="s">
        <v>23</v>
      </c>
      <c r="J1585" s="2" t="s">
        <v>19</v>
      </c>
      <c r="K1585" s="2" t="n">
        <v>0</v>
      </c>
      <c r="L1585" s="2" t="n">
        <v>0</v>
      </c>
      <c r="M1585" s="2" t="n">
        <v>0</v>
      </c>
    </row>
    <row r="1586" customFormat="false" ht="15" hidden="false" customHeight="false" outlineLevel="0" collapsed="false">
      <c r="A1586" s="2" t="s">
        <v>3417</v>
      </c>
      <c r="B1586" s="2" t="s">
        <v>3418</v>
      </c>
      <c r="C1586" s="2" t="n">
        <v>2</v>
      </c>
      <c r="D1586" s="2" t="s">
        <v>397</v>
      </c>
      <c r="E1586" s="2" t="s">
        <v>2867</v>
      </c>
      <c r="F1586" s="3" t="n">
        <v>45813.8041666667</v>
      </c>
      <c r="G1586" s="2" t="s">
        <v>3306</v>
      </c>
      <c r="H1586" s="4" t="n">
        <v>0</v>
      </c>
      <c r="I1586" s="2" t="s">
        <v>18</v>
      </c>
      <c r="J1586" s="2" t="s">
        <v>110</v>
      </c>
      <c r="K1586" s="2" t="n">
        <v>3</v>
      </c>
      <c r="L1586" s="2" t="n">
        <v>1</v>
      </c>
      <c r="M1586" s="2" t="n">
        <v>0</v>
      </c>
    </row>
    <row r="1587" customFormat="false" ht="15" hidden="false" customHeight="false" outlineLevel="0" collapsed="false">
      <c r="A1587" s="2" t="s">
        <v>3419</v>
      </c>
      <c r="B1587" s="2" t="s">
        <v>3420</v>
      </c>
      <c r="C1587" s="2" t="n">
        <v>5</v>
      </c>
      <c r="D1587" s="2" t="s">
        <v>90</v>
      </c>
      <c r="E1587" s="2" t="s">
        <v>2867</v>
      </c>
      <c r="F1587" s="3" t="n">
        <v>45813.8395833333</v>
      </c>
      <c r="G1587" s="2" t="s">
        <v>3306</v>
      </c>
      <c r="H1587" s="4" t="n">
        <v>0.6249</v>
      </c>
      <c r="I1587" s="2" t="s">
        <v>23</v>
      </c>
      <c r="J1587" s="2" t="s">
        <v>37</v>
      </c>
      <c r="K1587" s="2" t="n">
        <v>9</v>
      </c>
      <c r="L1587" s="2" t="n">
        <v>0</v>
      </c>
      <c r="M1587" s="2" t="n">
        <v>0</v>
      </c>
    </row>
    <row r="1588" customFormat="false" ht="15" hidden="false" customHeight="false" outlineLevel="0" collapsed="false">
      <c r="A1588" s="2" t="s">
        <v>3421</v>
      </c>
      <c r="B1588" s="2" t="s">
        <v>3422</v>
      </c>
      <c r="C1588" s="2" t="n">
        <v>3</v>
      </c>
      <c r="D1588" s="2" t="s">
        <v>87</v>
      </c>
      <c r="E1588" s="2" t="s">
        <v>2867</v>
      </c>
      <c r="F1588" s="3" t="n">
        <v>45814.0152777778</v>
      </c>
      <c r="G1588" s="2" t="s">
        <v>3306</v>
      </c>
      <c r="H1588" s="4" t="n">
        <v>0</v>
      </c>
      <c r="I1588" s="2" t="s">
        <v>18</v>
      </c>
      <c r="J1588" s="2" t="s">
        <v>19</v>
      </c>
      <c r="K1588" s="2" t="n">
        <v>0</v>
      </c>
      <c r="L1588" s="2" t="n">
        <v>1</v>
      </c>
      <c r="M1588" s="2" t="n">
        <v>0</v>
      </c>
    </row>
    <row r="1589" customFormat="false" ht="15" hidden="false" customHeight="false" outlineLevel="0" collapsed="false">
      <c r="A1589" s="2" t="s">
        <v>3423</v>
      </c>
      <c r="B1589" s="2" t="s">
        <v>3424</v>
      </c>
      <c r="C1589" s="2" t="n">
        <v>2</v>
      </c>
      <c r="D1589" s="2" t="s">
        <v>231</v>
      </c>
      <c r="E1589" s="2" t="s">
        <v>2867</v>
      </c>
      <c r="F1589" s="3" t="n">
        <v>45814.0833333333</v>
      </c>
      <c r="G1589" s="2" t="s">
        <v>3306</v>
      </c>
      <c r="H1589" s="4" t="n">
        <v>-0.3593</v>
      </c>
      <c r="I1589" s="2" t="s">
        <v>84</v>
      </c>
      <c r="J1589" s="2" t="s">
        <v>33</v>
      </c>
      <c r="K1589" s="2" t="n">
        <v>3</v>
      </c>
      <c r="L1589" s="2" t="n">
        <v>0</v>
      </c>
      <c r="M1589" s="2" t="n">
        <v>0</v>
      </c>
    </row>
    <row r="1590" customFormat="false" ht="15" hidden="false" customHeight="false" outlineLevel="0" collapsed="false">
      <c r="A1590" s="2" t="s">
        <v>3425</v>
      </c>
      <c r="B1590" s="2" t="s">
        <v>3426</v>
      </c>
      <c r="C1590" s="2" t="n">
        <v>5</v>
      </c>
      <c r="D1590" s="2" t="s">
        <v>269</v>
      </c>
      <c r="E1590" s="2" t="s">
        <v>2867</v>
      </c>
      <c r="F1590" s="3" t="n">
        <v>45814.2145833333</v>
      </c>
      <c r="G1590" s="2" t="s">
        <v>3306</v>
      </c>
      <c r="H1590" s="4" t="n">
        <v>0.8748</v>
      </c>
      <c r="I1590" s="2" t="s">
        <v>23</v>
      </c>
      <c r="J1590" s="2" t="s">
        <v>37</v>
      </c>
      <c r="K1590" s="2" t="n">
        <v>5</v>
      </c>
      <c r="L1590" s="2" t="n">
        <v>0</v>
      </c>
      <c r="M1590" s="2" t="n">
        <v>0</v>
      </c>
    </row>
    <row r="1591" customFormat="false" ht="15" hidden="false" customHeight="false" outlineLevel="0" collapsed="false">
      <c r="A1591" s="2" t="s">
        <v>3427</v>
      </c>
      <c r="B1591" s="2" t="s">
        <v>3428</v>
      </c>
      <c r="C1591" s="2" t="n">
        <v>4</v>
      </c>
      <c r="D1591" s="2" t="s">
        <v>127</v>
      </c>
      <c r="E1591" s="2" t="s">
        <v>2867</v>
      </c>
      <c r="F1591" s="3" t="n">
        <v>45814.2631944444</v>
      </c>
      <c r="G1591" s="2" t="s">
        <v>3306</v>
      </c>
      <c r="H1591" s="4" t="n">
        <v>0.9359</v>
      </c>
      <c r="I1591" s="2" t="s">
        <v>23</v>
      </c>
      <c r="J1591" s="2" t="s">
        <v>37</v>
      </c>
      <c r="K1591" s="2" t="n">
        <v>1</v>
      </c>
      <c r="L1591" s="2" t="n">
        <v>0</v>
      </c>
      <c r="M1591" s="2" t="n">
        <v>0</v>
      </c>
    </row>
    <row r="1592" customFormat="false" ht="15" hidden="false" customHeight="false" outlineLevel="0" collapsed="false">
      <c r="A1592" s="2" t="s">
        <v>3429</v>
      </c>
      <c r="B1592" s="2" t="s">
        <v>3430</v>
      </c>
      <c r="C1592" s="2" t="n">
        <v>1</v>
      </c>
      <c r="D1592" s="2" t="s">
        <v>3431</v>
      </c>
      <c r="E1592" s="2" t="s">
        <v>2867</v>
      </c>
      <c r="F1592" s="3" t="n">
        <v>45814.2958333333</v>
      </c>
      <c r="G1592" s="2" t="s">
        <v>3306</v>
      </c>
      <c r="H1592" s="4" t="n">
        <v>-0.5719</v>
      </c>
      <c r="I1592" s="2" t="s">
        <v>84</v>
      </c>
      <c r="J1592" s="2" t="s">
        <v>110</v>
      </c>
      <c r="K1592" s="2" t="n">
        <v>3</v>
      </c>
      <c r="L1592" s="2" t="n">
        <v>1</v>
      </c>
      <c r="M1592" s="2" t="n">
        <v>0</v>
      </c>
    </row>
    <row r="1593" customFormat="false" ht="15" hidden="false" customHeight="false" outlineLevel="0" collapsed="false">
      <c r="A1593" s="2" t="s">
        <v>3432</v>
      </c>
      <c r="B1593" s="2" t="s">
        <v>3433</v>
      </c>
      <c r="C1593" s="2" t="n">
        <v>5</v>
      </c>
      <c r="D1593" s="2" t="s">
        <v>127</v>
      </c>
      <c r="E1593" s="2" t="s">
        <v>2867</v>
      </c>
      <c r="F1593" s="3" t="n">
        <v>45814.5909722222</v>
      </c>
      <c r="G1593" s="2" t="s">
        <v>3306</v>
      </c>
      <c r="H1593" s="4" t="n">
        <v>0.9359</v>
      </c>
      <c r="I1593" s="2" t="s">
        <v>23</v>
      </c>
      <c r="J1593" s="2" t="s">
        <v>37</v>
      </c>
      <c r="K1593" s="2" t="n">
        <v>0</v>
      </c>
      <c r="L1593" s="2" t="n">
        <v>0</v>
      </c>
      <c r="M1593" s="2" t="n">
        <v>0</v>
      </c>
    </row>
    <row r="1594" customFormat="false" ht="15" hidden="false" customHeight="false" outlineLevel="0" collapsed="false">
      <c r="A1594" s="2" t="s">
        <v>3434</v>
      </c>
      <c r="B1594" s="2" t="s">
        <v>3435</v>
      </c>
      <c r="C1594" s="2" t="n">
        <v>2</v>
      </c>
      <c r="D1594" s="2" t="s">
        <v>179</v>
      </c>
      <c r="E1594" s="2" t="s">
        <v>2867</v>
      </c>
      <c r="F1594" s="3" t="n">
        <v>45814.6791666667</v>
      </c>
      <c r="G1594" s="2" t="s">
        <v>3306</v>
      </c>
      <c r="H1594" s="4" t="n">
        <v>-0.0258</v>
      </c>
      <c r="I1594" s="2" t="s">
        <v>18</v>
      </c>
      <c r="J1594" s="2" t="s">
        <v>59</v>
      </c>
      <c r="K1594" s="2" t="n">
        <v>1</v>
      </c>
      <c r="L1594" s="2" t="n">
        <v>1</v>
      </c>
      <c r="M1594" s="2" t="n">
        <v>0</v>
      </c>
    </row>
    <row r="1595" customFormat="false" ht="15" hidden="false" customHeight="false" outlineLevel="0" collapsed="false">
      <c r="A1595" s="2" t="s">
        <v>3436</v>
      </c>
      <c r="B1595" s="2" t="s">
        <v>3437</v>
      </c>
      <c r="C1595" s="2" t="n">
        <v>3</v>
      </c>
      <c r="D1595" s="2" t="s">
        <v>22</v>
      </c>
      <c r="E1595" s="2" t="s">
        <v>2867</v>
      </c>
      <c r="F1595" s="3" t="n">
        <v>45814.7506944445</v>
      </c>
      <c r="G1595" s="2" t="s">
        <v>3306</v>
      </c>
      <c r="H1595" s="4" t="n">
        <v>0.2023</v>
      </c>
      <c r="I1595" s="2" t="s">
        <v>23</v>
      </c>
      <c r="J1595" s="2" t="s">
        <v>19</v>
      </c>
      <c r="K1595" s="2" t="n">
        <v>3</v>
      </c>
      <c r="L1595" s="2" t="n">
        <v>0</v>
      </c>
      <c r="M1595" s="2" t="n">
        <v>0</v>
      </c>
    </row>
    <row r="1596" customFormat="false" ht="15" hidden="false" customHeight="false" outlineLevel="0" collapsed="false">
      <c r="A1596" s="2" t="s">
        <v>3438</v>
      </c>
      <c r="B1596" s="2" t="s">
        <v>3439</v>
      </c>
      <c r="C1596" s="2" t="n">
        <v>5</v>
      </c>
      <c r="D1596" s="2" t="s">
        <v>52</v>
      </c>
      <c r="E1596" s="2" t="s">
        <v>2867</v>
      </c>
      <c r="F1596" s="3" t="n">
        <v>45815.0770833333</v>
      </c>
      <c r="G1596" s="2" t="s">
        <v>3306</v>
      </c>
      <c r="H1596" s="4" t="n">
        <v>0.6369</v>
      </c>
      <c r="I1596" s="2" t="s">
        <v>23</v>
      </c>
      <c r="J1596" s="2" t="s">
        <v>19</v>
      </c>
      <c r="K1596" s="2" t="n">
        <v>5</v>
      </c>
      <c r="L1596" s="2" t="n">
        <v>0</v>
      </c>
      <c r="M1596" s="2" t="n">
        <v>0</v>
      </c>
    </row>
    <row r="1597" customFormat="false" ht="15" hidden="false" customHeight="false" outlineLevel="0" collapsed="false">
      <c r="A1597" s="2" t="s">
        <v>3440</v>
      </c>
      <c r="B1597" s="2" t="s">
        <v>3441</v>
      </c>
      <c r="C1597" s="2" t="n">
        <v>2</v>
      </c>
      <c r="D1597" s="2" t="s">
        <v>2193</v>
      </c>
      <c r="E1597" s="2" t="s">
        <v>2867</v>
      </c>
      <c r="F1597" s="3" t="n">
        <v>45815.3222222222</v>
      </c>
      <c r="G1597" s="2" t="s">
        <v>3306</v>
      </c>
      <c r="H1597" s="4" t="n">
        <v>-0.3291</v>
      </c>
      <c r="I1597" s="2" t="s">
        <v>84</v>
      </c>
      <c r="J1597" s="2" t="s">
        <v>33</v>
      </c>
      <c r="K1597" s="2" t="n">
        <v>3</v>
      </c>
      <c r="L1597" s="2" t="n">
        <v>1</v>
      </c>
      <c r="M1597" s="2" t="n">
        <v>0</v>
      </c>
    </row>
    <row r="1598" customFormat="false" ht="15" hidden="false" customHeight="false" outlineLevel="0" collapsed="false">
      <c r="A1598" s="2" t="s">
        <v>3442</v>
      </c>
      <c r="B1598" s="2" t="s">
        <v>3443</v>
      </c>
      <c r="C1598" s="2" t="n">
        <v>5</v>
      </c>
      <c r="D1598" s="2" t="s">
        <v>62</v>
      </c>
      <c r="E1598" s="2" t="s">
        <v>2867</v>
      </c>
      <c r="F1598" s="3" t="n">
        <v>45815.375</v>
      </c>
      <c r="G1598" s="2" t="s">
        <v>3306</v>
      </c>
      <c r="H1598" s="4" t="n">
        <v>0.7088</v>
      </c>
      <c r="I1598" s="2" t="s">
        <v>23</v>
      </c>
      <c r="J1598" s="2" t="s">
        <v>19</v>
      </c>
      <c r="K1598" s="2" t="n">
        <v>11</v>
      </c>
      <c r="L1598" s="2" t="n">
        <v>0</v>
      </c>
      <c r="M1598" s="2" t="n">
        <v>0</v>
      </c>
    </row>
    <row r="1599" customFormat="false" ht="15" hidden="false" customHeight="false" outlineLevel="0" collapsed="false">
      <c r="A1599" s="2" t="s">
        <v>3444</v>
      </c>
      <c r="B1599" s="2" t="s">
        <v>3445</v>
      </c>
      <c r="C1599" s="2" t="n">
        <v>5</v>
      </c>
      <c r="D1599" s="2" t="s">
        <v>96</v>
      </c>
      <c r="E1599" s="2" t="s">
        <v>2867</v>
      </c>
      <c r="F1599" s="3" t="n">
        <v>45815.3777777778</v>
      </c>
      <c r="G1599" s="2" t="s">
        <v>3306</v>
      </c>
      <c r="H1599" s="4" t="n">
        <v>0.6369</v>
      </c>
      <c r="I1599" s="2" t="s">
        <v>23</v>
      </c>
      <c r="J1599" s="2" t="s">
        <v>19</v>
      </c>
      <c r="K1599" s="2" t="n">
        <v>3</v>
      </c>
      <c r="L1599" s="2" t="n">
        <v>0</v>
      </c>
      <c r="M1599" s="2" t="n">
        <v>0</v>
      </c>
    </row>
    <row r="1600" customFormat="false" ht="15" hidden="false" customHeight="false" outlineLevel="0" collapsed="false">
      <c r="A1600" s="2" t="s">
        <v>3446</v>
      </c>
      <c r="B1600" s="2" t="s">
        <v>3447</v>
      </c>
      <c r="C1600" s="2" t="n">
        <v>1</v>
      </c>
      <c r="D1600" s="2" t="s">
        <v>823</v>
      </c>
      <c r="E1600" s="2" t="s">
        <v>2867</v>
      </c>
      <c r="F1600" s="3" t="n">
        <v>45815.4215277778</v>
      </c>
      <c r="G1600" s="2" t="s">
        <v>3306</v>
      </c>
      <c r="H1600" s="4" t="n">
        <v>-0.6997</v>
      </c>
      <c r="I1600" s="2" t="s">
        <v>84</v>
      </c>
      <c r="J1600" s="2" t="s">
        <v>19</v>
      </c>
      <c r="K1600" s="2" t="n">
        <v>0</v>
      </c>
      <c r="L1600" s="2" t="n">
        <v>1</v>
      </c>
      <c r="M1600" s="2" t="n">
        <v>0</v>
      </c>
    </row>
    <row r="1601" customFormat="false" ht="15" hidden="false" customHeight="false" outlineLevel="0" collapsed="false">
      <c r="A1601" s="2" t="s">
        <v>3448</v>
      </c>
      <c r="B1601" s="2" t="s">
        <v>3449</v>
      </c>
      <c r="C1601" s="2" t="n">
        <v>1</v>
      </c>
      <c r="D1601" s="2" t="s">
        <v>83</v>
      </c>
      <c r="E1601" s="2" t="s">
        <v>2867</v>
      </c>
      <c r="F1601" s="3" t="n">
        <v>45815.50625</v>
      </c>
      <c r="G1601" s="2" t="s">
        <v>3306</v>
      </c>
      <c r="H1601" s="4" t="n">
        <v>-0.6166</v>
      </c>
      <c r="I1601" s="2" t="s">
        <v>84</v>
      </c>
      <c r="J1601" s="2" t="s">
        <v>59</v>
      </c>
      <c r="K1601" s="2" t="n">
        <v>1</v>
      </c>
      <c r="L1601" s="2" t="n">
        <v>0</v>
      </c>
      <c r="M1601" s="2" t="n">
        <v>0</v>
      </c>
    </row>
    <row r="1602" customFormat="false" ht="15" hidden="false" customHeight="false" outlineLevel="0" collapsed="false">
      <c r="A1602" s="2" t="s">
        <v>3450</v>
      </c>
      <c r="B1602" s="2" t="s">
        <v>3451</v>
      </c>
      <c r="C1602" s="2" t="n">
        <v>5</v>
      </c>
      <c r="D1602" s="2" t="s">
        <v>40</v>
      </c>
      <c r="E1602" s="2" t="s">
        <v>2867</v>
      </c>
      <c r="F1602" s="3" t="n">
        <v>45815.5354166667</v>
      </c>
      <c r="G1602" s="2" t="s">
        <v>3306</v>
      </c>
      <c r="H1602" s="4" t="n">
        <v>0.4019</v>
      </c>
      <c r="I1602" s="2" t="s">
        <v>23</v>
      </c>
      <c r="J1602" s="2" t="s">
        <v>33</v>
      </c>
      <c r="K1602" s="2" t="n">
        <v>1</v>
      </c>
      <c r="L1602" s="2" t="n">
        <v>0</v>
      </c>
      <c r="M1602" s="2" t="n">
        <v>0</v>
      </c>
    </row>
    <row r="1603" customFormat="false" ht="15" hidden="false" customHeight="false" outlineLevel="0" collapsed="false">
      <c r="A1603" s="2" t="s">
        <v>3452</v>
      </c>
      <c r="B1603" s="2" t="s">
        <v>3453</v>
      </c>
      <c r="C1603" s="2" t="n">
        <v>3</v>
      </c>
      <c r="D1603" s="2" t="s">
        <v>87</v>
      </c>
      <c r="E1603" s="2" t="s">
        <v>2867</v>
      </c>
      <c r="F1603" s="3" t="n">
        <v>45815.7097222222</v>
      </c>
      <c r="G1603" s="2" t="s">
        <v>3306</v>
      </c>
      <c r="H1603" s="4" t="n">
        <v>0</v>
      </c>
      <c r="I1603" s="2" t="s">
        <v>18</v>
      </c>
      <c r="J1603" s="2" t="s">
        <v>19</v>
      </c>
      <c r="K1603" s="2" t="n">
        <v>16</v>
      </c>
      <c r="L1603" s="2" t="n">
        <v>1</v>
      </c>
      <c r="M1603" s="2" t="n">
        <v>0</v>
      </c>
    </row>
    <row r="1604" customFormat="false" ht="15" hidden="false" customHeight="false" outlineLevel="0" collapsed="false">
      <c r="A1604" s="2" t="s">
        <v>3454</v>
      </c>
      <c r="B1604" s="2" t="s">
        <v>3455</v>
      </c>
      <c r="C1604" s="2" t="n">
        <v>5</v>
      </c>
      <c r="D1604" s="2" t="s">
        <v>90</v>
      </c>
      <c r="E1604" s="2" t="s">
        <v>2867</v>
      </c>
      <c r="F1604" s="3" t="n">
        <v>45815.8395833333</v>
      </c>
      <c r="G1604" s="2" t="s">
        <v>3306</v>
      </c>
      <c r="H1604" s="4" t="n">
        <v>0.6249</v>
      </c>
      <c r="I1604" s="2" t="s">
        <v>23</v>
      </c>
      <c r="J1604" s="2" t="s">
        <v>37</v>
      </c>
      <c r="K1604" s="2" t="n">
        <v>2</v>
      </c>
      <c r="L1604" s="2" t="n">
        <v>0</v>
      </c>
      <c r="M1604" s="2" t="n">
        <v>0</v>
      </c>
    </row>
    <row r="1605" customFormat="false" ht="15" hidden="false" customHeight="false" outlineLevel="0" collapsed="false">
      <c r="A1605" s="2" t="s">
        <v>3456</v>
      </c>
      <c r="B1605" s="2" t="s">
        <v>3457</v>
      </c>
      <c r="C1605" s="2" t="n">
        <v>4</v>
      </c>
      <c r="D1605" s="2" t="s">
        <v>36</v>
      </c>
      <c r="E1605" s="2" t="s">
        <v>2867</v>
      </c>
      <c r="F1605" s="3" t="n">
        <v>45815.875</v>
      </c>
      <c r="G1605" s="2" t="s">
        <v>3306</v>
      </c>
      <c r="H1605" s="4" t="n">
        <v>0.4404</v>
      </c>
      <c r="I1605" s="2" t="s">
        <v>23</v>
      </c>
      <c r="J1605" s="2" t="s">
        <v>37</v>
      </c>
      <c r="K1605" s="2" t="n">
        <v>1</v>
      </c>
      <c r="L1605" s="2" t="n">
        <v>0</v>
      </c>
      <c r="M1605" s="2" t="n">
        <v>0</v>
      </c>
    </row>
    <row r="1606" customFormat="false" ht="15" hidden="false" customHeight="false" outlineLevel="0" collapsed="false">
      <c r="A1606" s="2" t="s">
        <v>3458</v>
      </c>
      <c r="B1606" s="2" t="s">
        <v>3459</v>
      </c>
      <c r="C1606" s="2" t="n">
        <v>4</v>
      </c>
      <c r="D1606" s="2" t="s">
        <v>62</v>
      </c>
      <c r="E1606" s="2" t="s">
        <v>2867</v>
      </c>
      <c r="F1606" s="3" t="n">
        <v>45816.0013888889</v>
      </c>
      <c r="G1606" s="2" t="s">
        <v>3306</v>
      </c>
      <c r="H1606" s="4" t="n">
        <v>0.7088</v>
      </c>
      <c r="I1606" s="2" t="s">
        <v>23</v>
      </c>
      <c r="J1606" s="2" t="s">
        <v>19</v>
      </c>
      <c r="K1606" s="2" t="n">
        <v>7</v>
      </c>
      <c r="L1606" s="2" t="n">
        <v>0</v>
      </c>
      <c r="M1606" s="2" t="n">
        <v>0</v>
      </c>
    </row>
    <row r="1607" customFormat="false" ht="15" hidden="false" customHeight="false" outlineLevel="0" collapsed="false">
      <c r="A1607" s="2" t="s">
        <v>3460</v>
      </c>
      <c r="B1607" s="2" t="s">
        <v>3461</v>
      </c>
      <c r="C1607" s="2" t="n">
        <v>5</v>
      </c>
      <c r="D1607" s="2" t="s">
        <v>15</v>
      </c>
      <c r="E1607" s="2" t="s">
        <v>2867</v>
      </c>
      <c r="F1607" s="3" t="n">
        <v>45816.1659722222</v>
      </c>
      <c r="G1607" s="2" t="s">
        <v>3306</v>
      </c>
      <c r="H1607" s="4" t="n">
        <v>0</v>
      </c>
      <c r="I1607" s="2" t="s">
        <v>18</v>
      </c>
      <c r="J1607" s="2" t="s">
        <v>19</v>
      </c>
      <c r="K1607" s="2" t="n">
        <v>5</v>
      </c>
      <c r="L1607" s="2" t="n">
        <v>0</v>
      </c>
      <c r="M1607" s="2" t="n">
        <v>0</v>
      </c>
    </row>
    <row r="1608" customFormat="false" ht="15" hidden="false" customHeight="false" outlineLevel="0" collapsed="false">
      <c r="A1608" s="2" t="s">
        <v>3462</v>
      </c>
      <c r="B1608" s="2" t="s">
        <v>3463</v>
      </c>
      <c r="C1608" s="2" t="n">
        <v>2</v>
      </c>
      <c r="D1608" s="2" t="s">
        <v>397</v>
      </c>
      <c r="E1608" s="2" t="s">
        <v>2867</v>
      </c>
      <c r="F1608" s="3" t="n">
        <v>45816.2465277778</v>
      </c>
      <c r="G1608" s="2" t="s">
        <v>3306</v>
      </c>
      <c r="H1608" s="4" t="n">
        <v>0</v>
      </c>
      <c r="I1608" s="2" t="s">
        <v>18</v>
      </c>
      <c r="J1608" s="2" t="s">
        <v>110</v>
      </c>
      <c r="K1608" s="2" t="n">
        <v>8</v>
      </c>
      <c r="L1608" s="2" t="n">
        <v>1</v>
      </c>
      <c r="M1608" s="2" t="n">
        <v>0</v>
      </c>
    </row>
    <row r="1609" customFormat="false" ht="15" hidden="false" customHeight="false" outlineLevel="0" collapsed="false">
      <c r="A1609" s="2" t="s">
        <v>3464</v>
      </c>
      <c r="B1609" s="2" t="s">
        <v>3465</v>
      </c>
      <c r="C1609" s="2" t="n">
        <v>5</v>
      </c>
      <c r="D1609" s="2" t="s">
        <v>807</v>
      </c>
      <c r="E1609" s="2" t="s">
        <v>2867</v>
      </c>
      <c r="F1609" s="3" t="n">
        <v>45816.3013888889</v>
      </c>
      <c r="G1609" s="2" t="s">
        <v>3306</v>
      </c>
      <c r="H1609" s="4" t="n">
        <v>0.6369</v>
      </c>
      <c r="I1609" s="2" t="s">
        <v>23</v>
      </c>
      <c r="J1609" s="2" t="s">
        <v>19</v>
      </c>
      <c r="K1609" s="2" t="n">
        <v>5</v>
      </c>
      <c r="L1609" s="2" t="n">
        <v>0</v>
      </c>
      <c r="M1609" s="2" t="n">
        <v>0</v>
      </c>
    </row>
    <row r="1610" customFormat="false" ht="15" hidden="false" customHeight="false" outlineLevel="0" collapsed="false">
      <c r="A1610" s="2" t="s">
        <v>3466</v>
      </c>
      <c r="B1610" s="2" t="s">
        <v>3467</v>
      </c>
      <c r="C1610" s="2" t="n">
        <v>4</v>
      </c>
      <c r="D1610" s="2" t="s">
        <v>62</v>
      </c>
      <c r="E1610" s="2" t="s">
        <v>2867</v>
      </c>
      <c r="F1610" s="3" t="n">
        <v>45816.375</v>
      </c>
      <c r="G1610" s="2" t="s">
        <v>3306</v>
      </c>
      <c r="H1610" s="4" t="n">
        <v>0.7088</v>
      </c>
      <c r="I1610" s="2" t="s">
        <v>23</v>
      </c>
      <c r="J1610" s="2" t="s">
        <v>19</v>
      </c>
      <c r="K1610" s="2" t="n">
        <v>2</v>
      </c>
      <c r="L1610" s="2" t="n">
        <v>0</v>
      </c>
      <c r="M1610" s="2" t="n">
        <v>0</v>
      </c>
    </row>
    <row r="1611" customFormat="false" ht="15" hidden="false" customHeight="false" outlineLevel="0" collapsed="false">
      <c r="A1611" s="2" t="s">
        <v>3468</v>
      </c>
      <c r="B1611" s="2" t="s">
        <v>3469</v>
      </c>
      <c r="C1611" s="2" t="n">
        <v>4</v>
      </c>
      <c r="D1611" s="2" t="s">
        <v>15</v>
      </c>
      <c r="E1611" s="2" t="s">
        <v>2867</v>
      </c>
      <c r="F1611" s="3" t="n">
        <v>45816.4201388889</v>
      </c>
      <c r="G1611" s="2" t="s">
        <v>3306</v>
      </c>
      <c r="H1611" s="4" t="n">
        <v>0</v>
      </c>
      <c r="I1611" s="2" t="s">
        <v>18</v>
      </c>
      <c r="J1611" s="2" t="s">
        <v>19</v>
      </c>
      <c r="K1611" s="2" t="n">
        <v>6</v>
      </c>
      <c r="L1611" s="2" t="n">
        <v>0</v>
      </c>
      <c r="M1611" s="2" t="n">
        <v>0</v>
      </c>
    </row>
    <row r="1612" customFormat="false" ht="15" hidden="false" customHeight="false" outlineLevel="0" collapsed="false">
      <c r="A1612" s="2" t="s">
        <v>3470</v>
      </c>
      <c r="B1612" s="2" t="s">
        <v>3471</v>
      </c>
      <c r="C1612" s="2" t="n">
        <v>3</v>
      </c>
      <c r="D1612" s="2" t="s">
        <v>301</v>
      </c>
      <c r="E1612" s="2" t="s">
        <v>2867</v>
      </c>
      <c r="F1612" s="3" t="n">
        <v>45816.5333333333</v>
      </c>
      <c r="G1612" s="2" t="s">
        <v>3306</v>
      </c>
      <c r="H1612" s="4" t="n">
        <v>0.2263</v>
      </c>
      <c r="I1612" s="2" t="s">
        <v>23</v>
      </c>
      <c r="J1612" s="2" t="s">
        <v>19</v>
      </c>
      <c r="K1612" s="2" t="n">
        <v>4</v>
      </c>
      <c r="L1612" s="2" t="n">
        <v>0</v>
      </c>
      <c r="M1612" s="2" t="n">
        <v>0</v>
      </c>
    </row>
    <row r="1613" customFormat="false" ht="15" hidden="false" customHeight="false" outlineLevel="0" collapsed="false">
      <c r="A1613" s="2" t="s">
        <v>3472</v>
      </c>
      <c r="B1613" s="2" t="s">
        <v>3473</v>
      </c>
      <c r="C1613" s="2" t="n">
        <v>4</v>
      </c>
      <c r="D1613" s="2" t="s">
        <v>87</v>
      </c>
      <c r="E1613" s="2" t="s">
        <v>2867</v>
      </c>
      <c r="F1613" s="3" t="n">
        <v>45816.5618055556</v>
      </c>
      <c r="G1613" s="2" t="s">
        <v>3306</v>
      </c>
      <c r="H1613" s="4" t="n">
        <v>0</v>
      </c>
      <c r="I1613" s="2" t="s">
        <v>18</v>
      </c>
      <c r="J1613" s="2" t="s">
        <v>19</v>
      </c>
      <c r="K1613" s="2" t="n">
        <v>0</v>
      </c>
      <c r="L1613" s="2" t="n">
        <v>0</v>
      </c>
      <c r="M1613" s="2" t="n">
        <v>0</v>
      </c>
    </row>
    <row r="1614" customFormat="false" ht="15" hidden="false" customHeight="false" outlineLevel="0" collapsed="false">
      <c r="A1614" s="2" t="s">
        <v>3474</v>
      </c>
      <c r="B1614" s="2" t="s">
        <v>3475</v>
      </c>
      <c r="C1614" s="2" t="n">
        <v>5</v>
      </c>
      <c r="D1614" s="2" t="s">
        <v>3476</v>
      </c>
      <c r="E1614" s="2" t="s">
        <v>2867</v>
      </c>
      <c r="F1614" s="3" t="n">
        <v>45816.7159722222</v>
      </c>
      <c r="G1614" s="2" t="s">
        <v>3306</v>
      </c>
      <c r="H1614" s="4" t="n">
        <v>0.8777</v>
      </c>
      <c r="I1614" s="2" t="s">
        <v>23</v>
      </c>
      <c r="J1614" s="2" t="s">
        <v>19</v>
      </c>
      <c r="K1614" s="2" t="n">
        <v>2</v>
      </c>
      <c r="L1614" s="2" t="n">
        <v>0</v>
      </c>
      <c r="M1614" s="2" t="n">
        <v>0</v>
      </c>
    </row>
    <row r="1615" customFormat="false" ht="15" hidden="false" customHeight="false" outlineLevel="0" collapsed="false">
      <c r="A1615" s="2" t="s">
        <v>3477</v>
      </c>
      <c r="B1615" s="2" t="s">
        <v>3478</v>
      </c>
      <c r="C1615" s="2" t="n">
        <v>5</v>
      </c>
      <c r="D1615" s="2" t="s">
        <v>90</v>
      </c>
      <c r="E1615" s="2" t="s">
        <v>2867</v>
      </c>
      <c r="F1615" s="3" t="n">
        <v>45816.9479166667</v>
      </c>
      <c r="G1615" s="2" t="s">
        <v>3306</v>
      </c>
      <c r="H1615" s="4" t="n">
        <v>0.6249</v>
      </c>
      <c r="I1615" s="2" t="s">
        <v>23</v>
      </c>
      <c r="J1615" s="2" t="s">
        <v>37</v>
      </c>
      <c r="K1615" s="2" t="n">
        <v>1</v>
      </c>
      <c r="L1615" s="2" t="n">
        <v>0</v>
      </c>
      <c r="M1615" s="2" t="n">
        <v>0</v>
      </c>
    </row>
    <row r="1616" customFormat="false" ht="15" hidden="false" customHeight="false" outlineLevel="0" collapsed="false">
      <c r="A1616" s="2" t="s">
        <v>3479</v>
      </c>
      <c r="B1616" s="2" t="s">
        <v>3480</v>
      </c>
      <c r="C1616" s="2" t="n">
        <v>4</v>
      </c>
      <c r="D1616" s="2" t="s">
        <v>374</v>
      </c>
      <c r="E1616" s="2" t="s">
        <v>2867</v>
      </c>
      <c r="F1616" s="3" t="n">
        <v>45816.9548611111</v>
      </c>
      <c r="G1616" s="2" t="s">
        <v>3306</v>
      </c>
      <c r="H1616" s="4" t="n">
        <v>0.6369</v>
      </c>
      <c r="I1616" s="2" t="s">
        <v>23</v>
      </c>
      <c r="J1616" s="2" t="s">
        <v>19</v>
      </c>
      <c r="K1616" s="2" t="n">
        <v>2</v>
      </c>
      <c r="L1616" s="2" t="n">
        <v>0</v>
      </c>
      <c r="M1616" s="2" t="n">
        <v>0</v>
      </c>
    </row>
    <row r="1617" customFormat="false" ht="15" hidden="false" customHeight="false" outlineLevel="0" collapsed="false">
      <c r="A1617" s="2" t="s">
        <v>3481</v>
      </c>
      <c r="B1617" s="2" t="s">
        <v>3482</v>
      </c>
      <c r="C1617" s="2" t="n">
        <v>5</v>
      </c>
      <c r="D1617" s="2" t="s">
        <v>40</v>
      </c>
      <c r="E1617" s="2" t="s">
        <v>2867</v>
      </c>
      <c r="F1617" s="3" t="n">
        <v>45816.9944444444</v>
      </c>
      <c r="G1617" s="2" t="s">
        <v>3306</v>
      </c>
      <c r="H1617" s="4" t="n">
        <v>0.4019</v>
      </c>
      <c r="I1617" s="2" t="s">
        <v>23</v>
      </c>
      <c r="J1617" s="2" t="s">
        <v>33</v>
      </c>
      <c r="K1617" s="2" t="n">
        <v>3</v>
      </c>
      <c r="L1617" s="2" t="n">
        <v>0</v>
      </c>
      <c r="M1617" s="2" t="n">
        <v>0</v>
      </c>
    </row>
    <row r="1618" customFormat="false" ht="15" hidden="false" customHeight="false" outlineLevel="0" collapsed="false">
      <c r="A1618" s="2" t="s">
        <v>3483</v>
      </c>
      <c r="B1618" s="2" t="s">
        <v>3484</v>
      </c>
      <c r="C1618" s="2" t="n">
        <v>3</v>
      </c>
      <c r="D1618" s="2" t="s">
        <v>99</v>
      </c>
      <c r="E1618" s="2" t="s">
        <v>2867</v>
      </c>
      <c r="F1618" s="3" t="n">
        <v>45817.0104166667</v>
      </c>
      <c r="G1618" s="2" t="s">
        <v>3306</v>
      </c>
      <c r="H1618" s="4" t="n">
        <v>-0.3089</v>
      </c>
      <c r="I1618" s="2" t="s">
        <v>84</v>
      </c>
      <c r="J1618" s="2" t="s">
        <v>19</v>
      </c>
      <c r="K1618" s="2" t="n">
        <v>7</v>
      </c>
      <c r="L1618" s="2" t="n">
        <v>0</v>
      </c>
      <c r="M1618" s="2" t="n">
        <v>0</v>
      </c>
    </row>
    <row r="1619" customFormat="false" ht="15" hidden="false" customHeight="false" outlineLevel="0" collapsed="false">
      <c r="A1619" s="2" t="s">
        <v>3485</v>
      </c>
      <c r="B1619" s="2" t="s">
        <v>3486</v>
      </c>
      <c r="C1619" s="2" t="n">
        <v>5</v>
      </c>
      <c r="D1619" s="2" t="s">
        <v>127</v>
      </c>
      <c r="E1619" s="2" t="s">
        <v>2867</v>
      </c>
      <c r="F1619" s="3" t="n">
        <v>45817.0555555556</v>
      </c>
      <c r="G1619" s="2" t="s">
        <v>3306</v>
      </c>
      <c r="H1619" s="4" t="n">
        <v>0.9359</v>
      </c>
      <c r="I1619" s="2" t="s">
        <v>23</v>
      </c>
      <c r="J1619" s="2" t="s">
        <v>37</v>
      </c>
      <c r="K1619" s="2" t="n">
        <v>4</v>
      </c>
      <c r="L1619" s="2" t="n">
        <v>0</v>
      </c>
      <c r="M1619" s="2" t="n">
        <v>0</v>
      </c>
    </row>
    <row r="1620" customFormat="false" ht="15" hidden="false" customHeight="false" outlineLevel="0" collapsed="false">
      <c r="A1620" s="2" t="s">
        <v>3487</v>
      </c>
      <c r="B1620" s="2" t="s">
        <v>3488</v>
      </c>
      <c r="C1620" s="2" t="n">
        <v>2</v>
      </c>
      <c r="D1620" s="2" t="s">
        <v>482</v>
      </c>
      <c r="E1620" s="2" t="s">
        <v>2867</v>
      </c>
      <c r="F1620" s="3" t="n">
        <v>45817.1402777778</v>
      </c>
      <c r="G1620" s="2" t="s">
        <v>3306</v>
      </c>
      <c r="H1620" s="4" t="n">
        <v>-0.6808</v>
      </c>
      <c r="I1620" s="2" t="s">
        <v>84</v>
      </c>
      <c r="J1620" s="2" t="s">
        <v>110</v>
      </c>
      <c r="K1620" s="2" t="n">
        <v>0</v>
      </c>
      <c r="L1620" s="2" t="n">
        <v>1</v>
      </c>
      <c r="M1620" s="2" t="n">
        <v>0</v>
      </c>
    </row>
    <row r="1621" customFormat="false" ht="15" hidden="false" customHeight="false" outlineLevel="0" collapsed="false">
      <c r="A1621" s="2" t="s">
        <v>3489</v>
      </c>
      <c r="B1621" s="2" t="s">
        <v>3490</v>
      </c>
      <c r="C1621" s="2" t="n">
        <v>5</v>
      </c>
      <c r="D1621" s="2" t="s">
        <v>127</v>
      </c>
      <c r="E1621" s="2" t="s">
        <v>2867</v>
      </c>
      <c r="F1621" s="3" t="n">
        <v>45817.1548611111</v>
      </c>
      <c r="G1621" s="2" t="s">
        <v>3306</v>
      </c>
      <c r="H1621" s="4" t="n">
        <v>0.9359</v>
      </c>
      <c r="I1621" s="2" t="s">
        <v>23</v>
      </c>
      <c r="J1621" s="2" t="s">
        <v>37</v>
      </c>
      <c r="K1621" s="2" t="n">
        <v>5</v>
      </c>
      <c r="L1621" s="2" t="n">
        <v>0</v>
      </c>
      <c r="M1621" s="2" t="n">
        <v>0</v>
      </c>
    </row>
    <row r="1622" customFormat="false" ht="15" hidden="false" customHeight="false" outlineLevel="0" collapsed="false">
      <c r="A1622" s="2" t="s">
        <v>3491</v>
      </c>
      <c r="B1622" s="2" t="s">
        <v>3492</v>
      </c>
      <c r="C1622" s="2" t="n">
        <v>4</v>
      </c>
      <c r="D1622" s="2" t="s">
        <v>40</v>
      </c>
      <c r="E1622" s="2" t="s">
        <v>2867</v>
      </c>
      <c r="F1622" s="3" t="n">
        <v>45817.5104166667</v>
      </c>
      <c r="G1622" s="2" t="s">
        <v>3306</v>
      </c>
      <c r="H1622" s="4" t="n">
        <v>0.4019</v>
      </c>
      <c r="I1622" s="2" t="s">
        <v>23</v>
      </c>
      <c r="J1622" s="2" t="s">
        <v>33</v>
      </c>
      <c r="K1622" s="2" t="n">
        <v>2</v>
      </c>
      <c r="L1622" s="2" t="n">
        <v>0</v>
      </c>
      <c r="M1622" s="2" t="n">
        <v>0</v>
      </c>
    </row>
    <row r="1623" customFormat="false" ht="15" hidden="false" customHeight="false" outlineLevel="0" collapsed="false">
      <c r="A1623" s="2" t="s">
        <v>3493</v>
      </c>
      <c r="B1623" s="2" t="s">
        <v>3494</v>
      </c>
      <c r="C1623" s="2" t="n">
        <v>1</v>
      </c>
      <c r="D1623" s="2" t="s">
        <v>733</v>
      </c>
      <c r="E1623" s="2" t="s">
        <v>2867</v>
      </c>
      <c r="F1623" s="3" t="n">
        <v>45817.6770833333</v>
      </c>
      <c r="G1623" s="2" t="s">
        <v>3306</v>
      </c>
      <c r="H1623" s="4" t="n">
        <v>-0.2846</v>
      </c>
      <c r="I1623" s="2" t="s">
        <v>84</v>
      </c>
      <c r="J1623" s="2" t="s">
        <v>37</v>
      </c>
      <c r="K1623" s="2" t="n">
        <v>4</v>
      </c>
      <c r="L1623" s="2" t="n">
        <v>1</v>
      </c>
      <c r="M1623" s="2" t="n">
        <v>0</v>
      </c>
    </row>
    <row r="1624" customFormat="false" ht="15" hidden="false" customHeight="false" outlineLevel="0" collapsed="false">
      <c r="A1624" s="2" t="s">
        <v>3495</v>
      </c>
      <c r="B1624" s="2" t="s">
        <v>3496</v>
      </c>
      <c r="C1624" s="2" t="n">
        <v>4</v>
      </c>
      <c r="D1624" s="2" t="s">
        <v>1825</v>
      </c>
      <c r="E1624" s="2" t="s">
        <v>2867</v>
      </c>
      <c r="F1624" s="3" t="n">
        <v>45817.7458333333</v>
      </c>
      <c r="G1624" s="2" t="s">
        <v>3306</v>
      </c>
      <c r="H1624" s="4" t="n">
        <v>-0.6834</v>
      </c>
      <c r="I1624" s="2" t="s">
        <v>84</v>
      </c>
      <c r="J1624" s="2" t="s">
        <v>19</v>
      </c>
      <c r="K1624" s="2" t="n">
        <v>1</v>
      </c>
      <c r="L1624" s="2" t="n">
        <v>0</v>
      </c>
      <c r="M1624" s="2" t="n">
        <v>0</v>
      </c>
    </row>
    <row r="1625" customFormat="false" ht="15" hidden="false" customHeight="false" outlineLevel="0" collapsed="false">
      <c r="A1625" s="2" t="s">
        <v>3497</v>
      </c>
      <c r="B1625" s="2" t="s">
        <v>3498</v>
      </c>
      <c r="C1625" s="2" t="n">
        <v>4</v>
      </c>
      <c r="D1625" s="2" t="s">
        <v>87</v>
      </c>
      <c r="E1625" s="2" t="s">
        <v>2867</v>
      </c>
      <c r="F1625" s="3" t="n">
        <v>45817.7854166667</v>
      </c>
      <c r="G1625" s="2" t="s">
        <v>3306</v>
      </c>
      <c r="H1625" s="4" t="n">
        <v>0</v>
      </c>
      <c r="I1625" s="2" t="s">
        <v>18</v>
      </c>
      <c r="J1625" s="2" t="s">
        <v>19</v>
      </c>
      <c r="K1625" s="2" t="n">
        <v>2</v>
      </c>
      <c r="L1625" s="2" t="n">
        <v>0</v>
      </c>
      <c r="M1625" s="2" t="n">
        <v>0</v>
      </c>
    </row>
    <row r="1626" customFormat="false" ht="15" hidden="false" customHeight="false" outlineLevel="0" collapsed="false">
      <c r="A1626" s="2" t="s">
        <v>3499</v>
      </c>
      <c r="B1626" s="2" t="s">
        <v>3500</v>
      </c>
      <c r="C1626" s="2" t="n">
        <v>4</v>
      </c>
      <c r="D1626" s="2" t="s">
        <v>62</v>
      </c>
      <c r="E1626" s="2" t="s">
        <v>2867</v>
      </c>
      <c r="F1626" s="3" t="n">
        <v>45817.8944444444</v>
      </c>
      <c r="G1626" s="2" t="s">
        <v>3306</v>
      </c>
      <c r="H1626" s="4" t="n">
        <v>0.7088</v>
      </c>
      <c r="I1626" s="2" t="s">
        <v>23</v>
      </c>
      <c r="J1626" s="2" t="s">
        <v>19</v>
      </c>
      <c r="K1626" s="2" t="n">
        <v>3</v>
      </c>
      <c r="L1626" s="2" t="n">
        <v>0</v>
      </c>
      <c r="M1626" s="2" t="n">
        <v>0</v>
      </c>
    </row>
    <row r="1627" customFormat="false" ht="15" hidden="false" customHeight="false" outlineLevel="0" collapsed="false">
      <c r="A1627" s="2" t="s">
        <v>3501</v>
      </c>
      <c r="B1627" s="2" t="s">
        <v>3502</v>
      </c>
      <c r="C1627" s="2" t="n">
        <v>4</v>
      </c>
      <c r="D1627" s="2" t="s">
        <v>47</v>
      </c>
      <c r="E1627" s="2" t="s">
        <v>2867</v>
      </c>
      <c r="F1627" s="3" t="n">
        <v>45818.0416666667</v>
      </c>
      <c r="G1627" s="2" t="s">
        <v>3306</v>
      </c>
      <c r="H1627" s="4" t="n">
        <v>0.3089</v>
      </c>
      <c r="I1627" s="2" t="s">
        <v>23</v>
      </c>
      <c r="J1627" s="2" t="s">
        <v>19</v>
      </c>
      <c r="K1627" s="2" t="n">
        <v>6</v>
      </c>
      <c r="L1627" s="2" t="n">
        <v>0</v>
      </c>
      <c r="M1627" s="2" t="n">
        <v>0</v>
      </c>
    </row>
    <row r="1628" customFormat="false" ht="15" hidden="false" customHeight="false" outlineLevel="0" collapsed="false">
      <c r="A1628" s="2" t="s">
        <v>3503</v>
      </c>
      <c r="B1628" s="2" t="s">
        <v>3504</v>
      </c>
      <c r="C1628" s="2" t="n">
        <v>1</v>
      </c>
      <c r="D1628" s="2" t="s">
        <v>3075</v>
      </c>
      <c r="E1628" s="2" t="s">
        <v>2867</v>
      </c>
      <c r="F1628" s="3" t="n">
        <v>45818.2694444444</v>
      </c>
      <c r="G1628" s="2" t="s">
        <v>3306</v>
      </c>
      <c r="H1628" s="4" t="n">
        <v>0.2263</v>
      </c>
      <c r="I1628" s="2" t="s">
        <v>23</v>
      </c>
      <c r="J1628" s="2" t="s">
        <v>110</v>
      </c>
      <c r="K1628" s="2" t="n">
        <v>1</v>
      </c>
      <c r="L1628" s="2" t="n">
        <v>0</v>
      </c>
      <c r="M1628" s="2" t="n">
        <v>0</v>
      </c>
    </row>
    <row r="1629" customFormat="false" ht="15" hidden="false" customHeight="false" outlineLevel="0" collapsed="false">
      <c r="A1629" s="2" t="s">
        <v>3505</v>
      </c>
      <c r="B1629" s="2" t="s">
        <v>3506</v>
      </c>
      <c r="C1629" s="2" t="n">
        <v>5</v>
      </c>
      <c r="D1629" s="2" t="s">
        <v>15</v>
      </c>
      <c r="E1629" s="2" t="s">
        <v>2867</v>
      </c>
      <c r="F1629" s="3" t="n">
        <v>45818.2847222222</v>
      </c>
      <c r="G1629" s="2" t="s">
        <v>3306</v>
      </c>
      <c r="H1629" s="4" t="n">
        <v>0</v>
      </c>
      <c r="I1629" s="2" t="s">
        <v>18</v>
      </c>
      <c r="J1629" s="2" t="s">
        <v>19</v>
      </c>
      <c r="K1629" s="2" t="n">
        <v>1</v>
      </c>
      <c r="L1629" s="2" t="n">
        <v>0</v>
      </c>
      <c r="M1629" s="2" t="n">
        <v>0</v>
      </c>
    </row>
    <row r="1630" customFormat="false" ht="15" hidden="false" customHeight="false" outlineLevel="0" collapsed="false">
      <c r="A1630" s="2" t="s">
        <v>3507</v>
      </c>
      <c r="B1630" s="2" t="s">
        <v>3508</v>
      </c>
      <c r="C1630" s="2" t="n">
        <v>4</v>
      </c>
      <c r="D1630" s="2" t="s">
        <v>90</v>
      </c>
      <c r="E1630" s="2" t="s">
        <v>2867</v>
      </c>
      <c r="F1630" s="3" t="n">
        <v>45818.2972222222</v>
      </c>
      <c r="G1630" s="2" t="s">
        <v>3306</v>
      </c>
      <c r="H1630" s="4" t="n">
        <v>0.6249</v>
      </c>
      <c r="I1630" s="2" t="s">
        <v>23</v>
      </c>
      <c r="J1630" s="2" t="s">
        <v>37</v>
      </c>
      <c r="K1630" s="2" t="n">
        <v>4</v>
      </c>
      <c r="L1630" s="2" t="n">
        <v>0</v>
      </c>
      <c r="M1630" s="2" t="n">
        <v>0</v>
      </c>
    </row>
    <row r="1631" customFormat="false" ht="15" hidden="false" customHeight="false" outlineLevel="0" collapsed="false">
      <c r="A1631" s="2" t="s">
        <v>3509</v>
      </c>
      <c r="B1631" s="2" t="s">
        <v>3510</v>
      </c>
      <c r="C1631" s="2" t="n">
        <v>2</v>
      </c>
      <c r="D1631" s="2" t="s">
        <v>234</v>
      </c>
      <c r="E1631" s="2" t="s">
        <v>2867</v>
      </c>
      <c r="F1631" s="3" t="n">
        <v>45818.3020833333</v>
      </c>
      <c r="G1631" s="2" t="s">
        <v>3306</v>
      </c>
      <c r="H1631" s="4" t="n">
        <v>0</v>
      </c>
      <c r="I1631" s="2" t="s">
        <v>18</v>
      </c>
      <c r="J1631" s="2" t="s">
        <v>165</v>
      </c>
      <c r="K1631" s="2" t="n">
        <v>0</v>
      </c>
      <c r="L1631" s="2" t="n">
        <v>1</v>
      </c>
      <c r="M1631" s="2" t="n">
        <v>0</v>
      </c>
    </row>
    <row r="1632" customFormat="false" ht="15" hidden="false" customHeight="false" outlineLevel="0" collapsed="false">
      <c r="A1632" s="2" t="s">
        <v>3511</v>
      </c>
      <c r="B1632" s="2" t="s">
        <v>3512</v>
      </c>
      <c r="C1632" s="2" t="n">
        <v>3</v>
      </c>
      <c r="D1632" s="2" t="s">
        <v>87</v>
      </c>
      <c r="E1632" s="2" t="s">
        <v>2867</v>
      </c>
      <c r="F1632" s="3" t="n">
        <v>45818.3041666667</v>
      </c>
      <c r="G1632" s="2" t="s">
        <v>3306</v>
      </c>
      <c r="H1632" s="4" t="n">
        <v>0</v>
      </c>
      <c r="I1632" s="2" t="s">
        <v>18</v>
      </c>
      <c r="J1632" s="2" t="s">
        <v>19</v>
      </c>
      <c r="K1632" s="2" t="n">
        <v>5</v>
      </c>
      <c r="L1632" s="2" t="n">
        <v>0</v>
      </c>
      <c r="M1632" s="2" t="n">
        <v>0</v>
      </c>
    </row>
    <row r="1633" customFormat="false" ht="15" hidden="false" customHeight="false" outlineLevel="0" collapsed="false">
      <c r="A1633" s="2" t="s">
        <v>3513</v>
      </c>
      <c r="B1633" s="2" t="s">
        <v>3514</v>
      </c>
      <c r="C1633" s="2" t="n">
        <v>5</v>
      </c>
      <c r="D1633" s="2" t="s">
        <v>52</v>
      </c>
      <c r="E1633" s="2" t="s">
        <v>2867</v>
      </c>
      <c r="F1633" s="3" t="n">
        <v>45818.4868055556</v>
      </c>
      <c r="G1633" s="2" t="s">
        <v>3306</v>
      </c>
      <c r="H1633" s="4" t="n">
        <v>0.6369</v>
      </c>
      <c r="I1633" s="2" t="s">
        <v>23</v>
      </c>
      <c r="J1633" s="2" t="s">
        <v>19</v>
      </c>
      <c r="K1633" s="2" t="n">
        <v>1</v>
      </c>
      <c r="L1633" s="2" t="n">
        <v>0</v>
      </c>
      <c r="M1633" s="2" t="n">
        <v>0</v>
      </c>
    </row>
    <row r="1634" customFormat="false" ht="15" hidden="false" customHeight="false" outlineLevel="0" collapsed="false">
      <c r="A1634" s="2" t="s">
        <v>3515</v>
      </c>
      <c r="B1634" s="2" t="s">
        <v>3516</v>
      </c>
      <c r="C1634" s="2" t="n">
        <v>3</v>
      </c>
      <c r="D1634" s="2" t="s">
        <v>3517</v>
      </c>
      <c r="E1634" s="2" t="s">
        <v>2867</v>
      </c>
      <c r="F1634" s="3" t="n">
        <v>45818.5090277778</v>
      </c>
      <c r="G1634" s="2" t="s">
        <v>3306</v>
      </c>
      <c r="H1634" s="4" t="n">
        <v>0.5859</v>
      </c>
      <c r="I1634" s="2" t="s">
        <v>23</v>
      </c>
      <c r="J1634" s="2" t="s">
        <v>37</v>
      </c>
      <c r="K1634" s="2" t="n">
        <v>5</v>
      </c>
      <c r="L1634" s="2" t="n">
        <v>0</v>
      </c>
      <c r="M1634" s="2" t="n">
        <v>0</v>
      </c>
    </row>
    <row r="1635" customFormat="false" ht="15" hidden="false" customHeight="false" outlineLevel="0" collapsed="false">
      <c r="A1635" s="2" t="s">
        <v>3518</v>
      </c>
      <c r="B1635" s="2" t="s">
        <v>3519</v>
      </c>
      <c r="C1635" s="2" t="n">
        <v>3</v>
      </c>
      <c r="D1635" s="2" t="s">
        <v>168</v>
      </c>
      <c r="E1635" s="2" t="s">
        <v>2867</v>
      </c>
      <c r="F1635" s="3" t="n">
        <v>45818.6263888889</v>
      </c>
      <c r="G1635" s="2" t="s">
        <v>3306</v>
      </c>
      <c r="H1635" s="4" t="n">
        <v>-0.1027</v>
      </c>
      <c r="I1635" s="2" t="s">
        <v>84</v>
      </c>
      <c r="J1635" s="2" t="s">
        <v>33</v>
      </c>
      <c r="K1635" s="2" t="n">
        <v>2</v>
      </c>
      <c r="L1635" s="2" t="n">
        <v>0</v>
      </c>
      <c r="M1635" s="2" t="n">
        <v>0</v>
      </c>
    </row>
    <row r="1636" customFormat="false" ht="15" hidden="false" customHeight="false" outlineLevel="0" collapsed="false">
      <c r="A1636" s="2" t="s">
        <v>3520</v>
      </c>
      <c r="B1636" s="2" t="s">
        <v>3521</v>
      </c>
      <c r="C1636" s="2" t="n">
        <v>5</v>
      </c>
      <c r="D1636" s="2" t="s">
        <v>251</v>
      </c>
      <c r="E1636" s="2" t="s">
        <v>2867</v>
      </c>
      <c r="F1636" s="3" t="n">
        <v>45818.6611111111</v>
      </c>
      <c r="G1636" s="2" t="s">
        <v>3306</v>
      </c>
      <c r="H1636" s="4" t="n">
        <v>0.8651</v>
      </c>
      <c r="I1636" s="2" t="s">
        <v>23</v>
      </c>
      <c r="J1636" s="2" t="s">
        <v>19</v>
      </c>
      <c r="K1636" s="2" t="n">
        <v>4</v>
      </c>
      <c r="L1636" s="2" t="n">
        <v>0</v>
      </c>
      <c r="M1636" s="2" t="n">
        <v>0</v>
      </c>
    </row>
    <row r="1637" customFormat="false" ht="15" hidden="false" customHeight="false" outlineLevel="0" collapsed="false">
      <c r="A1637" s="2" t="s">
        <v>3522</v>
      </c>
      <c r="B1637" s="2" t="s">
        <v>3523</v>
      </c>
      <c r="C1637" s="2" t="n">
        <v>4</v>
      </c>
      <c r="D1637" s="2" t="s">
        <v>40</v>
      </c>
      <c r="E1637" s="2" t="s">
        <v>2867</v>
      </c>
      <c r="F1637" s="3" t="n">
        <v>45818.6847222222</v>
      </c>
      <c r="G1637" s="2" t="s">
        <v>3306</v>
      </c>
      <c r="H1637" s="4" t="n">
        <v>0.4019</v>
      </c>
      <c r="I1637" s="2" t="s">
        <v>23</v>
      </c>
      <c r="J1637" s="2" t="s">
        <v>33</v>
      </c>
      <c r="K1637" s="2" t="n">
        <v>3</v>
      </c>
      <c r="L1637" s="2" t="n">
        <v>0</v>
      </c>
      <c r="M1637" s="2" t="n">
        <v>0</v>
      </c>
    </row>
    <row r="1638" customFormat="false" ht="15" hidden="false" customHeight="false" outlineLevel="0" collapsed="false">
      <c r="A1638" s="2" t="s">
        <v>3524</v>
      </c>
      <c r="B1638" s="2" t="s">
        <v>3525</v>
      </c>
      <c r="C1638" s="2" t="n">
        <v>1</v>
      </c>
      <c r="D1638" s="2" t="s">
        <v>733</v>
      </c>
      <c r="E1638" s="2" t="s">
        <v>2867</v>
      </c>
      <c r="F1638" s="3" t="n">
        <v>45818.8694444444</v>
      </c>
      <c r="G1638" s="2" t="s">
        <v>3306</v>
      </c>
      <c r="H1638" s="4" t="n">
        <v>-0.2846</v>
      </c>
      <c r="I1638" s="2" t="s">
        <v>84</v>
      </c>
      <c r="J1638" s="2" t="s">
        <v>37</v>
      </c>
      <c r="K1638" s="2" t="n">
        <v>3</v>
      </c>
      <c r="L1638" s="2" t="n">
        <v>0</v>
      </c>
      <c r="M1638" s="2" t="n">
        <v>0</v>
      </c>
    </row>
    <row r="1639" customFormat="false" ht="15" hidden="false" customHeight="false" outlineLevel="0" collapsed="false">
      <c r="A1639" s="2" t="s">
        <v>3526</v>
      </c>
      <c r="B1639" s="2" t="s">
        <v>3527</v>
      </c>
      <c r="C1639" s="2" t="n">
        <v>5</v>
      </c>
      <c r="D1639" s="2" t="s">
        <v>90</v>
      </c>
      <c r="E1639" s="2" t="s">
        <v>2867</v>
      </c>
      <c r="F1639" s="3" t="n">
        <v>45818.9694444445</v>
      </c>
      <c r="G1639" s="2" t="s">
        <v>3306</v>
      </c>
      <c r="H1639" s="4" t="n">
        <v>0.6249</v>
      </c>
      <c r="I1639" s="2" t="s">
        <v>23</v>
      </c>
      <c r="J1639" s="2" t="s">
        <v>37</v>
      </c>
      <c r="K1639" s="2" t="n">
        <v>0</v>
      </c>
      <c r="L1639" s="2" t="n">
        <v>0</v>
      </c>
      <c r="M1639" s="2" t="n">
        <v>0</v>
      </c>
    </row>
    <row r="1640" customFormat="false" ht="15" hidden="false" customHeight="false" outlineLevel="0" collapsed="false">
      <c r="A1640" s="2" t="s">
        <v>3528</v>
      </c>
      <c r="B1640" s="2" t="s">
        <v>2298</v>
      </c>
      <c r="C1640" s="2" t="n">
        <v>5</v>
      </c>
      <c r="D1640" s="2" t="s">
        <v>90</v>
      </c>
      <c r="E1640" s="2" t="s">
        <v>2867</v>
      </c>
      <c r="F1640" s="3" t="n">
        <v>45819.0715277778</v>
      </c>
      <c r="G1640" s="2" t="s">
        <v>3306</v>
      </c>
      <c r="H1640" s="4" t="n">
        <v>0.6249</v>
      </c>
      <c r="I1640" s="2" t="s">
        <v>23</v>
      </c>
      <c r="J1640" s="2" t="s">
        <v>37</v>
      </c>
      <c r="K1640" s="2" t="n">
        <v>0</v>
      </c>
      <c r="L1640" s="2" t="n">
        <v>0</v>
      </c>
      <c r="M1640" s="2" t="n">
        <v>0</v>
      </c>
    </row>
    <row r="1641" customFormat="false" ht="15" hidden="false" customHeight="false" outlineLevel="0" collapsed="false">
      <c r="A1641" s="2" t="s">
        <v>3529</v>
      </c>
      <c r="B1641" s="2" t="s">
        <v>3530</v>
      </c>
      <c r="C1641" s="2" t="n">
        <v>5</v>
      </c>
      <c r="D1641" s="2" t="s">
        <v>52</v>
      </c>
      <c r="E1641" s="2" t="s">
        <v>2867</v>
      </c>
      <c r="F1641" s="3" t="n">
        <v>45819.1263888889</v>
      </c>
      <c r="G1641" s="2" t="s">
        <v>3306</v>
      </c>
      <c r="H1641" s="4" t="n">
        <v>0.6369</v>
      </c>
      <c r="I1641" s="2" t="s">
        <v>23</v>
      </c>
      <c r="J1641" s="2" t="s">
        <v>19</v>
      </c>
      <c r="K1641" s="2" t="n">
        <v>0</v>
      </c>
      <c r="L1641" s="2" t="n">
        <v>0</v>
      </c>
      <c r="M1641" s="2" t="n">
        <v>0</v>
      </c>
    </row>
    <row r="1642" customFormat="false" ht="15" hidden="false" customHeight="false" outlineLevel="0" collapsed="false">
      <c r="A1642" s="2" t="s">
        <v>3531</v>
      </c>
      <c r="B1642" s="2" t="s">
        <v>3532</v>
      </c>
      <c r="C1642" s="2" t="n">
        <v>5</v>
      </c>
      <c r="D1642" s="2" t="s">
        <v>40</v>
      </c>
      <c r="E1642" s="2" t="s">
        <v>2867</v>
      </c>
      <c r="F1642" s="3" t="n">
        <v>45819.1458333333</v>
      </c>
      <c r="G1642" s="2" t="s">
        <v>3306</v>
      </c>
      <c r="H1642" s="4" t="n">
        <v>0.4019</v>
      </c>
      <c r="I1642" s="2" t="s">
        <v>23</v>
      </c>
      <c r="J1642" s="2" t="s">
        <v>33</v>
      </c>
      <c r="K1642" s="2" t="n">
        <v>7</v>
      </c>
      <c r="L1642" s="2" t="n">
        <v>0</v>
      </c>
      <c r="M1642" s="2" t="n">
        <v>0</v>
      </c>
    </row>
    <row r="1643" customFormat="false" ht="15" hidden="false" customHeight="false" outlineLevel="0" collapsed="false">
      <c r="A1643" s="2" t="s">
        <v>3533</v>
      </c>
      <c r="B1643" s="2" t="s">
        <v>3534</v>
      </c>
      <c r="C1643" s="2" t="n">
        <v>4</v>
      </c>
      <c r="D1643" s="2" t="s">
        <v>40</v>
      </c>
      <c r="E1643" s="2" t="s">
        <v>2867</v>
      </c>
      <c r="F1643" s="3" t="n">
        <v>45819.2805555556</v>
      </c>
      <c r="G1643" s="2" t="s">
        <v>3306</v>
      </c>
      <c r="H1643" s="4" t="n">
        <v>0.4019</v>
      </c>
      <c r="I1643" s="2" t="s">
        <v>23</v>
      </c>
      <c r="J1643" s="2" t="s">
        <v>33</v>
      </c>
      <c r="K1643" s="2" t="n">
        <v>1</v>
      </c>
      <c r="L1643" s="2" t="n">
        <v>0</v>
      </c>
      <c r="M1643" s="2" t="n">
        <v>0</v>
      </c>
    </row>
    <row r="1644" customFormat="false" ht="15" hidden="false" customHeight="false" outlineLevel="0" collapsed="false">
      <c r="A1644" s="2" t="s">
        <v>3535</v>
      </c>
      <c r="B1644" s="2" t="s">
        <v>3536</v>
      </c>
      <c r="C1644" s="2" t="n">
        <v>4</v>
      </c>
      <c r="D1644" s="2" t="s">
        <v>36</v>
      </c>
      <c r="E1644" s="2" t="s">
        <v>2867</v>
      </c>
      <c r="F1644" s="3" t="n">
        <v>45819.3479166667</v>
      </c>
      <c r="G1644" s="2" t="s">
        <v>3306</v>
      </c>
      <c r="H1644" s="4" t="n">
        <v>0.4404</v>
      </c>
      <c r="I1644" s="2" t="s">
        <v>23</v>
      </c>
      <c r="J1644" s="2" t="s">
        <v>37</v>
      </c>
      <c r="K1644" s="2" t="n">
        <v>8</v>
      </c>
      <c r="L1644" s="2" t="n">
        <v>0</v>
      </c>
      <c r="M1644" s="2" t="n">
        <v>0</v>
      </c>
    </row>
    <row r="1645" customFormat="false" ht="15" hidden="false" customHeight="false" outlineLevel="0" collapsed="false">
      <c r="A1645" s="2" t="s">
        <v>3537</v>
      </c>
      <c r="B1645" s="2" t="s">
        <v>3538</v>
      </c>
      <c r="C1645" s="2" t="n">
        <v>4</v>
      </c>
      <c r="D1645" s="2" t="s">
        <v>52</v>
      </c>
      <c r="E1645" s="2" t="s">
        <v>2867</v>
      </c>
      <c r="F1645" s="3" t="n">
        <v>45819.4465277778</v>
      </c>
      <c r="G1645" s="2" t="s">
        <v>3306</v>
      </c>
      <c r="H1645" s="4" t="n">
        <v>0.6369</v>
      </c>
      <c r="I1645" s="2" t="s">
        <v>23</v>
      </c>
      <c r="J1645" s="2" t="s">
        <v>19</v>
      </c>
      <c r="K1645" s="2" t="n">
        <v>8</v>
      </c>
      <c r="L1645" s="2" t="n">
        <v>0</v>
      </c>
      <c r="M1645" s="2" t="n">
        <v>0</v>
      </c>
    </row>
    <row r="1646" customFormat="false" ht="15" hidden="false" customHeight="false" outlineLevel="0" collapsed="false">
      <c r="A1646" s="2" t="s">
        <v>3539</v>
      </c>
      <c r="B1646" s="2" t="s">
        <v>3540</v>
      </c>
      <c r="C1646" s="2" t="n">
        <v>5</v>
      </c>
      <c r="D1646" s="2" t="s">
        <v>1387</v>
      </c>
      <c r="E1646" s="2" t="s">
        <v>2867</v>
      </c>
      <c r="F1646" s="3" t="n">
        <v>45819.4506944444</v>
      </c>
      <c r="G1646" s="2" t="s">
        <v>3306</v>
      </c>
      <c r="H1646" s="4" t="n">
        <v>0.9359</v>
      </c>
      <c r="I1646" s="2" t="s">
        <v>23</v>
      </c>
      <c r="J1646" s="2" t="s">
        <v>37</v>
      </c>
      <c r="K1646" s="2" t="n">
        <v>6</v>
      </c>
      <c r="L1646" s="2" t="n">
        <v>0</v>
      </c>
      <c r="M1646" s="2" t="n">
        <v>0</v>
      </c>
    </row>
    <row r="1647" customFormat="false" ht="15" hidden="false" customHeight="false" outlineLevel="0" collapsed="false">
      <c r="A1647" s="2" t="s">
        <v>3541</v>
      </c>
      <c r="B1647" s="2" t="s">
        <v>3542</v>
      </c>
      <c r="C1647" s="2" t="n">
        <v>3</v>
      </c>
      <c r="D1647" s="2" t="s">
        <v>3543</v>
      </c>
      <c r="E1647" s="2" t="s">
        <v>2867</v>
      </c>
      <c r="F1647" s="3" t="n">
        <v>45819.5548611111</v>
      </c>
      <c r="G1647" s="2" t="s">
        <v>3306</v>
      </c>
      <c r="H1647" s="4" t="n">
        <v>0.2382</v>
      </c>
      <c r="I1647" s="2" t="s">
        <v>23</v>
      </c>
      <c r="J1647" s="2" t="s">
        <v>37</v>
      </c>
      <c r="K1647" s="2" t="n">
        <v>6</v>
      </c>
      <c r="L1647" s="2" t="n">
        <v>0</v>
      </c>
      <c r="M1647" s="2" t="n">
        <v>0</v>
      </c>
    </row>
    <row r="1648" customFormat="false" ht="15" hidden="false" customHeight="false" outlineLevel="0" collapsed="false">
      <c r="A1648" s="2" t="s">
        <v>3544</v>
      </c>
      <c r="B1648" s="2" t="s">
        <v>3545</v>
      </c>
      <c r="C1648" s="2" t="n">
        <v>5</v>
      </c>
      <c r="D1648" s="2" t="s">
        <v>47</v>
      </c>
      <c r="E1648" s="2" t="s">
        <v>2867</v>
      </c>
      <c r="F1648" s="3" t="n">
        <v>45819.5972222222</v>
      </c>
      <c r="G1648" s="2" t="s">
        <v>3306</v>
      </c>
      <c r="H1648" s="4" t="n">
        <v>0.3089</v>
      </c>
      <c r="I1648" s="2" t="s">
        <v>23</v>
      </c>
      <c r="J1648" s="2" t="s">
        <v>19</v>
      </c>
      <c r="K1648" s="2" t="n">
        <v>1</v>
      </c>
      <c r="L1648" s="2" t="n">
        <v>0</v>
      </c>
      <c r="M1648" s="2" t="n">
        <v>0</v>
      </c>
    </row>
    <row r="1649" customFormat="false" ht="15" hidden="false" customHeight="false" outlineLevel="0" collapsed="false">
      <c r="A1649" s="2" t="s">
        <v>3546</v>
      </c>
      <c r="B1649" s="2" t="s">
        <v>3547</v>
      </c>
      <c r="C1649" s="2" t="n">
        <v>4</v>
      </c>
      <c r="D1649" s="2" t="s">
        <v>52</v>
      </c>
      <c r="E1649" s="2" t="s">
        <v>2867</v>
      </c>
      <c r="F1649" s="3" t="n">
        <v>45819.6097222222</v>
      </c>
      <c r="G1649" s="2" t="s">
        <v>3306</v>
      </c>
      <c r="H1649" s="4" t="n">
        <v>0.6369</v>
      </c>
      <c r="I1649" s="2" t="s">
        <v>23</v>
      </c>
      <c r="J1649" s="2" t="s">
        <v>19</v>
      </c>
      <c r="K1649" s="2" t="n">
        <v>2</v>
      </c>
      <c r="L1649" s="2" t="n">
        <v>0</v>
      </c>
      <c r="M1649" s="2" t="n">
        <v>0</v>
      </c>
    </row>
    <row r="1650" customFormat="false" ht="15" hidden="false" customHeight="false" outlineLevel="0" collapsed="false">
      <c r="A1650" s="2" t="s">
        <v>3548</v>
      </c>
      <c r="B1650" s="2" t="s">
        <v>3549</v>
      </c>
      <c r="C1650" s="2" t="n">
        <v>4</v>
      </c>
      <c r="D1650" s="2" t="s">
        <v>15</v>
      </c>
      <c r="E1650" s="2" t="s">
        <v>2867</v>
      </c>
      <c r="F1650" s="3" t="n">
        <v>45819.6243055556</v>
      </c>
      <c r="G1650" s="2" t="s">
        <v>3306</v>
      </c>
      <c r="H1650" s="4" t="n">
        <v>0</v>
      </c>
      <c r="I1650" s="2" t="s">
        <v>18</v>
      </c>
      <c r="J1650" s="2" t="s">
        <v>19</v>
      </c>
      <c r="K1650" s="2" t="n">
        <v>6</v>
      </c>
      <c r="L1650" s="2" t="n">
        <v>0</v>
      </c>
      <c r="M1650" s="2" t="n">
        <v>0</v>
      </c>
    </row>
    <row r="1651" customFormat="false" ht="15" hidden="false" customHeight="false" outlineLevel="0" collapsed="false">
      <c r="A1651" s="2" t="s">
        <v>3550</v>
      </c>
      <c r="B1651" s="2" t="s">
        <v>3551</v>
      </c>
      <c r="C1651" s="2" t="n">
        <v>5</v>
      </c>
      <c r="D1651" s="2" t="s">
        <v>29</v>
      </c>
      <c r="E1651" s="2" t="s">
        <v>2867</v>
      </c>
      <c r="F1651" s="3" t="n">
        <v>45819.6625</v>
      </c>
      <c r="G1651" s="2" t="s">
        <v>3306</v>
      </c>
      <c r="H1651" s="4" t="n">
        <v>0.6369</v>
      </c>
      <c r="I1651" s="2" t="s">
        <v>23</v>
      </c>
      <c r="J1651" s="2" t="s">
        <v>19</v>
      </c>
      <c r="K1651" s="2" t="n">
        <v>5</v>
      </c>
      <c r="L1651" s="2" t="n">
        <v>0</v>
      </c>
      <c r="M1651" s="2" t="n">
        <v>0</v>
      </c>
    </row>
    <row r="1652" customFormat="false" ht="15" hidden="false" customHeight="false" outlineLevel="0" collapsed="false">
      <c r="A1652" s="2" t="s">
        <v>3552</v>
      </c>
      <c r="B1652" s="2" t="s">
        <v>3553</v>
      </c>
      <c r="C1652" s="2" t="n">
        <v>5</v>
      </c>
      <c r="D1652" s="2" t="s">
        <v>52</v>
      </c>
      <c r="E1652" s="2" t="s">
        <v>2867</v>
      </c>
      <c r="F1652" s="3" t="n">
        <v>45819.6694444444</v>
      </c>
      <c r="G1652" s="2" t="s">
        <v>3306</v>
      </c>
      <c r="H1652" s="4" t="n">
        <v>0.6369</v>
      </c>
      <c r="I1652" s="2" t="s">
        <v>23</v>
      </c>
      <c r="J1652" s="2" t="s">
        <v>19</v>
      </c>
      <c r="K1652" s="2" t="n">
        <v>2</v>
      </c>
      <c r="L1652" s="2" t="n">
        <v>0</v>
      </c>
      <c r="M1652" s="2" t="n">
        <v>0</v>
      </c>
    </row>
    <row r="1653" customFormat="false" ht="15" hidden="false" customHeight="false" outlineLevel="0" collapsed="false">
      <c r="A1653" s="2" t="s">
        <v>3554</v>
      </c>
      <c r="B1653" s="2" t="s">
        <v>3555</v>
      </c>
      <c r="C1653" s="2" t="n">
        <v>5</v>
      </c>
      <c r="D1653" s="2" t="s">
        <v>96</v>
      </c>
      <c r="E1653" s="2" t="s">
        <v>2867</v>
      </c>
      <c r="F1653" s="3" t="n">
        <v>45819.8444444445</v>
      </c>
      <c r="G1653" s="2" t="s">
        <v>3306</v>
      </c>
      <c r="H1653" s="4" t="n">
        <v>0.6369</v>
      </c>
      <c r="I1653" s="2" t="s">
        <v>23</v>
      </c>
      <c r="J1653" s="2" t="s">
        <v>19</v>
      </c>
      <c r="K1653" s="2" t="n">
        <v>4</v>
      </c>
      <c r="L1653" s="2" t="n">
        <v>0</v>
      </c>
      <c r="M1653" s="2" t="n">
        <v>0</v>
      </c>
    </row>
    <row r="1654" customFormat="false" ht="15" hidden="false" customHeight="false" outlineLevel="0" collapsed="false">
      <c r="A1654" s="2" t="s">
        <v>3556</v>
      </c>
      <c r="B1654" s="2" t="s">
        <v>3557</v>
      </c>
      <c r="C1654" s="2" t="n">
        <v>5</v>
      </c>
      <c r="D1654" s="2" t="s">
        <v>127</v>
      </c>
      <c r="E1654" s="2" t="s">
        <v>2867</v>
      </c>
      <c r="F1654" s="3" t="n">
        <v>45819.85</v>
      </c>
      <c r="G1654" s="2" t="s">
        <v>3306</v>
      </c>
      <c r="H1654" s="4" t="n">
        <v>0.9359</v>
      </c>
      <c r="I1654" s="2" t="s">
        <v>23</v>
      </c>
      <c r="J1654" s="2" t="s">
        <v>37</v>
      </c>
      <c r="K1654" s="2" t="n">
        <v>2</v>
      </c>
      <c r="L1654" s="2" t="n">
        <v>0</v>
      </c>
      <c r="M1654" s="2" t="n">
        <v>0</v>
      </c>
    </row>
    <row r="1655" customFormat="false" ht="15" hidden="false" customHeight="false" outlineLevel="0" collapsed="false">
      <c r="A1655" s="2" t="s">
        <v>3558</v>
      </c>
      <c r="B1655" s="2" t="s">
        <v>3559</v>
      </c>
      <c r="C1655" s="2" t="n">
        <v>4</v>
      </c>
      <c r="D1655" s="2" t="s">
        <v>87</v>
      </c>
      <c r="E1655" s="2" t="s">
        <v>2867</v>
      </c>
      <c r="F1655" s="3" t="n">
        <v>45819.9256944444</v>
      </c>
      <c r="G1655" s="2" t="s">
        <v>3306</v>
      </c>
      <c r="H1655" s="4" t="n">
        <v>0</v>
      </c>
      <c r="I1655" s="2" t="s">
        <v>18</v>
      </c>
      <c r="J1655" s="2" t="s">
        <v>19</v>
      </c>
      <c r="K1655" s="2" t="n">
        <v>3</v>
      </c>
      <c r="L1655" s="2" t="n">
        <v>0</v>
      </c>
      <c r="M1655" s="2" t="n">
        <v>0</v>
      </c>
    </row>
    <row r="1656" customFormat="false" ht="15" hidden="false" customHeight="false" outlineLevel="0" collapsed="false">
      <c r="A1656" s="2" t="s">
        <v>3560</v>
      </c>
      <c r="B1656" s="2" t="s">
        <v>3561</v>
      </c>
      <c r="C1656" s="2" t="n">
        <v>1</v>
      </c>
      <c r="D1656" s="2" t="s">
        <v>3562</v>
      </c>
      <c r="E1656" s="2" t="s">
        <v>2867</v>
      </c>
      <c r="F1656" s="3" t="n">
        <v>45820.0180555556</v>
      </c>
      <c r="G1656" s="2" t="s">
        <v>3306</v>
      </c>
      <c r="H1656" s="4" t="n">
        <v>-0.0258</v>
      </c>
      <c r="I1656" s="2" t="s">
        <v>18</v>
      </c>
      <c r="J1656" s="2" t="s">
        <v>37</v>
      </c>
      <c r="K1656" s="2" t="n">
        <v>0</v>
      </c>
      <c r="L1656" s="2" t="n">
        <v>1</v>
      </c>
      <c r="M1656" s="2" t="n">
        <v>0</v>
      </c>
    </row>
    <row r="1657" customFormat="false" ht="15" hidden="false" customHeight="false" outlineLevel="0" collapsed="false">
      <c r="A1657" s="2" t="s">
        <v>3563</v>
      </c>
      <c r="B1657" s="2" t="s">
        <v>3564</v>
      </c>
      <c r="C1657" s="2" t="n">
        <v>5</v>
      </c>
      <c r="D1657" s="2" t="s">
        <v>47</v>
      </c>
      <c r="E1657" s="2" t="s">
        <v>2867</v>
      </c>
      <c r="F1657" s="3" t="n">
        <v>45820.0472222222</v>
      </c>
      <c r="G1657" s="2" t="s">
        <v>3306</v>
      </c>
      <c r="H1657" s="4" t="n">
        <v>0.3089</v>
      </c>
      <c r="I1657" s="2" t="s">
        <v>23</v>
      </c>
      <c r="J1657" s="2" t="s">
        <v>19</v>
      </c>
      <c r="K1657" s="2" t="n">
        <v>2</v>
      </c>
      <c r="L1657" s="2" t="n">
        <v>0</v>
      </c>
      <c r="M1657" s="2" t="n">
        <v>0</v>
      </c>
    </row>
    <row r="1658" customFormat="false" ht="15" hidden="false" customHeight="false" outlineLevel="0" collapsed="false">
      <c r="A1658" s="2" t="s">
        <v>3565</v>
      </c>
      <c r="B1658" s="2" t="s">
        <v>3566</v>
      </c>
      <c r="C1658" s="2" t="n">
        <v>4</v>
      </c>
      <c r="D1658" s="2" t="s">
        <v>99</v>
      </c>
      <c r="E1658" s="2" t="s">
        <v>2867</v>
      </c>
      <c r="F1658" s="3" t="n">
        <v>45820.0576388889</v>
      </c>
      <c r="G1658" s="2" t="s">
        <v>3306</v>
      </c>
      <c r="H1658" s="4" t="n">
        <v>-0.3089</v>
      </c>
      <c r="I1658" s="2" t="s">
        <v>84</v>
      </c>
      <c r="J1658" s="2" t="s">
        <v>19</v>
      </c>
      <c r="K1658" s="2" t="n">
        <v>3</v>
      </c>
      <c r="L1658" s="2" t="n">
        <v>0</v>
      </c>
      <c r="M1658" s="2" t="n">
        <v>0</v>
      </c>
    </row>
    <row r="1659" customFormat="false" ht="15" hidden="false" customHeight="false" outlineLevel="0" collapsed="false">
      <c r="A1659" s="2" t="s">
        <v>3567</v>
      </c>
      <c r="B1659" s="2" t="s">
        <v>3568</v>
      </c>
      <c r="C1659" s="2" t="n">
        <v>3</v>
      </c>
      <c r="D1659" s="2" t="s">
        <v>3569</v>
      </c>
      <c r="E1659" s="2" t="s">
        <v>2867</v>
      </c>
      <c r="F1659" s="3" t="n">
        <v>45820.21875</v>
      </c>
      <c r="G1659" s="2" t="s">
        <v>3306</v>
      </c>
      <c r="H1659" s="4" t="n">
        <v>-0.2617</v>
      </c>
      <c r="I1659" s="2" t="s">
        <v>84</v>
      </c>
      <c r="J1659" s="2" t="s">
        <v>33</v>
      </c>
      <c r="K1659" s="2" t="n">
        <v>1</v>
      </c>
      <c r="L1659" s="2" t="n">
        <v>0</v>
      </c>
      <c r="M1659" s="2" t="n">
        <v>0</v>
      </c>
    </row>
    <row r="1660" customFormat="false" ht="15" hidden="false" customHeight="false" outlineLevel="0" collapsed="false">
      <c r="A1660" s="2" t="s">
        <v>3570</v>
      </c>
      <c r="B1660" s="2" t="s">
        <v>3571</v>
      </c>
      <c r="C1660" s="2" t="n">
        <v>1</v>
      </c>
      <c r="D1660" s="2" t="s">
        <v>498</v>
      </c>
      <c r="E1660" s="2" t="s">
        <v>2867</v>
      </c>
      <c r="F1660" s="3" t="n">
        <v>45820.2194444445</v>
      </c>
      <c r="G1660" s="2" t="s">
        <v>3306</v>
      </c>
      <c r="H1660" s="4" t="n">
        <v>0</v>
      </c>
      <c r="I1660" s="2" t="s">
        <v>18</v>
      </c>
      <c r="J1660" s="2" t="s">
        <v>165</v>
      </c>
      <c r="K1660" s="2" t="n">
        <v>0</v>
      </c>
      <c r="L1660" s="2" t="n">
        <v>1</v>
      </c>
      <c r="M1660" s="2" t="n">
        <v>0</v>
      </c>
    </row>
    <row r="1661" customFormat="false" ht="15" hidden="false" customHeight="false" outlineLevel="0" collapsed="false">
      <c r="A1661" s="2" t="s">
        <v>3572</v>
      </c>
      <c r="B1661" s="2" t="s">
        <v>3573</v>
      </c>
      <c r="C1661" s="2" t="n">
        <v>5</v>
      </c>
      <c r="D1661" s="2" t="s">
        <v>15</v>
      </c>
      <c r="E1661" s="2" t="s">
        <v>2867</v>
      </c>
      <c r="F1661" s="3" t="n">
        <v>45820.2375</v>
      </c>
      <c r="G1661" s="2" t="s">
        <v>3306</v>
      </c>
      <c r="H1661" s="4" t="n">
        <v>0</v>
      </c>
      <c r="I1661" s="2" t="s">
        <v>18</v>
      </c>
      <c r="J1661" s="2" t="s">
        <v>19</v>
      </c>
      <c r="K1661" s="2" t="n">
        <v>0</v>
      </c>
      <c r="L1661" s="2" t="n">
        <v>0</v>
      </c>
      <c r="M1661" s="2" t="n">
        <v>0</v>
      </c>
    </row>
    <row r="1662" customFormat="false" ht="15" hidden="false" customHeight="false" outlineLevel="0" collapsed="false">
      <c r="A1662" s="2" t="s">
        <v>3574</v>
      </c>
      <c r="B1662" s="2" t="s">
        <v>3575</v>
      </c>
      <c r="C1662" s="2" t="n">
        <v>4</v>
      </c>
      <c r="D1662" s="2" t="s">
        <v>36</v>
      </c>
      <c r="E1662" s="2" t="s">
        <v>2867</v>
      </c>
      <c r="F1662" s="3" t="n">
        <v>45820.2645833333</v>
      </c>
      <c r="G1662" s="2" t="s">
        <v>3306</v>
      </c>
      <c r="H1662" s="4" t="n">
        <v>0.4404</v>
      </c>
      <c r="I1662" s="2" t="s">
        <v>23</v>
      </c>
      <c r="J1662" s="2" t="s">
        <v>37</v>
      </c>
      <c r="K1662" s="2" t="n">
        <v>0</v>
      </c>
      <c r="L1662" s="2" t="n">
        <v>0</v>
      </c>
      <c r="M1662" s="2" t="n">
        <v>0</v>
      </c>
    </row>
    <row r="1663" customFormat="false" ht="15" hidden="false" customHeight="false" outlineLevel="0" collapsed="false">
      <c r="A1663" s="2" t="s">
        <v>3576</v>
      </c>
      <c r="B1663" s="2" t="s">
        <v>3577</v>
      </c>
      <c r="C1663" s="2" t="n">
        <v>4</v>
      </c>
      <c r="D1663" s="2" t="s">
        <v>15</v>
      </c>
      <c r="E1663" s="2" t="s">
        <v>2867</v>
      </c>
      <c r="F1663" s="3" t="n">
        <v>45820.2972222222</v>
      </c>
      <c r="G1663" s="2" t="s">
        <v>3306</v>
      </c>
      <c r="H1663" s="4" t="n">
        <v>0</v>
      </c>
      <c r="I1663" s="2" t="s">
        <v>18</v>
      </c>
      <c r="J1663" s="2" t="s">
        <v>19</v>
      </c>
      <c r="K1663" s="2" t="n">
        <v>2</v>
      </c>
      <c r="L1663" s="2" t="n">
        <v>0</v>
      </c>
      <c r="M1663" s="2" t="n">
        <v>0</v>
      </c>
    </row>
    <row r="1664" customFormat="false" ht="15" hidden="false" customHeight="false" outlineLevel="0" collapsed="false">
      <c r="A1664" s="2" t="s">
        <v>3578</v>
      </c>
      <c r="B1664" s="2" t="s">
        <v>3579</v>
      </c>
      <c r="C1664" s="2" t="n">
        <v>5</v>
      </c>
      <c r="D1664" s="2" t="s">
        <v>96</v>
      </c>
      <c r="E1664" s="2" t="s">
        <v>2867</v>
      </c>
      <c r="F1664" s="3" t="n">
        <v>45820.3541666667</v>
      </c>
      <c r="G1664" s="2" t="s">
        <v>3306</v>
      </c>
      <c r="H1664" s="4" t="n">
        <v>0.6369</v>
      </c>
      <c r="I1664" s="2" t="s">
        <v>23</v>
      </c>
      <c r="J1664" s="2" t="s">
        <v>19</v>
      </c>
      <c r="K1664" s="2" t="n">
        <v>5</v>
      </c>
      <c r="L1664" s="2" t="n">
        <v>1</v>
      </c>
      <c r="M1664" s="2" t="n">
        <v>0</v>
      </c>
    </row>
    <row r="1665" customFormat="false" ht="15" hidden="false" customHeight="false" outlineLevel="0" collapsed="false">
      <c r="A1665" s="2" t="s">
        <v>3580</v>
      </c>
      <c r="B1665" s="2" t="s">
        <v>3581</v>
      </c>
      <c r="C1665" s="2" t="n">
        <v>4</v>
      </c>
      <c r="D1665" s="2" t="s">
        <v>116</v>
      </c>
      <c r="E1665" s="2" t="s">
        <v>2867</v>
      </c>
      <c r="F1665" s="3" t="n">
        <v>45820.3930555556</v>
      </c>
      <c r="G1665" s="2" t="s">
        <v>3306</v>
      </c>
      <c r="H1665" s="4" t="n">
        <v>0.9359</v>
      </c>
      <c r="I1665" s="2" t="s">
        <v>23</v>
      </c>
      <c r="J1665" s="2" t="s">
        <v>37</v>
      </c>
      <c r="K1665" s="2" t="n">
        <v>0</v>
      </c>
      <c r="L1665" s="2" t="n">
        <v>0</v>
      </c>
      <c r="M1665" s="2" t="n">
        <v>0</v>
      </c>
    </row>
    <row r="1666" customFormat="false" ht="15" hidden="false" customHeight="false" outlineLevel="0" collapsed="false">
      <c r="A1666" s="2" t="s">
        <v>3582</v>
      </c>
      <c r="B1666" s="2" t="s">
        <v>3583</v>
      </c>
      <c r="C1666" s="2" t="n">
        <v>4</v>
      </c>
      <c r="D1666" s="2" t="s">
        <v>96</v>
      </c>
      <c r="E1666" s="2" t="s">
        <v>2867</v>
      </c>
      <c r="F1666" s="3" t="n">
        <v>45820.4298611111</v>
      </c>
      <c r="G1666" s="2" t="s">
        <v>3306</v>
      </c>
      <c r="H1666" s="4" t="n">
        <v>0.6369</v>
      </c>
      <c r="I1666" s="2" t="s">
        <v>23</v>
      </c>
      <c r="J1666" s="2" t="s">
        <v>19</v>
      </c>
      <c r="K1666" s="2" t="n">
        <v>1</v>
      </c>
      <c r="L1666" s="2" t="n">
        <v>0</v>
      </c>
      <c r="M1666" s="2" t="n">
        <v>0</v>
      </c>
    </row>
    <row r="1667" customFormat="false" ht="15" hidden="false" customHeight="false" outlineLevel="0" collapsed="false">
      <c r="A1667" s="2" t="s">
        <v>3584</v>
      </c>
      <c r="B1667" s="2" t="s">
        <v>3585</v>
      </c>
      <c r="C1667" s="2" t="n">
        <v>3</v>
      </c>
      <c r="D1667" s="2" t="s">
        <v>87</v>
      </c>
      <c r="E1667" s="2" t="s">
        <v>2867</v>
      </c>
      <c r="F1667" s="3" t="n">
        <v>45820.58125</v>
      </c>
      <c r="G1667" s="2" t="s">
        <v>3306</v>
      </c>
      <c r="H1667" s="4" t="n">
        <v>0</v>
      </c>
      <c r="I1667" s="2" t="s">
        <v>18</v>
      </c>
      <c r="J1667" s="2" t="s">
        <v>19</v>
      </c>
      <c r="K1667" s="2" t="n">
        <v>2</v>
      </c>
      <c r="L1667" s="2" t="n">
        <v>0</v>
      </c>
      <c r="M1667" s="2" t="n">
        <v>0</v>
      </c>
    </row>
    <row r="1668" customFormat="false" ht="15" hidden="false" customHeight="false" outlineLevel="0" collapsed="false">
      <c r="A1668" s="2" t="s">
        <v>3586</v>
      </c>
      <c r="B1668" s="2" t="s">
        <v>3587</v>
      </c>
      <c r="C1668" s="2" t="n">
        <v>4</v>
      </c>
      <c r="D1668" s="2" t="s">
        <v>121</v>
      </c>
      <c r="E1668" s="2" t="s">
        <v>2867</v>
      </c>
      <c r="F1668" s="3" t="n">
        <v>45820.6256944445</v>
      </c>
      <c r="G1668" s="2" t="s">
        <v>3306</v>
      </c>
      <c r="H1668" s="4" t="n">
        <v>0.607</v>
      </c>
      <c r="I1668" s="2" t="s">
        <v>23</v>
      </c>
      <c r="J1668" s="2" t="s">
        <v>33</v>
      </c>
      <c r="K1668" s="2" t="n">
        <v>2</v>
      </c>
      <c r="L1668" s="2" t="n">
        <v>0</v>
      </c>
      <c r="M1668" s="2" t="n">
        <v>0</v>
      </c>
    </row>
    <row r="1669" customFormat="false" ht="15" hidden="false" customHeight="false" outlineLevel="0" collapsed="false">
      <c r="A1669" s="2" t="s">
        <v>3588</v>
      </c>
      <c r="B1669" s="2" t="s">
        <v>3589</v>
      </c>
      <c r="C1669" s="2" t="n">
        <v>5</v>
      </c>
      <c r="D1669" s="2" t="s">
        <v>96</v>
      </c>
      <c r="E1669" s="2" t="s">
        <v>2867</v>
      </c>
      <c r="F1669" s="3" t="n">
        <v>45820.6541666667</v>
      </c>
      <c r="G1669" s="2" t="s">
        <v>3306</v>
      </c>
      <c r="H1669" s="4" t="n">
        <v>0.6369</v>
      </c>
      <c r="I1669" s="2" t="s">
        <v>23</v>
      </c>
      <c r="J1669" s="2" t="s">
        <v>19</v>
      </c>
      <c r="K1669" s="2" t="n">
        <v>4</v>
      </c>
      <c r="L1669" s="2" t="n">
        <v>0</v>
      </c>
      <c r="M1669" s="2" t="n">
        <v>0</v>
      </c>
    </row>
    <row r="1670" customFormat="false" ht="15" hidden="false" customHeight="false" outlineLevel="0" collapsed="false">
      <c r="A1670" s="2" t="s">
        <v>3590</v>
      </c>
      <c r="B1670" s="2" t="s">
        <v>3591</v>
      </c>
      <c r="C1670" s="2" t="n">
        <v>3</v>
      </c>
      <c r="D1670" s="2" t="s">
        <v>22</v>
      </c>
      <c r="E1670" s="2" t="s">
        <v>2867</v>
      </c>
      <c r="F1670" s="3" t="n">
        <v>45820.6708333333</v>
      </c>
      <c r="G1670" s="2" t="s">
        <v>3306</v>
      </c>
      <c r="H1670" s="4" t="n">
        <v>0.2023</v>
      </c>
      <c r="I1670" s="2" t="s">
        <v>23</v>
      </c>
      <c r="J1670" s="2" t="s">
        <v>19</v>
      </c>
      <c r="K1670" s="2" t="n">
        <v>5</v>
      </c>
      <c r="L1670" s="2" t="n">
        <v>0</v>
      </c>
      <c r="M1670" s="2" t="n">
        <v>0</v>
      </c>
    </row>
    <row r="1671" customFormat="false" ht="15" hidden="false" customHeight="false" outlineLevel="0" collapsed="false">
      <c r="A1671" s="2" t="s">
        <v>3592</v>
      </c>
      <c r="B1671" s="2" t="s">
        <v>3593</v>
      </c>
      <c r="C1671" s="2" t="n">
        <v>4</v>
      </c>
      <c r="D1671" s="2" t="s">
        <v>1387</v>
      </c>
      <c r="E1671" s="2" t="s">
        <v>2867</v>
      </c>
      <c r="F1671" s="3" t="n">
        <v>45820.6736111111</v>
      </c>
      <c r="G1671" s="2" t="s">
        <v>3306</v>
      </c>
      <c r="H1671" s="4" t="n">
        <v>0.9359</v>
      </c>
      <c r="I1671" s="2" t="s">
        <v>23</v>
      </c>
      <c r="J1671" s="2" t="s">
        <v>37</v>
      </c>
      <c r="K1671" s="2" t="n">
        <v>5</v>
      </c>
      <c r="L1671" s="2" t="n">
        <v>0</v>
      </c>
      <c r="M1671" s="2" t="n">
        <v>0</v>
      </c>
    </row>
    <row r="1672" customFormat="false" ht="15" hidden="false" customHeight="false" outlineLevel="0" collapsed="false">
      <c r="A1672" s="2" t="s">
        <v>3594</v>
      </c>
      <c r="B1672" s="2" t="s">
        <v>3595</v>
      </c>
      <c r="C1672" s="2" t="n">
        <v>5</v>
      </c>
      <c r="D1672" s="2" t="s">
        <v>127</v>
      </c>
      <c r="E1672" s="2" t="s">
        <v>2867</v>
      </c>
      <c r="F1672" s="3" t="n">
        <v>45820.7006944444</v>
      </c>
      <c r="G1672" s="2" t="s">
        <v>3306</v>
      </c>
      <c r="H1672" s="4" t="n">
        <v>0.9359</v>
      </c>
      <c r="I1672" s="2" t="s">
        <v>23</v>
      </c>
      <c r="J1672" s="2" t="s">
        <v>37</v>
      </c>
      <c r="K1672" s="2" t="n">
        <v>8</v>
      </c>
      <c r="L1672" s="2" t="n">
        <v>0</v>
      </c>
      <c r="M1672" s="2" t="n">
        <v>0</v>
      </c>
    </row>
    <row r="1673" customFormat="false" ht="15" hidden="false" customHeight="false" outlineLevel="0" collapsed="false">
      <c r="A1673" s="2" t="s">
        <v>3596</v>
      </c>
      <c r="B1673" s="2" t="s">
        <v>3597</v>
      </c>
      <c r="C1673" s="2" t="n">
        <v>4</v>
      </c>
      <c r="D1673" s="2" t="s">
        <v>90</v>
      </c>
      <c r="E1673" s="2" t="s">
        <v>2867</v>
      </c>
      <c r="F1673" s="3" t="n">
        <v>45820.9354166667</v>
      </c>
      <c r="G1673" s="2" t="s">
        <v>3306</v>
      </c>
      <c r="H1673" s="4" t="n">
        <v>0.6249</v>
      </c>
      <c r="I1673" s="2" t="s">
        <v>23</v>
      </c>
      <c r="J1673" s="2" t="s">
        <v>37</v>
      </c>
      <c r="K1673" s="2" t="n">
        <v>2</v>
      </c>
      <c r="L1673" s="2" t="n">
        <v>0</v>
      </c>
      <c r="M1673" s="2" t="n">
        <v>0</v>
      </c>
    </row>
    <row r="1674" customFormat="false" ht="15" hidden="false" customHeight="false" outlineLevel="0" collapsed="false">
      <c r="A1674" s="2" t="s">
        <v>3598</v>
      </c>
      <c r="B1674" s="2" t="s">
        <v>3599</v>
      </c>
      <c r="C1674" s="2" t="n">
        <v>4</v>
      </c>
      <c r="D1674" s="2" t="s">
        <v>62</v>
      </c>
      <c r="E1674" s="2" t="s">
        <v>2867</v>
      </c>
      <c r="F1674" s="3" t="n">
        <v>45820.9402777778</v>
      </c>
      <c r="G1674" s="2" t="s">
        <v>3306</v>
      </c>
      <c r="H1674" s="4" t="n">
        <v>0.7088</v>
      </c>
      <c r="I1674" s="2" t="s">
        <v>23</v>
      </c>
      <c r="J1674" s="2" t="s">
        <v>19</v>
      </c>
      <c r="K1674" s="2" t="n">
        <v>5</v>
      </c>
      <c r="L1674" s="2" t="n">
        <v>0</v>
      </c>
      <c r="M1674" s="2" t="n">
        <v>0</v>
      </c>
    </row>
    <row r="1675" customFormat="false" ht="15" hidden="false" customHeight="false" outlineLevel="0" collapsed="false">
      <c r="A1675" s="2" t="s">
        <v>3600</v>
      </c>
      <c r="B1675" s="2" t="s">
        <v>3601</v>
      </c>
      <c r="C1675" s="2" t="n">
        <v>3</v>
      </c>
      <c r="D1675" s="2" t="s">
        <v>36</v>
      </c>
      <c r="E1675" s="2" t="s">
        <v>2867</v>
      </c>
      <c r="F1675" s="3" t="n">
        <v>45821.0958333333</v>
      </c>
      <c r="G1675" s="2" t="s">
        <v>3306</v>
      </c>
      <c r="H1675" s="4" t="n">
        <v>0.4404</v>
      </c>
      <c r="I1675" s="2" t="s">
        <v>23</v>
      </c>
      <c r="J1675" s="2" t="s">
        <v>37</v>
      </c>
      <c r="K1675" s="2" t="n">
        <v>0</v>
      </c>
      <c r="L1675" s="2" t="n">
        <v>0</v>
      </c>
      <c r="M1675" s="2" t="n">
        <v>0</v>
      </c>
    </row>
    <row r="1676" customFormat="false" ht="15" hidden="false" customHeight="false" outlineLevel="0" collapsed="false">
      <c r="A1676" s="2" t="s">
        <v>3602</v>
      </c>
      <c r="B1676" s="2" t="s">
        <v>3603</v>
      </c>
      <c r="C1676" s="2" t="n">
        <v>5</v>
      </c>
      <c r="D1676" s="2" t="s">
        <v>62</v>
      </c>
      <c r="E1676" s="2" t="s">
        <v>2867</v>
      </c>
      <c r="F1676" s="3" t="n">
        <v>45821.1145833333</v>
      </c>
      <c r="G1676" s="2" t="s">
        <v>3306</v>
      </c>
      <c r="H1676" s="4" t="n">
        <v>0.7088</v>
      </c>
      <c r="I1676" s="2" t="s">
        <v>23</v>
      </c>
      <c r="J1676" s="2" t="s">
        <v>19</v>
      </c>
      <c r="K1676" s="2" t="n">
        <v>6</v>
      </c>
      <c r="L1676" s="2" t="n">
        <v>0</v>
      </c>
      <c r="M1676" s="2" t="n">
        <v>0</v>
      </c>
    </row>
    <row r="1677" customFormat="false" ht="15" hidden="false" customHeight="false" outlineLevel="0" collapsed="false">
      <c r="A1677" s="2" t="s">
        <v>3604</v>
      </c>
      <c r="B1677" s="2" t="s">
        <v>3605</v>
      </c>
      <c r="C1677" s="2" t="n">
        <v>5</v>
      </c>
      <c r="D1677" s="2" t="s">
        <v>52</v>
      </c>
      <c r="E1677" s="2" t="s">
        <v>2867</v>
      </c>
      <c r="F1677" s="3" t="n">
        <v>45821.2423611111</v>
      </c>
      <c r="G1677" s="2" t="s">
        <v>3306</v>
      </c>
      <c r="H1677" s="4" t="n">
        <v>0.6369</v>
      </c>
      <c r="I1677" s="2" t="s">
        <v>23</v>
      </c>
      <c r="J1677" s="2" t="s">
        <v>19</v>
      </c>
      <c r="K1677" s="2" t="n">
        <v>3</v>
      </c>
      <c r="L1677" s="2" t="n">
        <v>0</v>
      </c>
      <c r="M1677" s="2" t="n">
        <v>0</v>
      </c>
    </row>
    <row r="1678" customFormat="false" ht="15" hidden="false" customHeight="false" outlineLevel="0" collapsed="false">
      <c r="A1678" s="2" t="s">
        <v>3606</v>
      </c>
      <c r="B1678" s="2" t="s">
        <v>3607</v>
      </c>
      <c r="C1678" s="2" t="n">
        <v>5</v>
      </c>
      <c r="D1678" s="2" t="s">
        <v>127</v>
      </c>
      <c r="E1678" s="2" t="s">
        <v>2867</v>
      </c>
      <c r="F1678" s="3" t="n">
        <v>45821.36875</v>
      </c>
      <c r="G1678" s="2" t="s">
        <v>3306</v>
      </c>
      <c r="H1678" s="4" t="n">
        <v>0.9359</v>
      </c>
      <c r="I1678" s="2" t="s">
        <v>23</v>
      </c>
      <c r="J1678" s="2" t="s">
        <v>37</v>
      </c>
      <c r="K1678" s="2" t="n">
        <v>4</v>
      </c>
      <c r="L1678" s="2" t="n">
        <v>0</v>
      </c>
      <c r="M1678" s="2" t="n">
        <v>0</v>
      </c>
    </row>
    <row r="1679" customFormat="false" ht="15" hidden="false" customHeight="false" outlineLevel="0" collapsed="false">
      <c r="A1679" s="2" t="s">
        <v>3608</v>
      </c>
      <c r="B1679" s="2" t="s">
        <v>3609</v>
      </c>
      <c r="C1679" s="2" t="n">
        <v>5</v>
      </c>
      <c r="D1679" s="2" t="s">
        <v>62</v>
      </c>
      <c r="E1679" s="2" t="s">
        <v>2867</v>
      </c>
      <c r="F1679" s="3" t="n">
        <v>45821.3715277778</v>
      </c>
      <c r="G1679" s="2" t="s">
        <v>3306</v>
      </c>
      <c r="H1679" s="4" t="n">
        <v>0.7088</v>
      </c>
      <c r="I1679" s="2" t="s">
        <v>23</v>
      </c>
      <c r="J1679" s="2" t="s">
        <v>19</v>
      </c>
      <c r="K1679" s="2" t="n">
        <v>2</v>
      </c>
      <c r="L1679" s="2" t="n">
        <v>0</v>
      </c>
      <c r="M1679" s="2" t="n">
        <v>0</v>
      </c>
    </row>
    <row r="1680" customFormat="false" ht="15" hidden="false" customHeight="false" outlineLevel="0" collapsed="false">
      <c r="A1680" s="2" t="s">
        <v>3610</v>
      </c>
      <c r="B1680" s="2" t="s">
        <v>3611</v>
      </c>
      <c r="C1680" s="2" t="n">
        <v>5</v>
      </c>
      <c r="D1680" s="2" t="s">
        <v>52</v>
      </c>
      <c r="E1680" s="2" t="s">
        <v>2867</v>
      </c>
      <c r="F1680" s="3" t="n">
        <v>45821.375</v>
      </c>
      <c r="G1680" s="2" t="s">
        <v>3306</v>
      </c>
      <c r="H1680" s="4" t="n">
        <v>0.6369</v>
      </c>
      <c r="I1680" s="2" t="s">
        <v>23</v>
      </c>
      <c r="J1680" s="2" t="s">
        <v>19</v>
      </c>
      <c r="K1680" s="2" t="n">
        <v>5</v>
      </c>
      <c r="L1680" s="2" t="n">
        <v>0</v>
      </c>
      <c r="M1680" s="2" t="n">
        <v>0</v>
      </c>
    </row>
    <row r="1681" customFormat="false" ht="15" hidden="false" customHeight="false" outlineLevel="0" collapsed="false">
      <c r="A1681" s="2" t="s">
        <v>3612</v>
      </c>
      <c r="B1681" s="2" t="s">
        <v>3613</v>
      </c>
      <c r="C1681" s="2" t="n">
        <v>3</v>
      </c>
      <c r="D1681" s="2" t="s">
        <v>482</v>
      </c>
      <c r="E1681" s="2" t="s">
        <v>2867</v>
      </c>
      <c r="F1681" s="3" t="n">
        <v>45821.4194444444</v>
      </c>
      <c r="G1681" s="2" t="s">
        <v>3306</v>
      </c>
      <c r="H1681" s="4" t="n">
        <v>-0.6808</v>
      </c>
      <c r="I1681" s="2" t="s">
        <v>84</v>
      </c>
      <c r="J1681" s="2" t="s">
        <v>110</v>
      </c>
      <c r="K1681" s="2" t="n">
        <v>11</v>
      </c>
      <c r="L1681" s="2" t="n">
        <v>0</v>
      </c>
      <c r="M1681" s="2" t="n">
        <v>0</v>
      </c>
    </row>
    <row r="1682" customFormat="false" ht="15" hidden="false" customHeight="false" outlineLevel="0" collapsed="false">
      <c r="A1682" s="2" t="s">
        <v>3614</v>
      </c>
      <c r="B1682" s="2" t="s">
        <v>3615</v>
      </c>
      <c r="C1682" s="2" t="n">
        <v>3</v>
      </c>
      <c r="D1682" s="2" t="s">
        <v>36</v>
      </c>
      <c r="E1682" s="2" t="s">
        <v>2867</v>
      </c>
      <c r="F1682" s="3" t="n">
        <v>45821.4868055556</v>
      </c>
      <c r="G1682" s="2" t="s">
        <v>3306</v>
      </c>
      <c r="H1682" s="4" t="n">
        <v>0.4404</v>
      </c>
      <c r="I1682" s="2" t="s">
        <v>23</v>
      </c>
      <c r="J1682" s="2" t="s">
        <v>37</v>
      </c>
      <c r="K1682" s="2" t="n">
        <v>2</v>
      </c>
      <c r="L1682" s="2" t="n">
        <v>0</v>
      </c>
      <c r="M1682" s="2" t="n">
        <v>0</v>
      </c>
    </row>
    <row r="1683" customFormat="false" ht="15" hidden="false" customHeight="false" outlineLevel="0" collapsed="false">
      <c r="A1683" s="2" t="s">
        <v>3616</v>
      </c>
      <c r="B1683" s="2" t="s">
        <v>3617</v>
      </c>
      <c r="C1683" s="2" t="n">
        <v>1</v>
      </c>
      <c r="D1683" s="2" t="s">
        <v>2085</v>
      </c>
      <c r="E1683" s="2" t="s">
        <v>2867</v>
      </c>
      <c r="F1683" s="3" t="n">
        <v>45821.5979166667</v>
      </c>
      <c r="G1683" s="2" t="s">
        <v>3306</v>
      </c>
      <c r="H1683" s="4" t="n">
        <v>0.2263</v>
      </c>
      <c r="I1683" s="2" t="s">
        <v>23</v>
      </c>
      <c r="J1683" s="2" t="s">
        <v>110</v>
      </c>
      <c r="K1683" s="2" t="n">
        <v>0</v>
      </c>
      <c r="L1683" s="2" t="n">
        <v>0</v>
      </c>
      <c r="M1683" s="2" t="n">
        <v>0</v>
      </c>
    </row>
    <row r="1684" customFormat="false" ht="15" hidden="false" customHeight="false" outlineLevel="0" collapsed="false">
      <c r="A1684" s="2" t="s">
        <v>3618</v>
      </c>
      <c r="B1684" s="2" t="s">
        <v>3619</v>
      </c>
      <c r="C1684" s="2" t="n">
        <v>4</v>
      </c>
      <c r="D1684" s="2" t="s">
        <v>62</v>
      </c>
      <c r="E1684" s="2" t="s">
        <v>2867</v>
      </c>
      <c r="F1684" s="3" t="n">
        <v>45821.7402777778</v>
      </c>
      <c r="G1684" s="2" t="s">
        <v>3306</v>
      </c>
      <c r="H1684" s="4" t="n">
        <v>0.7088</v>
      </c>
      <c r="I1684" s="2" t="s">
        <v>23</v>
      </c>
      <c r="J1684" s="2" t="s">
        <v>19</v>
      </c>
      <c r="K1684" s="2" t="n">
        <v>1</v>
      </c>
      <c r="L1684" s="2" t="n">
        <v>0</v>
      </c>
      <c r="M1684" s="2" t="n">
        <v>0</v>
      </c>
    </row>
    <row r="1685" customFormat="false" ht="15" hidden="false" customHeight="false" outlineLevel="0" collapsed="false">
      <c r="A1685" s="2" t="s">
        <v>3620</v>
      </c>
      <c r="B1685" s="2" t="s">
        <v>3621</v>
      </c>
      <c r="C1685" s="2" t="n">
        <v>5</v>
      </c>
      <c r="D1685" s="2" t="s">
        <v>52</v>
      </c>
      <c r="E1685" s="2" t="s">
        <v>2867</v>
      </c>
      <c r="F1685" s="3" t="n">
        <v>45821.8076388889</v>
      </c>
      <c r="G1685" s="2" t="s">
        <v>3306</v>
      </c>
      <c r="H1685" s="4" t="n">
        <v>0.6369</v>
      </c>
      <c r="I1685" s="2" t="s">
        <v>23</v>
      </c>
      <c r="J1685" s="2" t="s">
        <v>19</v>
      </c>
      <c r="K1685" s="2" t="n">
        <v>2</v>
      </c>
      <c r="L1685" s="2" t="n">
        <v>0</v>
      </c>
      <c r="M1685" s="2" t="n">
        <v>0</v>
      </c>
    </row>
    <row r="1686" customFormat="false" ht="15" hidden="false" customHeight="false" outlineLevel="0" collapsed="false">
      <c r="A1686" s="2" t="s">
        <v>3622</v>
      </c>
      <c r="B1686" s="2" t="s">
        <v>3623</v>
      </c>
      <c r="C1686" s="2" t="n">
        <v>5</v>
      </c>
      <c r="D1686" s="2" t="s">
        <v>90</v>
      </c>
      <c r="E1686" s="2" t="s">
        <v>2867</v>
      </c>
      <c r="F1686" s="3" t="n">
        <v>45821.8659722222</v>
      </c>
      <c r="G1686" s="2" t="s">
        <v>3306</v>
      </c>
      <c r="H1686" s="4" t="n">
        <v>0.6249</v>
      </c>
      <c r="I1686" s="2" t="s">
        <v>23</v>
      </c>
      <c r="J1686" s="2" t="s">
        <v>37</v>
      </c>
      <c r="K1686" s="2" t="n">
        <v>3</v>
      </c>
      <c r="L1686" s="2" t="n">
        <v>0</v>
      </c>
      <c r="M1686" s="2" t="n">
        <v>0</v>
      </c>
    </row>
    <row r="1687" customFormat="false" ht="15" hidden="false" customHeight="false" outlineLevel="0" collapsed="false">
      <c r="A1687" s="2" t="s">
        <v>3624</v>
      </c>
      <c r="B1687" s="2" t="s">
        <v>3625</v>
      </c>
      <c r="C1687" s="2" t="n">
        <v>5</v>
      </c>
      <c r="D1687" s="2" t="s">
        <v>40</v>
      </c>
      <c r="E1687" s="2" t="s">
        <v>2867</v>
      </c>
      <c r="F1687" s="3" t="n">
        <v>45821.8770833333</v>
      </c>
      <c r="G1687" s="2" t="s">
        <v>3306</v>
      </c>
      <c r="H1687" s="4" t="n">
        <v>0.4019</v>
      </c>
      <c r="I1687" s="2" t="s">
        <v>23</v>
      </c>
      <c r="J1687" s="2" t="s">
        <v>33</v>
      </c>
      <c r="K1687" s="2" t="n">
        <v>1</v>
      </c>
      <c r="L1687" s="2" t="n">
        <v>0</v>
      </c>
      <c r="M1687" s="2" t="n">
        <v>0</v>
      </c>
    </row>
    <row r="1688" customFormat="false" ht="15" hidden="false" customHeight="false" outlineLevel="0" collapsed="false">
      <c r="A1688" s="2" t="s">
        <v>3626</v>
      </c>
      <c r="B1688" s="2" t="s">
        <v>3627</v>
      </c>
      <c r="C1688" s="2" t="n">
        <v>5</v>
      </c>
      <c r="D1688" s="2" t="s">
        <v>47</v>
      </c>
      <c r="E1688" s="2" t="s">
        <v>2867</v>
      </c>
      <c r="F1688" s="3" t="n">
        <v>45821.9055555556</v>
      </c>
      <c r="G1688" s="2" t="s">
        <v>3306</v>
      </c>
      <c r="H1688" s="4" t="n">
        <v>0.3089</v>
      </c>
      <c r="I1688" s="2" t="s">
        <v>23</v>
      </c>
      <c r="J1688" s="2" t="s">
        <v>19</v>
      </c>
      <c r="K1688" s="2" t="n">
        <v>2</v>
      </c>
      <c r="L1688" s="2" t="n">
        <v>0</v>
      </c>
      <c r="M1688" s="2" t="n">
        <v>0</v>
      </c>
    </row>
    <row r="1689" customFormat="false" ht="15" hidden="false" customHeight="false" outlineLevel="0" collapsed="false">
      <c r="A1689" s="2" t="s">
        <v>3628</v>
      </c>
      <c r="B1689" s="2" t="s">
        <v>3629</v>
      </c>
      <c r="C1689" s="2" t="n">
        <v>4</v>
      </c>
      <c r="D1689" s="2" t="s">
        <v>475</v>
      </c>
      <c r="E1689" s="2" t="s">
        <v>2867</v>
      </c>
      <c r="F1689" s="3" t="n">
        <v>45821.9361111111</v>
      </c>
      <c r="G1689" s="2" t="s">
        <v>3306</v>
      </c>
      <c r="H1689" s="4" t="n">
        <v>0.7845</v>
      </c>
      <c r="I1689" s="2" t="s">
        <v>23</v>
      </c>
      <c r="J1689" s="2" t="s">
        <v>33</v>
      </c>
      <c r="K1689" s="2" t="n">
        <v>10</v>
      </c>
      <c r="L1689" s="2" t="n">
        <v>0</v>
      </c>
      <c r="M1689" s="2" t="n">
        <v>0</v>
      </c>
    </row>
    <row r="1690" customFormat="false" ht="15" hidden="false" customHeight="false" outlineLevel="0" collapsed="false">
      <c r="A1690" s="2" t="s">
        <v>3630</v>
      </c>
      <c r="B1690" s="2" t="s">
        <v>3631</v>
      </c>
      <c r="C1690" s="2" t="n">
        <v>4</v>
      </c>
      <c r="D1690" s="2" t="s">
        <v>1825</v>
      </c>
      <c r="E1690" s="2" t="s">
        <v>2867</v>
      </c>
      <c r="F1690" s="3" t="n">
        <v>45822.00625</v>
      </c>
      <c r="G1690" s="2" t="s">
        <v>3306</v>
      </c>
      <c r="H1690" s="4" t="n">
        <v>-0.6834</v>
      </c>
      <c r="I1690" s="2" t="s">
        <v>84</v>
      </c>
      <c r="J1690" s="2" t="s">
        <v>19</v>
      </c>
      <c r="K1690" s="2" t="n">
        <v>4</v>
      </c>
      <c r="L1690" s="2" t="n">
        <v>0</v>
      </c>
      <c r="M1690" s="2" t="n">
        <v>0</v>
      </c>
    </row>
    <row r="1691" customFormat="false" ht="15" hidden="false" customHeight="false" outlineLevel="0" collapsed="false">
      <c r="A1691" s="2" t="s">
        <v>3632</v>
      </c>
      <c r="B1691" s="2" t="s">
        <v>3633</v>
      </c>
      <c r="C1691" s="2" t="n">
        <v>1</v>
      </c>
      <c r="D1691" s="2" t="s">
        <v>823</v>
      </c>
      <c r="E1691" s="2" t="s">
        <v>2867</v>
      </c>
      <c r="F1691" s="3" t="n">
        <v>45822.0527777778</v>
      </c>
      <c r="G1691" s="2" t="s">
        <v>3306</v>
      </c>
      <c r="H1691" s="4" t="n">
        <v>-0.6997</v>
      </c>
      <c r="I1691" s="2" t="s">
        <v>84</v>
      </c>
      <c r="J1691" s="2" t="s">
        <v>19</v>
      </c>
      <c r="K1691" s="2" t="n">
        <v>0</v>
      </c>
      <c r="L1691" s="2" t="n">
        <v>0</v>
      </c>
      <c r="M1691" s="2" t="n">
        <v>0</v>
      </c>
    </row>
    <row r="1692" customFormat="false" ht="15" hidden="false" customHeight="false" outlineLevel="0" collapsed="false">
      <c r="A1692" s="2" t="s">
        <v>3634</v>
      </c>
      <c r="B1692" s="2" t="s">
        <v>3635</v>
      </c>
      <c r="C1692" s="2" t="n">
        <v>4</v>
      </c>
      <c r="D1692" s="2" t="s">
        <v>301</v>
      </c>
      <c r="E1692" s="2" t="s">
        <v>2867</v>
      </c>
      <c r="F1692" s="3" t="n">
        <v>45822.1625</v>
      </c>
      <c r="G1692" s="2" t="s">
        <v>3306</v>
      </c>
      <c r="H1692" s="4" t="n">
        <v>0.2263</v>
      </c>
      <c r="I1692" s="2" t="s">
        <v>23</v>
      </c>
      <c r="J1692" s="2" t="s">
        <v>19</v>
      </c>
      <c r="K1692" s="2" t="n">
        <v>0</v>
      </c>
      <c r="L1692" s="2" t="n">
        <v>0</v>
      </c>
      <c r="M1692" s="2" t="n">
        <v>0</v>
      </c>
    </row>
    <row r="1693" customFormat="false" ht="15" hidden="false" customHeight="false" outlineLevel="0" collapsed="false">
      <c r="A1693" s="2" t="s">
        <v>3636</v>
      </c>
      <c r="B1693" s="2" t="s">
        <v>3637</v>
      </c>
      <c r="C1693" s="2" t="n">
        <v>2</v>
      </c>
      <c r="D1693" s="2" t="s">
        <v>3638</v>
      </c>
      <c r="E1693" s="2" t="s">
        <v>2867</v>
      </c>
      <c r="F1693" s="3" t="n">
        <v>45822.2756944444</v>
      </c>
      <c r="G1693" s="2" t="s">
        <v>3306</v>
      </c>
      <c r="H1693" s="4" t="n">
        <v>0.105</v>
      </c>
      <c r="I1693" s="2" t="s">
        <v>23</v>
      </c>
      <c r="J1693" s="2" t="s">
        <v>37</v>
      </c>
      <c r="K1693" s="2" t="n">
        <v>2</v>
      </c>
      <c r="L1693" s="2" t="n">
        <v>1</v>
      </c>
      <c r="M1693" s="2" t="n">
        <v>0</v>
      </c>
    </row>
    <row r="1694" customFormat="false" ht="15" hidden="false" customHeight="false" outlineLevel="0" collapsed="false">
      <c r="A1694" s="2" t="s">
        <v>3639</v>
      </c>
      <c r="B1694" s="2" t="s">
        <v>3640</v>
      </c>
      <c r="C1694" s="2" t="n">
        <v>5</v>
      </c>
      <c r="D1694" s="2" t="s">
        <v>2587</v>
      </c>
      <c r="E1694" s="2" t="s">
        <v>2867</v>
      </c>
      <c r="F1694" s="3" t="n">
        <v>45822.5694444445</v>
      </c>
      <c r="G1694" s="2" t="s">
        <v>3306</v>
      </c>
      <c r="H1694" s="4" t="n">
        <v>0.9828</v>
      </c>
      <c r="I1694" s="2" t="s">
        <v>23</v>
      </c>
      <c r="J1694" s="2" t="s">
        <v>37</v>
      </c>
      <c r="K1694" s="2" t="n">
        <v>22</v>
      </c>
      <c r="L1694" s="2" t="n">
        <v>0</v>
      </c>
      <c r="M1694" s="2" t="n">
        <v>0</v>
      </c>
    </row>
    <row r="1695" customFormat="false" ht="15" hidden="false" customHeight="false" outlineLevel="0" collapsed="false">
      <c r="A1695" s="2" t="s">
        <v>3641</v>
      </c>
      <c r="B1695" s="2" t="s">
        <v>1115</v>
      </c>
      <c r="C1695" s="2" t="n">
        <v>5</v>
      </c>
      <c r="D1695" s="2" t="s">
        <v>96</v>
      </c>
      <c r="E1695" s="2" t="s">
        <v>2867</v>
      </c>
      <c r="F1695" s="3" t="n">
        <v>45822.6256944445</v>
      </c>
      <c r="G1695" s="2" t="s">
        <v>3306</v>
      </c>
      <c r="H1695" s="4" t="n">
        <v>0.6369</v>
      </c>
      <c r="I1695" s="2" t="s">
        <v>23</v>
      </c>
      <c r="J1695" s="2" t="s">
        <v>19</v>
      </c>
      <c r="K1695" s="2" t="n">
        <v>4</v>
      </c>
      <c r="L1695" s="2" t="n">
        <v>0</v>
      </c>
      <c r="M1695" s="2" t="n">
        <v>0</v>
      </c>
    </row>
    <row r="1696" customFormat="false" ht="15" hidden="false" customHeight="false" outlineLevel="0" collapsed="false">
      <c r="A1696" s="2" t="s">
        <v>3642</v>
      </c>
      <c r="B1696" s="2" t="s">
        <v>3643</v>
      </c>
      <c r="C1696" s="2" t="n">
        <v>5</v>
      </c>
      <c r="D1696" s="2" t="s">
        <v>96</v>
      </c>
      <c r="E1696" s="2" t="s">
        <v>2867</v>
      </c>
      <c r="F1696" s="3" t="n">
        <v>45822.7222222222</v>
      </c>
      <c r="G1696" s="2" t="s">
        <v>3306</v>
      </c>
      <c r="H1696" s="4" t="n">
        <v>0.6369</v>
      </c>
      <c r="I1696" s="2" t="s">
        <v>23</v>
      </c>
      <c r="J1696" s="2" t="s">
        <v>19</v>
      </c>
      <c r="K1696" s="2" t="n">
        <v>1</v>
      </c>
      <c r="L1696" s="2" t="n">
        <v>0</v>
      </c>
      <c r="M1696" s="2" t="n">
        <v>0</v>
      </c>
    </row>
    <row r="1697" customFormat="false" ht="15" hidden="false" customHeight="false" outlineLevel="0" collapsed="false">
      <c r="A1697" s="2" t="s">
        <v>3644</v>
      </c>
      <c r="B1697" s="2" t="s">
        <v>3645</v>
      </c>
      <c r="C1697" s="2" t="n">
        <v>5</v>
      </c>
      <c r="D1697" s="2" t="s">
        <v>15</v>
      </c>
      <c r="E1697" s="2" t="s">
        <v>2867</v>
      </c>
      <c r="F1697" s="3" t="n">
        <v>45822.8326388889</v>
      </c>
      <c r="G1697" s="2" t="s">
        <v>3306</v>
      </c>
      <c r="H1697" s="4" t="n">
        <v>0</v>
      </c>
      <c r="I1697" s="2" t="s">
        <v>18</v>
      </c>
      <c r="J1697" s="2" t="s">
        <v>19</v>
      </c>
      <c r="K1697" s="2" t="n">
        <v>0</v>
      </c>
      <c r="L1697" s="2" t="n">
        <v>0</v>
      </c>
      <c r="M1697" s="2" t="n">
        <v>0</v>
      </c>
    </row>
    <row r="1698" customFormat="false" ht="15" hidden="false" customHeight="false" outlineLevel="0" collapsed="false">
      <c r="A1698" s="2" t="s">
        <v>3646</v>
      </c>
      <c r="B1698" s="2" t="s">
        <v>3647</v>
      </c>
      <c r="C1698" s="2" t="n">
        <v>3</v>
      </c>
      <c r="D1698" s="2" t="s">
        <v>22</v>
      </c>
      <c r="E1698" s="2" t="s">
        <v>2867</v>
      </c>
      <c r="F1698" s="3" t="n">
        <v>45822.9048611111</v>
      </c>
      <c r="G1698" s="2" t="s">
        <v>3306</v>
      </c>
      <c r="H1698" s="4" t="n">
        <v>0.2023</v>
      </c>
      <c r="I1698" s="2" t="s">
        <v>23</v>
      </c>
      <c r="J1698" s="2" t="s">
        <v>19</v>
      </c>
      <c r="K1698" s="2" t="n">
        <v>1</v>
      </c>
      <c r="L1698" s="2" t="n">
        <v>0</v>
      </c>
      <c r="M1698" s="2" t="n">
        <v>0</v>
      </c>
    </row>
    <row r="1699" customFormat="false" ht="15" hidden="false" customHeight="false" outlineLevel="0" collapsed="false">
      <c r="A1699" s="2" t="s">
        <v>3648</v>
      </c>
      <c r="B1699" s="2" t="s">
        <v>3649</v>
      </c>
      <c r="C1699" s="2" t="n">
        <v>5</v>
      </c>
      <c r="D1699" s="2" t="s">
        <v>127</v>
      </c>
      <c r="E1699" s="2" t="s">
        <v>2867</v>
      </c>
      <c r="F1699" s="3" t="n">
        <v>45823.0694444445</v>
      </c>
      <c r="G1699" s="2" t="s">
        <v>3306</v>
      </c>
      <c r="H1699" s="4" t="n">
        <v>0.9359</v>
      </c>
      <c r="I1699" s="2" t="s">
        <v>23</v>
      </c>
      <c r="J1699" s="2" t="s">
        <v>37</v>
      </c>
      <c r="K1699" s="2" t="n">
        <v>1</v>
      </c>
      <c r="L1699" s="2" t="n">
        <v>0</v>
      </c>
      <c r="M1699" s="2" t="n">
        <v>0</v>
      </c>
    </row>
    <row r="1700" customFormat="false" ht="15" hidden="false" customHeight="false" outlineLevel="0" collapsed="false">
      <c r="A1700" s="2" t="s">
        <v>3650</v>
      </c>
      <c r="B1700" s="2" t="s">
        <v>3651</v>
      </c>
      <c r="C1700" s="2" t="n">
        <v>5</v>
      </c>
      <c r="D1700" s="2" t="s">
        <v>47</v>
      </c>
      <c r="E1700" s="2" t="s">
        <v>2867</v>
      </c>
      <c r="F1700" s="3" t="n">
        <v>45823.1479166667</v>
      </c>
      <c r="G1700" s="2" t="s">
        <v>3306</v>
      </c>
      <c r="H1700" s="4" t="n">
        <v>0.3089</v>
      </c>
      <c r="I1700" s="2" t="s">
        <v>23</v>
      </c>
      <c r="J1700" s="2" t="s">
        <v>19</v>
      </c>
      <c r="K1700" s="2" t="n">
        <v>4</v>
      </c>
      <c r="L1700" s="2" t="n">
        <v>0</v>
      </c>
      <c r="M1700" s="2" t="n">
        <v>0</v>
      </c>
    </row>
    <row r="1701" customFormat="false" ht="15" hidden="false" customHeight="false" outlineLevel="0" collapsed="false">
      <c r="A1701" s="2" t="s">
        <v>3652</v>
      </c>
      <c r="B1701" s="2" t="s">
        <v>3653</v>
      </c>
      <c r="C1701" s="2" t="n">
        <v>5</v>
      </c>
      <c r="D1701" s="2" t="s">
        <v>96</v>
      </c>
      <c r="E1701" s="2" t="s">
        <v>2867</v>
      </c>
      <c r="F1701" s="3" t="n">
        <v>45823.2347222222</v>
      </c>
      <c r="G1701" s="2" t="s">
        <v>3306</v>
      </c>
      <c r="H1701" s="4" t="n">
        <v>0.6369</v>
      </c>
      <c r="I1701" s="2" t="s">
        <v>23</v>
      </c>
      <c r="J1701" s="2" t="s">
        <v>19</v>
      </c>
      <c r="K1701" s="2" t="n">
        <v>1</v>
      </c>
      <c r="L1701" s="2" t="n">
        <v>0</v>
      </c>
      <c r="M1701" s="2" t="n">
        <v>0</v>
      </c>
    </row>
    <row r="1702" customFormat="false" ht="15" hidden="false" customHeight="false" outlineLevel="0" collapsed="false">
      <c r="A1702" s="2" t="s">
        <v>3654</v>
      </c>
      <c r="B1702" s="2" t="s">
        <v>3655</v>
      </c>
      <c r="C1702" s="2" t="n">
        <v>2</v>
      </c>
      <c r="D1702" s="2" t="s">
        <v>1374</v>
      </c>
      <c r="E1702" s="2" t="s">
        <v>2867</v>
      </c>
      <c r="F1702" s="3" t="n">
        <v>45823.3090277778</v>
      </c>
      <c r="G1702" s="2" t="s">
        <v>3306</v>
      </c>
      <c r="H1702" s="4" t="n">
        <v>0.4404</v>
      </c>
      <c r="I1702" s="2" t="s">
        <v>23</v>
      </c>
      <c r="J1702" s="2" t="s">
        <v>59</v>
      </c>
      <c r="K1702" s="2" t="n">
        <v>12</v>
      </c>
      <c r="L1702" s="2" t="n">
        <v>0</v>
      </c>
      <c r="M1702" s="2" t="n">
        <v>0</v>
      </c>
    </row>
    <row r="1703" customFormat="false" ht="15" hidden="false" customHeight="false" outlineLevel="0" collapsed="false">
      <c r="A1703" s="2" t="s">
        <v>3656</v>
      </c>
      <c r="B1703" s="2" t="s">
        <v>3657</v>
      </c>
      <c r="C1703" s="2" t="n">
        <v>5</v>
      </c>
      <c r="D1703" s="2" t="s">
        <v>52</v>
      </c>
      <c r="E1703" s="2" t="s">
        <v>2867</v>
      </c>
      <c r="F1703" s="3" t="n">
        <v>45823.3368055556</v>
      </c>
      <c r="G1703" s="2" t="s">
        <v>3306</v>
      </c>
      <c r="H1703" s="4" t="n">
        <v>0.6369</v>
      </c>
      <c r="I1703" s="2" t="s">
        <v>23</v>
      </c>
      <c r="J1703" s="2" t="s">
        <v>19</v>
      </c>
      <c r="K1703" s="2" t="n">
        <v>0</v>
      </c>
      <c r="L1703" s="2" t="n">
        <v>0</v>
      </c>
      <c r="M1703" s="2" t="n">
        <v>0</v>
      </c>
    </row>
    <row r="1704" customFormat="false" ht="15" hidden="false" customHeight="false" outlineLevel="0" collapsed="false">
      <c r="A1704" s="2" t="s">
        <v>3658</v>
      </c>
      <c r="B1704" s="2" t="s">
        <v>3659</v>
      </c>
      <c r="C1704" s="2" t="n">
        <v>1</v>
      </c>
      <c r="D1704" s="2" t="s">
        <v>133</v>
      </c>
      <c r="E1704" s="2" t="s">
        <v>2867</v>
      </c>
      <c r="F1704" s="3" t="n">
        <v>45823.3541666667</v>
      </c>
      <c r="G1704" s="2" t="s">
        <v>3306</v>
      </c>
      <c r="H1704" s="4" t="n">
        <v>-0.5719</v>
      </c>
      <c r="I1704" s="2" t="s">
        <v>84</v>
      </c>
      <c r="J1704" s="2" t="s">
        <v>33</v>
      </c>
      <c r="K1704" s="2" t="n">
        <v>7</v>
      </c>
      <c r="L1704" s="2" t="n">
        <v>0</v>
      </c>
      <c r="M1704" s="2" t="n">
        <v>0</v>
      </c>
    </row>
    <row r="1705" customFormat="false" ht="15" hidden="false" customHeight="false" outlineLevel="0" collapsed="false">
      <c r="A1705" s="2" t="s">
        <v>3660</v>
      </c>
      <c r="B1705" s="2" t="s">
        <v>3661</v>
      </c>
      <c r="C1705" s="2" t="n">
        <v>5</v>
      </c>
      <c r="D1705" s="2" t="s">
        <v>96</v>
      </c>
      <c r="E1705" s="2" t="s">
        <v>2867</v>
      </c>
      <c r="F1705" s="3" t="n">
        <v>45823.4125</v>
      </c>
      <c r="G1705" s="2" t="s">
        <v>3306</v>
      </c>
      <c r="H1705" s="4" t="n">
        <v>0.6369</v>
      </c>
      <c r="I1705" s="2" t="s">
        <v>23</v>
      </c>
      <c r="J1705" s="2" t="s">
        <v>19</v>
      </c>
      <c r="K1705" s="2" t="n">
        <v>4</v>
      </c>
      <c r="L1705" s="2" t="n">
        <v>0</v>
      </c>
      <c r="M1705" s="2" t="n">
        <v>0</v>
      </c>
    </row>
    <row r="1706" customFormat="false" ht="15" hidden="false" customHeight="false" outlineLevel="0" collapsed="false">
      <c r="A1706" s="2" t="s">
        <v>3662</v>
      </c>
      <c r="B1706" s="2" t="s">
        <v>3663</v>
      </c>
      <c r="C1706" s="2" t="n">
        <v>3</v>
      </c>
      <c r="D1706" s="2" t="s">
        <v>301</v>
      </c>
      <c r="E1706" s="2" t="s">
        <v>2867</v>
      </c>
      <c r="F1706" s="3" t="n">
        <v>45823.56875</v>
      </c>
      <c r="G1706" s="2" t="s">
        <v>3306</v>
      </c>
      <c r="H1706" s="4" t="n">
        <v>0.2263</v>
      </c>
      <c r="I1706" s="2" t="s">
        <v>23</v>
      </c>
      <c r="J1706" s="2" t="s">
        <v>19</v>
      </c>
      <c r="K1706" s="2" t="n">
        <v>1</v>
      </c>
      <c r="L1706" s="2" t="n">
        <v>0</v>
      </c>
      <c r="M1706" s="2" t="n">
        <v>0</v>
      </c>
    </row>
    <row r="1707" customFormat="false" ht="15" hidden="false" customHeight="false" outlineLevel="0" collapsed="false">
      <c r="A1707" s="2" t="s">
        <v>3664</v>
      </c>
      <c r="B1707" s="2" t="s">
        <v>3665</v>
      </c>
      <c r="C1707" s="2" t="n">
        <v>3</v>
      </c>
      <c r="D1707" s="2" t="s">
        <v>99</v>
      </c>
      <c r="E1707" s="2" t="s">
        <v>2867</v>
      </c>
      <c r="F1707" s="3" t="n">
        <v>45823.6277777778</v>
      </c>
      <c r="G1707" s="2" t="s">
        <v>3306</v>
      </c>
      <c r="H1707" s="4" t="n">
        <v>-0.3089</v>
      </c>
      <c r="I1707" s="2" t="s">
        <v>84</v>
      </c>
      <c r="J1707" s="2" t="s">
        <v>19</v>
      </c>
      <c r="K1707" s="2" t="n">
        <v>2</v>
      </c>
      <c r="L1707" s="2" t="n">
        <v>0</v>
      </c>
      <c r="M1707" s="2" t="n">
        <v>0</v>
      </c>
    </row>
    <row r="1708" customFormat="false" ht="15" hidden="false" customHeight="false" outlineLevel="0" collapsed="false">
      <c r="A1708" s="2" t="s">
        <v>3666</v>
      </c>
      <c r="B1708" s="2" t="s">
        <v>3667</v>
      </c>
      <c r="C1708" s="2" t="n">
        <v>5</v>
      </c>
      <c r="D1708" s="2" t="s">
        <v>40</v>
      </c>
      <c r="E1708" s="2" t="s">
        <v>2867</v>
      </c>
      <c r="F1708" s="3" t="n">
        <v>45823.66875</v>
      </c>
      <c r="G1708" s="2" t="s">
        <v>3306</v>
      </c>
      <c r="H1708" s="4" t="n">
        <v>0.4019</v>
      </c>
      <c r="I1708" s="2" t="s">
        <v>23</v>
      </c>
      <c r="J1708" s="2" t="s">
        <v>33</v>
      </c>
      <c r="K1708" s="2" t="n">
        <v>0</v>
      </c>
      <c r="L1708" s="2" t="n">
        <v>0</v>
      </c>
      <c r="M1708" s="2" t="n">
        <v>0</v>
      </c>
    </row>
    <row r="1709" customFormat="false" ht="15" hidden="false" customHeight="false" outlineLevel="0" collapsed="false">
      <c r="A1709" s="2" t="s">
        <v>3668</v>
      </c>
      <c r="B1709" s="2" t="s">
        <v>3669</v>
      </c>
      <c r="C1709" s="2" t="n">
        <v>4</v>
      </c>
      <c r="D1709" s="2" t="s">
        <v>40</v>
      </c>
      <c r="E1709" s="2" t="s">
        <v>2867</v>
      </c>
      <c r="F1709" s="3" t="n">
        <v>45823.6743055556</v>
      </c>
      <c r="G1709" s="2" t="s">
        <v>3306</v>
      </c>
      <c r="H1709" s="4" t="n">
        <v>0.4019</v>
      </c>
      <c r="I1709" s="2" t="s">
        <v>23</v>
      </c>
      <c r="J1709" s="2" t="s">
        <v>33</v>
      </c>
      <c r="K1709" s="2" t="n">
        <v>4</v>
      </c>
      <c r="L1709" s="2" t="n">
        <v>0</v>
      </c>
      <c r="M1709" s="2" t="n">
        <v>0</v>
      </c>
    </row>
    <row r="1710" customFormat="false" ht="15" hidden="false" customHeight="false" outlineLevel="0" collapsed="false">
      <c r="A1710" s="2" t="s">
        <v>3670</v>
      </c>
      <c r="B1710" s="2" t="s">
        <v>3671</v>
      </c>
      <c r="C1710" s="2" t="n">
        <v>3</v>
      </c>
      <c r="D1710" s="2" t="s">
        <v>36</v>
      </c>
      <c r="E1710" s="2" t="s">
        <v>2867</v>
      </c>
      <c r="F1710" s="3" t="n">
        <v>45823.7590277778</v>
      </c>
      <c r="G1710" s="2" t="s">
        <v>3306</v>
      </c>
      <c r="H1710" s="4" t="n">
        <v>0.4404</v>
      </c>
      <c r="I1710" s="2" t="s">
        <v>23</v>
      </c>
      <c r="J1710" s="2" t="s">
        <v>37</v>
      </c>
      <c r="K1710" s="2" t="n">
        <v>4</v>
      </c>
      <c r="L1710" s="2" t="n">
        <v>0</v>
      </c>
      <c r="M1710" s="2" t="n">
        <v>0</v>
      </c>
    </row>
    <row r="1711" customFormat="false" ht="15" hidden="false" customHeight="false" outlineLevel="0" collapsed="false">
      <c r="A1711" s="2" t="s">
        <v>3672</v>
      </c>
      <c r="B1711" s="2" t="s">
        <v>3673</v>
      </c>
      <c r="C1711" s="2" t="n">
        <v>4</v>
      </c>
      <c r="D1711" s="2" t="s">
        <v>3104</v>
      </c>
      <c r="E1711" s="2" t="s">
        <v>2867</v>
      </c>
      <c r="F1711" s="3" t="n">
        <v>45823.8111111111</v>
      </c>
      <c r="G1711" s="2" t="s">
        <v>3306</v>
      </c>
      <c r="H1711" s="4" t="n">
        <v>0.3089</v>
      </c>
      <c r="I1711" s="2" t="s">
        <v>23</v>
      </c>
      <c r="J1711" s="2" t="s">
        <v>19</v>
      </c>
      <c r="K1711" s="2" t="n">
        <v>5</v>
      </c>
      <c r="L1711" s="2" t="n">
        <v>0</v>
      </c>
      <c r="M1711" s="2" t="n">
        <v>0</v>
      </c>
    </row>
    <row r="1712" customFormat="false" ht="15" hidden="false" customHeight="false" outlineLevel="0" collapsed="false">
      <c r="A1712" s="2" t="s">
        <v>3674</v>
      </c>
      <c r="B1712" s="2" t="s">
        <v>3675</v>
      </c>
      <c r="C1712" s="2" t="n">
        <v>4</v>
      </c>
      <c r="D1712" s="2" t="s">
        <v>96</v>
      </c>
      <c r="E1712" s="2" t="s">
        <v>2867</v>
      </c>
      <c r="F1712" s="3" t="n">
        <v>45823.9006944444</v>
      </c>
      <c r="G1712" s="2" t="s">
        <v>3306</v>
      </c>
      <c r="H1712" s="4" t="n">
        <v>0.6369</v>
      </c>
      <c r="I1712" s="2" t="s">
        <v>23</v>
      </c>
      <c r="J1712" s="2" t="s">
        <v>19</v>
      </c>
      <c r="K1712" s="2" t="n">
        <v>6</v>
      </c>
      <c r="L1712" s="2" t="n">
        <v>0</v>
      </c>
      <c r="M1712" s="2" t="n">
        <v>0</v>
      </c>
    </row>
    <row r="1713" customFormat="false" ht="15" hidden="false" customHeight="false" outlineLevel="0" collapsed="false">
      <c r="A1713" s="2" t="s">
        <v>3676</v>
      </c>
      <c r="B1713" s="2" t="s">
        <v>3677</v>
      </c>
      <c r="C1713" s="2" t="n">
        <v>4</v>
      </c>
      <c r="D1713" s="2" t="s">
        <v>475</v>
      </c>
      <c r="E1713" s="2" t="s">
        <v>2867</v>
      </c>
      <c r="F1713" s="3" t="n">
        <v>45824.1923611111</v>
      </c>
      <c r="G1713" s="2" t="s">
        <v>3306</v>
      </c>
      <c r="H1713" s="4" t="n">
        <v>0.7845</v>
      </c>
      <c r="I1713" s="2" t="s">
        <v>23</v>
      </c>
      <c r="J1713" s="2" t="s">
        <v>33</v>
      </c>
      <c r="K1713" s="2" t="n">
        <v>1</v>
      </c>
      <c r="L1713" s="2" t="n">
        <v>0</v>
      </c>
      <c r="M1713" s="2" t="n">
        <v>0</v>
      </c>
    </row>
    <row r="1714" customFormat="false" ht="15" hidden="false" customHeight="false" outlineLevel="0" collapsed="false">
      <c r="A1714" s="2" t="s">
        <v>3678</v>
      </c>
      <c r="B1714" s="2" t="s">
        <v>3679</v>
      </c>
      <c r="C1714" s="2" t="n">
        <v>5</v>
      </c>
      <c r="D1714" s="2" t="s">
        <v>96</v>
      </c>
      <c r="E1714" s="2" t="s">
        <v>2867</v>
      </c>
      <c r="F1714" s="3" t="n">
        <v>45824.3180555556</v>
      </c>
      <c r="G1714" s="2" t="s">
        <v>3306</v>
      </c>
      <c r="H1714" s="4" t="n">
        <v>0.6369</v>
      </c>
      <c r="I1714" s="2" t="s">
        <v>23</v>
      </c>
      <c r="J1714" s="2" t="s">
        <v>19</v>
      </c>
      <c r="K1714" s="2" t="n">
        <v>4</v>
      </c>
      <c r="L1714" s="2" t="n">
        <v>1</v>
      </c>
      <c r="M1714" s="2" t="n">
        <v>0</v>
      </c>
    </row>
    <row r="1715" customFormat="false" ht="15" hidden="false" customHeight="false" outlineLevel="0" collapsed="false">
      <c r="A1715" s="2" t="s">
        <v>3680</v>
      </c>
      <c r="B1715" s="2" t="s">
        <v>3681</v>
      </c>
      <c r="C1715" s="2" t="n">
        <v>4</v>
      </c>
      <c r="D1715" s="2" t="s">
        <v>47</v>
      </c>
      <c r="E1715" s="2" t="s">
        <v>2867</v>
      </c>
      <c r="F1715" s="3" t="n">
        <v>45824.3777777778</v>
      </c>
      <c r="G1715" s="2" t="s">
        <v>3306</v>
      </c>
      <c r="H1715" s="4" t="n">
        <v>0.3089</v>
      </c>
      <c r="I1715" s="2" t="s">
        <v>23</v>
      </c>
      <c r="J1715" s="2" t="s">
        <v>19</v>
      </c>
      <c r="K1715" s="2" t="n">
        <v>3</v>
      </c>
      <c r="L1715" s="2" t="n">
        <v>0</v>
      </c>
      <c r="M1715" s="2" t="n">
        <v>0</v>
      </c>
    </row>
    <row r="1716" customFormat="false" ht="15" hidden="false" customHeight="false" outlineLevel="0" collapsed="false">
      <c r="A1716" s="2" t="s">
        <v>3682</v>
      </c>
      <c r="B1716" s="2" t="s">
        <v>3683</v>
      </c>
      <c r="C1716" s="2" t="n">
        <v>5</v>
      </c>
      <c r="D1716" s="2" t="s">
        <v>652</v>
      </c>
      <c r="E1716" s="2" t="s">
        <v>2867</v>
      </c>
      <c r="F1716" s="3" t="n">
        <v>45824.4194444444</v>
      </c>
      <c r="G1716" s="2" t="s">
        <v>3306</v>
      </c>
      <c r="H1716" s="4" t="n">
        <v>0.8555</v>
      </c>
      <c r="I1716" s="2" t="s">
        <v>23</v>
      </c>
      <c r="J1716" s="2" t="s">
        <v>19</v>
      </c>
      <c r="K1716" s="2" t="n">
        <v>9</v>
      </c>
      <c r="L1716" s="2" t="n">
        <v>0</v>
      </c>
      <c r="M1716" s="2" t="n">
        <v>0</v>
      </c>
    </row>
    <row r="1717" customFormat="false" ht="15" hidden="false" customHeight="false" outlineLevel="0" collapsed="false">
      <c r="A1717" s="2" t="s">
        <v>3684</v>
      </c>
      <c r="B1717" s="2" t="s">
        <v>3685</v>
      </c>
      <c r="C1717" s="2" t="n">
        <v>1</v>
      </c>
      <c r="D1717" s="2" t="s">
        <v>1034</v>
      </c>
      <c r="E1717" s="2" t="s">
        <v>2867</v>
      </c>
      <c r="F1717" s="3" t="n">
        <v>45824.5493055556</v>
      </c>
      <c r="G1717" s="2" t="s">
        <v>3306</v>
      </c>
      <c r="H1717" s="4" t="n">
        <v>0</v>
      </c>
      <c r="I1717" s="2" t="s">
        <v>18</v>
      </c>
      <c r="J1717" s="2" t="s">
        <v>110</v>
      </c>
      <c r="K1717" s="2" t="n">
        <v>1</v>
      </c>
      <c r="L1717" s="2" t="n">
        <v>0</v>
      </c>
      <c r="M1717" s="2" t="n">
        <v>0</v>
      </c>
    </row>
    <row r="1718" customFormat="false" ht="15" hidden="false" customHeight="false" outlineLevel="0" collapsed="false">
      <c r="A1718" s="2" t="s">
        <v>3686</v>
      </c>
      <c r="B1718" s="2" t="s">
        <v>3687</v>
      </c>
      <c r="C1718" s="2" t="n">
        <v>5</v>
      </c>
      <c r="D1718" s="2" t="s">
        <v>90</v>
      </c>
      <c r="E1718" s="2" t="s">
        <v>2867</v>
      </c>
      <c r="F1718" s="3" t="n">
        <v>45824.5513888889</v>
      </c>
      <c r="G1718" s="2" t="s">
        <v>3306</v>
      </c>
      <c r="H1718" s="4" t="n">
        <v>0.6249</v>
      </c>
      <c r="I1718" s="2" t="s">
        <v>23</v>
      </c>
      <c r="J1718" s="2" t="s">
        <v>37</v>
      </c>
      <c r="K1718" s="2" t="n">
        <v>7</v>
      </c>
      <c r="L1718" s="2" t="n">
        <v>0</v>
      </c>
      <c r="M1718" s="2" t="n">
        <v>0</v>
      </c>
    </row>
    <row r="1719" customFormat="false" ht="15" hidden="false" customHeight="false" outlineLevel="0" collapsed="false">
      <c r="A1719" s="2" t="s">
        <v>3688</v>
      </c>
      <c r="B1719" s="2" t="s">
        <v>3689</v>
      </c>
      <c r="C1719" s="2" t="n">
        <v>1</v>
      </c>
      <c r="D1719" s="2" t="s">
        <v>661</v>
      </c>
      <c r="E1719" s="2" t="s">
        <v>2867</v>
      </c>
      <c r="F1719" s="3" t="n">
        <v>45824.5541666667</v>
      </c>
      <c r="G1719" s="2" t="s">
        <v>3306</v>
      </c>
      <c r="H1719" s="4" t="n">
        <v>0</v>
      </c>
      <c r="I1719" s="2" t="s">
        <v>18</v>
      </c>
      <c r="J1719" s="2" t="s">
        <v>59</v>
      </c>
      <c r="K1719" s="2" t="n">
        <v>1</v>
      </c>
      <c r="L1719" s="2" t="n">
        <v>0</v>
      </c>
      <c r="M1719" s="2" t="n">
        <v>0</v>
      </c>
    </row>
    <row r="1720" customFormat="false" ht="15" hidden="false" customHeight="false" outlineLevel="0" collapsed="false">
      <c r="A1720" s="2" t="s">
        <v>3690</v>
      </c>
      <c r="B1720" s="2" t="s">
        <v>3691</v>
      </c>
      <c r="C1720" s="2" t="n">
        <v>5</v>
      </c>
      <c r="D1720" s="2" t="s">
        <v>127</v>
      </c>
      <c r="E1720" s="2" t="s">
        <v>2867</v>
      </c>
      <c r="F1720" s="3" t="n">
        <v>45824.5680555556</v>
      </c>
      <c r="G1720" s="2" t="s">
        <v>3306</v>
      </c>
      <c r="H1720" s="4" t="n">
        <v>0.9359</v>
      </c>
      <c r="I1720" s="2" t="s">
        <v>23</v>
      </c>
      <c r="J1720" s="2" t="s">
        <v>37</v>
      </c>
      <c r="K1720" s="2" t="n">
        <v>3</v>
      </c>
      <c r="L1720" s="2" t="n">
        <v>0</v>
      </c>
      <c r="M1720" s="2" t="n">
        <v>0</v>
      </c>
    </row>
    <row r="1721" customFormat="false" ht="15" hidden="false" customHeight="false" outlineLevel="0" collapsed="false">
      <c r="A1721" s="2" t="s">
        <v>3692</v>
      </c>
      <c r="B1721" s="2" t="s">
        <v>3693</v>
      </c>
      <c r="C1721" s="2" t="n">
        <v>5</v>
      </c>
      <c r="D1721" s="2" t="s">
        <v>40</v>
      </c>
      <c r="E1721" s="2" t="s">
        <v>2867</v>
      </c>
      <c r="F1721" s="3" t="n">
        <v>45824.8222222222</v>
      </c>
      <c r="G1721" s="2" t="s">
        <v>3306</v>
      </c>
      <c r="H1721" s="4" t="n">
        <v>0.4019</v>
      </c>
      <c r="I1721" s="2" t="s">
        <v>23</v>
      </c>
      <c r="J1721" s="2" t="s">
        <v>33</v>
      </c>
      <c r="K1721" s="2" t="n">
        <v>5</v>
      </c>
      <c r="L1721" s="2" t="n">
        <v>0</v>
      </c>
      <c r="M1721" s="2" t="n">
        <v>0</v>
      </c>
    </row>
    <row r="1722" customFormat="false" ht="15" hidden="false" customHeight="false" outlineLevel="0" collapsed="false">
      <c r="A1722" s="2" t="s">
        <v>3694</v>
      </c>
      <c r="B1722" s="2" t="s">
        <v>3695</v>
      </c>
      <c r="C1722" s="2" t="n">
        <v>4</v>
      </c>
      <c r="D1722" s="2" t="s">
        <v>36</v>
      </c>
      <c r="E1722" s="2" t="s">
        <v>2867</v>
      </c>
      <c r="F1722" s="3" t="n">
        <v>45824.9368055556</v>
      </c>
      <c r="G1722" s="2" t="s">
        <v>3306</v>
      </c>
      <c r="H1722" s="4" t="n">
        <v>0.4404</v>
      </c>
      <c r="I1722" s="2" t="s">
        <v>23</v>
      </c>
      <c r="J1722" s="2" t="s">
        <v>37</v>
      </c>
      <c r="K1722" s="2" t="n">
        <v>2</v>
      </c>
      <c r="L1722" s="2" t="n">
        <v>0</v>
      </c>
      <c r="M1722" s="2" t="n">
        <v>0</v>
      </c>
    </row>
    <row r="1723" customFormat="false" ht="15" hidden="false" customHeight="false" outlineLevel="0" collapsed="false">
      <c r="A1723" s="2" t="s">
        <v>3696</v>
      </c>
      <c r="B1723" s="2" t="s">
        <v>3697</v>
      </c>
      <c r="C1723" s="2" t="n">
        <v>4</v>
      </c>
      <c r="D1723" s="2" t="s">
        <v>301</v>
      </c>
      <c r="E1723" s="2" t="s">
        <v>2867</v>
      </c>
      <c r="F1723" s="3" t="n">
        <v>45824.9895833333</v>
      </c>
      <c r="G1723" s="2" t="s">
        <v>3306</v>
      </c>
      <c r="H1723" s="4" t="n">
        <v>0.2263</v>
      </c>
      <c r="I1723" s="2" t="s">
        <v>23</v>
      </c>
      <c r="J1723" s="2" t="s">
        <v>19</v>
      </c>
      <c r="K1723" s="2" t="n">
        <v>5</v>
      </c>
      <c r="L1723" s="2" t="n">
        <v>0</v>
      </c>
      <c r="M1723" s="2" t="n">
        <v>0</v>
      </c>
    </row>
    <row r="1724" customFormat="false" ht="15" hidden="false" customHeight="false" outlineLevel="0" collapsed="false">
      <c r="A1724" s="2" t="s">
        <v>3698</v>
      </c>
      <c r="B1724" s="2" t="s">
        <v>3699</v>
      </c>
      <c r="C1724" s="2" t="n">
        <v>3</v>
      </c>
      <c r="D1724" s="2" t="s">
        <v>301</v>
      </c>
      <c r="E1724" s="2" t="s">
        <v>2867</v>
      </c>
      <c r="F1724" s="3" t="n">
        <v>45825.2159722222</v>
      </c>
      <c r="G1724" s="2" t="s">
        <v>3306</v>
      </c>
      <c r="H1724" s="4" t="n">
        <v>0.2263</v>
      </c>
      <c r="I1724" s="2" t="s">
        <v>23</v>
      </c>
      <c r="J1724" s="2" t="s">
        <v>19</v>
      </c>
      <c r="K1724" s="2" t="n">
        <v>11</v>
      </c>
      <c r="L1724" s="2" t="n">
        <v>0</v>
      </c>
      <c r="M1724" s="2" t="n">
        <v>0</v>
      </c>
    </row>
    <row r="1725" customFormat="false" ht="15" hidden="false" customHeight="false" outlineLevel="0" collapsed="false">
      <c r="A1725" s="2" t="s">
        <v>3700</v>
      </c>
      <c r="B1725" s="2" t="s">
        <v>3701</v>
      </c>
      <c r="C1725" s="2" t="n">
        <v>3</v>
      </c>
      <c r="D1725" s="2" t="s">
        <v>2127</v>
      </c>
      <c r="E1725" s="2" t="s">
        <v>2867</v>
      </c>
      <c r="F1725" s="3" t="n">
        <v>45825.2263888889</v>
      </c>
      <c r="G1725" s="2" t="s">
        <v>3306</v>
      </c>
      <c r="H1725" s="4" t="n">
        <v>0.3818</v>
      </c>
      <c r="I1725" s="2" t="s">
        <v>23</v>
      </c>
      <c r="J1725" s="2" t="s">
        <v>19</v>
      </c>
      <c r="K1725" s="2" t="n">
        <v>1</v>
      </c>
      <c r="L1725" s="2" t="n">
        <v>0</v>
      </c>
      <c r="M1725" s="2" t="n">
        <v>0</v>
      </c>
    </row>
    <row r="1726" customFormat="false" ht="15" hidden="false" customHeight="false" outlineLevel="0" collapsed="false">
      <c r="A1726" s="2" t="s">
        <v>3702</v>
      </c>
      <c r="B1726" s="2" t="s">
        <v>3703</v>
      </c>
      <c r="C1726" s="2" t="n">
        <v>3</v>
      </c>
      <c r="D1726" s="2" t="s">
        <v>87</v>
      </c>
      <c r="E1726" s="2" t="s">
        <v>2867</v>
      </c>
      <c r="F1726" s="3" t="n">
        <v>45825.2868055556</v>
      </c>
      <c r="G1726" s="2" t="s">
        <v>3306</v>
      </c>
      <c r="H1726" s="4" t="n">
        <v>0</v>
      </c>
      <c r="I1726" s="2" t="s">
        <v>18</v>
      </c>
      <c r="J1726" s="2" t="s">
        <v>19</v>
      </c>
      <c r="K1726" s="2" t="n">
        <v>5</v>
      </c>
      <c r="L1726" s="2" t="n">
        <v>0</v>
      </c>
      <c r="M1726" s="2" t="n">
        <v>0</v>
      </c>
    </row>
    <row r="1727" customFormat="false" ht="15" hidden="false" customHeight="false" outlineLevel="0" collapsed="false">
      <c r="A1727" s="2" t="s">
        <v>3704</v>
      </c>
      <c r="B1727" s="2" t="s">
        <v>3705</v>
      </c>
      <c r="C1727" s="2" t="n">
        <v>5</v>
      </c>
      <c r="D1727" s="2" t="s">
        <v>96</v>
      </c>
      <c r="E1727" s="2" t="s">
        <v>2867</v>
      </c>
      <c r="F1727" s="3" t="n">
        <v>45825.3736111111</v>
      </c>
      <c r="G1727" s="2" t="s">
        <v>3306</v>
      </c>
      <c r="H1727" s="4" t="n">
        <v>0.6369</v>
      </c>
      <c r="I1727" s="2" t="s">
        <v>23</v>
      </c>
      <c r="J1727" s="2" t="s">
        <v>19</v>
      </c>
      <c r="K1727" s="2" t="n">
        <v>2</v>
      </c>
      <c r="L1727" s="2" t="n">
        <v>0</v>
      </c>
      <c r="M1727" s="2" t="n">
        <v>0</v>
      </c>
    </row>
    <row r="1728" customFormat="false" ht="15" hidden="false" customHeight="false" outlineLevel="0" collapsed="false">
      <c r="A1728" s="2" t="s">
        <v>3706</v>
      </c>
      <c r="B1728" s="2" t="s">
        <v>3707</v>
      </c>
      <c r="C1728" s="2" t="n">
        <v>3</v>
      </c>
      <c r="D1728" s="2" t="s">
        <v>22</v>
      </c>
      <c r="E1728" s="2" t="s">
        <v>2867</v>
      </c>
      <c r="F1728" s="3" t="n">
        <v>45825.4805555556</v>
      </c>
      <c r="G1728" s="2" t="s">
        <v>3306</v>
      </c>
      <c r="H1728" s="4" t="n">
        <v>0.2023</v>
      </c>
      <c r="I1728" s="2" t="s">
        <v>23</v>
      </c>
      <c r="J1728" s="2" t="s">
        <v>19</v>
      </c>
      <c r="K1728" s="2" t="n">
        <v>3</v>
      </c>
      <c r="L1728" s="2" t="n">
        <v>0</v>
      </c>
      <c r="M1728" s="2" t="n">
        <v>0</v>
      </c>
    </row>
    <row r="1729" customFormat="false" ht="15" hidden="false" customHeight="false" outlineLevel="0" collapsed="false">
      <c r="A1729" s="2" t="s">
        <v>3708</v>
      </c>
      <c r="B1729" s="2" t="s">
        <v>3709</v>
      </c>
      <c r="C1729" s="2" t="n">
        <v>1</v>
      </c>
      <c r="D1729" s="2" t="s">
        <v>3710</v>
      </c>
      <c r="E1729" s="2" t="s">
        <v>2867</v>
      </c>
      <c r="F1729" s="3" t="n">
        <v>45825.6416666667</v>
      </c>
      <c r="G1729" s="2" t="s">
        <v>3306</v>
      </c>
      <c r="H1729" s="4" t="n">
        <v>-0.3309</v>
      </c>
      <c r="I1729" s="2" t="s">
        <v>84</v>
      </c>
      <c r="J1729" s="2" t="s">
        <v>59</v>
      </c>
      <c r="K1729" s="2" t="n">
        <v>0</v>
      </c>
      <c r="L1729" s="2" t="n">
        <v>1</v>
      </c>
      <c r="M1729" s="2" t="n">
        <v>0</v>
      </c>
    </row>
    <row r="1730" customFormat="false" ht="15" hidden="false" customHeight="false" outlineLevel="0" collapsed="false">
      <c r="A1730" s="2" t="s">
        <v>3711</v>
      </c>
      <c r="B1730" s="2" t="s">
        <v>3712</v>
      </c>
      <c r="C1730" s="2" t="n">
        <v>1</v>
      </c>
      <c r="D1730" s="2" t="s">
        <v>455</v>
      </c>
      <c r="E1730" s="2" t="s">
        <v>2867</v>
      </c>
      <c r="F1730" s="3" t="n">
        <v>45825.6416666667</v>
      </c>
      <c r="G1730" s="2" t="s">
        <v>3306</v>
      </c>
      <c r="H1730" s="4" t="n">
        <v>-0.2263</v>
      </c>
      <c r="I1730" s="2" t="s">
        <v>84</v>
      </c>
      <c r="J1730" s="2" t="s">
        <v>165</v>
      </c>
      <c r="K1730" s="2" t="n">
        <v>4</v>
      </c>
      <c r="L1730" s="2" t="n">
        <v>0</v>
      </c>
      <c r="M1730" s="2" t="n">
        <v>0</v>
      </c>
    </row>
    <row r="1731" customFormat="false" ht="15" hidden="false" customHeight="false" outlineLevel="0" collapsed="false">
      <c r="A1731" s="2" t="s">
        <v>3713</v>
      </c>
      <c r="B1731" s="2" t="s">
        <v>3714</v>
      </c>
      <c r="C1731" s="2" t="n">
        <v>1</v>
      </c>
      <c r="D1731" s="2" t="s">
        <v>397</v>
      </c>
      <c r="E1731" s="2" t="s">
        <v>2867</v>
      </c>
      <c r="F1731" s="3" t="n">
        <v>45825.70625</v>
      </c>
      <c r="G1731" s="2" t="s">
        <v>3306</v>
      </c>
      <c r="H1731" s="4" t="n">
        <v>0</v>
      </c>
      <c r="I1731" s="2" t="s">
        <v>18</v>
      </c>
      <c r="J1731" s="2" t="s">
        <v>110</v>
      </c>
      <c r="K1731" s="2" t="n">
        <v>3</v>
      </c>
      <c r="L1731" s="2" t="n">
        <v>1</v>
      </c>
      <c r="M1731" s="2" t="n">
        <v>0</v>
      </c>
    </row>
    <row r="1732" customFormat="false" ht="15" hidden="false" customHeight="false" outlineLevel="0" collapsed="false">
      <c r="A1732" s="2" t="s">
        <v>3715</v>
      </c>
      <c r="B1732" s="2" t="s">
        <v>3716</v>
      </c>
      <c r="C1732" s="2" t="n">
        <v>5</v>
      </c>
      <c r="D1732" s="2" t="s">
        <v>40</v>
      </c>
      <c r="E1732" s="2" t="s">
        <v>2867</v>
      </c>
      <c r="F1732" s="3" t="n">
        <v>45825.7347222222</v>
      </c>
      <c r="G1732" s="2" t="s">
        <v>3306</v>
      </c>
      <c r="H1732" s="4" t="n">
        <v>0.4019</v>
      </c>
      <c r="I1732" s="2" t="s">
        <v>23</v>
      </c>
      <c r="J1732" s="2" t="s">
        <v>33</v>
      </c>
      <c r="K1732" s="2" t="n">
        <v>1</v>
      </c>
      <c r="L1732" s="2" t="n">
        <v>0</v>
      </c>
      <c r="M1732" s="2" t="n">
        <v>0</v>
      </c>
    </row>
    <row r="1733" customFormat="false" ht="15" hidden="false" customHeight="false" outlineLevel="0" collapsed="false">
      <c r="A1733" s="2" t="s">
        <v>3717</v>
      </c>
      <c r="B1733" s="2" t="s">
        <v>3718</v>
      </c>
      <c r="C1733" s="2" t="n">
        <v>3</v>
      </c>
      <c r="D1733" s="2" t="s">
        <v>710</v>
      </c>
      <c r="E1733" s="2" t="s">
        <v>2867</v>
      </c>
      <c r="F1733" s="3" t="n">
        <v>45825.7743055556</v>
      </c>
      <c r="G1733" s="2" t="s">
        <v>3306</v>
      </c>
      <c r="H1733" s="4" t="n">
        <v>0.5719</v>
      </c>
      <c r="I1733" s="2" t="s">
        <v>23</v>
      </c>
      <c r="J1733" s="2" t="s">
        <v>37</v>
      </c>
      <c r="K1733" s="2" t="n">
        <v>0</v>
      </c>
      <c r="L1733" s="2" t="n">
        <v>0</v>
      </c>
      <c r="M1733" s="2" t="n">
        <v>0</v>
      </c>
    </row>
    <row r="1734" customFormat="false" ht="15" hidden="false" customHeight="false" outlineLevel="0" collapsed="false">
      <c r="A1734" s="2" t="s">
        <v>3719</v>
      </c>
      <c r="B1734" s="2" t="s">
        <v>3720</v>
      </c>
      <c r="C1734" s="2" t="n">
        <v>3</v>
      </c>
      <c r="D1734" s="2" t="s">
        <v>301</v>
      </c>
      <c r="E1734" s="2" t="s">
        <v>2867</v>
      </c>
      <c r="F1734" s="3" t="n">
        <v>45825.7826388889</v>
      </c>
      <c r="G1734" s="2" t="s">
        <v>3306</v>
      </c>
      <c r="H1734" s="4" t="n">
        <v>0.2263</v>
      </c>
      <c r="I1734" s="2" t="s">
        <v>23</v>
      </c>
      <c r="J1734" s="2" t="s">
        <v>19</v>
      </c>
      <c r="K1734" s="2" t="n">
        <v>8</v>
      </c>
      <c r="L1734" s="2" t="n">
        <v>0</v>
      </c>
      <c r="M1734" s="2" t="n">
        <v>0</v>
      </c>
    </row>
    <row r="1735" customFormat="false" ht="15" hidden="false" customHeight="false" outlineLevel="0" collapsed="false">
      <c r="A1735" s="2" t="s">
        <v>3721</v>
      </c>
      <c r="B1735" s="2" t="s">
        <v>3722</v>
      </c>
      <c r="C1735" s="2" t="n">
        <v>3</v>
      </c>
      <c r="D1735" s="2" t="s">
        <v>36</v>
      </c>
      <c r="E1735" s="2" t="s">
        <v>2867</v>
      </c>
      <c r="F1735" s="3" t="n">
        <v>45825.8166666667</v>
      </c>
      <c r="G1735" s="2" t="s">
        <v>3306</v>
      </c>
      <c r="H1735" s="4" t="n">
        <v>0.4404</v>
      </c>
      <c r="I1735" s="2" t="s">
        <v>23</v>
      </c>
      <c r="J1735" s="2" t="s">
        <v>37</v>
      </c>
      <c r="K1735" s="2" t="n">
        <v>1</v>
      </c>
      <c r="L1735" s="2" t="n">
        <v>0</v>
      </c>
      <c r="M1735" s="2" t="n">
        <v>0</v>
      </c>
    </row>
    <row r="1736" customFormat="false" ht="15" hidden="false" customHeight="false" outlineLevel="0" collapsed="false">
      <c r="A1736" s="2" t="s">
        <v>3723</v>
      </c>
      <c r="B1736" s="2" t="s">
        <v>3724</v>
      </c>
      <c r="C1736" s="2" t="n">
        <v>2</v>
      </c>
      <c r="D1736" s="2" t="s">
        <v>455</v>
      </c>
      <c r="E1736" s="2" t="s">
        <v>2867</v>
      </c>
      <c r="F1736" s="3" t="n">
        <v>45825.9555555556</v>
      </c>
      <c r="G1736" s="2" t="s">
        <v>3306</v>
      </c>
      <c r="H1736" s="4" t="n">
        <v>-0.2263</v>
      </c>
      <c r="I1736" s="2" t="s">
        <v>84</v>
      </c>
      <c r="J1736" s="2" t="s">
        <v>165</v>
      </c>
      <c r="K1736" s="2" t="n">
        <v>0</v>
      </c>
      <c r="L1736" s="2" t="n">
        <v>0</v>
      </c>
      <c r="M1736" s="2" t="n">
        <v>0</v>
      </c>
    </row>
    <row r="1737" customFormat="false" ht="15" hidden="false" customHeight="false" outlineLevel="0" collapsed="false">
      <c r="A1737" s="2" t="s">
        <v>3725</v>
      </c>
      <c r="B1737" s="2" t="s">
        <v>678</v>
      </c>
      <c r="C1737" s="2" t="n">
        <v>5</v>
      </c>
      <c r="D1737" s="2" t="s">
        <v>90</v>
      </c>
      <c r="E1737" s="2" t="s">
        <v>2867</v>
      </c>
      <c r="F1737" s="3" t="n">
        <v>45826.0243055556</v>
      </c>
      <c r="G1737" s="2" t="s">
        <v>3306</v>
      </c>
      <c r="H1737" s="4" t="n">
        <v>0.6249</v>
      </c>
      <c r="I1737" s="2" t="s">
        <v>23</v>
      </c>
      <c r="J1737" s="2" t="s">
        <v>37</v>
      </c>
      <c r="K1737" s="2" t="n">
        <v>2</v>
      </c>
      <c r="L1737" s="2" t="n">
        <v>0</v>
      </c>
      <c r="M1737" s="2" t="n">
        <v>0</v>
      </c>
    </row>
    <row r="1738" customFormat="false" ht="15" hidden="false" customHeight="false" outlineLevel="0" collapsed="false">
      <c r="A1738" s="2" t="s">
        <v>3726</v>
      </c>
      <c r="B1738" s="2" t="s">
        <v>3727</v>
      </c>
      <c r="C1738" s="2" t="n">
        <v>4</v>
      </c>
      <c r="D1738" s="2" t="s">
        <v>127</v>
      </c>
      <c r="E1738" s="2" t="s">
        <v>2867</v>
      </c>
      <c r="F1738" s="3" t="n">
        <v>45826.1354166667</v>
      </c>
      <c r="G1738" s="2" t="s">
        <v>3306</v>
      </c>
      <c r="H1738" s="4" t="n">
        <v>0.9359</v>
      </c>
      <c r="I1738" s="2" t="s">
        <v>23</v>
      </c>
      <c r="J1738" s="2" t="s">
        <v>37</v>
      </c>
      <c r="K1738" s="2" t="n">
        <v>4</v>
      </c>
      <c r="L1738" s="2" t="n">
        <v>0</v>
      </c>
      <c r="M1738" s="2" t="n">
        <v>0</v>
      </c>
    </row>
    <row r="1739" customFormat="false" ht="15" hidden="false" customHeight="false" outlineLevel="0" collapsed="false">
      <c r="A1739" s="2" t="s">
        <v>3728</v>
      </c>
      <c r="B1739" s="2" t="s">
        <v>3729</v>
      </c>
      <c r="C1739" s="2" t="n">
        <v>5</v>
      </c>
      <c r="D1739" s="2" t="s">
        <v>40</v>
      </c>
      <c r="E1739" s="2" t="s">
        <v>2867</v>
      </c>
      <c r="F1739" s="3" t="n">
        <v>45826.2305555556</v>
      </c>
      <c r="G1739" s="2" t="s">
        <v>3306</v>
      </c>
      <c r="H1739" s="4" t="n">
        <v>0.4019</v>
      </c>
      <c r="I1739" s="2" t="s">
        <v>23</v>
      </c>
      <c r="J1739" s="2" t="s">
        <v>33</v>
      </c>
      <c r="K1739" s="2" t="n">
        <v>9</v>
      </c>
      <c r="L1739" s="2" t="n">
        <v>0</v>
      </c>
      <c r="M1739" s="2" t="n">
        <v>0</v>
      </c>
    </row>
    <row r="1740" customFormat="false" ht="15" hidden="false" customHeight="false" outlineLevel="0" collapsed="false">
      <c r="A1740" s="2" t="s">
        <v>3730</v>
      </c>
      <c r="B1740" s="2" t="s">
        <v>3731</v>
      </c>
      <c r="C1740" s="2" t="n">
        <v>5</v>
      </c>
      <c r="D1740" s="2" t="s">
        <v>47</v>
      </c>
      <c r="E1740" s="2" t="s">
        <v>2867</v>
      </c>
      <c r="F1740" s="3" t="n">
        <v>45826.2333333333</v>
      </c>
      <c r="G1740" s="2" t="s">
        <v>3306</v>
      </c>
      <c r="H1740" s="4" t="n">
        <v>0.3089</v>
      </c>
      <c r="I1740" s="2" t="s">
        <v>23</v>
      </c>
      <c r="J1740" s="2" t="s">
        <v>19</v>
      </c>
      <c r="K1740" s="2" t="n">
        <v>7</v>
      </c>
      <c r="L1740" s="2" t="n">
        <v>0</v>
      </c>
      <c r="M1740" s="2" t="n">
        <v>0</v>
      </c>
    </row>
    <row r="1741" customFormat="false" ht="15" hidden="false" customHeight="false" outlineLevel="0" collapsed="false">
      <c r="A1741" s="2" t="s">
        <v>3732</v>
      </c>
      <c r="B1741" s="2" t="s">
        <v>3733</v>
      </c>
      <c r="C1741" s="2" t="n">
        <v>1</v>
      </c>
      <c r="D1741" s="2" t="s">
        <v>168</v>
      </c>
      <c r="E1741" s="2" t="s">
        <v>2867</v>
      </c>
      <c r="F1741" s="3" t="n">
        <v>45826.2472222222</v>
      </c>
      <c r="G1741" s="2" t="s">
        <v>3306</v>
      </c>
      <c r="H1741" s="4" t="n">
        <v>-0.1027</v>
      </c>
      <c r="I1741" s="2" t="s">
        <v>84</v>
      </c>
      <c r="J1741" s="2" t="s">
        <v>33</v>
      </c>
      <c r="K1741" s="2" t="n">
        <v>5</v>
      </c>
      <c r="L1741" s="2" t="n">
        <v>0</v>
      </c>
      <c r="M1741" s="2" t="n">
        <v>0</v>
      </c>
    </row>
    <row r="1742" customFormat="false" ht="15" hidden="false" customHeight="false" outlineLevel="0" collapsed="false">
      <c r="A1742" s="2" t="s">
        <v>3734</v>
      </c>
      <c r="B1742" s="2" t="s">
        <v>3735</v>
      </c>
      <c r="C1742" s="2" t="n">
        <v>5</v>
      </c>
      <c r="D1742" s="2" t="s">
        <v>127</v>
      </c>
      <c r="E1742" s="2" t="s">
        <v>2867</v>
      </c>
      <c r="F1742" s="3" t="n">
        <v>45826.275</v>
      </c>
      <c r="G1742" s="2" t="s">
        <v>3306</v>
      </c>
      <c r="H1742" s="4" t="n">
        <v>0.9359</v>
      </c>
      <c r="I1742" s="2" t="s">
        <v>23</v>
      </c>
      <c r="J1742" s="2" t="s">
        <v>37</v>
      </c>
      <c r="K1742" s="2" t="n">
        <v>3</v>
      </c>
      <c r="L1742" s="2" t="n">
        <v>0</v>
      </c>
      <c r="M1742" s="2" t="n">
        <v>0</v>
      </c>
    </row>
    <row r="1743" customFormat="false" ht="15" hidden="false" customHeight="false" outlineLevel="0" collapsed="false">
      <c r="A1743" s="2" t="s">
        <v>3736</v>
      </c>
      <c r="B1743" s="2" t="s">
        <v>3737</v>
      </c>
      <c r="C1743" s="2" t="n">
        <v>5</v>
      </c>
      <c r="D1743" s="2" t="s">
        <v>674</v>
      </c>
      <c r="E1743" s="2" t="s">
        <v>2867</v>
      </c>
      <c r="F1743" s="3" t="n">
        <v>45826.29375</v>
      </c>
      <c r="G1743" s="2" t="s">
        <v>3306</v>
      </c>
      <c r="H1743" s="4" t="n">
        <v>0.9481</v>
      </c>
      <c r="I1743" s="2" t="s">
        <v>23</v>
      </c>
      <c r="J1743" s="2" t="s">
        <v>37</v>
      </c>
      <c r="K1743" s="2" t="n">
        <v>0</v>
      </c>
      <c r="L1743" s="2" t="n">
        <v>0</v>
      </c>
      <c r="M1743" s="2" t="n">
        <v>0</v>
      </c>
    </row>
    <row r="1744" customFormat="false" ht="15" hidden="false" customHeight="false" outlineLevel="0" collapsed="false">
      <c r="A1744" s="2" t="s">
        <v>3738</v>
      </c>
      <c r="B1744" s="2" t="s">
        <v>3739</v>
      </c>
      <c r="C1744" s="2" t="n">
        <v>4</v>
      </c>
      <c r="D1744" s="2" t="s">
        <v>62</v>
      </c>
      <c r="E1744" s="2" t="s">
        <v>2867</v>
      </c>
      <c r="F1744" s="3" t="n">
        <v>45826.5652777778</v>
      </c>
      <c r="G1744" s="2" t="s">
        <v>3306</v>
      </c>
      <c r="H1744" s="4" t="n">
        <v>0.7088</v>
      </c>
      <c r="I1744" s="2" t="s">
        <v>23</v>
      </c>
      <c r="J1744" s="2" t="s">
        <v>19</v>
      </c>
      <c r="K1744" s="2" t="n">
        <v>1</v>
      </c>
      <c r="L1744" s="2" t="n">
        <v>0</v>
      </c>
      <c r="M1744" s="2" t="n">
        <v>0</v>
      </c>
    </row>
    <row r="1745" customFormat="false" ht="15" hidden="false" customHeight="false" outlineLevel="0" collapsed="false">
      <c r="A1745" s="2" t="s">
        <v>3740</v>
      </c>
      <c r="B1745" s="2" t="s">
        <v>3741</v>
      </c>
      <c r="C1745" s="2" t="n">
        <v>4</v>
      </c>
      <c r="D1745" s="2" t="s">
        <v>222</v>
      </c>
      <c r="E1745" s="2" t="s">
        <v>2867</v>
      </c>
      <c r="F1745" s="3" t="n">
        <v>45826.6020833333</v>
      </c>
      <c r="G1745" s="2" t="s">
        <v>3306</v>
      </c>
      <c r="H1745" s="4" t="n">
        <v>0.9647</v>
      </c>
      <c r="I1745" s="2" t="s">
        <v>23</v>
      </c>
      <c r="J1745" s="2" t="s">
        <v>37</v>
      </c>
      <c r="K1745" s="2" t="n">
        <v>16</v>
      </c>
      <c r="L1745" s="2" t="n">
        <v>0</v>
      </c>
      <c r="M1745" s="2" t="n">
        <v>0</v>
      </c>
    </row>
    <row r="1746" customFormat="false" ht="15" hidden="false" customHeight="false" outlineLevel="0" collapsed="false">
      <c r="A1746" s="2" t="s">
        <v>3742</v>
      </c>
      <c r="B1746" s="2" t="s">
        <v>3743</v>
      </c>
      <c r="C1746" s="2" t="n">
        <v>5</v>
      </c>
      <c r="D1746" s="2" t="s">
        <v>52</v>
      </c>
      <c r="E1746" s="2" t="s">
        <v>2867</v>
      </c>
      <c r="F1746" s="3" t="n">
        <v>45826.6451388889</v>
      </c>
      <c r="G1746" s="2" t="s">
        <v>3306</v>
      </c>
      <c r="H1746" s="4" t="n">
        <v>0.6369</v>
      </c>
      <c r="I1746" s="2" t="s">
        <v>23</v>
      </c>
      <c r="J1746" s="2" t="s">
        <v>19</v>
      </c>
      <c r="K1746" s="2" t="n">
        <v>2</v>
      </c>
      <c r="L1746" s="2" t="n">
        <v>0</v>
      </c>
      <c r="M1746" s="2" t="n">
        <v>0</v>
      </c>
    </row>
    <row r="1747" customFormat="false" ht="15" hidden="false" customHeight="false" outlineLevel="0" collapsed="false">
      <c r="A1747" s="2" t="s">
        <v>3744</v>
      </c>
      <c r="B1747" s="2" t="s">
        <v>3745</v>
      </c>
      <c r="C1747" s="2" t="n">
        <v>4</v>
      </c>
      <c r="D1747" s="2" t="s">
        <v>1996</v>
      </c>
      <c r="E1747" s="2" t="s">
        <v>2867</v>
      </c>
      <c r="F1747" s="3" t="n">
        <v>45826.7555555556</v>
      </c>
      <c r="G1747" s="2" t="s">
        <v>3306</v>
      </c>
      <c r="H1747" s="4" t="n">
        <v>-0.5448</v>
      </c>
      <c r="I1747" s="2" t="s">
        <v>84</v>
      </c>
      <c r="J1747" s="2" t="s">
        <v>33</v>
      </c>
      <c r="K1747" s="2" t="n">
        <v>3</v>
      </c>
      <c r="L1747" s="2" t="n">
        <v>0</v>
      </c>
      <c r="M1747" s="2" t="n">
        <v>0</v>
      </c>
    </row>
    <row r="1748" customFormat="false" ht="15" hidden="false" customHeight="false" outlineLevel="0" collapsed="false">
      <c r="A1748" s="2" t="s">
        <v>3746</v>
      </c>
      <c r="B1748" s="2" t="s">
        <v>3747</v>
      </c>
      <c r="C1748" s="2" t="n">
        <v>5</v>
      </c>
      <c r="D1748" s="2" t="s">
        <v>1973</v>
      </c>
      <c r="E1748" s="2" t="s">
        <v>2867</v>
      </c>
      <c r="F1748" s="3" t="n">
        <v>45826.8055555556</v>
      </c>
      <c r="G1748" s="2" t="s">
        <v>3306</v>
      </c>
      <c r="H1748" s="4" t="n">
        <v>0.9612</v>
      </c>
      <c r="I1748" s="2" t="s">
        <v>23</v>
      </c>
      <c r="J1748" s="2" t="s">
        <v>37</v>
      </c>
      <c r="K1748" s="2" t="n">
        <v>2</v>
      </c>
      <c r="L1748" s="2" t="n">
        <v>0</v>
      </c>
      <c r="M1748" s="2" t="n">
        <v>0</v>
      </c>
    </row>
    <row r="1749" customFormat="false" ht="15" hidden="false" customHeight="false" outlineLevel="0" collapsed="false">
      <c r="A1749" s="2" t="s">
        <v>3748</v>
      </c>
      <c r="B1749" s="2" t="s">
        <v>3749</v>
      </c>
      <c r="C1749" s="2" t="n">
        <v>5</v>
      </c>
      <c r="D1749" s="2" t="s">
        <v>15</v>
      </c>
      <c r="E1749" s="2" t="s">
        <v>2867</v>
      </c>
      <c r="F1749" s="3" t="n">
        <v>45826.9055555556</v>
      </c>
      <c r="G1749" s="2" t="s">
        <v>3306</v>
      </c>
      <c r="H1749" s="4" t="n">
        <v>0</v>
      </c>
      <c r="I1749" s="2" t="s">
        <v>18</v>
      </c>
      <c r="J1749" s="2" t="s">
        <v>19</v>
      </c>
      <c r="K1749" s="2" t="n">
        <v>7</v>
      </c>
      <c r="L1749" s="2" t="n">
        <v>0</v>
      </c>
      <c r="M1749" s="2" t="n">
        <v>0</v>
      </c>
    </row>
    <row r="1750" customFormat="false" ht="15" hidden="false" customHeight="false" outlineLevel="0" collapsed="false">
      <c r="A1750" s="2" t="s">
        <v>3750</v>
      </c>
      <c r="B1750" s="2" t="s">
        <v>3751</v>
      </c>
      <c r="C1750" s="2" t="n">
        <v>5</v>
      </c>
      <c r="D1750" s="2" t="s">
        <v>2578</v>
      </c>
      <c r="E1750" s="2" t="s">
        <v>2867</v>
      </c>
      <c r="F1750" s="3" t="n">
        <v>45827.1756944444</v>
      </c>
      <c r="G1750" s="2" t="s">
        <v>3306</v>
      </c>
      <c r="H1750" s="4" t="n">
        <v>0.9626</v>
      </c>
      <c r="I1750" s="2" t="s">
        <v>23</v>
      </c>
      <c r="J1750" s="2" t="s">
        <v>37</v>
      </c>
      <c r="K1750" s="2" t="n">
        <v>0</v>
      </c>
      <c r="L1750" s="2" t="n">
        <v>0</v>
      </c>
      <c r="M1750" s="2" t="n">
        <v>0</v>
      </c>
    </row>
    <row r="1751" customFormat="false" ht="15" hidden="false" customHeight="false" outlineLevel="0" collapsed="false">
      <c r="A1751" s="2" t="s">
        <v>3752</v>
      </c>
      <c r="B1751" s="2" t="s">
        <v>3753</v>
      </c>
      <c r="C1751" s="2" t="n">
        <v>1</v>
      </c>
      <c r="D1751" s="2" t="s">
        <v>83</v>
      </c>
      <c r="E1751" s="2" t="s">
        <v>2867</v>
      </c>
      <c r="F1751" s="3" t="n">
        <v>45827.2590277778</v>
      </c>
      <c r="G1751" s="2" t="s">
        <v>3306</v>
      </c>
      <c r="H1751" s="4" t="n">
        <v>-0.6166</v>
      </c>
      <c r="I1751" s="2" t="s">
        <v>84</v>
      </c>
      <c r="J1751" s="2" t="s">
        <v>59</v>
      </c>
      <c r="K1751" s="2" t="n">
        <v>0</v>
      </c>
      <c r="L1751" s="2" t="n">
        <v>1</v>
      </c>
      <c r="M1751" s="2" t="n">
        <v>0</v>
      </c>
    </row>
    <row r="1752" customFormat="false" ht="15" hidden="false" customHeight="false" outlineLevel="0" collapsed="false">
      <c r="A1752" s="2" t="s">
        <v>3754</v>
      </c>
      <c r="B1752" s="2" t="s">
        <v>3755</v>
      </c>
      <c r="C1752" s="2" t="n">
        <v>5</v>
      </c>
      <c r="D1752" s="2" t="s">
        <v>834</v>
      </c>
      <c r="E1752" s="2" t="s">
        <v>2867</v>
      </c>
      <c r="F1752" s="3" t="n">
        <v>45827.4048611111</v>
      </c>
      <c r="G1752" s="2" t="s">
        <v>3306</v>
      </c>
      <c r="H1752" s="4" t="n">
        <v>0.9481</v>
      </c>
      <c r="I1752" s="2" t="s">
        <v>23</v>
      </c>
      <c r="J1752" s="2" t="s">
        <v>37</v>
      </c>
      <c r="K1752" s="2" t="n">
        <v>3</v>
      </c>
      <c r="L1752" s="2" t="n">
        <v>0</v>
      </c>
      <c r="M1752" s="2" t="n">
        <v>0</v>
      </c>
    </row>
    <row r="1753" customFormat="false" ht="15" hidden="false" customHeight="false" outlineLevel="0" collapsed="false">
      <c r="A1753" s="2" t="s">
        <v>3756</v>
      </c>
      <c r="B1753" s="2" t="s">
        <v>3757</v>
      </c>
      <c r="C1753" s="2" t="n">
        <v>4</v>
      </c>
      <c r="D1753" s="2" t="s">
        <v>47</v>
      </c>
      <c r="E1753" s="2" t="s">
        <v>2867</v>
      </c>
      <c r="F1753" s="3" t="n">
        <v>45827.45625</v>
      </c>
      <c r="G1753" s="2" t="s">
        <v>3306</v>
      </c>
      <c r="H1753" s="4" t="n">
        <v>0.3089</v>
      </c>
      <c r="I1753" s="2" t="s">
        <v>23</v>
      </c>
      <c r="J1753" s="2" t="s">
        <v>19</v>
      </c>
      <c r="K1753" s="2" t="n">
        <v>6</v>
      </c>
      <c r="L1753" s="2" t="n">
        <v>0</v>
      </c>
      <c r="M1753" s="2" t="n">
        <v>0</v>
      </c>
    </row>
    <row r="1754" customFormat="false" ht="15" hidden="false" customHeight="false" outlineLevel="0" collapsed="false">
      <c r="A1754" s="2" t="s">
        <v>3758</v>
      </c>
      <c r="B1754" s="2" t="s">
        <v>3759</v>
      </c>
      <c r="C1754" s="2" t="n">
        <v>3</v>
      </c>
      <c r="D1754" s="2" t="s">
        <v>301</v>
      </c>
      <c r="E1754" s="2" t="s">
        <v>2867</v>
      </c>
      <c r="F1754" s="3" t="n">
        <v>45827.5763888889</v>
      </c>
      <c r="G1754" s="2" t="s">
        <v>3306</v>
      </c>
      <c r="H1754" s="4" t="n">
        <v>0.2263</v>
      </c>
      <c r="I1754" s="2" t="s">
        <v>23</v>
      </c>
      <c r="J1754" s="2" t="s">
        <v>19</v>
      </c>
      <c r="K1754" s="2" t="n">
        <v>2</v>
      </c>
      <c r="L1754" s="2" t="n">
        <v>0</v>
      </c>
      <c r="M1754" s="2" t="n">
        <v>0</v>
      </c>
    </row>
    <row r="1755" customFormat="false" ht="15" hidden="false" customHeight="false" outlineLevel="0" collapsed="false">
      <c r="A1755" s="2" t="s">
        <v>3760</v>
      </c>
      <c r="B1755" s="2" t="s">
        <v>3761</v>
      </c>
      <c r="C1755" s="2" t="n">
        <v>4</v>
      </c>
      <c r="D1755" s="2" t="s">
        <v>301</v>
      </c>
      <c r="E1755" s="2" t="s">
        <v>2867</v>
      </c>
      <c r="F1755" s="3" t="n">
        <v>45827.5826388889</v>
      </c>
      <c r="G1755" s="2" t="s">
        <v>3306</v>
      </c>
      <c r="H1755" s="4" t="n">
        <v>0.2263</v>
      </c>
      <c r="I1755" s="2" t="s">
        <v>23</v>
      </c>
      <c r="J1755" s="2" t="s">
        <v>19</v>
      </c>
      <c r="K1755" s="2" t="n">
        <v>1</v>
      </c>
      <c r="L1755" s="2" t="n">
        <v>0</v>
      </c>
      <c r="M1755" s="2" t="n">
        <v>0</v>
      </c>
    </row>
    <row r="1756" customFormat="false" ht="15" hidden="false" customHeight="false" outlineLevel="0" collapsed="false">
      <c r="A1756" s="2" t="s">
        <v>3762</v>
      </c>
      <c r="B1756" s="2" t="s">
        <v>3763</v>
      </c>
      <c r="C1756" s="2" t="n">
        <v>5</v>
      </c>
      <c r="D1756" s="2" t="s">
        <v>62</v>
      </c>
      <c r="E1756" s="2" t="s">
        <v>2867</v>
      </c>
      <c r="F1756" s="3" t="n">
        <v>45827.6013888889</v>
      </c>
      <c r="G1756" s="2" t="s">
        <v>3306</v>
      </c>
      <c r="H1756" s="4" t="n">
        <v>0.7088</v>
      </c>
      <c r="I1756" s="2" t="s">
        <v>23</v>
      </c>
      <c r="J1756" s="2" t="s">
        <v>19</v>
      </c>
      <c r="K1756" s="2" t="n">
        <v>5</v>
      </c>
      <c r="L1756" s="2" t="n">
        <v>0</v>
      </c>
      <c r="M1756" s="2" t="n">
        <v>0</v>
      </c>
    </row>
    <row r="1757" customFormat="false" ht="15" hidden="false" customHeight="false" outlineLevel="0" collapsed="false">
      <c r="A1757" s="2" t="s">
        <v>3764</v>
      </c>
      <c r="B1757" s="2" t="s">
        <v>3765</v>
      </c>
      <c r="C1757" s="2" t="n">
        <v>5</v>
      </c>
      <c r="D1757" s="2" t="s">
        <v>40</v>
      </c>
      <c r="E1757" s="2" t="s">
        <v>2867</v>
      </c>
      <c r="F1757" s="3" t="n">
        <v>45827.9354166667</v>
      </c>
      <c r="G1757" s="2" t="s">
        <v>3306</v>
      </c>
      <c r="H1757" s="4" t="n">
        <v>0.4019</v>
      </c>
      <c r="I1757" s="2" t="s">
        <v>23</v>
      </c>
      <c r="J1757" s="2" t="s">
        <v>33</v>
      </c>
      <c r="K1757" s="2" t="n">
        <v>8</v>
      </c>
      <c r="L1757" s="2" t="n">
        <v>0</v>
      </c>
      <c r="M1757" s="2" t="n">
        <v>0</v>
      </c>
    </row>
    <row r="1758" customFormat="false" ht="15" hidden="false" customHeight="false" outlineLevel="0" collapsed="false">
      <c r="A1758" s="2" t="s">
        <v>3766</v>
      </c>
      <c r="B1758" s="2" t="s">
        <v>3767</v>
      </c>
      <c r="C1758" s="2" t="n">
        <v>5</v>
      </c>
      <c r="D1758" s="2" t="s">
        <v>40</v>
      </c>
      <c r="E1758" s="2" t="s">
        <v>2867</v>
      </c>
      <c r="F1758" s="3" t="n">
        <v>45827.9576388889</v>
      </c>
      <c r="G1758" s="2" t="s">
        <v>3306</v>
      </c>
      <c r="H1758" s="4" t="n">
        <v>0.4019</v>
      </c>
      <c r="I1758" s="2" t="s">
        <v>23</v>
      </c>
      <c r="J1758" s="2" t="s">
        <v>33</v>
      </c>
      <c r="K1758" s="2" t="n">
        <v>8</v>
      </c>
      <c r="L1758" s="2" t="n">
        <v>0</v>
      </c>
      <c r="M1758" s="2" t="n">
        <v>0</v>
      </c>
    </row>
    <row r="1759" customFormat="false" ht="15" hidden="false" customHeight="false" outlineLevel="0" collapsed="false">
      <c r="A1759" s="2" t="s">
        <v>3768</v>
      </c>
      <c r="B1759" s="2" t="s">
        <v>3769</v>
      </c>
      <c r="C1759" s="2" t="n">
        <v>4</v>
      </c>
      <c r="D1759" s="2" t="s">
        <v>47</v>
      </c>
      <c r="E1759" s="2" t="s">
        <v>2867</v>
      </c>
      <c r="F1759" s="3" t="n">
        <v>45827.9701388889</v>
      </c>
      <c r="G1759" s="2" t="s">
        <v>3306</v>
      </c>
      <c r="H1759" s="4" t="n">
        <v>0.3089</v>
      </c>
      <c r="I1759" s="2" t="s">
        <v>23</v>
      </c>
      <c r="J1759" s="2" t="s">
        <v>19</v>
      </c>
      <c r="K1759" s="2" t="n">
        <v>1</v>
      </c>
      <c r="L1759" s="2" t="n">
        <v>1</v>
      </c>
      <c r="M1759" s="2" t="n">
        <v>0</v>
      </c>
    </row>
    <row r="1760" customFormat="false" ht="15" hidden="false" customHeight="false" outlineLevel="0" collapsed="false">
      <c r="A1760" s="2" t="s">
        <v>3770</v>
      </c>
      <c r="B1760" s="2" t="s">
        <v>3771</v>
      </c>
      <c r="C1760" s="2" t="n">
        <v>2</v>
      </c>
      <c r="D1760" s="2" t="s">
        <v>357</v>
      </c>
      <c r="E1760" s="2" t="s">
        <v>2867</v>
      </c>
      <c r="F1760" s="3" t="n">
        <v>45827.9986111111</v>
      </c>
      <c r="G1760" s="2" t="s">
        <v>3306</v>
      </c>
      <c r="H1760" s="4" t="n">
        <v>0</v>
      </c>
      <c r="I1760" s="2" t="s">
        <v>18</v>
      </c>
      <c r="J1760" s="2" t="s">
        <v>165</v>
      </c>
      <c r="K1760" s="2" t="n">
        <v>6</v>
      </c>
      <c r="L1760" s="2" t="n">
        <v>1</v>
      </c>
      <c r="M1760" s="2" t="n">
        <v>0</v>
      </c>
    </row>
    <row r="1761" customFormat="false" ht="15" hidden="false" customHeight="false" outlineLevel="0" collapsed="false">
      <c r="A1761" s="2" t="s">
        <v>3772</v>
      </c>
      <c r="B1761" s="2" t="s">
        <v>3773</v>
      </c>
      <c r="C1761" s="2" t="n">
        <v>5</v>
      </c>
      <c r="D1761" s="2" t="s">
        <v>40</v>
      </c>
      <c r="E1761" s="2" t="s">
        <v>2867</v>
      </c>
      <c r="F1761" s="3" t="n">
        <v>45828.0048611111</v>
      </c>
      <c r="G1761" s="2" t="s">
        <v>3306</v>
      </c>
      <c r="H1761" s="4" t="n">
        <v>0.4019</v>
      </c>
      <c r="I1761" s="2" t="s">
        <v>23</v>
      </c>
      <c r="J1761" s="2" t="s">
        <v>33</v>
      </c>
      <c r="K1761" s="2" t="n">
        <v>1</v>
      </c>
      <c r="L1761" s="2" t="n">
        <v>0</v>
      </c>
      <c r="M1761" s="2" t="n">
        <v>0</v>
      </c>
    </row>
    <row r="1762" customFormat="false" ht="15" hidden="false" customHeight="false" outlineLevel="0" collapsed="false">
      <c r="A1762" s="2" t="s">
        <v>3774</v>
      </c>
      <c r="B1762" s="2" t="s">
        <v>3775</v>
      </c>
      <c r="C1762" s="2" t="n">
        <v>5</v>
      </c>
      <c r="D1762" s="2" t="s">
        <v>40</v>
      </c>
      <c r="E1762" s="2" t="s">
        <v>2867</v>
      </c>
      <c r="F1762" s="3" t="n">
        <v>45828.0361111111</v>
      </c>
      <c r="G1762" s="2" t="s">
        <v>3306</v>
      </c>
      <c r="H1762" s="4" t="n">
        <v>0.4019</v>
      </c>
      <c r="I1762" s="2" t="s">
        <v>23</v>
      </c>
      <c r="J1762" s="2" t="s">
        <v>33</v>
      </c>
      <c r="K1762" s="2" t="n">
        <v>2</v>
      </c>
      <c r="L1762" s="2" t="n">
        <v>0</v>
      </c>
      <c r="M1762" s="2" t="n">
        <v>0</v>
      </c>
    </row>
    <row r="1763" customFormat="false" ht="15" hidden="false" customHeight="false" outlineLevel="0" collapsed="false">
      <c r="A1763" s="2" t="s">
        <v>3776</v>
      </c>
      <c r="B1763" s="2" t="s">
        <v>3777</v>
      </c>
      <c r="C1763" s="2" t="n">
        <v>5</v>
      </c>
      <c r="D1763" s="2" t="s">
        <v>40</v>
      </c>
      <c r="E1763" s="2" t="s">
        <v>2867</v>
      </c>
      <c r="F1763" s="3" t="n">
        <v>45828.0479166667</v>
      </c>
      <c r="G1763" s="2" t="s">
        <v>3306</v>
      </c>
      <c r="H1763" s="4" t="n">
        <v>0.4019</v>
      </c>
      <c r="I1763" s="2" t="s">
        <v>23</v>
      </c>
      <c r="J1763" s="2" t="s">
        <v>33</v>
      </c>
      <c r="K1763" s="2" t="n">
        <v>2</v>
      </c>
      <c r="L1763" s="2" t="n">
        <v>0</v>
      </c>
      <c r="M1763" s="2" t="n">
        <v>0</v>
      </c>
    </row>
    <row r="1764" customFormat="false" ht="15" hidden="false" customHeight="false" outlineLevel="0" collapsed="false">
      <c r="A1764" s="2" t="s">
        <v>3778</v>
      </c>
      <c r="B1764" s="2" t="s">
        <v>3779</v>
      </c>
      <c r="C1764" s="2" t="n">
        <v>5</v>
      </c>
      <c r="D1764" s="2" t="s">
        <v>90</v>
      </c>
      <c r="E1764" s="2" t="s">
        <v>2867</v>
      </c>
      <c r="F1764" s="3" t="n">
        <v>45828.05625</v>
      </c>
      <c r="G1764" s="2" t="s">
        <v>3306</v>
      </c>
      <c r="H1764" s="4" t="n">
        <v>0.6249</v>
      </c>
      <c r="I1764" s="2" t="s">
        <v>23</v>
      </c>
      <c r="J1764" s="2" t="s">
        <v>37</v>
      </c>
      <c r="K1764" s="2" t="n">
        <v>7</v>
      </c>
      <c r="L1764" s="2" t="n">
        <v>0</v>
      </c>
      <c r="M1764" s="2" t="n">
        <v>0</v>
      </c>
    </row>
    <row r="1765" customFormat="false" ht="15" hidden="false" customHeight="false" outlineLevel="0" collapsed="false">
      <c r="A1765" s="2" t="s">
        <v>3780</v>
      </c>
      <c r="B1765" s="2" t="s">
        <v>3781</v>
      </c>
      <c r="C1765" s="2" t="n">
        <v>4</v>
      </c>
      <c r="D1765" s="2" t="s">
        <v>1240</v>
      </c>
      <c r="E1765" s="2" t="s">
        <v>2867</v>
      </c>
      <c r="F1765" s="3" t="n">
        <v>45828.4604166667</v>
      </c>
      <c r="G1765" s="2" t="s">
        <v>3306</v>
      </c>
      <c r="H1765" s="4" t="n">
        <v>0.6369</v>
      </c>
      <c r="I1765" s="2" t="s">
        <v>23</v>
      </c>
      <c r="J1765" s="2" t="s">
        <v>19</v>
      </c>
      <c r="K1765" s="2" t="n">
        <v>1</v>
      </c>
      <c r="L1765" s="2" t="n">
        <v>0</v>
      </c>
      <c r="M1765" s="2" t="n">
        <v>0</v>
      </c>
    </row>
    <row r="1766" customFormat="false" ht="15" hidden="false" customHeight="false" outlineLevel="0" collapsed="false">
      <c r="A1766" s="2" t="s">
        <v>3782</v>
      </c>
      <c r="B1766" s="2" t="s">
        <v>1897</v>
      </c>
      <c r="C1766" s="2" t="n">
        <v>4</v>
      </c>
      <c r="D1766" s="2" t="s">
        <v>3783</v>
      </c>
      <c r="E1766" s="2" t="s">
        <v>2867</v>
      </c>
      <c r="F1766" s="3" t="n">
        <v>45828.4722222222</v>
      </c>
      <c r="G1766" s="2" t="s">
        <v>3306</v>
      </c>
      <c r="H1766" s="4" t="n">
        <v>0.7184</v>
      </c>
      <c r="I1766" s="2" t="s">
        <v>23</v>
      </c>
      <c r="J1766" s="2" t="s">
        <v>19</v>
      </c>
      <c r="K1766" s="2" t="n">
        <v>2</v>
      </c>
      <c r="L1766" s="2" t="n">
        <v>0</v>
      </c>
      <c r="M1766" s="2" t="n">
        <v>0</v>
      </c>
    </row>
    <row r="1767" customFormat="false" ht="15" hidden="false" customHeight="false" outlineLevel="0" collapsed="false">
      <c r="A1767" s="2" t="s">
        <v>3784</v>
      </c>
      <c r="B1767" s="2" t="s">
        <v>3785</v>
      </c>
      <c r="C1767" s="2" t="n">
        <v>1</v>
      </c>
      <c r="D1767" s="2" t="s">
        <v>1374</v>
      </c>
      <c r="E1767" s="2" t="s">
        <v>2867</v>
      </c>
      <c r="F1767" s="3" t="n">
        <v>45828.5138888889</v>
      </c>
      <c r="G1767" s="2" t="s">
        <v>3306</v>
      </c>
      <c r="H1767" s="4" t="n">
        <v>0.4404</v>
      </c>
      <c r="I1767" s="2" t="s">
        <v>23</v>
      </c>
      <c r="J1767" s="2" t="s">
        <v>59</v>
      </c>
      <c r="K1767" s="2" t="n">
        <v>3</v>
      </c>
      <c r="L1767" s="2" t="n">
        <v>0</v>
      </c>
      <c r="M1767" s="2" t="n">
        <v>0</v>
      </c>
    </row>
    <row r="1768" customFormat="false" ht="15" hidden="false" customHeight="false" outlineLevel="0" collapsed="false">
      <c r="A1768" s="2" t="s">
        <v>3786</v>
      </c>
      <c r="B1768" s="2" t="s">
        <v>3787</v>
      </c>
      <c r="C1768" s="2" t="n">
        <v>4</v>
      </c>
      <c r="D1768" s="2" t="s">
        <v>96</v>
      </c>
      <c r="E1768" s="2" t="s">
        <v>2867</v>
      </c>
      <c r="F1768" s="3" t="n">
        <v>45828.5805555556</v>
      </c>
      <c r="G1768" s="2" t="s">
        <v>3306</v>
      </c>
      <c r="H1768" s="4" t="n">
        <v>0.6369</v>
      </c>
      <c r="I1768" s="2" t="s">
        <v>23</v>
      </c>
      <c r="J1768" s="2" t="s">
        <v>19</v>
      </c>
      <c r="K1768" s="2" t="n">
        <v>2</v>
      </c>
      <c r="L1768" s="2" t="n">
        <v>0</v>
      </c>
      <c r="M1768" s="2" t="n">
        <v>0</v>
      </c>
    </row>
    <row r="1769" customFormat="false" ht="15" hidden="false" customHeight="false" outlineLevel="0" collapsed="false">
      <c r="A1769" s="2" t="s">
        <v>3788</v>
      </c>
      <c r="B1769" s="2" t="s">
        <v>3789</v>
      </c>
      <c r="C1769" s="2" t="n">
        <v>4</v>
      </c>
      <c r="D1769" s="2" t="s">
        <v>36</v>
      </c>
      <c r="E1769" s="2" t="s">
        <v>2867</v>
      </c>
      <c r="F1769" s="3" t="n">
        <v>45828.6166666667</v>
      </c>
      <c r="G1769" s="2" t="s">
        <v>3306</v>
      </c>
      <c r="H1769" s="4" t="n">
        <v>0.4404</v>
      </c>
      <c r="I1769" s="2" t="s">
        <v>23</v>
      </c>
      <c r="J1769" s="2" t="s">
        <v>37</v>
      </c>
      <c r="K1769" s="2" t="n">
        <v>8</v>
      </c>
      <c r="L1769" s="2" t="n">
        <v>0</v>
      </c>
      <c r="M1769" s="2" t="n">
        <v>0</v>
      </c>
    </row>
    <row r="1770" customFormat="false" ht="15" hidden="false" customHeight="false" outlineLevel="0" collapsed="false">
      <c r="A1770" s="2" t="s">
        <v>3790</v>
      </c>
      <c r="B1770" s="2" t="s">
        <v>3791</v>
      </c>
      <c r="C1770" s="2" t="n">
        <v>5</v>
      </c>
      <c r="D1770" s="2" t="s">
        <v>90</v>
      </c>
      <c r="E1770" s="2" t="s">
        <v>2867</v>
      </c>
      <c r="F1770" s="3" t="n">
        <v>45828.6784722222</v>
      </c>
      <c r="G1770" s="2" t="s">
        <v>3306</v>
      </c>
      <c r="H1770" s="4" t="n">
        <v>0.6249</v>
      </c>
      <c r="I1770" s="2" t="s">
        <v>23</v>
      </c>
      <c r="J1770" s="2" t="s">
        <v>37</v>
      </c>
      <c r="K1770" s="2" t="n">
        <v>0</v>
      </c>
      <c r="L1770" s="2" t="n">
        <v>0</v>
      </c>
      <c r="M1770" s="2" t="n">
        <v>0</v>
      </c>
    </row>
    <row r="1771" customFormat="false" ht="15" hidden="false" customHeight="false" outlineLevel="0" collapsed="false">
      <c r="A1771" s="2" t="s">
        <v>3792</v>
      </c>
      <c r="B1771" s="2" t="s">
        <v>3793</v>
      </c>
      <c r="C1771" s="2" t="n">
        <v>2</v>
      </c>
      <c r="D1771" s="2" t="s">
        <v>179</v>
      </c>
      <c r="E1771" s="2" t="s">
        <v>2867</v>
      </c>
      <c r="F1771" s="3" t="n">
        <v>45828.7625</v>
      </c>
      <c r="G1771" s="2" t="s">
        <v>3306</v>
      </c>
      <c r="H1771" s="4" t="n">
        <v>-0.0258</v>
      </c>
      <c r="I1771" s="2" t="s">
        <v>18</v>
      </c>
      <c r="J1771" s="2" t="s">
        <v>59</v>
      </c>
      <c r="K1771" s="2" t="n">
        <v>3</v>
      </c>
      <c r="L1771" s="2" t="n">
        <v>0</v>
      </c>
      <c r="M1771" s="2" t="n">
        <v>0</v>
      </c>
    </row>
    <row r="1772" customFormat="false" ht="15" hidden="false" customHeight="false" outlineLevel="0" collapsed="false">
      <c r="A1772" s="2" t="s">
        <v>3794</v>
      </c>
      <c r="B1772" s="2" t="s">
        <v>3795</v>
      </c>
      <c r="C1772" s="2" t="n">
        <v>5</v>
      </c>
      <c r="D1772" s="2" t="s">
        <v>269</v>
      </c>
      <c r="E1772" s="2" t="s">
        <v>2867</v>
      </c>
      <c r="F1772" s="3" t="n">
        <v>45828.8006944444</v>
      </c>
      <c r="G1772" s="2" t="s">
        <v>3306</v>
      </c>
      <c r="H1772" s="4" t="n">
        <v>0.8748</v>
      </c>
      <c r="I1772" s="2" t="s">
        <v>23</v>
      </c>
      <c r="J1772" s="2" t="s">
        <v>37</v>
      </c>
      <c r="K1772" s="2" t="n">
        <v>3</v>
      </c>
      <c r="L1772" s="2" t="n">
        <v>0</v>
      </c>
      <c r="M1772" s="2" t="n">
        <v>0</v>
      </c>
    </row>
    <row r="1773" customFormat="false" ht="15" hidden="false" customHeight="false" outlineLevel="0" collapsed="false">
      <c r="A1773" s="2" t="s">
        <v>3796</v>
      </c>
      <c r="B1773" s="2" t="s">
        <v>3797</v>
      </c>
      <c r="C1773" s="2" t="n">
        <v>5</v>
      </c>
      <c r="D1773" s="2" t="s">
        <v>3798</v>
      </c>
      <c r="E1773" s="2" t="s">
        <v>2867</v>
      </c>
      <c r="F1773" s="3" t="n">
        <v>45828.8465277778</v>
      </c>
      <c r="G1773" s="2" t="s">
        <v>3306</v>
      </c>
      <c r="H1773" s="4" t="n">
        <v>0.7549</v>
      </c>
      <c r="I1773" s="2" t="s">
        <v>23</v>
      </c>
      <c r="J1773" s="2" t="s">
        <v>19</v>
      </c>
      <c r="K1773" s="2" t="n">
        <v>6</v>
      </c>
      <c r="L1773" s="2" t="n">
        <v>0</v>
      </c>
      <c r="M1773" s="2" t="n">
        <v>0</v>
      </c>
    </row>
    <row r="1774" customFormat="false" ht="15" hidden="false" customHeight="false" outlineLevel="0" collapsed="false">
      <c r="A1774" s="2" t="s">
        <v>3799</v>
      </c>
      <c r="B1774" s="2" t="s">
        <v>3800</v>
      </c>
      <c r="C1774" s="2" t="n">
        <v>5</v>
      </c>
      <c r="D1774" s="2" t="s">
        <v>1240</v>
      </c>
      <c r="E1774" s="2" t="s">
        <v>2867</v>
      </c>
      <c r="F1774" s="3" t="n">
        <v>45828.8548611111</v>
      </c>
      <c r="G1774" s="2" t="s">
        <v>3306</v>
      </c>
      <c r="H1774" s="4" t="n">
        <v>0.6369</v>
      </c>
      <c r="I1774" s="2" t="s">
        <v>23</v>
      </c>
      <c r="J1774" s="2" t="s">
        <v>19</v>
      </c>
      <c r="K1774" s="2" t="n">
        <v>1</v>
      </c>
      <c r="L1774" s="2" t="n">
        <v>0</v>
      </c>
      <c r="M1774" s="2" t="n">
        <v>0</v>
      </c>
    </row>
    <row r="1775" customFormat="false" ht="15" hidden="false" customHeight="false" outlineLevel="0" collapsed="false">
      <c r="A1775" s="2" t="s">
        <v>3801</v>
      </c>
      <c r="B1775" s="2" t="s">
        <v>3802</v>
      </c>
      <c r="C1775" s="2" t="n">
        <v>4</v>
      </c>
      <c r="D1775" s="2" t="s">
        <v>1683</v>
      </c>
      <c r="E1775" s="2" t="s">
        <v>2867</v>
      </c>
      <c r="F1775" s="3" t="n">
        <v>45828.8770833333</v>
      </c>
      <c r="G1775" s="2" t="s">
        <v>3306</v>
      </c>
      <c r="H1775" s="4" t="n">
        <v>0.6369</v>
      </c>
      <c r="I1775" s="2" t="s">
        <v>23</v>
      </c>
      <c r="J1775" s="2" t="s">
        <v>19</v>
      </c>
      <c r="K1775" s="2" t="n">
        <v>2</v>
      </c>
      <c r="L1775" s="2" t="n">
        <v>0</v>
      </c>
      <c r="M1775" s="2" t="n">
        <v>0</v>
      </c>
    </row>
    <row r="1776" customFormat="false" ht="15" hidden="false" customHeight="false" outlineLevel="0" collapsed="false">
      <c r="A1776" s="2" t="s">
        <v>3803</v>
      </c>
      <c r="B1776" s="2" t="s">
        <v>3804</v>
      </c>
      <c r="C1776" s="2" t="n">
        <v>3</v>
      </c>
      <c r="D1776" s="2" t="s">
        <v>87</v>
      </c>
      <c r="E1776" s="2" t="s">
        <v>2867</v>
      </c>
      <c r="F1776" s="3" t="n">
        <v>45828.8951388889</v>
      </c>
      <c r="G1776" s="2" t="s">
        <v>3306</v>
      </c>
      <c r="H1776" s="4" t="n">
        <v>0</v>
      </c>
      <c r="I1776" s="2" t="s">
        <v>18</v>
      </c>
      <c r="J1776" s="2" t="s">
        <v>19</v>
      </c>
      <c r="K1776" s="2" t="n">
        <v>7</v>
      </c>
      <c r="L1776" s="2" t="n">
        <v>0</v>
      </c>
      <c r="M1776" s="2" t="n">
        <v>0</v>
      </c>
    </row>
    <row r="1777" customFormat="false" ht="15" hidden="false" customHeight="false" outlineLevel="0" collapsed="false">
      <c r="A1777" s="2" t="s">
        <v>3805</v>
      </c>
      <c r="B1777" s="2" t="s">
        <v>3806</v>
      </c>
      <c r="C1777" s="2" t="n">
        <v>5</v>
      </c>
      <c r="D1777" s="2" t="s">
        <v>47</v>
      </c>
      <c r="E1777" s="2" t="s">
        <v>2867</v>
      </c>
      <c r="F1777" s="3" t="n">
        <v>45829.1166666667</v>
      </c>
      <c r="G1777" s="2" t="s">
        <v>3306</v>
      </c>
      <c r="H1777" s="4" t="n">
        <v>0.3089</v>
      </c>
      <c r="I1777" s="2" t="s">
        <v>23</v>
      </c>
      <c r="J1777" s="2" t="s">
        <v>19</v>
      </c>
      <c r="K1777" s="2" t="n">
        <v>5</v>
      </c>
      <c r="L1777" s="2" t="n">
        <v>0</v>
      </c>
      <c r="M1777" s="2" t="n">
        <v>0</v>
      </c>
    </row>
    <row r="1778" customFormat="false" ht="15" hidden="false" customHeight="false" outlineLevel="0" collapsed="false">
      <c r="A1778" s="2" t="s">
        <v>3807</v>
      </c>
      <c r="B1778" s="2" t="s">
        <v>3808</v>
      </c>
      <c r="C1778" s="2" t="n">
        <v>5</v>
      </c>
      <c r="D1778" s="2" t="s">
        <v>127</v>
      </c>
      <c r="E1778" s="2" t="s">
        <v>2867</v>
      </c>
      <c r="F1778" s="3" t="n">
        <v>45829.1958333333</v>
      </c>
      <c r="G1778" s="2" t="s">
        <v>3306</v>
      </c>
      <c r="H1778" s="4" t="n">
        <v>0.9359</v>
      </c>
      <c r="I1778" s="2" t="s">
        <v>23</v>
      </c>
      <c r="J1778" s="2" t="s">
        <v>37</v>
      </c>
      <c r="K1778" s="2" t="n">
        <v>1</v>
      </c>
      <c r="L1778" s="2" t="n">
        <v>0</v>
      </c>
      <c r="M1778" s="2" t="n">
        <v>0</v>
      </c>
    </row>
    <row r="1779" customFormat="false" ht="15" hidden="false" customHeight="false" outlineLevel="0" collapsed="false">
      <c r="A1779" s="2" t="s">
        <v>3809</v>
      </c>
      <c r="B1779" s="2" t="s">
        <v>3810</v>
      </c>
      <c r="C1779" s="2" t="n">
        <v>5</v>
      </c>
      <c r="D1779" s="2" t="s">
        <v>692</v>
      </c>
      <c r="E1779" s="2" t="s">
        <v>2867</v>
      </c>
      <c r="F1779" s="3" t="n">
        <v>45829.3131944445</v>
      </c>
      <c r="G1779" s="2" t="s">
        <v>3306</v>
      </c>
      <c r="H1779" s="4" t="n">
        <v>0.9516</v>
      </c>
      <c r="I1779" s="2" t="s">
        <v>23</v>
      </c>
      <c r="J1779" s="2" t="s">
        <v>37</v>
      </c>
      <c r="K1779" s="2" t="n">
        <v>1</v>
      </c>
      <c r="L1779" s="2" t="n">
        <v>0</v>
      </c>
      <c r="M1779" s="2" t="n">
        <v>0</v>
      </c>
    </row>
    <row r="1780" customFormat="false" ht="15" hidden="false" customHeight="false" outlineLevel="0" collapsed="false">
      <c r="A1780" s="2" t="s">
        <v>3811</v>
      </c>
      <c r="B1780" s="2" t="s">
        <v>3812</v>
      </c>
      <c r="C1780" s="2" t="n">
        <v>5</v>
      </c>
      <c r="D1780" s="2" t="s">
        <v>47</v>
      </c>
      <c r="E1780" s="2" t="s">
        <v>2867</v>
      </c>
      <c r="F1780" s="3" t="n">
        <v>45829.3430555556</v>
      </c>
      <c r="G1780" s="2" t="s">
        <v>3306</v>
      </c>
      <c r="H1780" s="4" t="n">
        <v>0.3089</v>
      </c>
      <c r="I1780" s="2" t="s">
        <v>23</v>
      </c>
      <c r="J1780" s="2" t="s">
        <v>19</v>
      </c>
      <c r="K1780" s="2" t="n">
        <v>8</v>
      </c>
      <c r="L1780" s="2" t="n">
        <v>0</v>
      </c>
      <c r="M1780" s="2" t="n">
        <v>0</v>
      </c>
    </row>
    <row r="1781" customFormat="false" ht="15" hidden="false" customHeight="false" outlineLevel="0" collapsed="false">
      <c r="A1781" s="2" t="s">
        <v>3813</v>
      </c>
      <c r="B1781" s="2" t="s">
        <v>3814</v>
      </c>
      <c r="C1781" s="2" t="n">
        <v>4</v>
      </c>
      <c r="D1781" s="2" t="s">
        <v>127</v>
      </c>
      <c r="E1781" s="2" t="s">
        <v>2867</v>
      </c>
      <c r="F1781" s="3" t="n">
        <v>45829.4375</v>
      </c>
      <c r="G1781" s="2" t="s">
        <v>3306</v>
      </c>
      <c r="H1781" s="4" t="n">
        <v>0.9359</v>
      </c>
      <c r="I1781" s="2" t="s">
        <v>23</v>
      </c>
      <c r="J1781" s="2" t="s">
        <v>37</v>
      </c>
      <c r="K1781" s="2" t="n">
        <v>4</v>
      </c>
      <c r="L1781" s="2" t="n">
        <v>0</v>
      </c>
      <c r="M1781" s="2" t="n">
        <v>0</v>
      </c>
    </row>
    <row r="1782" customFormat="false" ht="15" hidden="false" customHeight="false" outlineLevel="0" collapsed="false">
      <c r="A1782" s="2" t="s">
        <v>3815</v>
      </c>
      <c r="B1782" s="2" t="s">
        <v>3816</v>
      </c>
      <c r="C1782" s="2" t="n">
        <v>3</v>
      </c>
      <c r="D1782" s="2" t="s">
        <v>99</v>
      </c>
      <c r="E1782" s="2" t="s">
        <v>2867</v>
      </c>
      <c r="F1782" s="3" t="n">
        <v>45829.5534722222</v>
      </c>
      <c r="G1782" s="2" t="s">
        <v>3306</v>
      </c>
      <c r="H1782" s="4" t="n">
        <v>-0.3089</v>
      </c>
      <c r="I1782" s="2" t="s">
        <v>84</v>
      </c>
      <c r="J1782" s="2" t="s">
        <v>19</v>
      </c>
      <c r="K1782" s="2" t="n">
        <v>4</v>
      </c>
      <c r="L1782" s="2" t="n">
        <v>0</v>
      </c>
      <c r="M1782" s="2" t="n">
        <v>0</v>
      </c>
    </row>
    <row r="1783" customFormat="false" ht="15" hidden="false" customHeight="false" outlineLevel="0" collapsed="false">
      <c r="A1783" s="2" t="s">
        <v>3817</v>
      </c>
      <c r="B1783" s="2" t="s">
        <v>3818</v>
      </c>
      <c r="C1783" s="2" t="n">
        <v>5</v>
      </c>
      <c r="D1783" s="2" t="s">
        <v>15</v>
      </c>
      <c r="E1783" s="2" t="s">
        <v>2867</v>
      </c>
      <c r="F1783" s="3" t="n">
        <v>45829.6270833333</v>
      </c>
      <c r="G1783" s="2" t="s">
        <v>3306</v>
      </c>
      <c r="H1783" s="4" t="n">
        <v>0</v>
      </c>
      <c r="I1783" s="2" t="s">
        <v>18</v>
      </c>
      <c r="J1783" s="2" t="s">
        <v>19</v>
      </c>
      <c r="K1783" s="2" t="n">
        <v>1</v>
      </c>
      <c r="L1783" s="2" t="n">
        <v>0</v>
      </c>
      <c r="M1783" s="2" t="n">
        <v>0</v>
      </c>
    </row>
    <row r="1784" customFormat="false" ht="15" hidden="false" customHeight="false" outlineLevel="0" collapsed="false">
      <c r="A1784" s="2" t="s">
        <v>3819</v>
      </c>
      <c r="B1784" s="2" t="s">
        <v>3820</v>
      </c>
      <c r="C1784" s="2" t="n">
        <v>1</v>
      </c>
      <c r="D1784" s="2" t="s">
        <v>402</v>
      </c>
      <c r="E1784" s="2" t="s">
        <v>2867</v>
      </c>
      <c r="F1784" s="3" t="n">
        <v>45829.6777777778</v>
      </c>
      <c r="G1784" s="2" t="s">
        <v>3306</v>
      </c>
      <c r="H1784" s="4" t="n">
        <v>0</v>
      </c>
      <c r="I1784" s="2" t="s">
        <v>18</v>
      </c>
      <c r="J1784" s="2" t="s">
        <v>59</v>
      </c>
      <c r="K1784" s="2" t="n">
        <v>2</v>
      </c>
      <c r="L1784" s="2" t="n">
        <v>0</v>
      </c>
      <c r="M1784" s="2" t="n">
        <v>0</v>
      </c>
    </row>
    <row r="1785" customFormat="false" ht="15" hidden="false" customHeight="false" outlineLevel="0" collapsed="false">
      <c r="A1785" s="2" t="s">
        <v>3821</v>
      </c>
      <c r="B1785" s="2" t="s">
        <v>3822</v>
      </c>
      <c r="C1785" s="2" t="n">
        <v>2</v>
      </c>
      <c r="D1785" s="2" t="s">
        <v>83</v>
      </c>
      <c r="E1785" s="2" t="s">
        <v>2867</v>
      </c>
      <c r="F1785" s="3" t="n">
        <v>45829.6923611111</v>
      </c>
      <c r="G1785" s="2" t="s">
        <v>3306</v>
      </c>
      <c r="H1785" s="4" t="n">
        <v>-0.6166</v>
      </c>
      <c r="I1785" s="2" t="s">
        <v>84</v>
      </c>
      <c r="J1785" s="2" t="s">
        <v>59</v>
      </c>
      <c r="K1785" s="2" t="n">
        <v>7</v>
      </c>
      <c r="L1785" s="2" t="n">
        <v>1</v>
      </c>
      <c r="M1785" s="2" t="n">
        <v>0</v>
      </c>
    </row>
    <row r="1786" customFormat="false" ht="15" hidden="false" customHeight="false" outlineLevel="0" collapsed="false">
      <c r="A1786" s="2" t="s">
        <v>3823</v>
      </c>
      <c r="B1786" s="2" t="s">
        <v>3824</v>
      </c>
      <c r="C1786" s="2" t="n">
        <v>5</v>
      </c>
      <c r="D1786" s="2" t="s">
        <v>40</v>
      </c>
      <c r="E1786" s="2" t="s">
        <v>2867</v>
      </c>
      <c r="F1786" s="3" t="n">
        <v>45829.7270833333</v>
      </c>
      <c r="G1786" s="2" t="s">
        <v>3306</v>
      </c>
      <c r="H1786" s="4" t="n">
        <v>0.4019</v>
      </c>
      <c r="I1786" s="2" t="s">
        <v>23</v>
      </c>
      <c r="J1786" s="2" t="s">
        <v>33</v>
      </c>
      <c r="K1786" s="2" t="n">
        <v>0</v>
      </c>
      <c r="L1786" s="2" t="n">
        <v>0</v>
      </c>
      <c r="M1786" s="2" t="n">
        <v>0</v>
      </c>
    </row>
    <row r="1787" customFormat="false" ht="15" hidden="false" customHeight="false" outlineLevel="0" collapsed="false">
      <c r="A1787" s="2" t="s">
        <v>3825</v>
      </c>
      <c r="B1787" s="2" t="s">
        <v>3826</v>
      </c>
      <c r="C1787" s="2" t="n">
        <v>1</v>
      </c>
      <c r="D1787" s="2" t="s">
        <v>58</v>
      </c>
      <c r="E1787" s="2" t="s">
        <v>2867</v>
      </c>
      <c r="F1787" s="3" t="n">
        <v>45829.9291666667</v>
      </c>
      <c r="G1787" s="2" t="s">
        <v>3306</v>
      </c>
      <c r="H1787" s="4" t="n">
        <v>0</v>
      </c>
      <c r="I1787" s="2" t="s">
        <v>18</v>
      </c>
      <c r="J1787" s="2" t="s">
        <v>59</v>
      </c>
      <c r="K1787" s="2" t="n">
        <v>0</v>
      </c>
      <c r="L1787" s="2" t="n">
        <v>0</v>
      </c>
      <c r="M1787" s="2" t="n">
        <v>0</v>
      </c>
    </row>
    <row r="1788" customFormat="false" ht="15" hidden="false" customHeight="false" outlineLevel="0" collapsed="false">
      <c r="A1788" s="2" t="s">
        <v>3827</v>
      </c>
      <c r="B1788" s="2" t="s">
        <v>3828</v>
      </c>
      <c r="C1788" s="2" t="n">
        <v>5</v>
      </c>
      <c r="D1788" s="2" t="s">
        <v>40</v>
      </c>
      <c r="E1788" s="2" t="s">
        <v>2867</v>
      </c>
      <c r="F1788" s="3" t="n">
        <v>45829.9451388889</v>
      </c>
      <c r="G1788" s="2" t="s">
        <v>3306</v>
      </c>
      <c r="H1788" s="4" t="n">
        <v>0.4019</v>
      </c>
      <c r="I1788" s="2" t="s">
        <v>23</v>
      </c>
      <c r="J1788" s="2" t="s">
        <v>33</v>
      </c>
      <c r="K1788" s="2" t="n">
        <v>4</v>
      </c>
      <c r="L1788" s="2" t="n">
        <v>0</v>
      </c>
      <c r="M1788" s="2" t="n">
        <v>0</v>
      </c>
    </row>
    <row r="1789" customFormat="false" ht="15" hidden="false" customHeight="false" outlineLevel="0" collapsed="false">
      <c r="A1789" s="2" t="s">
        <v>3829</v>
      </c>
      <c r="B1789" s="2" t="s">
        <v>3830</v>
      </c>
      <c r="C1789" s="2" t="n">
        <v>5</v>
      </c>
      <c r="D1789" s="2" t="s">
        <v>62</v>
      </c>
      <c r="E1789" s="2" t="s">
        <v>2867</v>
      </c>
      <c r="F1789" s="3" t="n">
        <v>45830.0527777778</v>
      </c>
      <c r="G1789" s="2" t="s">
        <v>3306</v>
      </c>
      <c r="H1789" s="4" t="n">
        <v>0.7088</v>
      </c>
      <c r="I1789" s="2" t="s">
        <v>23</v>
      </c>
      <c r="J1789" s="2" t="s">
        <v>19</v>
      </c>
      <c r="K1789" s="2" t="n">
        <v>0</v>
      </c>
      <c r="L1789" s="2" t="n">
        <v>0</v>
      </c>
      <c r="M1789" s="2" t="n">
        <v>0</v>
      </c>
    </row>
    <row r="1790" customFormat="false" ht="15" hidden="false" customHeight="false" outlineLevel="0" collapsed="false">
      <c r="A1790" s="2" t="s">
        <v>3831</v>
      </c>
      <c r="B1790" s="2" t="s">
        <v>3832</v>
      </c>
      <c r="C1790" s="2" t="n">
        <v>4</v>
      </c>
      <c r="D1790" s="2" t="s">
        <v>1212</v>
      </c>
      <c r="E1790" s="2" t="s">
        <v>2867</v>
      </c>
      <c r="F1790" s="3" t="n">
        <v>45830.7375</v>
      </c>
      <c r="G1790" s="2" t="s">
        <v>3306</v>
      </c>
      <c r="H1790" s="4" t="n">
        <v>0.8777</v>
      </c>
      <c r="I1790" s="2" t="s">
        <v>23</v>
      </c>
      <c r="J1790" s="2" t="s">
        <v>19</v>
      </c>
      <c r="K1790" s="2" t="n">
        <v>0</v>
      </c>
      <c r="L1790" s="2" t="n">
        <v>0</v>
      </c>
      <c r="M1790" s="2" t="n">
        <v>0</v>
      </c>
    </row>
    <row r="1791" customFormat="false" ht="15" hidden="false" customHeight="false" outlineLevel="0" collapsed="false">
      <c r="A1791" s="2" t="s">
        <v>3833</v>
      </c>
      <c r="B1791" s="2" t="s">
        <v>3834</v>
      </c>
      <c r="C1791" s="2" t="n">
        <v>4</v>
      </c>
      <c r="D1791" s="2" t="s">
        <v>40</v>
      </c>
      <c r="E1791" s="2" t="s">
        <v>2867</v>
      </c>
      <c r="F1791" s="3" t="n">
        <v>45830.8743055556</v>
      </c>
      <c r="G1791" s="2" t="s">
        <v>3306</v>
      </c>
      <c r="H1791" s="4" t="n">
        <v>0.4019</v>
      </c>
      <c r="I1791" s="2" t="s">
        <v>23</v>
      </c>
      <c r="J1791" s="2" t="s">
        <v>33</v>
      </c>
      <c r="K1791" s="2" t="n">
        <v>2</v>
      </c>
      <c r="L1791" s="2" t="n">
        <v>0</v>
      </c>
      <c r="M1791" s="2" t="n">
        <v>0</v>
      </c>
    </row>
    <row r="1792" customFormat="false" ht="15" hidden="false" customHeight="false" outlineLevel="0" collapsed="false">
      <c r="A1792" s="2" t="s">
        <v>3835</v>
      </c>
      <c r="B1792" s="2" t="s">
        <v>3836</v>
      </c>
      <c r="C1792" s="2" t="n">
        <v>3</v>
      </c>
      <c r="D1792" s="2" t="s">
        <v>1952</v>
      </c>
      <c r="E1792" s="2" t="s">
        <v>2867</v>
      </c>
      <c r="F1792" s="3" t="n">
        <v>45830.9083333333</v>
      </c>
      <c r="G1792" s="2" t="s">
        <v>3306</v>
      </c>
      <c r="H1792" s="4" t="n">
        <v>0.5859</v>
      </c>
      <c r="I1792" s="2" t="s">
        <v>23</v>
      </c>
      <c r="J1792" s="2" t="s">
        <v>37</v>
      </c>
      <c r="K1792" s="2" t="n">
        <v>0</v>
      </c>
      <c r="L1792" s="2" t="n">
        <v>0</v>
      </c>
      <c r="M1792" s="2" t="n">
        <v>0</v>
      </c>
    </row>
    <row r="1793" customFormat="false" ht="15" hidden="false" customHeight="false" outlineLevel="0" collapsed="false">
      <c r="A1793" s="2" t="s">
        <v>3837</v>
      </c>
      <c r="B1793" s="2" t="s">
        <v>3838</v>
      </c>
      <c r="C1793" s="2" t="n">
        <v>5</v>
      </c>
      <c r="D1793" s="2" t="s">
        <v>304</v>
      </c>
      <c r="E1793" s="2" t="s">
        <v>2867</v>
      </c>
      <c r="F1793" s="3" t="n">
        <v>45830.9368055556</v>
      </c>
      <c r="G1793" s="2" t="s">
        <v>3306</v>
      </c>
      <c r="H1793" s="4" t="n">
        <v>0.6249</v>
      </c>
      <c r="I1793" s="2" t="s">
        <v>23</v>
      </c>
      <c r="J1793" s="2" t="s">
        <v>37</v>
      </c>
      <c r="K1793" s="2" t="n">
        <v>4</v>
      </c>
      <c r="L1793" s="2" t="n">
        <v>0</v>
      </c>
      <c r="M1793" s="2" t="n">
        <v>0</v>
      </c>
    </row>
    <row r="1794" customFormat="false" ht="15" hidden="false" customHeight="false" outlineLevel="0" collapsed="false">
      <c r="A1794" s="2" t="s">
        <v>3839</v>
      </c>
      <c r="B1794" s="2" t="s">
        <v>3840</v>
      </c>
      <c r="C1794" s="2" t="n">
        <v>4</v>
      </c>
      <c r="D1794" s="2" t="s">
        <v>90</v>
      </c>
      <c r="E1794" s="2" t="s">
        <v>2867</v>
      </c>
      <c r="F1794" s="3" t="n">
        <v>45830.9965277778</v>
      </c>
      <c r="G1794" s="2" t="s">
        <v>3306</v>
      </c>
      <c r="H1794" s="4" t="n">
        <v>0.6249</v>
      </c>
      <c r="I1794" s="2" t="s">
        <v>23</v>
      </c>
      <c r="J1794" s="2" t="s">
        <v>37</v>
      </c>
      <c r="K1794" s="2" t="n">
        <v>0</v>
      </c>
      <c r="L1794" s="2" t="n">
        <v>0</v>
      </c>
      <c r="M1794" s="2" t="n">
        <v>0</v>
      </c>
    </row>
    <row r="1795" customFormat="false" ht="15" hidden="false" customHeight="false" outlineLevel="0" collapsed="false">
      <c r="A1795" s="2" t="s">
        <v>3841</v>
      </c>
      <c r="B1795" s="2" t="s">
        <v>3842</v>
      </c>
      <c r="C1795" s="2" t="n">
        <v>4</v>
      </c>
      <c r="D1795" s="2" t="s">
        <v>47</v>
      </c>
      <c r="E1795" s="2" t="s">
        <v>3843</v>
      </c>
      <c r="F1795" s="3" t="n">
        <v>45831.29375</v>
      </c>
      <c r="G1795" s="2" t="s">
        <v>3306</v>
      </c>
      <c r="H1795" s="4" t="n">
        <v>0.3089</v>
      </c>
      <c r="I1795" s="2" t="s">
        <v>23</v>
      </c>
      <c r="J1795" s="2" t="s">
        <v>19</v>
      </c>
      <c r="K1795" s="2" t="n">
        <v>1</v>
      </c>
      <c r="L1795" s="2" t="n">
        <v>0</v>
      </c>
      <c r="M1795" s="2" t="n">
        <v>1</v>
      </c>
    </row>
    <row r="1796" customFormat="false" ht="15" hidden="false" customHeight="false" outlineLevel="0" collapsed="false">
      <c r="A1796" s="2" t="s">
        <v>3844</v>
      </c>
      <c r="B1796" s="2" t="s">
        <v>3845</v>
      </c>
      <c r="C1796" s="2" t="n">
        <v>2</v>
      </c>
      <c r="D1796" s="2" t="s">
        <v>83</v>
      </c>
      <c r="E1796" s="2" t="s">
        <v>3843</v>
      </c>
      <c r="F1796" s="3" t="n">
        <v>45831.4298611111</v>
      </c>
      <c r="G1796" s="2" t="s">
        <v>3306</v>
      </c>
      <c r="H1796" s="4" t="n">
        <v>-0.6166</v>
      </c>
      <c r="I1796" s="2" t="s">
        <v>84</v>
      </c>
      <c r="J1796" s="2" t="s">
        <v>59</v>
      </c>
      <c r="K1796" s="2" t="n">
        <v>4</v>
      </c>
      <c r="L1796" s="2" t="n">
        <v>1</v>
      </c>
      <c r="M1796" s="2" t="n">
        <v>1</v>
      </c>
    </row>
    <row r="1797" customFormat="false" ht="15" hidden="false" customHeight="false" outlineLevel="0" collapsed="false">
      <c r="A1797" s="2" t="s">
        <v>3846</v>
      </c>
      <c r="B1797" s="2" t="s">
        <v>3847</v>
      </c>
      <c r="C1797" s="2" t="n">
        <v>1</v>
      </c>
      <c r="D1797" s="2" t="s">
        <v>1942</v>
      </c>
      <c r="E1797" s="2" t="s">
        <v>3843</v>
      </c>
      <c r="F1797" s="3" t="n">
        <v>45831.54375</v>
      </c>
      <c r="G1797" s="2" t="s">
        <v>3306</v>
      </c>
      <c r="H1797" s="4" t="n">
        <v>0</v>
      </c>
      <c r="I1797" s="2" t="s">
        <v>18</v>
      </c>
      <c r="J1797" s="2" t="s">
        <v>165</v>
      </c>
      <c r="K1797" s="2" t="n">
        <v>11</v>
      </c>
      <c r="L1797" s="2" t="n">
        <v>1</v>
      </c>
      <c r="M1797" s="2" t="n">
        <v>1</v>
      </c>
    </row>
    <row r="1798" customFormat="false" ht="15" hidden="false" customHeight="false" outlineLevel="0" collapsed="false">
      <c r="A1798" s="2" t="s">
        <v>3848</v>
      </c>
      <c r="B1798" s="2" t="s">
        <v>3849</v>
      </c>
      <c r="C1798" s="2" t="n">
        <v>1</v>
      </c>
      <c r="D1798" s="2" t="s">
        <v>455</v>
      </c>
      <c r="E1798" s="2" t="s">
        <v>3843</v>
      </c>
      <c r="F1798" s="3" t="n">
        <v>45831.5854166667</v>
      </c>
      <c r="G1798" s="2" t="s">
        <v>3306</v>
      </c>
      <c r="H1798" s="4" t="n">
        <v>-0.2263</v>
      </c>
      <c r="I1798" s="2" t="s">
        <v>84</v>
      </c>
      <c r="J1798" s="2" t="s">
        <v>165</v>
      </c>
      <c r="K1798" s="2" t="n">
        <v>0</v>
      </c>
      <c r="L1798" s="2" t="n">
        <v>0</v>
      </c>
      <c r="M1798" s="2" t="n">
        <v>1</v>
      </c>
    </row>
    <row r="1799" customFormat="false" ht="15" hidden="false" customHeight="false" outlineLevel="0" collapsed="false">
      <c r="A1799" s="2" t="s">
        <v>3850</v>
      </c>
      <c r="B1799" s="2" t="s">
        <v>3851</v>
      </c>
      <c r="C1799" s="2" t="n">
        <v>4</v>
      </c>
      <c r="D1799" s="2" t="s">
        <v>52</v>
      </c>
      <c r="E1799" s="2" t="s">
        <v>3843</v>
      </c>
      <c r="F1799" s="3" t="n">
        <v>45831.7986111111</v>
      </c>
      <c r="G1799" s="2" t="s">
        <v>3306</v>
      </c>
      <c r="H1799" s="4" t="n">
        <v>0.6369</v>
      </c>
      <c r="I1799" s="2" t="s">
        <v>23</v>
      </c>
      <c r="J1799" s="2" t="s">
        <v>19</v>
      </c>
      <c r="K1799" s="2" t="n">
        <v>0</v>
      </c>
      <c r="L1799" s="2" t="n">
        <v>0</v>
      </c>
      <c r="M1799" s="2" t="n">
        <v>1</v>
      </c>
    </row>
    <row r="1800" customFormat="false" ht="15" hidden="false" customHeight="false" outlineLevel="0" collapsed="false">
      <c r="A1800" s="2" t="s">
        <v>3852</v>
      </c>
      <c r="B1800" s="2" t="s">
        <v>3853</v>
      </c>
      <c r="C1800" s="2" t="n">
        <v>3</v>
      </c>
      <c r="D1800" s="2" t="s">
        <v>661</v>
      </c>
      <c r="E1800" s="2" t="s">
        <v>3843</v>
      </c>
      <c r="F1800" s="3" t="n">
        <v>45831.8652777778</v>
      </c>
      <c r="G1800" s="2" t="s">
        <v>3306</v>
      </c>
      <c r="H1800" s="4" t="n">
        <v>0</v>
      </c>
      <c r="I1800" s="2" t="s">
        <v>18</v>
      </c>
      <c r="J1800" s="2" t="s">
        <v>59</v>
      </c>
      <c r="K1800" s="2" t="n">
        <v>1</v>
      </c>
      <c r="L1800" s="2" t="n">
        <v>1</v>
      </c>
      <c r="M1800" s="2" t="n">
        <v>1</v>
      </c>
    </row>
    <row r="1801" customFormat="false" ht="15" hidden="false" customHeight="false" outlineLevel="0" collapsed="false">
      <c r="A1801" s="2" t="s">
        <v>3854</v>
      </c>
      <c r="B1801" s="2" t="s">
        <v>3855</v>
      </c>
      <c r="C1801" s="2" t="n">
        <v>4</v>
      </c>
      <c r="D1801" s="2" t="s">
        <v>36</v>
      </c>
      <c r="E1801" s="2" t="s">
        <v>3843</v>
      </c>
      <c r="F1801" s="3" t="n">
        <v>45831.8736111111</v>
      </c>
      <c r="G1801" s="2" t="s">
        <v>3306</v>
      </c>
      <c r="H1801" s="4" t="n">
        <v>0.4404</v>
      </c>
      <c r="I1801" s="2" t="s">
        <v>23</v>
      </c>
      <c r="J1801" s="2" t="s">
        <v>37</v>
      </c>
      <c r="K1801" s="2" t="n">
        <v>1</v>
      </c>
      <c r="L1801" s="2" t="n">
        <v>0</v>
      </c>
      <c r="M1801" s="2" t="n">
        <v>1</v>
      </c>
    </row>
    <row r="1802" customFormat="false" ht="15" hidden="false" customHeight="false" outlineLevel="0" collapsed="false">
      <c r="A1802" s="2" t="s">
        <v>3856</v>
      </c>
      <c r="B1802" s="2" t="s">
        <v>3857</v>
      </c>
      <c r="C1802" s="2" t="n">
        <v>2</v>
      </c>
      <c r="D1802" s="2" t="s">
        <v>32</v>
      </c>
      <c r="E1802" s="2" t="s">
        <v>3843</v>
      </c>
      <c r="F1802" s="3" t="n">
        <v>45831.8833333333</v>
      </c>
      <c r="G1802" s="2" t="s">
        <v>3306</v>
      </c>
      <c r="H1802" s="4" t="n">
        <v>0.2023</v>
      </c>
      <c r="I1802" s="2" t="s">
        <v>23</v>
      </c>
      <c r="J1802" s="2" t="s">
        <v>33</v>
      </c>
      <c r="K1802" s="2" t="n">
        <v>4</v>
      </c>
      <c r="L1802" s="2" t="n">
        <v>1</v>
      </c>
      <c r="M1802" s="2" t="n">
        <v>1</v>
      </c>
    </row>
    <row r="1803" customFormat="false" ht="15" hidden="false" customHeight="false" outlineLevel="0" collapsed="false">
      <c r="A1803" s="2" t="s">
        <v>3858</v>
      </c>
      <c r="B1803" s="2" t="s">
        <v>3859</v>
      </c>
      <c r="C1803" s="2" t="n">
        <v>1</v>
      </c>
      <c r="D1803" s="2" t="s">
        <v>3860</v>
      </c>
      <c r="E1803" s="2" t="s">
        <v>3843</v>
      </c>
      <c r="F1803" s="3" t="n">
        <v>45831.9423611111</v>
      </c>
      <c r="G1803" s="2" t="s">
        <v>3306</v>
      </c>
      <c r="H1803" s="4" t="n">
        <v>-0.3089</v>
      </c>
      <c r="I1803" s="2" t="s">
        <v>84</v>
      </c>
      <c r="J1803" s="2" t="s">
        <v>165</v>
      </c>
      <c r="K1803" s="2" t="n">
        <v>2</v>
      </c>
      <c r="L1803" s="2" t="n">
        <v>0</v>
      </c>
      <c r="M1803" s="2" t="n">
        <v>1</v>
      </c>
    </row>
    <row r="1804" customFormat="false" ht="15" hidden="false" customHeight="false" outlineLevel="0" collapsed="false">
      <c r="A1804" s="2" t="s">
        <v>3861</v>
      </c>
      <c r="B1804" s="2" t="s">
        <v>3862</v>
      </c>
      <c r="C1804" s="2" t="n">
        <v>5</v>
      </c>
      <c r="D1804" s="2" t="s">
        <v>96</v>
      </c>
      <c r="E1804" s="2" t="s">
        <v>3843</v>
      </c>
      <c r="F1804" s="3" t="n">
        <v>45831.9965277778</v>
      </c>
      <c r="G1804" s="2" t="s">
        <v>3306</v>
      </c>
      <c r="H1804" s="4" t="n">
        <v>0.6369</v>
      </c>
      <c r="I1804" s="2" t="s">
        <v>23</v>
      </c>
      <c r="J1804" s="2" t="s">
        <v>19</v>
      </c>
      <c r="K1804" s="2" t="n">
        <v>6</v>
      </c>
      <c r="L1804" s="2" t="n">
        <v>0</v>
      </c>
      <c r="M1804" s="2" t="n">
        <v>1</v>
      </c>
    </row>
    <row r="1805" customFormat="false" ht="15" hidden="false" customHeight="false" outlineLevel="0" collapsed="false">
      <c r="A1805" s="2" t="s">
        <v>3863</v>
      </c>
      <c r="B1805" s="2" t="s">
        <v>3864</v>
      </c>
      <c r="C1805" s="2" t="n">
        <v>2</v>
      </c>
      <c r="D1805" s="2" t="s">
        <v>402</v>
      </c>
      <c r="E1805" s="2" t="s">
        <v>3843</v>
      </c>
      <c r="F1805" s="3" t="n">
        <v>45832.0944444445</v>
      </c>
      <c r="G1805" s="2" t="s">
        <v>3306</v>
      </c>
      <c r="H1805" s="4" t="n">
        <v>0</v>
      </c>
      <c r="I1805" s="2" t="s">
        <v>18</v>
      </c>
      <c r="J1805" s="2" t="s">
        <v>59</v>
      </c>
      <c r="K1805" s="2" t="n">
        <v>3</v>
      </c>
      <c r="L1805" s="2" t="n">
        <v>0</v>
      </c>
      <c r="M1805" s="2" t="n">
        <v>1</v>
      </c>
    </row>
    <row r="1806" customFormat="false" ht="15" hidden="false" customHeight="false" outlineLevel="0" collapsed="false">
      <c r="A1806" s="2" t="s">
        <v>3865</v>
      </c>
      <c r="B1806" s="2" t="s">
        <v>3866</v>
      </c>
      <c r="C1806" s="2" t="n">
        <v>5</v>
      </c>
      <c r="D1806" s="2" t="s">
        <v>96</v>
      </c>
      <c r="E1806" s="2" t="s">
        <v>3843</v>
      </c>
      <c r="F1806" s="3" t="n">
        <v>45832.1055555556</v>
      </c>
      <c r="G1806" s="2" t="s">
        <v>3306</v>
      </c>
      <c r="H1806" s="4" t="n">
        <v>0.6369</v>
      </c>
      <c r="I1806" s="2" t="s">
        <v>23</v>
      </c>
      <c r="J1806" s="2" t="s">
        <v>19</v>
      </c>
      <c r="K1806" s="2" t="n">
        <v>1</v>
      </c>
      <c r="L1806" s="2" t="n">
        <v>0</v>
      </c>
      <c r="M1806" s="2" t="n">
        <v>1</v>
      </c>
    </row>
    <row r="1807" customFormat="false" ht="15" hidden="false" customHeight="false" outlineLevel="0" collapsed="false">
      <c r="A1807" s="2" t="s">
        <v>3867</v>
      </c>
      <c r="B1807" s="2" t="s">
        <v>3868</v>
      </c>
      <c r="C1807" s="2" t="n">
        <v>1</v>
      </c>
      <c r="D1807" s="2" t="s">
        <v>2825</v>
      </c>
      <c r="E1807" s="2" t="s">
        <v>3843</v>
      </c>
      <c r="F1807" s="3" t="n">
        <v>45832.1166666667</v>
      </c>
      <c r="G1807" s="2" t="s">
        <v>3306</v>
      </c>
      <c r="H1807" s="4" t="n">
        <v>-0.4398</v>
      </c>
      <c r="I1807" s="2" t="s">
        <v>84</v>
      </c>
      <c r="J1807" s="2" t="s">
        <v>19</v>
      </c>
      <c r="K1807" s="2" t="n">
        <v>5</v>
      </c>
      <c r="L1807" s="2" t="n">
        <v>0</v>
      </c>
      <c r="M1807" s="2" t="n">
        <v>1</v>
      </c>
    </row>
    <row r="1808" customFormat="false" ht="15" hidden="false" customHeight="false" outlineLevel="0" collapsed="false">
      <c r="A1808" s="2" t="s">
        <v>3869</v>
      </c>
      <c r="B1808" s="2" t="s">
        <v>3870</v>
      </c>
      <c r="C1808" s="2" t="n">
        <v>2</v>
      </c>
      <c r="D1808" s="2" t="s">
        <v>402</v>
      </c>
      <c r="E1808" s="2" t="s">
        <v>3843</v>
      </c>
      <c r="F1808" s="3" t="n">
        <v>45832.2222222222</v>
      </c>
      <c r="G1808" s="2" t="s">
        <v>3306</v>
      </c>
      <c r="H1808" s="4" t="n">
        <v>0</v>
      </c>
      <c r="I1808" s="2" t="s">
        <v>18</v>
      </c>
      <c r="J1808" s="2" t="s">
        <v>59</v>
      </c>
      <c r="K1808" s="2" t="n">
        <v>3</v>
      </c>
      <c r="L1808" s="2" t="n">
        <v>0</v>
      </c>
      <c r="M1808" s="2" t="n">
        <v>1</v>
      </c>
    </row>
    <row r="1809" customFormat="false" ht="15" hidden="false" customHeight="false" outlineLevel="0" collapsed="false">
      <c r="A1809" s="2" t="s">
        <v>3871</v>
      </c>
      <c r="B1809" s="2" t="s">
        <v>3872</v>
      </c>
      <c r="C1809" s="2" t="n">
        <v>1</v>
      </c>
      <c r="D1809" s="2" t="s">
        <v>402</v>
      </c>
      <c r="E1809" s="2" t="s">
        <v>3843</v>
      </c>
      <c r="F1809" s="3" t="n">
        <v>45832.2618055556</v>
      </c>
      <c r="G1809" s="2" t="s">
        <v>3306</v>
      </c>
      <c r="H1809" s="4" t="n">
        <v>0</v>
      </c>
      <c r="I1809" s="2" t="s">
        <v>18</v>
      </c>
      <c r="J1809" s="2" t="s">
        <v>59</v>
      </c>
      <c r="K1809" s="2" t="n">
        <v>1</v>
      </c>
      <c r="L1809" s="2" t="n">
        <v>0</v>
      </c>
      <c r="M1809" s="2" t="n">
        <v>1</v>
      </c>
    </row>
    <row r="1810" customFormat="false" ht="15" hidden="false" customHeight="false" outlineLevel="0" collapsed="false">
      <c r="A1810" s="2" t="s">
        <v>3873</v>
      </c>
      <c r="B1810" s="2" t="s">
        <v>3874</v>
      </c>
      <c r="C1810" s="2" t="n">
        <v>2</v>
      </c>
      <c r="D1810" s="2" t="s">
        <v>58</v>
      </c>
      <c r="E1810" s="2" t="s">
        <v>3843</v>
      </c>
      <c r="F1810" s="3" t="n">
        <v>45832.3131944445</v>
      </c>
      <c r="G1810" s="2" t="s">
        <v>3306</v>
      </c>
      <c r="H1810" s="4" t="n">
        <v>0</v>
      </c>
      <c r="I1810" s="2" t="s">
        <v>18</v>
      </c>
      <c r="J1810" s="2" t="s">
        <v>59</v>
      </c>
      <c r="K1810" s="2" t="n">
        <v>3</v>
      </c>
      <c r="L1810" s="2" t="n">
        <v>1</v>
      </c>
      <c r="M1810" s="2" t="n">
        <v>1</v>
      </c>
    </row>
    <row r="1811" customFormat="false" ht="15" hidden="false" customHeight="false" outlineLevel="0" collapsed="false">
      <c r="A1811" s="2" t="s">
        <v>3875</v>
      </c>
      <c r="B1811" s="2" t="s">
        <v>3876</v>
      </c>
      <c r="C1811" s="2" t="n">
        <v>5</v>
      </c>
      <c r="D1811" s="2" t="s">
        <v>127</v>
      </c>
      <c r="E1811" s="2" t="s">
        <v>3843</v>
      </c>
      <c r="F1811" s="3" t="n">
        <v>45832.4090277778</v>
      </c>
      <c r="G1811" s="2" t="s">
        <v>3306</v>
      </c>
      <c r="H1811" s="4" t="n">
        <v>0.9359</v>
      </c>
      <c r="I1811" s="2" t="s">
        <v>23</v>
      </c>
      <c r="J1811" s="2" t="s">
        <v>37</v>
      </c>
      <c r="K1811" s="2" t="n">
        <v>2</v>
      </c>
      <c r="L1811" s="2" t="n">
        <v>0</v>
      </c>
      <c r="M1811" s="2" t="n">
        <v>1</v>
      </c>
    </row>
    <row r="1812" customFormat="false" ht="15" hidden="false" customHeight="false" outlineLevel="0" collapsed="false">
      <c r="A1812" s="2" t="s">
        <v>3877</v>
      </c>
      <c r="B1812" s="2" t="s">
        <v>3878</v>
      </c>
      <c r="C1812" s="2" t="n">
        <v>4</v>
      </c>
      <c r="D1812" s="2" t="s">
        <v>26</v>
      </c>
      <c r="E1812" s="2" t="s">
        <v>3843</v>
      </c>
      <c r="F1812" s="3" t="n">
        <v>45832.6270833333</v>
      </c>
      <c r="G1812" s="2" t="s">
        <v>3306</v>
      </c>
      <c r="H1812" s="4" t="n">
        <v>0.8848</v>
      </c>
      <c r="I1812" s="2" t="s">
        <v>23</v>
      </c>
      <c r="J1812" s="2" t="s">
        <v>19</v>
      </c>
      <c r="K1812" s="2" t="n">
        <v>1</v>
      </c>
      <c r="L1812" s="2" t="n">
        <v>0</v>
      </c>
      <c r="M1812" s="2" t="n">
        <v>1</v>
      </c>
    </row>
    <row r="1813" customFormat="false" ht="15" hidden="false" customHeight="false" outlineLevel="0" collapsed="false">
      <c r="A1813" s="2" t="s">
        <v>3879</v>
      </c>
      <c r="B1813" s="2" t="s">
        <v>290</v>
      </c>
      <c r="C1813" s="2" t="n">
        <v>2</v>
      </c>
      <c r="D1813" s="2" t="s">
        <v>455</v>
      </c>
      <c r="E1813" s="2" t="s">
        <v>3843</v>
      </c>
      <c r="F1813" s="3" t="n">
        <v>45832.6659722222</v>
      </c>
      <c r="G1813" s="2" t="s">
        <v>3306</v>
      </c>
      <c r="H1813" s="4" t="n">
        <v>-0.2263</v>
      </c>
      <c r="I1813" s="2" t="s">
        <v>84</v>
      </c>
      <c r="J1813" s="2" t="s">
        <v>165</v>
      </c>
      <c r="K1813" s="2" t="n">
        <v>1</v>
      </c>
      <c r="L1813" s="2" t="n">
        <v>0</v>
      </c>
      <c r="M1813" s="2" t="n">
        <v>1</v>
      </c>
    </row>
    <row r="1814" customFormat="false" ht="15" hidden="false" customHeight="false" outlineLevel="0" collapsed="false">
      <c r="A1814" s="2" t="s">
        <v>3880</v>
      </c>
      <c r="B1814" s="2" t="s">
        <v>3881</v>
      </c>
      <c r="C1814" s="2" t="n">
        <v>3</v>
      </c>
      <c r="D1814" s="2" t="s">
        <v>99</v>
      </c>
      <c r="E1814" s="2" t="s">
        <v>3843</v>
      </c>
      <c r="F1814" s="3" t="n">
        <v>45832.7055555556</v>
      </c>
      <c r="G1814" s="2" t="s">
        <v>3306</v>
      </c>
      <c r="H1814" s="4" t="n">
        <v>-0.3089</v>
      </c>
      <c r="I1814" s="2" t="s">
        <v>84</v>
      </c>
      <c r="J1814" s="2" t="s">
        <v>19</v>
      </c>
      <c r="K1814" s="2" t="n">
        <v>11</v>
      </c>
      <c r="L1814" s="2" t="n">
        <v>0</v>
      </c>
      <c r="M1814" s="2" t="n">
        <v>1</v>
      </c>
    </row>
    <row r="1815" customFormat="false" ht="15" hidden="false" customHeight="false" outlineLevel="0" collapsed="false">
      <c r="A1815" s="2" t="s">
        <v>3882</v>
      </c>
      <c r="B1815" s="2" t="s">
        <v>3883</v>
      </c>
      <c r="C1815" s="2" t="n">
        <v>3</v>
      </c>
      <c r="D1815" s="2" t="s">
        <v>22</v>
      </c>
      <c r="E1815" s="2" t="s">
        <v>3843</v>
      </c>
      <c r="F1815" s="3" t="n">
        <v>45832.7229166667</v>
      </c>
      <c r="G1815" s="2" t="s">
        <v>3306</v>
      </c>
      <c r="H1815" s="4" t="n">
        <v>0.2023</v>
      </c>
      <c r="I1815" s="2" t="s">
        <v>23</v>
      </c>
      <c r="J1815" s="2" t="s">
        <v>19</v>
      </c>
      <c r="K1815" s="2" t="n">
        <v>6</v>
      </c>
      <c r="L1815" s="2" t="n">
        <v>0</v>
      </c>
      <c r="M1815" s="2" t="n">
        <v>1</v>
      </c>
    </row>
    <row r="1816" customFormat="false" ht="15" hidden="false" customHeight="false" outlineLevel="0" collapsed="false">
      <c r="A1816" s="2" t="s">
        <v>3884</v>
      </c>
      <c r="B1816" s="2" t="s">
        <v>3885</v>
      </c>
      <c r="C1816" s="2" t="n">
        <v>4</v>
      </c>
      <c r="D1816" s="2" t="s">
        <v>99</v>
      </c>
      <c r="E1816" s="2" t="s">
        <v>3843</v>
      </c>
      <c r="F1816" s="3" t="n">
        <v>45832.8083333333</v>
      </c>
      <c r="G1816" s="2" t="s">
        <v>3306</v>
      </c>
      <c r="H1816" s="4" t="n">
        <v>-0.3089</v>
      </c>
      <c r="I1816" s="2" t="s">
        <v>84</v>
      </c>
      <c r="J1816" s="2" t="s">
        <v>19</v>
      </c>
      <c r="K1816" s="2" t="n">
        <v>1</v>
      </c>
      <c r="L1816" s="2" t="n">
        <v>0</v>
      </c>
      <c r="M1816" s="2" t="n">
        <v>1</v>
      </c>
    </row>
    <row r="1817" customFormat="false" ht="15" hidden="false" customHeight="false" outlineLevel="0" collapsed="false">
      <c r="A1817" s="2" t="s">
        <v>3886</v>
      </c>
      <c r="B1817" s="2" t="s">
        <v>3887</v>
      </c>
      <c r="C1817" s="2" t="n">
        <v>4</v>
      </c>
      <c r="D1817" s="2" t="s">
        <v>52</v>
      </c>
      <c r="E1817" s="2" t="s">
        <v>3843</v>
      </c>
      <c r="F1817" s="3" t="n">
        <v>45833.0944444445</v>
      </c>
      <c r="G1817" s="2" t="s">
        <v>3306</v>
      </c>
      <c r="H1817" s="4" t="n">
        <v>0.6369</v>
      </c>
      <c r="I1817" s="2" t="s">
        <v>23</v>
      </c>
      <c r="J1817" s="2" t="s">
        <v>19</v>
      </c>
      <c r="K1817" s="2" t="n">
        <v>0</v>
      </c>
      <c r="L1817" s="2" t="n">
        <v>0</v>
      </c>
      <c r="M1817" s="2" t="n">
        <v>1</v>
      </c>
    </row>
    <row r="1818" customFormat="false" ht="15" hidden="false" customHeight="false" outlineLevel="0" collapsed="false">
      <c r="A1818" s="2" t="s">
        <v>3888</v>
      </c>
      <c r="B1818" s="2" t="s">
        <v>3889</v>
      </c>
      <c r="C1818" s="2" t="n">
        <v>1</v>
      </c>
      <c r="D1818" s="2" t="s">
        <v>3860</v>
      </c>
      <c r="E1818" s="2" t="s">
        <v>3843</v>
      </c>
      <c r="F1818" s="3" t="n">
        <v>45833.1444444444</v>
      </c>
      <c r="G1818" s="2" t="s">
        <v>3306</v>
      </c>
      <c r="H1818" s="4" t="n">
        <v>-0.3089</v>
      </c>
      <c r="I1818" s="2" t="s">
        <v>84</v>
      </c>
      <c r="J1818" s="2" t="s">
        <v>165</v>
      </c>
      <c r="K1818" s="2" t="n">
        <v>4</v>
      </c>
      <c r="L1818" s="2" t="n">
        <v>0</v>
      </c>
      <c r="M1818" s="2" t="n">
        <v>1</v>
      </c>
    </row>
    <row r="1819" customFormat="false" ht="15" hidden="false" customHeight="false" outlineLevel="0" collapsed="false">
      <c r="A1819" s="2" t="s">
        <v>3890</v>
      </c>
      <c r="B1819" s="2" t="s">
        <v>3891</v>
      </c>
      <c r="C1819" s="2" t="n">
        <v>5</v>
      </c>
      <c r="D1819" s="2" t="s">
        <v>389</v>
      </c>
      <c r="E1819" s="2" t="s">
        <v>3843</v>
      </c>
      <c r="F1819" s="3" t="n">
        <v>45833.3631944444</v>
      </c>
      <c r="G1819" s="2" t="s">
        <v>3306</v>
      </c>
      <c r="H1819" s="4" t="n">
        <v>0.8519</v>
      </c>
      <c r="I1819" s="2" t="s">
        <v>23</v>
      </c>
      <c r="J1819" s="2" t="s">
        <v>37</v>
      </c>
      <c r="K1819" s="2" t="n">
        <v>9</v>
      </c>
      <c r="L1819" s="2" t="n">
        <v>0</v>
      </c>
      <c r="M1819" s="2" t="n">
        <v>1</v>
      </c>
    </row>
    <row r="1820" customFormat="false" ht="15" hidden="false" customHeight="false" outlineLevel="0" collapsed="false">
      <c r="A1820" s="2" t="s">
        <v>3892</v>
      </c>
      <c r="B1820" s="2" t="s">
        <v>3893</v>
      </c>
      <c r="C1820" s="2" t="n">
        <v>3</v>
      </c>
      <c r="D1820" s="2" t="s">
        <v>455</v>
      </c>
      <c r="E1820" s="2" t="s">
        <v>3843</v>
      </c>
      <c r="F1820" s="3" t="n">
        <v>45833.4451388889</v>
      </c>
      <c r="G1820" s="2" t="s">
        <v>3306</v>
      </c>
      <c r="H1820" s="4" t="n">
        <v>-0.2263</v>
      </c>
      <c r="I1820" s="2" t="s">
        <v>84</v>
      </c>
      <c r="J1820" s="2" t="s">
        <v>165</v>
      </c>
      <c r="K1820" s="2" t="n">
        <v>1</v>
      </c>
      <c r="L1820" s="2" t="n">
        <v>0</v>
      </c>
      <c r="M1820" s="2" t="n">
        <v>1</v>
      </c>
    </row>
    <row r="1821" customFormat="false" ht="15" hidden="false" customHeight="false" outlineLevel="0" collapsed="false">
      <c r="A1821" s="2" t="s">
        <v>3894</v>
      </c>
      <c r="B1821" s="2" t="s">
        <v>3895</v>
      </c>
      <c r="C1821" s="2" t="n">
        <v>1</v>
      </c>
      <c r="D1821" s="2" t="s">
        <v>179</v>
      </c>
      <c r="E1821" s="2" t="s">
        <v>3843</v>
      </c>
      <c r="F1821" s="3" t="n">
        <v>45833.4652777778</v>
      </c>
      <c r="G1821" s="2" t="s">
        <v>3306</v>
      </c>
      <c r="H1821" s="4" t="n">
        <v>-0.0258</v>
      </c>
      <c r="I1821" s="2" t="s">
        <v>18</v>
      </c>
      <c r="J1821" s="2" t="s">
        <v>59</v>
      </c>
      <c r="K1821" s="2" t="n">
        <v>1</v>
      </c>
      <c r="L1821" s="2" t="n">
        <v>1</v>
      </c>
      <c r="M1821" s="2" t="n">
        <v>1</v>
      </c>
    </row>
    <row r="1822" customFormat="false" ht="15" hidden="false" customHeight="false" outlineLevel="0" collapsed="false">
      <c r="A1822" s="2" t="s">
        <v>3896</v>
      </c>
      <c r="B1822" s="2" t="s">
        <v>3897</v>
      </c>
      <c r="C1822" s="2" t="n">
        <v>2</v>
      </c>
      <c r="D1822" s="2" t="s">
        <v>179</v>
      </c>
      <c r="E1822" s="2" t="s">
        <v>3843</v>
      </c>
      <c r="F1822" s="3" t="n">
        <v>45833.6319444445</v>
      </c>
      <c r="G1822" s="2" t="s">
        <v>3306</v>
      </c>
      <c r="H1822" s="4" t="n">
        <v>-0.0258</v>
      </c>
      <c r="I1822" s="2" t="s">
        <v>18</v>
      </c>
      <c r="J1822" s="2" t="s">
        <v>59</v>
      </c>
      <c r="K1822" s="2" t="n">
        <v>3</v>
      </c>
      <c r="L1822" s="2" t="n">
        <v>0</v>
      </c>
      <c r="M1822" s="2" t="n">
        <v>1</v>
      </c>
    </row>
    <row r="1823" customFormat="false" ht="15" hidden="false" customHeight="false" outlineLevel="0" collapsed="false">
      <c r="A1823" s="2" t="s">
        <v>3898</v>
      </c>
      <c r="B1823" s="2" t="s">
        <v>3899</v>
      </c>
      <c r="C1823" s="2" t="n">
        <v>2</v>
      </c>
      <c r="D1823" s="2" t="s">
        <v>455</v>
      </c>
      <c r="E1823" s="2" t="s">
        <v>3843</v>
      </c>
      <c r="F1823" s="3" t="n">
        <v>45833.6965277778</v>
      </c>
      <c r="G1823" s="2" t="s">
        <v>3306</v>
      </c>
      <c r="H1823" s="4" t="n">
        <v>-0.2263</v>
      </c>
      <c r="I1823" s="2" t="s">
        <v>84</v>
      </c>
      <c r="J1823" s="2" t="s">
        <v>165</v>
      </c>
      <c r="K1823" s="2" t="n">
        <v>0</v>
      </c>
      <c r="L1823" s="2" t="n">
        <v>1</v>
      </c>
      <c r="M1823" s="2" t="n">
        <v>1</v>
      </c>
    </row>
    <row r="1824" customFormat="false" ht="15" hidden="false" customHeight="false" outlineLevel="0" collapsed="false">
      <c r="A1824" s="2" t="s">
        <v>3900</v>
      </c>
      <c r="B1824" s="2" t="s">
        <v>3901</v>
      </c>
      <c r="C1824" s="2" t="n">
        <v>2</v>
      </c>
      <c r="D1824" s="2" t="s">
        <v>3902</v>
      </c>
      <c r="E1824" s="2" t="s">
        <v>3843</v>
      </c>
      <c r="F1824" s="3" t="n">
        <v>45833.7041666667</v>
      </c>
      <c r="G1824" s="2" t="s">
        <v>3306</v>
      </c>
      <c r="H1824" s="4" t="n">
        <v>-0.6369</v>
      </c>
      <c r="I1824" s="2" t="s">
        <v>84</v>
      </c>
      <c r="J1824" s="2" t="s">
        <v>37</v>
      </c>
      <c r="K1824" s="2" t="n">
        <v>0</v>
      </c>
      <c r="L1824" s="2" t="n">
        <v>1</v>
      </c>
      <c r="M1824" s="2" t="n">
        <v>1</v>
      </c>
    </row>
    <row r="1825" customFormat="false" ht="15" hidden="false" customHeight="false" outlineLevel="0" collapsed="false">
      <c r="A1825" s="2" t="s">
        <v>3903</v>
      </c>
      <c r="B1825" s="2" t="s">
        <v>3904</v>
      </c>
      <c r="C1825" s="2" t="n">
        <v>2</v>
      </c>
      <c r="D1825" s="2" t="s">
        <v>83</v>
      </c>
      <c r="E1825" s="2" t="s">
        <v>3843</v>
      </c>
      <c r="F1825" s="3" t="n">
        <v>45833.81875</v>
      </c>
      <c r="G1825" s="2" t="s">
        <v>3306</v>
      </c>
      <c r="H1825" s="4" t="n">
        <v>-0.6166</v>
      </c>
      <c r="I1825" s="2" t="s">
        <v>84</v>
      </c>
      <c r="J1825" s="2" t="s">
        <v>59</v>
      </c>
      <c r="K1825" s="2" t="n">
        <v>0</v>
      </c>
      <c r="L1825" s="2" t="n">
        <v>0</v>
      </c>
      <c r="M1825" s="2" t="n">
        <v>1</v>
      </c>
    </row>
    <row r="1826" customFormat="false" ht="15" hidden="false" customHeight="false" outlineLevel="0" collapsed="false">
      <c r="A1826" s="2" t="s">
        <v>3905</v>
      </c>
      <c r="B1826" s="2" t="s">
        <v>3906</v>
      </c>
      <c r="C1826" s="2" t="n">
        <v>5</v>
      </c>
      <c r="D1826" s="2" t="s">
        <v>62</v>
      </c>
      <c r="E1826" s="2" t="s">
        <v>3843</v>
      </c>
      <c r="F1826" s="3" t="n">
        <v>45833.9680555556</v>
      </c>
      <c r="G1826" s="2" t="s">
        <v>3306</v>
      </c>
      <c r="H1826" s="4" t="n">
        <v>0.7088</v>
      </c>
      <c r="I1826" s="2" t="s">
        <v>23</v>
      </c>
      <c r="J1826" s="2" t="s">
        <v>19</v>
      </c>
      <c r="K1826" s="2" t="n">
        <v>4</v>
      </c>
      <c r="L1826" s="2" t="n">
        <v>0</v>
      </c>
      <c r="M1826" s="2" t="n">
        <v>1</v>
      </c>
    </row>
    <row r="1827" customFormat="false" ht="15" hidden="false" customHeight="false" outlineLevel="0" collapsed="false">
      <c r="A1827" s="2" t="s">
        <v>3907</v>
      </c>
      <c r="B1827" s="2" t="s">
        <v>3908</v>
      </c>
      <c r="C1827" s="2" t="n">
        <v>3</v>
      </c>
      <c r="D1827" s="2" t="s">
        <v>36</v>
      </c>
      <c r="E1827" s="2" t="s">
        <v>3843</v>
      </c>
      <c r="F1827" s="3" t="n">
        <v>45834.0020833333</v>
      </c>
      <c r="G1827" s="2" t="s">
        <v>3306</v>
      </c>
      <c r="H1827" s="4" t="n">
        <v>0.4404</v>
      </c>
      <c r="I1827" s="2" t="s">
        <v>23</v>
      </c>
      <c r="J1827" s="2" t="s">
        <v>37</v>
      </c>
      <c r="K1827" s="2" t="n">
        <v>1</v>
      </c>
      <c r="L1827" s="2" t="n">
        <v>0</v>
      </c>
      <c r="M1827" s="2" t="n">
        <v>1</v>
      </c>
    </row>
    <row r="1828" customFormat="false" ht="15" hidden="false" customHeight="false" outlineLevel="0" collapsed="false">
      <c r="A1828" s="2" t="s">
        <v>3909</v>
      </c>
      <c r="B1828" s="2" t="s">
        <v>3910</v>
      </c>
      <c r="C1828" s="2" t="n">
        <v>2</v>
      </c>
      <c r="D1828" s="2" t="s">
        <v>3911</v>
      </c>
      <c r="E1828" s="2" t="s">
        <v>3843</v>
      </c>
      <c r="F1828" s="3" t="n">
        <v>45834.1083333333</v>
      </c>
      <c r="G1828" s="2" t="s">
        <v>3306</v>
      </c>
      <c r="H1828" s="4" t="n">
        <v>0</v>
      </c>
      <c r="I1828" s="2" t="s">
        <v>18</v>
      </c>
      <c r="J1828" s="2" t="s">
        <v>59</v>
      </c>
      <c r="K1828" s="2" t="n">
        <v>1</v>
      </c>
      <c r="L1828" s="2" t="n">
        <v>0</v>
      </c>
      <c r="M1828" s="2" t="n">
        <v>1</v>
      </c>
    </row>
    <row r="1829" customFormat="false" ht="15" hidden="false" customHeight="false" outlineLevel="0" collapsed="false">
      <c r="A1829" s="2" t="s">
        <v>3912</v>
      </c>
      <c r="B1829" s="2" t="s">
        <v>3913</v>
      </c>
      <c r="C1829" s="2" t="n">
        <v>1</v>
      </c>
      <c r="D1829" s="2" t="s">
        <v>357</v>
      </c>
      <c r="E1829" s="2" t="s">
        <v>3843</v>
      </c>
      <c r="F1829" s="3" t="n">
        <v>45834.1409722222</v>
      </c>
      <c r="G1829" s="2" t="s">
        <v>3306</v>
      </c>
      <c r="H1829" s="4" t="n">
        <v>0</v>
      </c>
      <c r="I1829" s="2" t="s">
        <v>18</v>
      </c>
      <c r="J1829" s="2" t="s">
        <v>165</v>
      </c>
      <c r="K1829" s="2" t="n">
        <v>10</v>
      </c>
      <c r="L1829" s="2" t="n">
        <v>0</v>
      </c>
      <c r="M1829" s="2" t="n">
        <v>1</v>
      </c>
    </row>
    <row r="1830" customFormat="false" ht="15" hidden="false" customHeight="false" outlineLevel="0" collapsed="false">
      <c r="A1830" s="2" t="s">
        <v>3914</v>
      </c>
      <c r="B1830" s="2" t="s">
        <v>3915</v>
      </c>
      <c r="C1830" s="2" t="n">
        <v>3</v>
      </c>
      <c r="D1830" s="2" t="s">
        <v>301</v>
      </c>
      <c r="E1830" s="2" t="s">
        <v>3843</v>
      </c>
      <c r="F1830" s="3" t="n">
        <v>45834.2048611111</v>
      </c>
      <c r="G1830" s="2" t="s">
        <v>3306</v>
      </c>
      <c r="H1830" s="4" t="n">
        <v>0.2263</v>
      </c>
      <c r="I1830" s="2" t="s">
        <v>23</v>
      </c>
      <c r="J1830" s="2" t="s">
        <v>19</v>
      </c>
      <c r="K1830" s="2" t="n">
        <v>4</v>
      </c>
      <c r="L1830" s="2" t="n">
        <v>0</v>
      </c>
      <c r="M1830" s="2" t="n">
        <v>1</v>
      </c>
    </row>
    <row r="1831" customFormat="false" ht="15" hidden="false" customHeight="false" outlineLevel="0" collapsed="false">
      <c r="A1831" s="2" t="s">
        <v>3916</v>
      </c>
      <c r="B1831" s="2" t="s">
        <v>3917</v>
      </c>
      <c r="C1831" s="2" t="n">
        <v>2</v>
      </c>
      <c r="D1831" s="2" t="s">
        <v>83</v>
      </c>
      <c r="E1831" s="2" t="s">
        <v>3843</v>
      </c>
      <c r="F1831" s="3" t="n">
        <v>45834.3590277778</v>
      </c>
      <c r="G1831" s="2" t="s">
        <v>3306</v>
      </c>
      <c r="H1831" s="4" t="n">
        <v>-0.6166</v>
      </c>
      <c r="I1831" s="2" t="s">
        <v>84</v>
      </c>
      <c r="J1831" s="2" t="s">
        <v>59</v>
      </c>
      <c r="K1831" s="2" t="n">
        <v>5</v>
      </c>
      <c r="L1831" s="2" t="n">
        <v>0</v>
      </c>
      <c r="M1831" s="2" t="n">
        <v>1</v>
      </c>
    </row>
    <row r="1832" customFormat="false" ht="15" hidden="false" customHeight="false" outlineLevel="0" collapsed="false">
      <c r="A1832" s="2" t="s">
        <v>3918</v>
      </c>
      <c r="B1832" s="2" t="s">
        <v>3919</v>
      </c>
      <c r="C1832" s="2" t="n">
        <v>5</v>
      </c>
      <c r="D1832" s="2" t="s">
        <v>47</v>
      </c>
      <c r="E1832" s="2" t="s">
        <v>3843</v>
      </c>
      <c r="F1832" s="3" t="n">
        <v>45834.4243055556</v>
      </c>
      <c r="G1832" s="2" t="s">
        <v>3306</v>
      </c>
      <c r="H1832" s="4" t="n">
        <v>0.3089</v>
      </c>
      <c r="I1832" s="2" t="s">
        <v>23</v>
      </c>
      <c r="J1832" s="2" t="s">
        <v>19</v>
      </c>
      <c r="K1832" s="2" t="n">
        <v>2</v>
      </c>
      <c r="L1832" s="2" t="n">
        <v>0</v>
      </c>
      <c r="M1832" s="2" t="n">
        <v>1</v>
      </c>
    </row>
    <row r="1833" customFormat="false" ht="15" hidden="false" customHeight="false" outlineLevel="0" collapsed="false">
      <c r="A1833" s="2" t="s">
        <v>3920</v>
      </c>
      <c r="B1833" s="2" t="s">
        <v>3921</v>
      </c>
      <c r="C1833" s="2" t="n">
        <v>2</v>
      </c>
      <c r="D1833" s="2" t="s">
        <v>1942</v>
      </c>
      <c r="E1833" s="2" t="s">
        <v>3843</v>
      </c>
      <c r="F1833" s="3" t="n">
        <v>45834.4909722222</v>
      </c>
      <c r="G1833" s="2" t="s">
        <v>3306</v>
      </c>
      <c r="H1833" s="4" t="n">
        <v>0</v>
      </c>
      <c r="I1833" s="2" t="s">
        <v>18</v>
      </c>
      <c r="J1833" s="2" t="s">
        <v>165</v>
      </c>
      <c r="K1833" s="2" t="n">
        <v>0</v>
      </c>
      <c r="L1833" s="2" t="n">
        <v>1</v>
      </c>
      <c r="M1833" s="2" t="n">
        <v>1</v>
      </c>
    </row>
    <row r="1834" customFormat="false" ht="15" hidden="false" customHeight="false" outlineLevel="0" collapsed="false">
      <c r="A1834" s="2" t="s">
        <v>3922</v>
      </c>
      <c r="B1834" s="2" t="s">
        <v>3923</v>
      </c>
      <c r="C1834" s="2" t="n">
        <v>2</v>
      </c>
      <c r="D1834" s="2" t="s">
        <v>133</v>
      </c>
      <c r="E1834" s="2" t="s">
        <v>3843</v>
      </c>
      <c r="F1834" s="3" t="n">
        <v>45834.5034722222</v>
      </c>
      <c r="G1834" s="2" t="s">
        <v>3306</v>
      </c>
      <c r="H1834" s="4" t="n">
        <v>-0.5719</v>
      </c>
      <c r="I1834" s="2" t="s">
        <v>84</v>
      </c>
      <c r="J1834" s="2" t="s">
        <v>33</v>
      </c>
      <c r="K1834" s="2" t="n">
        <v>3</v>
      </c>
      <c r="L1834" s="2" t="n">
        <v>1</v>
      </c>
      <c r="M1834" s="2" t="n">
        <v>1</v>
      </c>
    </row>
    <row r="1835" customFormat="false" ht="15" hidden="false" customHeight="false" outlineLevel="0" collapsed="false">
      <c r="A1835" s="2" t="s">
        <v>3924</v>
      </c>
      <c r="B1835" s="2" t="s">
        <v>3925</v>
      </c>
      <c r="C1835" s="2" t="n">
        <v>1</v>
      </c>
      <c r="D1835" s="2" t="s">
        <v>455</v>
      </c>
      <c r="E1835" s="2" t="s">
        <v>3843</v>
      </c>
      <c r="F1835" s="3" t="n">
        <v>45834.6416666667</v>
      </c>
      <c r="G1835" s="2" t="s">
        <v>3306</v>
      </c>
      <c r="H1835" s="4" t="n">
        <v>-0.2263</v>
      </c>
      <c r="I1835" s="2" t="s">
        <v>84</v>
      </c>
      <c r="J1835" s="2" t="s">
        <v>165</v>
      </c>
      <c r="K1835" s="2" t="n">
        <v>0</v>
      </c>
      <c r="L1835" s="2" t="n">
        <v>0</v>
      </c>
      <c r="M1835" s="2" t="n">
        <v>1</v>
      </c>
    </row>
    <row r="1836" customFormat="false" ht="15" hidden="false" customHeight="false" outlineLevel="0" collapsed="false">
      <c r="A1836" s="2" t="s">
        <v>3926</v>
      </c>
      <c r="B1836" s="2" t="s">
        <v>3927</v>
      </c>
      <c r="C1836" s="2" t="n">
        <v>5</v>
      </c>
      <c r="D1836" s="2" t="s">
        <v>15</v>
      </c>
      <c r="E1836" s="2" t="s">
        <v>3843</v>
      </c>
      <c r="F1836" s="3" t="n">
        <v>45834.6833333333</v>
      </c>
      <c r="G1836" s="2" t="s">
        <v>3306</v>
      </c>
      <c r="H1836" s="4" t="n">
        <v>0</v>
      </c>
      <c r="I1836" s="2" t="s">
        <v>18</v>
      </c>
      <c r="J1836" s="2" t="s">
        <v>19</v>
      </c>
      <c r="K1836" s="2" t="n">
        <v>1</v>
      </c>
      <c r="L1836" s="2" t="n">
        <v>0</v>
      </c>
      <c r="M1836" s="2" t="n">
        <v>1</v>
      </c>
    </row>
    <row r="1837" customFormat="false" ht="15" hidden="false" customHeight="false" outlineLevel="0" collapsed="false">
      <c r="A1837" s="2" t="s">
        <v>3928</v>
      </c>
      <c r="B1837" s="2" t="s">
        <v>3929</v>
      </c>
      <c r="C1837" s="2" t="n">
        <v>1</v>
      </c>
      <c r="D1837" s="2" t="s">
        <v>231</v>
      </c>
      <c r="E1837" s="2" t="s">
        <v>3843</v>
      </c>
      <c r="F1837" s="3" t="n">
        <v>45834.8555555556</v>
      </c>
      <c r="G1837" s="2" t="s">
        <v>3306</v>
      </c>
      <c r="H1837" s="4" t="n">
        <v>-0.3593</v>
      </c>
      <c r="I1837" s="2" t="s">
        <v>84</v>
      </c>
      <c r="J1837" s="2" t="s">
        <v>33</v>
      </c>
      <c r="K1837" s="2" t="n">
        <v>9</v>
      </c>
      <c r="L1837" s="2" t="n">
        <v>0</v>
      </c>
      <c r="M1837" s="2" t="n">
        <v>1</v>
      </c>
    </row>
    <row r="1838" customFormat="false" ht="15" hidden="false" customHeight="false" outlineLevel="0" collapsed="false">
      <c r="A1838" s="2" t="s">
        <v>3930</v>
      </c>
      <c r="B1838" s="2" t="s">
        <v>3931</v>
      </c>
      <c r="C1838" s="2" t="n">
        <v>4</v>
      </c>
      <c r="D1838" s="2" t="s">
        <v>40</v>
      </c>
      <c r="E1838" s="2" t="s">
        <v>3843</v>
      </c>
      <c r="F1838" s="3" t="n">
        <v>45834.9361111111</v>
      </c>
      <c r="G1838" s="2" t="s">
        <v>3306</v>
      </c>
      <c r="H1838" s="4" t="n">
        <v>0.4019</v>
      </c>
      <c r="I1838" s="2" t="s">
        <v>23</v>
      </c>
      <c r="J1838" s="2" t="s">
        <v>33</v>
      </c>
      <c r="K1838" s="2" t="n">
        <v>2</v>
      </c>
      <c r="L1838" s="2" t="n">
        <v>0</v>
      </c>
      <c r="M1838" s="2" t="n">
        <v>1</v>
      </c>
    </row>
    <row r="1839" customFormat="false" ht="15" hidden="false" customHeight="false" outlineLevel="0" collapsed="false">
      <c r="A1839" s="2" t="s">
        <v>3932</v>
      </c>
      <c r="B1839" s="2" t="s">
        <v>3933</v>
      </c>
      <c r="C1839" s="2" t="n">
        <v>3</v>
      </c>
      <c r="D1839" s="2" t="s">
        <v>36</v>
      </c>
      <c r="E1839" s="2" t="s">
        <v>3843</v>
      </c>
      <c r="F1839" s="3" t="n">
        <v>45835.0993055556</v>
      </c>
      <c r="G1839" s="2" t="s">
        <v>3306</v>
      </c>
      <c r="H1839" s="4" t="n">
        <v>0.4404</v>
      </c>
      <c r="I1839" s="2" t="s">
        <v>23</v>
      </c>
      <c r="J1839" s="2" t="s">
        <v>37</v>
      </c>
      <c r="K1839" s="2" t="n">
        <v>1</v>
      </c>
      <c r="L1839" s="2" t="n">
        <v>0</v>
      </c>
      <c r="M1839" s="2" t="n">
        <v>1</v>
      </c>
    </row>
    <row r="1840" customFormat="false" ht="15" hidden="false" customHeight="false" outlineLevel="0" collapsed="false">
      <c r="A1840" s="2" t="s">
        <v>3934</v>
      </c>
      <c r="B1840" s="2" t="s">
        <v>3935</v>
      </c>
      <c r="C1840" s="2" t="n">
        <v>5</v>
      </c>
      <c r="D1840" s="2" t="s">
        <v>62</v>
      </c>
      <c r="E1840" s="2" t="s">
        <v>3843</v>
      </c>
      <c r="F1840" s="3" t="n">
        <v>45835.1055555556</v>
      </c>
      <c r="G1840" s="2" t="s">
        <v>3306</v>
      </c>
      <c r="H1840" s="4" t="n">
        <v>0.7088</v>
      </c>
      <c r="I1840" s="2" t="s">
        <v>23</v>
      </c>
      <c r="J1840" s="2" t="s">
        <v>19</v>
      </c>
      <c r="K1840" s="2" t="n">
        <v>8</v>
      </c>
      <c r="L1840" s="2" t="n">
        <v>0</v>
      </c>
      <c r="M1840" s="2" t="n">
        <v>1</v>
      </c>
    </row>
    <row r="1841" customFormat="false" ht="15" hidden="false" customHeight="false" outlineLevel="0" collapsed="false">
      <c r="A1841" s="2" t="s">
        <v>3936</v>
      </c>
      <c r="B1841" s="2" t="s">
        <v>3937</v>
      </c>
      <c r="C1841" s="2" t="n">
        <v>4</v>
      </c>
      <c r="D1841" s="2" t="s">
        <v>47</v>
      </c>
      <c r="E1841" s="2" t="s">
        <v>3843</v>
      </c>
      <c r="F1841" s="3" t="n">
        <v>45835.4597222222</v>
      </c>
      <c r="G1841" s="2" t="s">
        <v>3306</v>
      </c>
      <c r="H1841" s="4" t="n">
        <v>0.3089</v>
      </c>
      <c r="I1841" s="2" t="s">
        <v>23</v>
      </c>
      <c r="J1841" s="2" t="s">
        <v>19</v>
      </c>
      <c r="K1841" s="2" t="n">
        <v>1</v>
      </c>
      <c r="L1841" s="2" t="n">
        <v>0</v>
      </c>
      <c r="M1841" s="2" t="n">
        <v>1</v>
      </c>
    </row>
    <row r="1842" customFormat="false" ht="15" hidden="false" customHeight="false" outlineLevel="0" collapsed="false">
      <c r="A1842" s="2" t="s">
        <v>3938</v>
      </c>
      <c r="B1842" s="2" t="s">
        <v>3939</v>
      </c>
      <c r="C1842" s="2" t="n">
        <v>3</v>
      </c>
      <c r="D1842" s="2" t="s">
        <v>3290</v>
      </c>
      <c r="E1842" s="2" t="s">
        <v>3843</v>
      </c>
      <c r="F1842" s="3" t="n">
        <v>45835.4694444445</v>
      </c>
      <c r="G1842" s="2" t="s">
        <v>3306</v>
      </c>
      <c r="H1842" s="4" t="n">
        <v>0.6448</v>
      </c>
      <c r="I1842" s="2" t="s">
        <v>23</v>
      </c>
      <c r="J1842" s="2" t="s">
        <v>37</v>
      </c>
      <c r="K1842" s="2" t="n">
        <v>1</v>
      </c>
      <c r="L1842" s="2" t="n">
        <v>0</v>
      </c>
      <c r="M1842" s="2" t="n">
        <v>1</v>
      </c>
    </row>
    <row r="1843" customFormat="false" ht="15" hidden="false" customHeight="false" outlineLevel="0" collapsed="false">
      <c r="A1843" s="2" t="s">
        <v>3940</v>
      </c>
      <c r="B1843" s="2" t="s">
        <v>3941</v>
      </c>
      <c r="C1843" s="2" t="n">
        <v>1</v>
      </c>
      <c r="D1843" s="2" t="s">
        <v>234</v>
      </c>
      <c r="E1843" s="2" t="s">
        <v>3843</v>
      </c>
      <c r="F1843" s="3" t="n">
        <v>45835.5034722222</v>
      </c>
      <c r="G1843" s="2" t="s">
        <v>3306</v>
      </c>
      <c r="H1843" s="4" t="n">
        <v>0</v>
      </c>
      <c r="I1843" s="2" t="s">
        <v>18</v>
      </c>
      <c r="J1843" s="2" t="s">
        <v>165</v>
      </c>
      <c r="K1843" s="2" t="n">
        <v>2</v>
      </c>
      <c r="L1843" s="2" t="n">
        <v>1</v>
      </c>
      <c r="M1843" s="2" t="n">
        <v>1</v>
      </c>
    </row>
    <row r="1844" customFormat="false" ht="15" hidden="false" customHeight="false" outlineLevel="0" collapsed="false">
      <c r="A1844" s="2" t="s">
        <v>3942</v>
      </c>
      <c r="B1844" s="2" t="s">
        <v>3943</v>
      </c>
      <c r="C1844" s="2" t="n">
        <v>1</v>
      </c>
      <c r="D1844" s="2" t="s">
        <v>1942</v>
      </c>
      <c r="E1844" s="2" t="s">
        <v>3843</v>
      </c>
      <c r="F1844" s="3" t="n">
        <v>45835.5354166667</v>
      </c>
      <c r="G1844" s="2" t="s">
        <v>3306</v>
      </c>
      <c r="H1844" s="4" t="n">
        <v>0</v>
      </c>
      <c r="I1844" s="2" t="s">
        <v>18</v>
      </c>
      <c r="J1844" s="2" t="s">
        <v>165</v>
      </c>
      <c r="K1844" s="2" t="n">
        <v>2</v>
      </c>
      <c r="L1844" s="2" t="n">
        <v>0</v>
      </c>
      <c r="M1844" s="2" t="n">
        <v>1</v>
      </c>
    </row>
    <row r="1845" customFormat="false" ht="15" hidden="false" customHeight="false" outlineLevel="0" collapsed="false">
      <c r="A1845" s="2" t="s">
        <v>3944</v>
      </c>
      <c r="B1845" s="2" t="s">
        <v>3575</v>
      </c>
      <c r="C1845" s="2" t="n">
        <v>3</v>
      </c>
      <c r="D1845" s="2" t="s">
        <v>661</v>
      </c>
      <c r="E1845" s="2" t="s">
        <v>3843</v>
      </c>
      <c r="F1845" s="3" t="n">
        <v>45835.5555555556</v>
      </c>
      <c r="G1845" s="2" t="s">
        <v>3306</v>
      </c>
      <c r="H1845" s="4" t="n">
        <v>0</v>
      </c>
      <c r="I1845" s="2" t="s">
        <v>18</v>
      </c>
      <c r="J1845" s="2" t="s">
        <v>59</v>
      </c>
      <c r="K1845" s="2" t="n">
        <v>0</v>
      </c>
      <c r="L1845" s="2" t="n">
        <v>0</v>
      </c>
      <c r="M1845" s="2" t="n">
        <v>1</v>
      </c>
    </row>
    <row r="1846" customFormat="false" ht="15" hidden="false" customHeight="false" outlineLevel="0" collapsed="false">
      <c r="A1846" s="2" t="s">
        <v>3945</v>
      </c>
      <c r="B1846" s="2" t="s">
        <v>3946</v>
      </c>
      <c r="C1846" s="2" t="n">
        <v>3</v>
      </c>
      <c r="D1846" s="2" t="s">
        <v>301</v>
      </c>
      <c r="E1846" s="2" t="s">
        <v>3843</v>
      </c>
      <c r="F1846" s="3" t="n">
        <v>45835.6159722222</v>
      </c>
      <c r="G1846" s="2" t="s">
        <v>3306</v>
      </c>
      <c r="H1846" s="4" t="n">
        <v>0.2263</v>
      </c>
      <c r="I1846" s="2" t="s">
        <v>23</v>
      </c>
      <c r="J1846" s="2" t="s">
        <v>19</v>
      </c>
      <c r="K1846" s="2" t="n">
        <v>0</v>
      </c>
      <c r="L1846" s="2" t="n">
        <v>0</v>
      </c>
      <c r="M1846" s="2" t="n">
        <v>1</v>
      </c>
    </row>
    <row r="1847" customFormat="false" ht="15" hidden="false" customHeight="false" outlineLevel="0" collapsed="false">
      <c r="A1847" s="2" t="s">
        <v>3947</v>
      </c>
      <c r="B1847" s="2" t="s">
        <v>3948</v>
      </c>
      <c r="C1847" s="2" t="n">
        <v>4</v>
      </c>
      <c r="D1847" s="2" t="s">
        <v>99</v>
      </c>
      <c r="E1847" s="2" t="s">
        <v>3843</v>
      </c>
      <c r="F1847" s="3" t="n">
        <v>45835.6708333333</v>
      </c>
      <c r="G1847" s="2" t="s">
        <v>3306</v>
      </c>
      <c r="H1847" s="4" t="n">
        <v>-0.3089</v>
      </c>
      <c r="I1847" s="2" t="s">
        <v>84</v>
      </c>
      <c r="J1847" s="2" t="s">
        <v>19</v>
      </c>
      <c r="K1847" s="2" t="n">
        <v>9</v>
      </c>
      <c r="L1847" s="2" t="n">
        <v>0</v>
      </c>
      <c r="M1847" s="2" t="n">
        <v>1</v>
      </c>
    </row>
    <row r="1848" customFormat="false" ht="15" hidden="false" customHeight="false" outlineLevel="0" collapsed="false">
      <c r="A1848" s="2" t="s">
        <v>3949</v>
      </c>
      <c r="B1848" s="2" t="s">
        <v>3950</v>
      </c>
      <c r="C1848" s="2" t="n">
        <v>2</v>
      </c>
      <c r="D1848" s="2" t="s">
        <v>455</v>
      </c>
      <c r="E1848" s="2" t="s">
        <v>3843</v>
      </c>
      <c r="F1848" s="3" t="n">
        <v>45835.7583333333</v>
      </c>
      <c r="G1848" s="2" t="s">
        <v>3306</v>
      </c>
      <c r="H1848" s="4" t="n">
        <v>-0.2263</v>
      </c>
      <c r="I1848" s="2" t="s">
        <v>84</v>
      </c>
      <c r="J1848" s="2" t="s">
        <v>165</v>
      </c>
      <c r="K1848" s="2" t="n">
        <v>3</v>
      </c>
      <c r="L1848" s="2" t="n">
        <v>0</v>
      </c>
      <c r="M1848" s="2" t="n">
        <v>1</v>
      </c>
    </row>
    <row r="1849" customFormat="false" ht="15" hidden="false" customHeight="false" outlineLevel="0" collapsed="false">
      <c r="A1849" s="2" t="s">
        <v>3951</v>
      </c>
      <c r="B1849" s="2" t="s">
        <v>3952</v>
      </c>
      <c r="C1849" s="2" t="n">
        <v>1</v>
      </c>
      <c r="D1849" s="2" t="s">
        <v>3953</v>
      </c>
      <c r="E1849" s="2" t="s">
        <v>3843</v>
      </c>
      <c r="F1849" s="3" t="n">
        <v>45835.9326388889</v>
      </c>
      <c r="G1849" s="2" t="s">
        <v>3306</v>
      </c>
      <c r="H1849" s="4" t="n">
        <v>-0.4215</v>
      </c>
      <c r="I1849" s="2" t="s">
        <v>84</v>
      </c>
      <c r="J1849" s="2" t="s">
        <v>33</v>
      </c>
      <c r="K1849" s="2" t="n">
        <v>5</v>
      </c>
      <c r="L1849" s="2" t="n">
        <v>0</v>
      </c>
      <c r="M1849" s="2" t="n">
        <v>1</v>
      </c>
    </row>
    <row r="1850" customFormat="false" ht="15" hidden="false" customHeight="false" outlineLevel="0" collapsed="false">
      <c r="A1850" s="2" t="s">
        <v>3954</v>
      </c>
      <c r="B1850" s="2" t="s">
        <v>3955</v>
      </c>
      <c r="C1850" s="2" t="n">
        <v>3</v>
      </c>
      <c r="D1850" s="2" t="s">
        <v>1400</v>
      </c>
      <c r="E1850" s="2" t="s">
        <v>3843</v>
      </c>
      <c r="F1850" s="3" t="n">
        <v>45835.9472222222</v>
      </c>
      <c r="G1850" s="2" t="s">
        <v>3306</v>
      </c>
      <c r="H1850" s="4" t="n">
        <v>0.4019</v>
      </c>
      <c r="I1850" s="2" t="s">
        <v>23</v>
      </c>
      <c r="J1850" s="2" t="s">
        <v>19</v>
      </c>
      <c r="K1850" s="2" t="n">
        <v>8</v>
      </c>
      <c r="L1850" s="2" t="n">
        <v>0</v>
      </c>
      <c r="M1850" s="2" t="n">
        <v>1</v>
      </c>
    </row>
    <row r="1851" customFormat="false" ht="15" hidden="false" customHeight="false" outlineLevel="0" collapsed="false">
      <c r="A1851" s="2" t="s">
        <v>3956</v>
      </c>
      <c r="B1851" s="2" t="s">
        <v>3957</v>
      </c>
      <c r="C1851" s="2" t="n">
        <v>1</v>
      </c>
      <c r="D1851" s="2" t="s">
        <v>58</v>
      </c>
      <c r="E1851" s="2" t="s">
        <v>3843</v>
      </c>
      <c r="F1851" s="3" t="n">
        <v>45836.1958333333</v>
      </c>
      <c r="G1851" s="2" t="s">
        <v>3306</v>
      </c>
      <c r="H1851" s="4" t="n">
        <v>0</v>
      </c>
      <c r="I1851" s="2" t="s">
        <v>18</v>
      </c>
      <c r="J1851" s="2" t="s">
        <v>59</v>
      </c>
      <c r="K1851" s="2" t="n">
        <v>1</v>
      </c>
      <c r="L1851" s="2" t="n">
        <v>1</v>
      </c>
      <c r="M1851" s="2" t="n">
        <v>1</v>
      </c>
    </row>
    <row r="1852" customFormat="false" ht="15" hidden="false" customHeight="false" outlineLevel="0" collapsed="false">
      <c r="A1852" s="2" t="s">
        <v>3958</v>
      </c>
      <c r="B1852" s="2" t="s">
        <v>3959</v>
      </c>
      <c r="C1852" s="2" t="n">
        <v>2</v>
      </c>
      <c r="D1852" s="2" t="s">
        <v>83</v>
      </c>
      <c r="E1852" s="2" t="s">
        <v>3843</v>
      </c>
      <c r="F1852" s="3" t="n">
        <v>45836.2125</v>
      </c>
      <c r="G1852" s="2" t="s">
        <v>3306</v>
      </c>
      <c r="H1852" s="4" t="n">
        <v>-0.6166</v>
      </c>
      <c r="I1852" s="2" t="s">
        <v>84</v>
      </c>
      <c r="J1852" s="2" t="s">
        <v>59</v>
      </c>
      <c r="K1852" s="2" t="n">
        <v>0</v>
      </c>
      <c r="L1852" s="2" t="n">
        <v>1</v>
      </c>
      <c r="M1852" s="2" t="n">
        <v>1</v>
      </c>
    </row>
    <row r="1853" customFormat="false" ht="15" hidden="false" customHeight="false" outlineLevel="0" collapsed="false">
      <c r="A1853" s="2" t="s">
        <v>3960</v>
      </c>
      <c r="B1853" s="2" t="s">
        <v>3961</v>
      </c>
      <c r="C1853" s="2" t="n">
        <v>5</v>
      </c>
      <c r="D1853" s="2" t="s">
        <v>52</v>
      </c>
      <c r="E1853" s="2" t="s">
        <v>3843</v>
      </c>
      <c r="F1853" s="3" t="n">
        <v>45836.2222222222</v>
      </c>
      <c r="G1853" s="2" t="s">
        <v>3306</v>
      </c>
      <c r="H1853" s="4" t="n">
        <v>0.6369</v>
      </c>
      <c r="I1853" s="2" t="s">
        <v>23</v>
      </c>
      <c r="J1853" s="2" t="s">
        <v>19</v>
      </c>
      <c r="K1853" s="2" t="n">
        <v>1</v>
      </c>
      <c r="L1853" s="2" t="n">
        <v>0</v>
      </c>
      <c r="M1853" s="2" t="n">
        <v>1</v>
      </c>
    </row>
    <row r="1854" customFormat="false" ht="15" hidden="false" customHeight="false" outlineLevel="0" collapsed="false">
      <c r="A1854" s="2" t="s">
        <v>3962</v>
      </c>
      <c r="B1854" s="2" t="s">
        <v>3963</v>
      </c>
      <c r="C1854" s="2" t="n">
        <v>5</v>
      </c>
      <c r="D1854" s="2" t="s">
        <v>52</v>
      </c>
      <c r="E1854" s="2" t="s">
        <v>3843</v>
      </c>
      <c r="F1854" s="3" t="n">
        <v>45836.3666666667</v>
      </c>
      <c r="G1854" s="2" t="s">
        <v>3306</v>
      </c>
      <c r="H1854" s="4" t="n">
        <v>0.6369</v>
      </c>
      <c r="I1854" s="2" t="s">
        <v>23</v>
      </c>
      <c r="J1854" s="2" t="s">
        <v>19</v>
      </c>
      <c r="K1854" s="2" t="n">
        <v>1</v>
      </c>
      <c r="L1854" s="2" t="n">
        <v>0</v>
      </c>
      <c r="M1854" s="2" t="n">
        <v>1</v>
      </c>
    </row>
    <row r="1855" customFormat="false" ht="15" hidden="false" customHeight="false" outlineLevel="0" collapsed="false">
      <c r="A1855" s="2" t="s">
        <v>3964</v>
      </c>
      <c r="B1855" s="2" t="s">
        <v>3965</v>
      </c>
      <c r="C1855" s="2" t="n">
        <v>1</v>
      </c>
      <c r="D1855" s="2" t="s">
        <v>179</v>
      </c>
      <c r="E1855" s="2" t="s">
        <v>3843</v>
      </c>
      <c r="F1855" s="3" t="n">
        <v>45836.4958333333</v>
      </c>
      <c r="G1855" s="2" t="s">
        <v>3306</v>
      </c>
      <c r="H1855" s="4" t="n">
        <v>-0.0258</v>
      </c>
      <c r="I1855" s="2" t="s">
        <v>18</v>
      </c>
      <c r="J1855" s="2" t="s">
        <v>59</v>
      </c>
      <c r="K1855" s="2" t="n">
        <v>3</v>
      </c>
      <c r="L1855" s="2" t="n">
        <v>1</v>
      </c>
      <c r="M1855" s="2" t="n">
        <v>1</v>
      </c>
    </row>
    <row r="1856" customFormat="false" ht="15" hidden="false" customHeight="false" outlineLevel="0" collapsed="false">
      <c r="A1856" s="2" t="s">
        <v>3966</v>
      </c>
      <c r="B1856" s="2" t="s">
        <v>3967</v>
      </c>
      <c r="C1856" s="2" t="n">
        <v>1</v>
      </c>
      <c r="D1856" s="2" t="s">
        <v>3968</v>
      </c>
      <c r="E1856" s="2" t="s">
        <v>3843</v>
      </c>
      <c r="F1856" s="3" t="n">
        <v>45836.5611111111</v>
      </c>
      <c r="G1856" s="2" t="s">
        <v>3306</v>
      </c>
      <c r="H1856" s="4" t="n">
        <v>0.4404</v>
      </c>
      <c r="I1856" s="2" t="s">
        <v>23</v>
      </c>
      <c r="J1856" s="2" t="s">
        <v>59</v>
      </c>
      <c r="K1856" s="2" t="n">
        <v>0</v>
      </c>
      <c r="L1856" s="2" t="n">
        <v>1</v>
      </c>
      <c r="M1856" s="2" t="n">
        <v>1</v>
      </c>
    </row>
    <row r="1857" customFormat="false" ht="15" hidden="false" customHeight="false" outlineLevel="0" collapsed="false">
      <c r="A1857" s="2" t="s">
        <v>3969</v>
      </c>
      <c r="B1857" s="2" t="s">
        <v>3970</v>
      </c>
      <c r="C1857" s="2" t="n">
        <v>5</v>
      </c>
      <c r="D1857" s="2" t="s">
        <v>62</v>
      </c>
      <c r="E1857" s="2" t="s">
        <v>3843</v>
      </c>
      <c r="F1857" s="3" t="n">
        <v>45836.7479166667</v>
      </c>
      <c r="G1857" s="2" t="s">
        <v>3306</v>
      </c>
      <c r="H1857" s="4" t="n">
        <v>0.7088</v>
      </c>
      <c r="I1857" s="2" t="s">
        <v>23</v>
      </c>
      <c r="J1857" s="2" t="s">
        <v>19</v>
      </c>
      <c r="K1857" s="2" t="n">
        <v>4</v>
      </c>
      <c r="L1857" s="2" t="n">
        <v>0</v>
      </c>
      <c r="M1857" s="2" t="n">
        <v>1</v>
      </c>
    </row>
    <row r="1858" customFormat="false" ht="15" hidden="false" customHeight="false" outlineLevel="0" collapsed="false">
      <c r="A1858" s="2" t="s">
        <v>3971</v>
      </c>
      <c r="B1858" s="2" t="s">
        <v>3972</v>
      </c>
      <c r="C1858" s="2" t="n">
        <v>1</v>
      </c>
      <c r="D1858" s="2" t="s">
        <v>83</v>
      </c>
      <c r="E1858" s="2" t="s">
        <v>3843</v>
      </c>
      <c r="F1858" s="3" t="n">
        <v>45837.3493055556</v>
      </c>
      <c r="G1858" s="2" t="s">
        <v>3306</v>
      </c>
      <c r="H1858" s="4" t="n">
        <v>-0.6166</v>
      </c>
      <c r="I1858" s="2" t="s">
        <v>84</v>
      </c>
      <c r="J1858" s="2" t="s">
        <v>59</v>
      </c>
      <c r="K1858" s="2" t="n">
        <v>0</v>
      </c>
      <c r="L1858" s="2" t="n">
        <v>0</v>
      </c>
      <c r="M1858" s="2" t="n">
        <v>1</v>
      </c>
    </row>
    <row r="1859" customFormat="false" ht="15" hidden="false" customHeight="false" outlineLevel="0" collapsed="false">
      <c r="A1859" s="2" t="s">
        <v>3973</v>
      </c>
      <c r="B1859" s="2" t="s">
        <v>3974</v>
      </c>
      <c r="C1859" s="2" t="n">
        <v>1</v>
      </c>
      <c r="D1859" s="2" t="s">
        <v>3975</v>
      </c>
      <c r="E1859" s="2" t="s">
        <v>3843</v>
      </c>
      <c r="F1859" s="3" t="n">
        <v>45837.3861111111</v>
      </c>
      <c r="G1859" s="2" t="s">
        <v>3306</v>
      </c>
      <c r="H1859" s="4" t="n">
        <v>-0.2263</v>
      </c>
      <c r="I1859" s="2" t="s">
        <v>84</v>
      </c>
      <c r="J1859" s="2" t="s">
        <v>165</v>
      </c>
      <c r="K1859" s="2" t="n">
        <v>3</v>
      </c>
      <c r="L1859" s="2" t="n">
        <v>0</v>
      </c>
      <c r="M1859" s="2" t="n">
        <v>1</v>
      </c>
    </row>
    <row r="1860" customFormat="false" ht="15" hidden="false" customHeight="false" outlineLevel="0" collapsed="false">
      <c r="A1860" s="2" t="s">
        <v>3976</v>
      </c>
      <c r="B1860" s="2" t="s">
        <v>3977</v>
      </c>
      <c r="C1860" s="2" t="n">
        <v>3</v>
      </c>
      <c r="D1860" s="2" t="s">
        <v>301</v>
      </c>
      <c r="E1860" s="2" t="s">
        <v>3843</v>
      </c>
      <c r="F1860" s="3" t="n">
        <v>45837.5326388889</v>
      </c>
      <c r="G1860" s="2" t="s">
        <v>3306</v>
      </c>
      <c r="H1860" s="4" t="n">
        <v>0.2263</v>
      </c>
      <c r="I1860" s="2" t="s">
        <v>23</v>
      </c>
      <c r="J1860" s="2" t="s">
        <v>19</v>
      </c>
      <c r="K1860" s="2" t="n">
        <v>10</v>
      </c>
      <c r="L1860" s="2" t="n">
        <v>0</v>
      </c>
      <c r="M1860" s="2" t="n">
        <v>1</v>
      </c>
    </row>
    <row r="1861" customFormat="false" ht="15" hidden="false" customHeight="false" outlineLevel="0" collapsed="false">
      <c r="A1861" s="2" t="s">
        <v>3978</v>
      </c>
      <c r="B1861" s="2" t="s">
        <v>3979</v>
      </c>
      <c r="C1861" s="2" t="n">
        <v>1</v>
      </c>
      <c r="D1861" s="2" t="s">
        <v>124</v>
      </c>
      <c r="E1861" s="2" t="s">
        <v>3843</v>
      </c>
      <c r="F1861" s="3" t="n">
        <v>45837.5645833333</v>
      </c>
      <c r="G1861" s="2" t="s">
        <v>3306</v>
      </c>
      <c r="H1861" s="4" t="n">
        <v>-0.0129</v>
      </c>
      <c r="I1861" s="2" t="s">
        <v>18</v>
      </c>
      <c r="J1861" s="2" t="s">
        <v>59</v>
      </c>
      <c r="K1861" s="2" t="n">
        <v>10</v>
      </c>
      <c r="L1861" s="2" t="n">
        <v>1</v>
      </c>
      <c r="M1861" s="2" t="n">
        <v>1</v>
      </c>
    </row>
    <row r="1862" customFormat="false" ht="15" hidden="false" customHeight="false" outlineLevel="0" collapsed="false">
      <c r="A1862" s="2" t="s">
        <v>3980</v>
      </c>
      <c r="B1862" s="2" t="s">
        <v>3981</v>
      </c>
      <c r="C1862" s="2" t="n">
        <v>1</v>
      </c>
      <c r="D1862" s="2" t="s">
        <v>3982</v>
      </c>
      <c r="E1862" s="2" t="s">
        <v>3843</v>
      </c>
      <c r="F1862" s="3" t="n">
        <v>45837.6666666667</v>
      </c>
      <c r="G1862" s="2" t="s">
        <v>3306</v>
      </c>
      <c r="H1862" s="4" t="n">
        <v>0</v>
      </c>
      <c r="I1862" s="2" t="s">
        <v>18</v>
      </c>
      <c r="J1862" s="2" t="s">
        <v>110</v>
      </c>
      <c r="K1862" s="2" t="n">
        <v>12</v>
      </c>
      <c r="L1862" s="2" t="n">
        <v>1</v>
      </c>
      <c r="M1862" s="2" t="n">
        <v>1</v>
      </c>
    </row>
    <row r="1863" customFormat="false" ht="15" hidden="false" customHeight="false" outlineLevel="0" collapsed="false">
      <c r="A1863" s="2" t="s">
        <v>3983</v>
      </c>
      <c r="B1863" s="2" t="s">
        <v>3984</v>
      </c>
      <c r="C1863" s="2" t="n">
        <v>4</v>
      </c>
      <c r="D1863" s="2" t="s">
        <v>99</v>
      </c>
      <c r="E1863" s="2" t="s">
        <v>3843</v>
      </c>
      <c r="F1863" s="3" t="n">
        <v>45837.7486111111</v>
      </c>
      <c r="G1863" s="2" t="s">
        <v>3306</v>
      </c>
      <c r="H1863" s="4" t="n">
        <v>-0.3089</v>
      </c>
      <c r="I1863" s="2" t="s">
        <v>84</v>
      </c>
      <c r="J1863" s="2" t="s">
        <v>19</v>
      </c>
      <c r="K1863" s="2" t="n">
        <v>2</v>
      </c>
      <c r="L1863" s="2" t="n">
        <v>0</v>
      </c>
      <c r="M1863" s="2" t="n">
        <v>1</v>
      </c>
    </row>
    <row r="1864" customFormat="false" ht="15" hidden="false" customHeight="false" outlineLevel="0" collapsed="false">
      <c r="A1864" s="2" t="s">
        <v>3985</v>
      </c>
      <c r="B1864" s="2" t="s">
        <v>3986</v>
      </c>
      <c r="C1864" s="2" t="n">
        <v>1</v>
      </c>
      <c r="D1864" s="2" t="s">
        <v>58</v>
      </c>
      <c r="E1864" s="2" t="s">
        <v>3843</v>
      </c>
      <c r="F1864" s="3" t="n">
        <v>45837.7548611111</v>
      </c>
      <c r="G1864" s="2" t="s">
        <v>3306</v>
      </c>
      <c r="H1864" s="4" t="n">
        <v>0</v>
      </c>
      <c r="I1864" s="2" t="s">
        <v>18</v>
      </c>
      <c r="J1864" s="2" t="s">
        <v>59</v>
      </c>
      <c r="K1864" s="2" t="n">
        <v>0</v>
      </c>
      <c r="L1864" s="2" t="n">
        <v>0</v>
      </c>
      <c r="M1864" s="2" t="n">
        <v>1</v>
      </c>
    </row>
    <row r="1865" customFormat="false" ht="15" hidden="false" customHeight="false" outlineLevel="0" collapsed="false">
      <c r="A1865" s="2" t="s">
        <v>3987</v>
      </c>
      <c r="B1865" s="2" t="s">
        <v>3988</v>
      </c>
      <c r="C1865" s="2" t="n">
        <v>3</v>
      </c>
      <c r="D1865" s="2" t="s">
        <v>36</v>
      </c>
      <c r="E1865" s="2" t="s">
        <v>3843</v>
      </c>
      <c r="F1865" s="3" t="n">
        <v>45837.7743055556</v>
      </c>
      <c r="G1865" s="2" t="s">
        <v>3306</v>
      </c>
      <c r="H1865" s="4" t="n">
        <v>0.4404</v>
      </c>
      <c r="I1865" s="2" t="s">
        <v>23</v>
      </c>
      <c r="J1865" s="2" t="s">
        <v>37</v>
      </c>
      <c r="K1865" s="2" t="n">
        <v>4</v>
      </c>
      <c r="L1865" s="2" t="n">
        <v>0</v>
      </c>
      <c r="M1865" s="2" t="n">
        <v>1</v>
      </c>
    </row>
    <row r="1866" customFormat="false" ht="15" hidden="false" customHeight="false" outlineLevel="0" collapsed="false">
      <c r="A1866" s="2" t="s">
        <v>3989</v>
      </c>
      <c r="B1866" s="2" t="s">
        <v>3990</v>
      </c>
      <c r="C1866" s="2" t="n">
        <v>1</v>
      </c>
      <c r="D1866" s="2" t="s">
        <v>295</v>
      </c>
      <c r="E1866" s="2" t="s">
        <v>3843</v>
      </c>
      <c r="F1866" s="3" t="n">
        <v>45837.86875</v>
      </c>
      <c r="G1866" s="2" t="s">
        <v>3306</v>
      </c>
      <c r="H1866" s="4" t="n">
        <v>-0.5023</v>
      </c>
      <c r="I1866" s="2" t="s">
        <v>84</v>
      </c>
      <c r="J1866" s="2" t="s">
        <v>33</v>
      </c>
      <c r="K1866" s="2" t="n">
        <v>1</v>
      </c>
      <c r="L1866" s="2" t="n">
        <v>1</v>
      </c>
      <c r="M1866" s="2" t="n">
        <v>1</v>
      </c>
    </row>
    <row r="1867" customFormat="false" ht="15" hidden="false" customHeight="false" outlineLevel="0" collapsed="false">
      <c r="A1867" s="2" t="s">
        <v>3991</v>
      </c>
      <c r="B1867" s="2" t="s">
        <v>3992</v>
      </c>
      <c r="C1867" s="2" t="n">
        <v>2</v>
      </c>
      <c r="D1867" s="2" t="s">
        <v>498</v>
      </c>
      <c r="E1867" s="2" t="s">
        <v>3843</v>
      </c>
      <c r="F1867" s="3" t="n">
        <v>45838.0243055556</v>
      </c>
      <c r="G1867" s="2" t="s">
        <v>3306</v>
      </c>
      <c r="H1867" s="4" t="n">
        <v>0</v>
      </c>
      <c r="I1867" s="2" t="s">
        <v>18</v>
      </c>
      <c r="J1867" s="2" t="s">
        <v>165</v>
      </c>
      <c r="K1867" s="2" t="n">
        <v>0</v>
      </c>
      <c r="L1867" s="2" t="n">
        <v>0</v>
      </c>
      <c r="M1867" s="2" t="n">
        <v>1</v>
      </c>
    </row>
    <row r="1868" customFormat="false" ht="15" hidden="false" customHeight="false" outlineLevel="0" collapsed="false">
      <c r="A1868" s="2" t="s">
        <v>3993</v>
      </c>
      <c r="B1868" s="2" t="s">
        <v>3994</v>
      </c>
      <c r="C1868" s="2" t="n">
        <v>3</v>
      </c>
      <c r="D1868" s="2" t="s">
        <v>301</v>
      </c>
      <c r="E1868" s="2" t="s">
        <v>3843</v>
      </c>
      <c r="F1868" s="3" t="n">
        <v>45838.0986111111</v>
      </c>
      <c r="G1868" s="2" t="s">
        <v>3306</v>
      </c>
      <c r="H1868" s="4" t="n">
        <v>0.2263</v>
      </c>
      <c r="I1868" s="2" t="s">
        <v>23</v>
      </c>
      <c r="J1868" s="2" t="s">
        <v>19</v>
      </c>
      <c r="K1868" s="2" t="n">
        <v>8</v>
      </c>
      <c r="L1868" s="2" t="n">
        <v>0</v>
      </c>
      <c r="M1868" s="2" t="n">
        <v>1</v>
      </c>
    </row>
    <row r="1869" customFormat="false" ht="15" hidden="false" customHeight="false" outlineLevel="0" collapsed="false">
      <c r="A1869" s="2" t="s">
        <v>3995</v>
      </c>
      <c r="B1869" s="2" t="s">
        <v>3996</v>
      </c>
      <c r="C1869" s="2" t="n">
        <v>2</v>
      </c>
      <c r="D1869" s="2" t="s">
        <v>357</v>
      </c>
      <c r="E1869" s="2" t="s">
        <v>3843</v>
      </c>
      <c r="F1869" s="3" t="n">
        <v>45838.1284722222</v>
      </c>
      <c r="G1869" s="2" t="s">
        <v>3306</v>
      </c>
      <c r="H1869" s="4" t="n">
        <v>0</v>
      </c>
      <c r="I1869" s="2" t="s">
        <v>18</v>
      </c>
      <c r="J1869" s="2" t="s">
        <v>165</v>
      </c>
      <c r="K1869" s="2" t="n">
        <v>5</v>
      </c>
      <c r="L1869" s="2" t="n">
        <v>0</v>
      </c>
      <c r="M1869" s="2" t="n">
        <v>1</v>
      </c>
    </row>
    <row r="1870" customFormat="false" ht="15" hidden="false" customHeight="false" outlineLevel="0" collapsed="false">
      <c r="A1870" s="2" t="s">
        <v>3997</v>
      </c>
      <c r="B1870" s="2" t="s">
        <v>3998</v>
      </c>
      <c r="C1870" s="2" t="n">
        <v>5</v>
      </c>
      <c r="D1870" s="2" t="s">
        <v>93</v>
      </c>
      <c r="E1870" s="2" t="s">
        <v>3843</v>
      </c>
      <c r="F1870" s="3" t="n">
        <v>45838.2180555556</v>
      </c>
      <c r="G1870" s="2" t="s">
        <v>3306</v>
      </c>
      <c r="H1870" s="4" t="n">
        <v>0.8008</v>
      </c>
      <c r="I1870" s="2" t="s">
        <v>23</v>
      </c>
      <c r="J1870" s="2" t="s">
        <v>33</v>
      </c>
      <c r="K1870" s="2" t="n">
        <v>2</v>
      </c>
      <c r="L1870" s="2" t="n">
        <v>0</v>
      </c>
      <c r="M1870" s="2" t="n">
        <v>1</v>
      </c>
    </row>
    <row r="1871" customFormat="false" ht="15" hidden="false" customHeight="false" outlineLevel="0" collapsed="false">
      <c r="A1871" s="2" t="s">
        <v>3999</v>
      </c>
      <c r="B1871" s="2" t="s">
        <v>4000</v>
      </c>
      <c r="C1871" s="2" t="n">
        <v>5</v>
      </c>
      <c r="D1871" s="2" t="s">
        <v>90</v>
      </c>
      <c r="E1871" s="2" t="s">
        <v>3843</v>
      </c>
      <c r="F1871" s="3" t="n">
        <v>45838.2354166667</v>
      </c>
      <c r="G1871" s="2" t="s">
        <v>3306</v>
      </c>
      <c r="H1871" s="4" t="n">
        <v>0.6249</v>
      </c>
      <c r="I1871" s="2" t="s">
        <v>23</v>
      </c>
      <c r="J1871" s="2" t="s">
        <v>37</v>
      </c>
      <c r="K1871" s="2" t="n">
        <v>0</v>
      </c>
      <c r="L1871" s="2" t="n">
        <v>0</v>
      </c>
      <c r="M1871" s="2" t="n">
        <v>1</v>
      </c>
    </row>
    <row r="1872" customFormat="false" ht="15" hidden="false" customHeight="false" outlineLevel="0" collapsed="false">
      <c r="A1872" s="2" t="s">
        <v>4001</v>
      </c>
      <c r="B1872" s="2" t="s">
        <v>4002</v>
      </c>
      <c r="C1872" s="2" t="n">
        <v>2</v>
      </c>
      <c r="D1872" s="2" t="s">
        <v>124</v>
      </c>
      <c r="E1872" s="2" t="s">
        <v>3843</v>
      </c>
      <c r="F1872" s="3" t="n">
        <v>45838.7368055556</v>
      </c>
      <c r="G1872" s="2" t="s">
        <v>3306</v>
      </c>
      <c r="H1872" s="4" t="n">
        <v>-0.0129</v>
      </c>
      <c r="I1872" s="2" t="s">
        <v>18</v>
      </c>
      <c r="J1872" s="2" t="s">
        <v>59</v>
      </c>
      <c r="K1872" s="2" t="n">
        <v>6</v>
      </c>
      <c r="L1872" s="2" t="n">
        <v>1</v>
      </c>
      <c r="M1872" s="2" t="n">
        <v>1</v>
      </c>
    </row>
    <row r="1873" customFormat="false" ht="15" hidden="false" customHeight="false" outlineLevel="0" collapsed="false">
      <c r="A1873" s="2" t="s">
        <v>4003</v>
      </c>
      <c r="B1873" s="2" t="s">
        <v>4004</v>
      </c>
      <c r="C1873" s="2" t="n">
        <v>4</v>
      </c>
      <c r="D1873" s="2" t="s">
        <v>62</v>
      </c>
      <c r="E1873" s="2" t="s">
        <v>3843</v>
      </c>
      <c r="F1873" s="3" t="n">
        <v>45838.7375</v>
      </c>
      <c r="G1873" s="2" t="s">
        <v>3306</v>
      </c>
      <c r="H1873" s="4" t="n">
        <v>0.7088</v>
      </c>
      <c r="I1873" s="2" t="s">
        <v>23</v>
      </c>
      <c r="J1873" s="2" t="s">
        <v>19</v>
      </c>
      <c r="K1873" s="2" t="n">
        <v>1</v>
      </c>
      <c r="L1873" s="2" t="n">
        <v>0</v>
      </c>
      <c r="M1873" s="2" t="n">
        <v>1</v>
      </c>
    </row>
    <row r="1874" customFormat="false" ht="15" hidden="false" customHeight="false" outlineLevel="0" collapsed="false">
      <c r="A1874" s="2" t="s">
        <v>4005</v>
      </c>
      <c r="B1874" s="2" t="s">
        <v>4006</v>
      </c>
      <c r="C1874" s="2" t="n">
        <v>3</v>
      </c>
      <c r="D1874" s="2" t="s">
        <v>22</v>
      </c>
      <c r="E1874" s="2" t="s">
        <v>3843</v>
      </c>
      <c r="F1874" s="3" t="n">
        <v>45838.8180555556</v>
      </c>
      <c r="G1874" s="2" t="s">
        <v>3306</v>
      </c>
      <c r="H1874" s="4" t="n">
        <v>0.2023</v>
      </c>
      <c r="I1874" s="2" t="s">
        <v>23</v>
      </c>
      <c r="J1874" s="2" t="s">
        <v>19</v>
      </c>
      <c r="K1874" s="2" t="n">
        <v>5</v>
      </c>
      <c r="L1874" s="2" t="n">
        <v>0</v>
      </c>
      <c r="M1874" s="2" t="n">
        <v>1</v>
      </c>
    </row>
    <row r="1875" customFormat="false" ht="15" hidden="false" customHeight="false" outlineLevel="0" collapsed="false">
      <c r="A1875" s="2" t="s">
        <v>4007</v>
      </c>
      <c r="B1875" s="2" t="s">
        <v>4008</v>
      </c>
      <c r="C1875" s="2" t="n">
        <v>5</v>
      </c>
      <c r="D1875" s="2" t="s">
        <v>127</v>
      </c>
      <c r="E1875" s="2" t="s">
        <v>3843</v>
      </c>
      <c r="F1875" s="3" t="n">
        <v>45838.8979166667</v>
      </c>
      <c r="G1875" s="2" t="s">
        <v>3306</v>
      </c>
      <c r="H1875" s="4" t="n">
        <v>0.9359</v>
      </c>
      <c r="I1875" s="2" t="s">
        <v>23</v>
      </c>
      <c r="J1875" s="2" t="s">
        <v>37</v>
      </c>
      <c r="K1875" s="2" t="n">
        <v>4</v>
      </c>
      <c r="L1875" s="2" t="n">
        <v>0</v>
      </c>
      <c r="M1875" s="2" t="n">
        <v>1</v>
      </c>
    </row>
    <row r="1876" customFormat="false" ht="15" hidden="false" customHeight="false" outlineLevel="0" collapsed="false">
      <c r="A1876" s="2" t="s">
        <v>4009</v>
      </c>
      <c r="B1876" s="2" t="s">
        <v>4010</v>
      </c>
      <c r="C1876" s="2" t="n">
        <v>3</v>
      </c>
      <c r="D1876" s="2" t="s">
        <v>301</v>
      </c>
      <c r="E1876" s="2" t="s">
        <v>3843</v>
      </c>
      <c r="F1876" s="3" t="n">
        <v>45839.1923611111</v>
      </c>
      <c r="G1876" s="2" t="s">
        <v>4011</v>
      </c>
      <c r="H1876" s="4" t="n">
        <v>0.2263</v>
      </c>
      <c r="I1876" s="2" t="s">
        <v>23</v>
      </c>
      <c r="J1876" s="2" t="s">
        <v>19</v>
      </c>
      <c r="K1876" s="2" t="n">
        <v>2</v>
      </c>
      <c r="L1876" s="2" t="n">
        <v>0</v>
      </c>
      <c r="M1876" s="2" t="n">
        <v>1</v>
      </c>
    </row>
    <row r="1877" customFormat="false" ht="15" hidden="false" customHeight="false" outlineLevel="0" collapsed="false">
      <c r="A1877" s="2" t="s">
        <v>4012</v>
      </c>
      <c r="B1877" s="2" t="s">
        <v>4013</v>
      </c>
      <c r="C1877" s="2" t="n">
        <v>3</v>
      </c>
      <c r="D1877" s="2" t="s">
        <v>301</v>
      </c>
      <c r="E1877" s="2" t="s">
        <v>3843</v>
      </c>
      <c r="F1877" s="3" t="n">
        <v>45839.2638888889</v>
      </c>
      <c r="G1877" s="2" t="s">
        <v>4011</v>
      </c>
      <c r="H1877" s="4" t="n">
        <v>0.2263</v>
      </c>
      <c r="I1877" s="2" t="s">
        <v>23</v>
      </c>
      <c r="J1877" s="2" t="s">
        <v>19</v>
      </c>
      <c r="K1877" s="2" t="n">
        <v>1</v>
      </c>
      <c r="L1877" s="2" t="n">
        <v>0</v>
      </c>
      <c r="M1877" s="2" t="n">
        <v>1</v>
      </c>
    </row>
    <row r="1878" customFormat="false" ht="15" hidden="false" customHeight="false" outlineLevel="0" collapsed="false">
      <c r="A1878" s="2" t="s">
        <v>4014</v>
      </c>
      <c r="B1878" s="2" t="s">
        <v>4015</v>
      </c>
      <c r="C1878" s="2" t="n">
        <v>1</v>
      </c>
      <c r="D1878" s="2" t="s">
        <v>179</v>
      </c>
      <c r="E1878" s="2" t="s">
        <v>3843</v>
      </c>
      <c r="F1878" s="3" t="n">
        <v>45839.3395833333</v>
      </c>
      <c r="G1878" s="2" t="s">
        <v>4011</v>
      </c>
      <c r="H1878" s="4" t="n">
        <v>-0.0258</v>
      </c>
      <c r="I1878" s="2" t="s">
        <v>18</v>
      </c>
      <c r="J1878" s="2" t="s">
        <v>59</v>
      </c>
      <c r="K1878" s="2" t="n">
        <v>1</v>
      </c>
      <c r="L1878" s="2" t="n">
        <v>1</v>
      </c>
      <c r="M1878" s="2" t="n">
        <v>1</v>
      </c>
    </row>
    <row r="1879" customFormat="false" ht="15" hidden="false" customHeight="false" outlineLevel="0" collapsed="false">
      <c r="A1879" s="2" t="s">
        <v>4016</v>
      </c>
      <c r="B1879" s="2" t="s">
        <v>4017</v>
      </c>
      <c r="C1879" s="2" t="n">
        <v>2</v>
      </c>
      <c r="D1879" s="2" t="s">
        <v>357</v>
      </c>
      <c r="E1879" s="2" t="s">
        <v>3843</v>
      </c>
      <c r="F1879" s="3" t="n">
        <v>45839.3777777778</v>
      </c>
      <c r="G1879" s="2" t="s">
        <v>4011</v>
      </c>
      <c r="H1879" s="4" t="n">
        <v>0</v>
      </c>
      <c r="I1879" s="2" t="s">
        <v>18</v>
      </c>
      <c r="J1879" s="2" t="s">
        <v>165</v>
      </c>
      <c r="K1879" s="2" t="n">
        <v>0</v>
      </c>
      <c r="L1879" s="2" t="n">
        <v>1</v>
      </c>
      <c r="M1879" s="2" t="n">
        <v>1</v>
      </c>
    </row>
    <row r="1880" customFormat="false" ht="15" hidden="false" customHeight="false" outlineLevel="0" collapsed="false">
      <c r="A1880" s="2" t="s">
        <v>4018</v>
      </c>
      <c r="B1880" s="2" t="s">
        <v>4019</v>
      </c>
      <c r="C1880" s="2" t="n">
        <v>3</v>
      </c>
      <c r="D1880" s="2" t="s">
        <v>99</v>
      </c>
      <c r="E1880" s="2" t="s">
        <v>3843</v>
      </c>
      <c r="F1880" s="3" t="n">
        <v>45839.4673611111</v>
      </c>
      <c r="G1880" s="2" t="s">
        <v>4011</v>
      </c>
      <c r="H1880" s="4" t="n">
        <v>-0.3089</v>
      </c>
      <c r="I1880" s="2" t="s">
        <v>84</v>
      </c>
      <c r="J1880" s="2" t="s">
        <v>19</v>
      </c>
      <c r="K1880" s="2" t="n">
        <v>5</v>
      </c>
      <c r="L1880" s="2" t="n">
        <v>0</v>
      </c>
      <c r="M1880" s="2" t="n">
        <v>1</v>
      </c>
    </row>
    <row r="1881" customFormat="false" ht="15" hidden="false" customHeight="false" outlineLevel="0" collapsed="false">
      <c r="A1881" s="2" t="s">
        <v>4020</v>
      </c>
      <c r="B1881" s="2" t="s">
        <v>4021</v>
      </c>
      <c r="C1881" s="2" t="n">
        <v>5</v>
      </c>
      <c r="D1881" s="2" t="s">
        <v>62</v>
      </c>
      <c r="E1881" s="2" t="s">
        <v>3843</v>
      </c>
      <c r="F1881" s="3" t="n">
        <v>45839.5138888889</v>
      </c>
      <c r="G1881" s="2" t="s">
        <v>4011</v>
      </c>
      <c r="H1881" s="4" t="n">
        <v>0.7088</v>
      </c>
      <c r="I1881" s="2" t="s">
        <v>23</v>
      </c>
      <c r="J1881" s="2" t="s">
        <v>19</v>
      </c>
      <c r="K1881" s="2" t="n">
        <v>1</v>
      </c>
      <c r="L1881" s="2" t="n">
        <v>0</v>
      </c>
      <c r="M1881" s="2" t="n">
        <v>1</v>
      </c>
    </row>
    <row r="1882" customFormat="false" ht="15" hidden="false" customHeight="false" outlineLevel="0" collapsed="false">
      <c r="A1882" s="2" t="s">
        <v>4022</v>
      </c>
      <c r="B1882" s="2" t="s">
        <v>4023</v>
      </c>
      <c r="C1882" s="2" t="n">
        <v>1</v>
      </c>
      <c r="D1882" s="2" t="s">
        <v>179</v>
      </c>
      <c r="E1882" s="2" t="s">
        <v>3843</v>
      </c>
      <c r="F1882" s="3" t="n">
        <v>45839.6625</v>
      </c>
      <c r="G1882" s="2" t="s">
        <v>4011</v>
      </c>
      <c r="H1882" s="4" t="n">
        <v>-0.0258</v>
      </c>
      <c r="I1882" s="2" t="s">
        <v>18</v>
      </c>
      <c r="J1882" s="2" t="s">
        <v>59</v>
      </c>
      <c r="K1882" s="2" t="n">
        <v>1</v>
      </c>
      <c r="L1882" s="2" t="n">
        <v>1</v>
      </c>
      <c r="M1882" s="2" t="n">
        <v>1</v>
      </c>
    </row>
    <row r="1883" customFormat="false" ht="15" hidden="false" customHeight="false" outlineLevel="0" collapsed="false">
      <c r="A1883" s="2" t="s">
        <v>4024</v>
      </c>
      <c r="B1883" s="2" t="s">
        <v>4025</v>
      </c>
      <c r="C1883" s="2" t="n">
        <v>1</v>
      </c>
      <c r="D1883" s="2" t="s">
        <v>1942</v>
      </c>
      <c r="E1883" s="2" t="s">
        <v>3843</v>
      </c>
      <c r="F1883" s="3" t="n">
        <v>45839.7875</v>
      </c>
      <c r="G1883" s="2" t="s">
        <v>4011</v>
      </c>
      <c r="H1883" s="4" t="n">
        <v>0</v>
      </c>
      <c r="I1883" s="2" t="s">
        <v>18</v>
      </c>
      <c r="J1883" s="2" t="s">
        <v>165</v>
      </c>
      <c r="K1883" s="2" t="n">
        <v>0</v>
      </c>
      <c r="L1883" s="2" t="n">
        <v>0</v>
      </c>
      <c r="M1883" s="2" t="n">
        <v>1</v>
      </c>
    </row>
    <row r="1884" customFormat="false" ht="15" hidden="false" customHeight="false" outlineLevel="0" collapsed="false">
      <c r="A1884" s="2" t="s">
        <v>4026</v>
      </c>
      <c r="B1884" s="2" t="s">
        <v>4027</v>
      </c>
      <c r="C1884" s="2" t="n">
        <v>1</v>
      </c>
      <c r="D1884" s="2" t="s">
        <v>32</v>
      </c>
      <c r="E1884" s="2" t="s">
        <v>3843</v>
      </c>
      <c r="F1884" s="3" t="n">
        <v>45839.8125</v>
      </c>
      <c r="G1884" s="2" t="s">
        <v>4011</v>
      </c>
      <c r="H1884" s="4" t="n">
        <v>0.2023</v>
      </c>
      <c r="I1884" s="2" t="s">
        <v>23</v>
      </c>
      <c r="J1884" s="2" t="s">
        <v>33</v>
      </c>
      <c r="K1884" s="2" t="n">
        <v>0</v>
      </c>
      <c r="L1884" s="2" t="n">
        <v>0</v>
      </c>
      <c r="M1884" s="2" t="n">
        <v>1</v>
      </c>
    </row>
    <row r="1885" customFormat="false" ht="15" hidden="false" customHeight="false" outlineLevel="0" collapsed="false">
      <c r="A1885" s="2" t="s">
        <v>4028</v>
      </c>
      <c r="B1885" s="2" t="s">
        <v>4029</v>
      </c>
      <c r="C1885" s="2" t="n">
        <v>2</v>
      </c>
      <c r="D1885" s="2" t="s">
        <v>455</v>
      </c>
      <c r="E1885" s="2" t="s">
        <v>3843</v>
      </c>
      <c r="F1885" s="3" t="n">
        <v>45839.8402777778</v>
      </c>
      <c r="G1885" s="2" t="s">
        <v>4011</v>
      </c>
      <c r="H1885" s="4" t="n">
        <v>-0.2263</v>
      </c>
      <c r="I1885" s="2" t="s">
        <v>84</v>
      </c>
      <c r="J1885" s="2" t="s">
        <v>165</v>
      </c>
      <c r="K1885" s="2" t="n">
        <v>3</v>
      </c>
      <c r="L1885" s="2" t="n">
        <v>1</v>
      </c>
      <c r="M1885" s="2" t="n">
        <v>1</v>
      </c>
    </row>
    <row r="1886" customFormat="false" ht="15" hidden="false" customHeight="false" outlineLevel="0" collapsed="false">
      <c r="A1886" s="2" t="s">
        <v>4030</v>
      </c>
      <c r="B1886" s="2" t="s">
        <v>4031</v>
      </c>
      <c r="C1886" s="2" t="n">
        <v>3</v>
      </c>
      <c r="D1886" s="2" t="s">
        <v>2886</v>
      </c>
      <c r="E1886" s="2" t="s">
        <v>3843</v>
      </c>
      <c r="F1886" s="3" t="n">
        <v>45839.9159722222</v>
      </c>
      <c r="G1886" s="2" t="s">
        <v>4011</v>
      </c>
      <c r="H1886" s="4" t="n">
        <v>-0.4215</v>
      </c>
      <c r="I1886" s="2" t="s">
        <v>84</v>
      </c>
      <c r="J1886" s="2" t="s">
        <v>110</v>
      </c>
      <c r="K1886" s="2" t="n">
        <v>3</v>
      </c>
      <c r="L1886" s="2" t="n">
        <v>0</v>
      </c>
      <c r="M1886" s="2" t="n">
        <v>1</v>
      </c>
    </row>
    <row r="1887" customFormat="false" ht="15" hidden="false" customHeight="false" outlineLevel="0" collapsed="false">
      <c r="A1887" s="2" t="s">
        <v>4032</v>
      </c>
      <c r="B1887" s="2" t="s">
        <v>4033</v>
      </c>
      <c r="C1887" s="2" t="n">
        <v>4</v>
      </c>
      <c r="D1887" s="2" t="s">
        <v>87</v>
      </c>
      <c r="E1887" s="2" t="s">
        <v>3843</v>
      </c>
      <c r="F1887" s="3" t="n">
        <v>45839.9604166667</v>
      </c>
      <c r="G1887" s="2" t="s">
        <v>4011</v>
      </c>
      <c r="H1887" s="4" t="n">
        <v>0</v>
      </c>
      <c r="I1887" s="2" t="s">
        <v>18</v>
      </c>
      <c r="J1887" s="2" t="s">
        <v>19</v>
      </c>
      <c r="K1887" s="2" t="n">
        <v>3</v>
      </c>
      <c r="L1887" s="2" t="n">
        <v>0</v>
      </c>
      <c r="M1887" s="2" t="n">
        <v>1</v>
      </c>
    </row>
    <row r="1888" customFormat="false" ht="15" hidden="false" customHeight="false" outlineLevel="0" collapsed="false">
      <c r="A1888" s="2" t="s">
        <v>4034</v>
      </c>
      <c r="B1888" s="2" t="s">
        <v>4035</v>
      </c>
      <c r="C1888" s="2" t="n">
        <v>1</v>
      </c>
      <c r="D1888" s="2" t="s">
        <v>591</v>
      </c>
      <c r="E1888" s="2" t="s">
        <v>3843</v>
      </c>
      <c r="F1888" s="3" t="n">
        <v>45840.0125</v>
      </c>
      <c r="G1888" s="2" t="s">
        <v>4011</v>
      </c>
      <c r="H1888" s="4" t="n">
        <v>0</v>
      </c>
      <c r="I1888" s="2" t="s">
        <v>18</v>
      </c>
      <c r="J1888" s="2" t="s">
        <v>37</v>
      </c>
      <c r="K1888" s="2" t="n">
        <v>3</v>
      </c>
      <c r="L1888" s="2" t="n">
        <v>1</v>
      </c>
      <c r="M1888" s="2" t="n">
        <v>1</v>
      </c>
    </row>
    <row r="1889" customFormat="false" ht="15" hidden="false" customHeight="false" outlineLevel="0" collapsed="false">
      <c r="A1889" s="2" t="s">
        <v>4036</v>
      </c>
      <c r="B1889" s="2" t="s">
        <v>4037</v>
      </c>
      <c r="C1889" s="2" t="n">
        <v>2</v>
      </c>
      <c r="D1889" s="2" t="s">
        <v>179</v>
      </c>
      <c r="E1889" s="2" t="s">
        <v>3843</v>
      </c>
      <c r="F1889" s="3" t="n">
        <v>45840.28125</v>
      </c>
      <c r="G1889" s="2" t="s">
        <v>4011</v>
      </c>
      <c r="H1889" s="4" t="n">
        <v>-0.0258</v>
      </c>
      <c r="I1889" s="2" t="s">
        <v>18</v>
      </c>
      <c r="J1889" s="2" t="s">
        <v>59</v>
      </c>
      <c r="K1889" s="2" t="n">
        <v>3</v>
      </c>
      <c r="L1889" s="2" t="n">
        <v>1</v>
      </c>
      <c r="M1889" s="2" t="n">
        <v>1</v>
      </c>
    </row>
    <row r="1890" customFormat="false" ht="15" hidden="false" customHeight="false" outlineLevel="0" collapsed="false">
      <c r="A1890" s="2" t="s">
        <v>4038</v>
      </c>
      <c r="B1890" s="2" t="s">
        <v>4039</v>
      </c>
      <c r="C1890" s="2" t="n">
        <v>2</v>
      </c>
      <c r="D1890" s="2" t="s">
        <v>2162</v>
      </c>
      <c r="E1890" s="2" t="s">
        <v>3843</v>
      </c>
      <c r="F1890" s="3" t="n">
        <v>45840.3208333333</v>
      </c>
      <c r="G1890" s="2" t="s">
        <v>4011</v>
      </c>
      <c r="H1890" s="4" t="n">
        <v>-0.4533</v>
      </c>
      <c r="I1890" s="2" t="s">
        <v>84</v>
      </c>
      <c r="J1890" s="2" t="s">
        <v>59</v>
      </c>
      <c r="K1890" s="2" t="n">
        <v>2</v>
      </c>
      <c r="L1890" s="2" t="n">
        <v>1</v>
      </c>
      <c r="M1890" s="2" t="n">
        <v>1</v>
      </c>
    </row>
    <row r="1891" customFormat="false" ht="15" hidden="false" customHeight="false" outlineLevel="0" collapsed="false">
      <c r="A1891" s="2" t="s">
        <v>4040</v>
      </c>
      <c r="B1891" s="2" t="s">
        <v>4041</v>
      </c>
      <c r="C1891" s="2" t="n">
        <v>1</v>
      </c>
      <c r="D1891" s="2" t="s">
        <v>661</v>
      </c>
      <c r="E1891" s="2" t="s">
        <v>3843</v>
      </c>
      <c r="F1891" s="3" t="n">
        <v>45840.3458333333</v>
      </c>
      <c r="G1891" s="2" t="s">
        <v>4011</v>
      </c>
      <c r="H1891" s="4" t="n">
        <v>0</v>
      </c>
      <c r="I1891" s="2" t="s">
        <v>18</v>
      </c>
      <c r="J1891" s="2" t="s">
        <v>59</v>
      </c>
      <c r="K1891" s="2" t="n">
        <v>22</v>
      </c>
      <c r="L1891" s="2" t="n">
        <v>1</v>
      </c>
      <c r="M1891" s="2" t="n">
        <v>1</v>
      </c>
    </row>
    <row r="1892" customFormat="false" ht="15" hidden="false" customHeight="false" outlineLevel="0" collapsed="false">
      <c r="A1892" s="2" t="s">
        <v>4042</v>
      </c>
      <c r="B1892" s="2" t="s">
        <v>4043</v>
      </c>
      <c r="C1892" s="2" t="n">
        <v>3</v>
      </c>
      <c r="D1892" s="2" t="s">
        <v>36</v>
      </c>
      <c r="E1892" s="2" t="s">
        <v>3843</v>
      </c>
      <c r="F1892" s="3" t="n">
        <v>45840.4340277778</v>
      </c>
      <c r="G1892" s="2" t="s">
        <v>4011</v>
      </c>
      <c r="H1892" s="4" t="n">
        <v>0.4404</v>
      </c>
      <c r="I1892" s="2" t="s">
        <v>23</v>
      </c>
      <c r="J1892" s="2" t="s">
        <v>37</v>
      </c>
      <c r="K1892" s="2" t="n">
        <v>3</v>
      </c>
      <c r="L1892" s="2" t="n">
        <v>0</v>
      </c>
      <c r="M1892" s="2" t="n">
        <v>1</v>
      </c>
    </row>
    <row r="1893" customFormat="false" ht="15" hidden="false" customHeight="false" outlineLevel="0" collapsed="false">
      <c r="A1893" s="2" t="s">
        <v>4044</v>
      </c>
      <c r="B1893" s="2" t="s">
        <v>4045</v>
      </c>
      <c r="C1893" s="2" t="n">
        <v>5</v>
      </c>
      <c r="D1893" s="2" t="s">
        <v>90</v>
      </c>
      <c r="E1893" s="2" t="s">
        <v>3843</v>
      </c>
      <c r="F1893" s="3" t="n">
        <v>45840.5006944445</v>
      </c>
      <c r="G1893" s="2" t="s">
        <v>4011</v>
      </c>
      <c r="H1893" s="4" t="n">
        <v>0.6249</v>
      </c>
      <c r="I1893" s="2" t="s">
        <v>23</v>
      </c>
      <c r="J1893" s="2" t="s">
        <v>37</v>
      </c>
      <c r="K1893" s="2" t="n">
        <v>5</v>
      </c>
      <c r="L1893" s="2" t="n">
        <v>0</v>
      </c>
      <c r="M1893" s="2" t="n">
        <v>1</v>
      </c>
    </row>
    <row r="1894" customFormat="false" ht="15" hidden="false" customHeight="false" outlineLevel="0" collapsed="false">
      <c r="A1894" s="2" t="s">
        <v>4046</v>
      </c>
      <c r="B1894" s="2" t="s">
        <v>4047</v>
      </c>
      <c r="C1894" s="2" t="n">
        <v>2</v>
      </c>
      <c r="D1894" s="2" t="s">
        <v>83</v>
      </c>
      <c r="E1894" s="2" t="s">
        <v>3843</v>
      </c>
      <c r="F1894" s="3" t="n">
        <v>45840.5020833333</v>
      </c>
      <c r="G1894" s="2" t="s">
        <v>4011</v>
      </c>
      <c r="H1894" s="4" t="n">
        <v>-0.6166</v>
      </c>
      <c r="I1894" s="2" t="s">
        <v>84</v>
      </c>
      <c r="J1894" s="2" t="s">
        <v>59</v>
      </c>
      <c r="K1894" s="2" t="n">
        <v>0</v>
      </c>
      <c r="L1894" s="2" t="n">
        <v>0</v>
      </c>
      <c r="M1894" s="2" t="n">
        <v>1</v>
      </c>
    </row>
    <row r="1895" customFormat="false" ht="15" hidden="false" customHeight="false" outlineLevel="0" collapsed="false">
      <c r="A1895" s="2" t="s">
        <v>4048</v>
      </c>
      <c r="B1895" s="2" t="s">
        <v>4049</v>
      </c>
      <c r="C1895" s="2" t="n">
        <v>5</v>
      </c>
      <c r="D1895" s="2" t="s">
        <v>1363</v>
      </c>
      <c r="E1895" s="2" t="s">
        <v>3843</v>
      </c>
      <c r="F1895" s="3" t="n">
        <v>45840.6944444445</v>
      </c>
      <c r="G1895" s="2" t="s">
        <v>4011</v>
      </c>
      <c r="H1895" s="4" t="n">
        <v>0.6597</v>
      </c>
      <c r="I1895" s="2" t="s">
        <v>23</v>
      </c>
      <c r="J1895" s="2" t="s">
        <v>33</v>
      </c>
      <c r="K1895" s="2" t="n">
        <v>2</v>
      </c>
      <c r="L1895" s="2" t="n">
        <v>0</v>
      </c>
      <c r="M1895" s="2" t="n">
        <v>1</v>
      </c>
    </row>
    <row r="1896" customFormat="false" ht="15" hidden="false" customHeight="false" outlineLevel="0" collapsed="false">
      <c r="A1896" s="2" t="s">
        <v>4050</v>
      </c>
      <c r="B1896" s="2" t="s">
        <v>4051</v>
      </c>
      <c r="C1896" s="2" t="n">
        <v>1</v>
      </c>
      <c r="D1896" s="2" t="s">
        <v>823</v>
      </c>
      <c r="E1896" s="2" t="s">
        <v>3843</v>
      </c>
      <c r="F1896" s="3" t="n">
        <v>45840.7152777778</v>
      </c>
      <c r="G1896" s="2" t="s">
        <v>4011</v>
      </c>
      <c r="H1896" s="4" t="n">
        <v>-0.6997</v>
      </c>
      <c r="I1896" s="2" t="s">
        <v>84</v>
      </c>
      <c r="J1896" s="2" t="s">
        <v>19</v>
      </c>
      <c r="K1896" s="2" t="n">
        <v>0</v>
      </c>
      <c r="L1896" s="2" t="n">
        <v>0</v>
      </c>
      <c r="M1896" s="2" t="n">
        <v>1</v>
      </c>
    </row>
    <row r="1897" customFormat="false" ht="15" hidden="false" customHeight="false" outlineLevel="0" collapsed="false">
      <c r="A1897" s="2" t="s">
        <v>4052</v>
      </c>
      <c r="B1897" s="2" t="s">
        <v>4053</v>
      </c>
      <c r="C1897" s="2" t="n">
        <v>4</v>
      </c>
      <c r="D1897" s="2" t="s">
        <v>22</v>
      </c>
      <c r="E1897" s="2" t="s">
        <v>3843</v>
      </c>
      <c r="F1897" s="3" t="n">
        <v>45840.8659722222</v>
      </c>
      <c r="G1897" s="2" t="s">
        <v>4011</v>
      </c>
      <c r="H1897" s="4" t="n">
        <v>0.2023</v>
      </c>
      <c r="I1897" s="2" t="s">
        <v>23</v>
      </c>
      <c r="J1897" s="2" t="s">
        <v>19</v>
      </c>
      <c r="K1897" s="2" t="n">
        <v>2</v>
      </c>
      <c r="L1897" s="2" t="n">
        <v>0</v>
      </c>
      <c r="M1897" s="2" t="n">
        <v>1</v>
      </c>
    </row>
    <row r="1898" customFormat="false" ht="15" hidden="false" customHeight="false" outlineLevel="0" collapsed="false">
      <c r="A1898" s="2" t="s">
        <v>4054</v>
      </c>
      <c r="B1898" s="2" t="s">
        <v>4055</v>
      </c>
      <c r="C1898" s="2" t="n">
        <v>3</v>
      </c>
      <c r="D1898" s="2" t="s">
        <v>4056</v>
      </c>
      <c r="E1898" s="2" t="s">
        <v>3843</v>
      </c>
      <c r="F1898" s="3" t="n">
        <v>45840.8673611111</v>
      </c>
      <c r="G1898" s="2" t="s">
        <v>4011</v>
      </c>
      <c r="H1898" s="4" t="n">
        <v>0</v>
      </c>
      <c r="I1898" s="2" t="s">
        <v>18</v>
      </c>
      <c r="J1898" s="2" t="s">
        <v>165</v>
      </c>
      <c r="K1898" s="2" t="n">
        <v>8</v>
      </c>
      <c r="L1898" s="2" t="n">
        <v>0</v>
      </c>
      <c r="M1898" s="2" t="n">
        <v>1</v>
      </c>
    </row>
    <row r="1899" customFormat="false" ht="15" hidden="false" customHeight="false" outlineLevel="0" collapsed="false">
      <c r="A1899" s="2" t="s">
        <v>4057</v>
      </c>
      <c r="B1899" s="2" t="s">
        <v>4058</v>
      </c>
      <c r="C1899" s="2" t="n">
        <v>1</v>
      </c>
      <c r="D1899" s="2" t="s">
        <v>4059</v>
      </c>
      <c r="E1899" s="2" t="s">
        <v>3843</v>
      </c>
      <c r="F1899" s="3" t="n">
        <v>45840.9805555556</v>
      </c>
      <c r="G1899" s="2" t="s">
        <v>4011</v>
      </c>
      <c r="H1899" s="4" t="n">
        <v>0</v>
      </c>
      <c r="I1899" s="2" t="s">
        <v>18</v>
      </c>
      <c r="J1899" s="2" t="s">
        <v>59</v>
      </c>
      <c r="K1899" s="2" t="n">
        <v>0</v>
      </c>
      <c r="L1899" s="2" t="n">
        <v>1</v>
      </c>
      <c r="M1899" s="2" t="n">
        <v>1</v>
      </c>
    </row>
    <row r="1900" customFormat="false" ht="15" hidden="false" customHeight="false" outlineLevel="0" collapsed="false">
      <c r="A1900" s="2" t="s">
        <v>4060</v>
      </c>
      <c r="B1900" s="2" t="s">
        <v>4061</v>
      </c>
      <c r="C1900" s="2" t="n">
        <v>1</v>
      </c>
      <c r="D1900" s="2" t="s">
        <v>179</v>
      </c>
      <c r="E1900" s="2" t="s">
        <v>3843</v>
      </c>
      <c r="F1900" s="3" t="n">
        <v>45841.0611111111</v>
      </c>
      <c r="G1900" s="2" t="s">
        <v>4011</v>
      </c>
      <c r="H1900" s="4" t="n">
        <v>-0.0258</v>
      </c>
      <c r="I1900" s="2" t="s">
        <v>18</v>
      </c>
      <c r="J1900" s="2" t="s">
        <v>59</v>
      </c>
      <c r="K1900" s="2" t="n">
        <v>0</v>
      </c>
      <c r="L1900" s="2" t="n">
        <v>0</v>
      </c>
      <c r="M1900" s="2" t="n">
        <v>1</v>
      </c>
    </row>
    <row r="1901" customFormat="false" ht="15" hidden="false" customHeight="false" outlineLevel="0" collapsed="false">
      <c r="A1901" s="2" t="s">
        <v>4062</v>
      </c>
      <c r="B1901" s="2" t="s">
        <v>4063</v>
      </c>
      <c r="C1901" s="2" t="n">
        <v>3</v>
      </c>
      <c r="D1901" s="2" t="s">
        <v>22</v>
      </c>
      <c r="E1901" s="2" t="s">
        <v>3843</v>
      </c>
      <c r="F1901" s="3" t="n">
        <v>45841.1541666667</v>
      </c>
      <c r="G1901" s="2" t="s">
        <v>4011</v>
      </c>
      <c r="H1901" s="4" t="n">
        <v>0.2023</v>
      </c>
      <c r="I1901" s="2" t="s">
        <v>23</v>
      </c>
      <c r="J1901" s="2" t="s">
        <v>19</v>
      </c>
      <c r="K1901" s="2" t="n">
        <v>1</v>
      </c>
      <c r="L1901" s="2" t="n">
        <v>0</v>
      </c>
      <c r="M1901" s="2" t="n">
        <v>1</v>
      </c>
    </row>
    <row r="1902" customFormat="false" ht="15" hidden="false" customHeight="false" outlineLevel="0" collapsed="false">
      <c r="A1902" s="2" t="s">
        <v>4064</v>
      </c>
      <c r="B1902" s="2" t="s">
        <v>4065</v>
      </c>
      <c r="C1902" s="2" t="n">
        <v>3</v>
      </c>
      <c r="D1902" s="2" t="s">
        <v>4066</v>
      </c>
      <c r="E1902" s="2" t="s">
        <v>3843</v>
      </c>
      <c r="F1902" s="3" t="n">
        <v>45841.1798611111</v>
      </c>
      <c r="G1902" s="2" t="s">
        <v>4011</v>
      </c>
      <c r="H1902" s="4" t="n">
        <v>0.5719</v>
      </c>
      <c r="I1902" s="2" t="s">
        <v>23</v>
      </c>
      <c r="J1902" s="2" t="s">
        <v>37</v>
      </c>
      <c r="K1902" s="2" t="n">
        <v>10</v>
      </c>
      <c r="L1902" s="2" t="n">
        <v>0</v>
      </c>
      <c r="M1902" s="2" t="n">
        <v>1</v>
      </c>
    </row>
    <row r="1903" customFormat="false" ht="15" hidden="false" customHeight="false" outlineLevel="0" collapsed="false">
      <c r="A1903" s="2" t="s">
        <v>4067</v>
      </c>
      <c r="B1903" s="2" t="s">
        <v>4068</v>
      </c>
      <c r="C1903" s="2" t="n">
        <v>4</v>
      </c>
      <c r="D1903" s="2" t="s">
        <v>52</v>
      </c>
      <c r="E1903" s="2" t="s">
        <v>3843</v>
      </c>
      <c r="F1903" s="3" t="n">
        <v>45841.1930555556</v>
      </c>
      <c r="G1903" s="2" t="s">
        <v>4011</v>
      </c>
      <c r="H1903" s="4" t="n">
        <v>0.6369</v>
      </c>
      <c r="I1903" s="2" t="s">
        <v>23</v>
      </c>
      <c r="J1903" s="2" t="s">
        <v>19</v>
      </c>
      <c r="K1903" s="2" t="n">
        <v>0</v>
      </c>
      <c r="L1903" s="2" t="n">
        <v>0</v>
      </c>
      <c r="M1903" s="2" t="n">
        <v>1</v>
      </c>
    </row>
    <row r="1904" customFormat="false" ht="15" hidden="false" customHeight="false" outlineLevel="0" collapsed="false">
      <c r="A1904" s="2" t="s">
        <v>4069</v>
      </c>
      <c r="B1904" s="2" t="s">
        <v>4070</v>
      </c>
      <c r="C1904" s="2" t="n">
        <v>3</v>
      </c>
      <c r="D1904" s="2" t="s">
        <v>661</v>
      </c>
      <c r="E1904" s="2" t="s">
        <v>3843</v>
      </c>
      <c r="F1904" s="3" t="n">
        <v>45841.4354166667</v>
      </c>
      <c r="G1904" s="2" t="s">
        <v>4011</v>
      </c>
      <c r="H1904" s="4" t="n">
        <v>0</v>
      </c>
      <c r="I1904" s="2" t="s">
        <v>18</v>
      </c>
      <c r="J1904" s="2" t="s">
        <v>59</v>
      </c>
      <c r="K1904" s="2" t="n">
        <v>1</v>
      </c>
      <c r="L1904" s="2" t="n">
        <v>0</v>
      </c>
      <c r="M1904" s="2" t="n">
        <v>1</v>
      </c>
    </row>
    <row r="1905" customFormat="false" ht="15" hidden="false" customHeight="false" outlineLevel="0" collapsed="false">
      <c r="A1905" s="2" t="s">
        <v>4071</v>
      </c>
      <c r="B1905" s="2" t="s">
        <v>4072</v>
      </c>
      <c r="C1905" s="2" t="n">
        <v>2</v>
      </c>
      <c r="D1905" s="2" t="s">
        <v>179</v>
      </c>
      <c r="E1905" s="2" t="s">
        <v>3843</v>
      </c>
      <c r="F1905" s="3" t="n">
        <v>45841.4354166667</v>
      </c>
      <c r="G1905" s="2" t="s">
        <v>4011</v>
      </c>
      <c r="H1905" s="4" t="n">
        <v>-0.0258</v>
      </c>
      <c r="I1905" s="2" t="s">
        <v>18</v>
      </c>
      <c r="J1905" s="2" t="s">
        <v>59</v>
      </c>
      <c r="K1905" s="2" t="n">
        <v>1</v>
      </c>
      <c r="L1905" s="2" t="n">
        <v>0</v>
      </c>
      <c r="M1905" s="2" t="n">
        <v>1</v>
      </c>
    </row>
    <row r="1906" customFormat="false" ht="15" hidden="false" customHeight="false" outlineLevel="0" collapsed="false">
      <c r="A1906" s="2" t="s">
        <v>4073</v>
      </c>
      <c r="B1906" s="2" t="s">
        <v>4074</v>
      </c>
      <c r="C1906" s="2" t="n">
        <v>3</v>
      </c>
      <c r="D1906" s="2" t="s">
        <v>2179</v>
      </c>
      <c r="E1906" s="2" t="s">
        <v>3843</v>
      </c>
      <c r="F1906" s="3" t="n">
        <v>45841.4805555556</v>
      </c>
      <c r="G1906" s="2" t="s">
        <v>4011</v>
      </c>
      <c r="H1906" s="4" t="n">
        <v>-0.3089</v>
      </c>
      <c r="I1906" s="2" t="s">
        <v>84</v>
      </c>
      <c r="J1906" s="2" t="s">
        <v>59</v>
      </c>
      <c r="K1906" s="2" t="n">
        <v>4</v>
      </c>
      <c r="L1906" s="2" t="n">
        <v>0</v>
      </c>
      <c r="M1906" s="2" t="n">
        <v>1</v>
      </c>
    </row>
    <row r="1907" customFormat="false" ht="15" hidden="false" customHeight="false" outlineLevel="0" collapsed="false">
      <c r="A1907" s="2" t="s">
        <v>4075</v>
      </c>
      <c r="B1907" s="2" t="s">
        <v>4076</v>
      </c>
      <c r="C1907" s="2" t="n">
        <v>2</v>
      </c>
      <c r="D1907" s="2" t="s">
        <v>498</v>
      </c>
      <c r="E1907" s="2" t="s">
        <v>3843</v>
      </c>
      <c r="F1907" s="3" t="n">
        <v>45841.7236111111</v>
      </c>
      <c r="G1907" s="2" t="s">
        <v>4011</v>
      </c>
      <c r="H1907" s="4" t="n">
        <v>0</v>
      </c>
      <c r="I1907" s="2" t="s">
        <v>18</v>
      </c>
      <c r="J1907" s="2" t="s">
        <v>165</v>
      </c>
      <c r="K1907" s="2" t="n">
        <v>0</v>
      </c>
      <c r="L1907" s="2" t="n">
        <v>1</v>
      </c>
      <c r="M1907" s="2" t="n">
        <v>1</v>
      </c>
    </row>
    <row r="1908" customFormat="false" ht="15" hidden="false" customHeight="false" outlineLevel="0" collapsed="false">
      <c r="A1908" s="2" t="s">
        <v>4077</v>
      </c>
      <c r="B1908" s="2" t="s">
        <v>4078</v>
      </c>
      <c r="C1908" s="2" t="n">
        <v>3</v>
      </c>
      <c r="D1908" s="2" t="s">
        <v>22</v>
      </c>
      <c r="E1908" s="2" t="s">
        <v>3843</v>
      </c>
      <c r="F1908" s="3" t="n">
        <v>45841.9791666667</v>
      </c>
      <c r="G1908" s="2" t="s">
        <v>4011</v>
      </c>
      <c r="H1908" s="4" t="n">
        <v>0.2023</v>
      </c>
      <c r="I1908" s="2" t="s">
        <v>23</v>
      </c>
      <c r="J1908" s="2" t="s">
        <v>19</v>
      </c>
      <c r="K1908" s="2" t="n">
        <v>16</v>
      </c>
      <c r="L1908" s="2" t="n">
        <v>0</v>
      </c>
      <c r="M1908" s="2" t="n">
        <v>1</v>
      </c>
    </row>
    <row r="1909" customFormat="false" ht="15" hidden="false" customHeight="false" outlineLevel="0" collapsed="false">
      <c r="A1909" s="2" t="s">
        <v>4079</v>
      </c>
      <c r="B1909" s="2" t="s">
        <v>4080</v>
      </c>
      <c r="C1909" s="2" t="n">
        <v>2</v>
      </c>
      <c r="D1909" s="2" t="s">
        <v>83</v>
      </c>
      <c r="E1909" s="2" t="s">
        <v>3843</v>
      </c>
      <c r="F1909" s="3" t="n">
        <v>45842.0895833333</v>
      </c>
      <c r="G1909" s="2" t="s">
        <v>4011</v>
      </c>
      <c r="H1909" s="4" t="n">
        <v>-0.6166</v>
      </c>
      <c r="I1909" s="2" t="s">
        <v>84</v>
      </c>
      <c r="J1909" s="2" t="s">
        <v>59</v>
      </c>
      <c r="K1909" s="2" t="n">
        <v>1</v>
      </c>
      <c r="L1909" s="2" t="n">
        <v>0</v>
      </c>
      <c r="M1909" s="2" t="n">
        <v>1</v>
      </c>
    </row>
    <row r="1910" customFormat="false" ht="15" hidden="false" customHeight="false" outlineLevel="0" collapsed="false">
      <c r="A1910" s="2" t="s">
        <v>4081</v>
      </c>
      <c r="B1910" s="2" t="s">
        <v>4082</v>
      </c>
      <c r="C1910" s="2" t="n">
        <v>1</v>
      </c>
      <c r="D1910" s="2" t="s">
        <v>402</v>
      </c>
      <c r="E1910" s="2" t="s">
        <v>3843</v>
      </c>
      <c r="F1910" s="3" t="n">
        <v>45842.1090277778</v>
      </c>
      <c r="G1910" s="2" t="s">
        <v>4011</v>
      </c>
      <c r="H1910" s="4" t="n">
        <v>0</v>
      </c>
      <c r="I1910" s="2" t="s">
        <v>18</v>
      </c>
      <c r="J1910" s="2" t="s">
        <v>59</v>
      </c>
      <c r="K1910" s="2" t="n">
        <v>1</v>
      </c>
      <c r="L1910" s="2" t="n">
        <v>1</v>
      </c>
      <c r="M1910" s="2" t="n">
        <v>1</v>
      </c>
    </row>
    <row r="1911" customFormat="false" ht="15" hidden="false" customHeight="false" outlineLevel="0" collapsed="false">
      <c r="A1911" s="2" t="s">
        <v>4083</v>
      </c>
      <c r="B1911" s="2" t="s">
        <v>4084</v>
      </c>
      <c r="C1911" s="2" t="n">
        <v>5</v>
      </c>
      <c r="D1911" s="2" t="s">
        <v>15</v>
      </c>
      <c r="E1911" s="2" t="s">
        <v>3843</v>
      </c>
      <c r="F1911" s="3" t="n">
        <v>45842.2555555556</v>
      </c>
      <c r="G1911" s="2" t="s">
        <v>4011</v>
      </c>
      <c r="H1911" s="4" t="n">
        <v>0</v>
      </c>
      <c r="I1911" s="2" t="s">
        <v>18</v>
      </c>
      <c r="J1911" s="2" t="s">
        <v>19</v>
      </c>
      <c r="K1911" s="2" t="n">
        <v>12</v>
      </c>
      <c r="L1911" s="2" t="n">
        <v>0</v>
      </c>
      <c r="M1911" s="2" t="n">
        <v>1</v>
      </c>
    </row>
    <row r="1912" customFormat="false" ht="15" hidden="false" customHeight="false" outlineLevel="0" collapsed="false">
      <c r="A1912" s="2" t="s">
        <v>4085</v>
      </c>
      <c r="B1912" s="2" t="s">
        <v>4086</v>
      </c>
      <c r="C1912" s="2" t="n">
        <v>4</v>
      </c>
      <c r="D1912" s="2" t="s">
        <v>420</v>
      </c>
      <c r="E1912" s="2" t="s">
        <v>3843</v>
      </c>
      <c r="F1912" s="3" t="n">
        <v>45842.2798611111</v>
      </c>
      <c r="G1912" s="2" t="s">
        <v>4011</v>
      </c>
      <c r="H1912" s="4" t="n">
        <v>0.7845</v>
      </c>
      <c r="I1912" s="2" t="s">
        <v>23</v>
      </c>
      <c r="J1912" s="2" t="s">
        <v>33</v>
      </c>
      <c r="K1912" s="2" t="n">
        <v>0</v>
      </c>
      <c r="L1912" s="2" t="n">
        <v>0</v>
      </c>
      <c r="M1912" s="2" t="n">
        <v>1</v>
      </c>
    </row>
    <row r="1913" customFormat="false" ht="15" hidden="false" customHeight="false" outlineLevel="0" collapsed="false">
      <c r="A1913" s="2" t="s">
        <v>4087</v>
      </c>
      <c r="B1913" s="2" t="s">
        <v>4088</v>
      </c>
      <c r="C1913" s="2" t="n">
        <v>2</v>
      </c>
      <c r="D1913" s="2" t="s">
        <v>4089</v>
      </c>
      <c r="E1913" s="2" t="s">
        <v>3843</v>
      </c>
      <c r="F1913" s="3" t="n">
        <v>45842.2895833333</v>
      </c>
      <c r="G1913" s="2" t="s">
        <v>4011</v>
      </c>
      <c r="H1913" s="4" t="n">
        <v>0.2263</v>
      </c>
      <c r="I1913" s="2" t="s">
        <v>23</v>
      </c>
      <c r="J1913" s="2" t="s">
        <v>59</v>
      </c>
      <c r="K1913" s="2" t="n">
        <v>0</v>
      </c>
      <c r="L1913" s="2" t="n">
        <v>1</v>
      </c>
      <c r="M1913" s="2" t="n">
        <v>1</v>
      </c>
    </row>
    <row r="1914" customFormat="false" ht="15" hidden="false" customHeight="false" outlineLevel="0" collapsed="false">
      <c r="A1914" s="2" t="s">
        <v>4090</v>
      </c>
      <c r="B1914" s="2" t="s">
        <v>4091</v>
      </c>
      <c r="C1914" s="2" t="n">
        <v>1</v>
      </c>
      <c r="D1914" s="2" t="s">
        <v>234</v>
      </c>
      <c r="E1914" s="2" t="s">
        <v>3843</v>
      </c>
      <c r="F1914" s="3" t="n">
        <v>45842.35</v>
      </c>
      <c r="G1914" s="2" t="s">
        <v>4011</v>
      </c>
      <c r="H1914" s="4" t="n">
        <v>0</v>
      </c>
      <c r="I1914" s="2" t="s">
        <v>18</v>
      </c>
      <c r="J1914" s="2" t="s">
        <v>165</v>
      </c>
      <c r="K1914" s="2" t="n">
        <v>3</v>
      </c>
      <c r="L1914" s="2" t="n">
        <v>0</v>
      </c>
      <c r="M1914" s="2" t="n">
        <v>1</v>
      </c>
    </row>
    <row r="1915" customFormat="false" ht="15" hidden="false" customHeight="false" outlineLevel="0" collapsed="false">
      <c r="A1915" s="2" t="s">
        <v>4092</v>
      </c>
      <c r="B1915" s="2" t="s">
        <v>4093</v>
      </c>
      <c r="C1915" s="2" t="n">
        <v>4</v>
      </c>
      <c r="D1915" s="2" t="s">
        <v>87</v>
      </c>
      <c r="E1915" s="2" t="s">
        <v>3843</v>
      </c>
      <c r="F1915" s="3" t="n">
        <v>45842.4680555556</v>
      </c>
      <c r="G1915" s="2" t="s">
        <v>4011</v>
      </c>
      <c r="H1915" s="4" t="n">
        <v>0</v>
      </c>
      <c r="I1915" s="2" t="s">
        <v>18</v>
      </c>
      <c r="J1915" s="2" t="s">
        <v>19</v>
      </c>
      <c r="K1915" s="2" t="n">
        <v>1</v>
      </c>
      <c r="L1915" s="2" t="n">
        <v>0</v>
      </c>
      <c r="M1915" s="2" t="n">
        <v>1</v>
      </c>
    </row>
    <row r="1916" customFormat="false" ht="15" hidden="false" customHeight="false" outlineLevel="0" collapsed="false">
      <c r="A1916" s="2" t="s">
        <v>4094</v>
      </c>
      <c r="B1916" s="2" t="s">
        <v>4095</v>
      </c>
      <c r="C1916" s="2" t="n">
        <v>1</v>
      </c>
      <c r="D1916" s="2" t="s">
        <v>179</v>
      </c>
      <c r="E1916" s="2" t="s">
        <v>3843</v>
      </c>
      <c r="F1916" s="3" t="n">
        <v>45842.4861111111</v>
      </c>
      <c r="G1916" s="2" t="s">
        <v>4011</v>
      </c>
      <c r="H1916" s="4" t="n">
        <v>-0.0258</v>
      </c>
      <c r="I1916" s="2" t="s">
        <v>18</v>
      </c>
      <c r="J1916" s="2" t="s">
        <v>59</v>
      </c>
      <c r="K1916" s="2" t="n">
        <v>9</v>
      </c>
      <c r="L1916" s="2" t="n">
        <v>1</v>
      </c>
      <c r="M1916" s="2" t="n">
        <v>1</v>
      </c>
    </row>
    <row r="1917" customFormat="false" ht="15" hidden="false" customHeight="false" outlineLevel="0" collapsed="false">
      <c r="A1917" s="2" t="s">
        <v>4096</v>
      </c>
      <c r="B1917" s="2" t="s">
        <v>4097</v>
      </c>
      <c r="C1917" s="2" t="n">
        <v>1</v>
      </c>
      <c r="D1917" s="2" t="s">
        <v>168</v>
      </c>
      <c r="E1917" s="2" t="s">
        <v>3843</v>
      </c>
      <c r="F1917" s="3" t="n">
        <v>45842.4895833333</v>
      </c>
      <c r="G1917" s="2" t="s">
        <v>4011</v>
      </c>
      <c r="H1917" s="4" t="n">
        <v>-0.1027</v>
      </c>
      <c r="I1917" s="2" t="s">
        <v>84</v>
      </c>
      <c r="J1917" s="2" t="s">
        <v>33</v>
      </c>
      <c r="K1917" s="2" t="n">
        <v>0</v>
      </c>
      <c r="L1917" s="2" t="n">
        <v>1</v>
      </c>
      <c r="M1917" s="2" t="n">
        <v>1</v>
      </c>
    </row>
    <row r="1918" customFormat="false" ht="15" hidden="false" customHeight="false" outlineLevel="0" collapsed="false">
      <c r="A1918" s="2" t="s">
        <v>4098</v>
      </c>
      <c r="B1918" s="2" t="s">
        <v>4099</v>
      </c>
      <c r="C1918" s="2" t="n">
        <v>5</v>
      </c>
      <c r="D1918" s="2" t="s">
        <v>3798</v>
      </c>
      <c r="E1918" s="2" t="s">
        <v>3843</v>
      </c>
      <c r="F1918" s="3" t="n">
        <v>45842.6361111111</v>
      </c>
      <c r="G1918" s="2" t="s">
        <v>4011</v>
      </c>
      <c r="H1918" s="4" t="n">
        <v>0.7549</v>
      </c>
      <c r="I1918" s="2" t="s">
        <v>23</v>
      </c>
      <c r="J1918" s="2" t="s">
        <v>19</v>
      </c>
      <c r="K1918" s="2" t="n">
        <v>4</v>
      </c>
      <c r="L1918" s="2" t="n">
        <v>0</v>
      </c>
      <c r="M1918" s="2" t="n">
        <v>1</v>
      </c>
    </row>
    <row r="1919" customFormat="false" ht="15" hidden="false" customHeight="false" outlineLevel="0" collapsed="false">
      <c r="A1919" s="2" t="s">
        <v>4100</v>
      </c>
      <c r="B1919" s="2" t="s">
        <v>4101</v>
      </c>
      <c r="C1919" s="2" t="n">
        <v>4</v>
      </c>
      <c r="D1919" s="2" t="s">
        <v>52</v>
      </c>
      <c r="E1919" s="2" t="s">
        <v>3843</v>
      </c>
      <c r="F1919" s="3" t="n">
        <v>45842.6659722222</v>
      </c>
      <c r="G1919" s="2" t="s">
        <v>4011</v>
      </c>
      <c r="H1919" s="4" t="n">
        <v>0.6369</v>
      </c>
      <c r="I1919" s="2" t="s">
        <v>23</v>
      </c>
      <c r="J1919" s="2" t="s">
        <v>19</v>
      </c>
      <c r="K1919" s="2" t="n">
        <v>1</v>
      </c>
      <c r="L1919" s="2" t="n">
        <v>0</v>
      </c>
      <c r="M1919" s="2" t="n">
        <v>1</v>
      </c>
    </row>
    <row r="1920" customFormat="false" ht="15" hidden="false" customHeight="false" outlineLevel="0" collapsed="false">
      <c r="A1920" s="2" t="s">
        <v>4102</v>
      </c>
      <c r="B1920" s="2" t="s">
        <v>4103</v>
      </c>
      <c r="C1920" s="2" t="n">
        <v>2</v>
      </c>
      <c r="D1920" s="2" t="s">
        <v>591</v>
      </c>
      <c r="E1920" s="2" t="s">
        <v>3843</v>
      </c>
      <c r="F1920" s="3" t="n">
        <v>45842.8034722222</v>
      </c>
      <c r="G1920" s="2" t="s">
        <v>4011</v>
      </c>
      <c r="H1920" s="4" t="n">
        <v>0</v>
      </c>
      <c r="I1920" s="2" t="s">
        <v>18</v>
      </c>
      <c r="J1920" s="2" t="s">
        <v>37</v>
      </c>
      <c r="K1920" s="2" t="n">
        <v>1</v>
      </c>
      <c r="L1920" s="2" t="n">
        <v>1</v>
      </c>
      <c r="M1920" s="2" t="n">
        <v>1</v>
      </c>
    </row>
    <row r="1921" customFormat="false" ht="15" hidden="false" customHeight="false" outlineLevel="0" collapsed="false">
      <c r="A1921" s="2" t="s">
        <v>4104</v>
      </c>
      <c r="B1921" s="2" t="s">
        <v>4105</v>
      </c>
      <c r="C1921" s="2" t="n">
        <v>5</v>
      </c>
      <c r="D1921" s="2" t="s">
        <v>40</v>
      </c>
      <c r="E1921" s="2" t="s">
        <v>3843</v>
      </c>
      <c r="F1921" s="3" t="n">
        <v>45842.8291666667</v>
      </c>
      <c r="G1921" s="2" t="s">
        <v>4011</v>
      </c>
      <c r="H1921" s="4" t="n">
        <v>0.4019</v>
      </c>
      <c r="I1921" s="2" t="s">
        <v>23</v>
      </c>
      <c r="J1921" s="2" t="s">
        <v>33</v>
      </c>
      <c r="K1921" s="2" t="n">
        <v>6</v>
      </c>
      <c r="L1921" s="2" t="n">
        <v>0</v>
      </c>
      <c r="M1921" s="2" t="n">
        <v>1</v>
      </c>
    </row>
    <row r="1922" customFormat="false" ht="15" hidden="false" customHeight="false" outlineLevel="0" collapsed="false">
      <c r="A1922" s="2" t="s">
        <v>4106</v>
      </c>
      <c r="B1922" s="2" t="s">
        <v>4107</v>
      </c>
      <c r="C1922" s="2" t="n">
        <v>2</v>
      </c>
      <c r="D1922" s="2" t="s">
        <v>397</v>
      </c>
      <c r="E1922" s="2" t="s">
        <v>3843</v>
      </c>
      <c r="F1922" s="3" t="n">
        <v>45843.0375</v>
      </c>
      <c r="G1922" s="2" t="s">
        <v>4011</v>
      </c>
      <c r="H1922" s="4" t="n">
        <v>0</v>
      </c>
      <c r="I1922" s="2" t="s">
        <v>18</v>
      </c>
      <c r="J1922" s="2" t="s">
        <v>110</v>
      </c>
      <c r="K1922" s="2" t="n">
        <v>0</v>
      </c>
      <c r="L1922" s="2" t="n">
        <v>1</v>
      </c>
      <c r="M1922" s="2" t="n">
        <v>1</v>
      </c>
    </row>
    <row r="1923" customFormat="false" ht="15" hidden="false" customHeight="false" outlineLevel="0" collapsed="false">
      <c r="A1923" s="2" t="s">
        <v>4108</v>
      </c>
      <c r="B1923" s="2" t="s">
        <v>4109</v>
      </c>
      <c r="C1923" s="2" t="n">
        <v>1</v>
      </c>
      <c r="D1923" s="2" t="s">
        <v>455</v>
      </c>
      <c r="E1923" s="2" t="s">
        <v>3843</v>
      </c>
      <c r="F1923" s="3" t="n">
        <v>45843.5013888889</v>
      </c>
      <c r="G1923" s="2" t="s">
        <v>4011</v>
      </c>
      <c r="H1923" s="4" t="n">
        <v>-0.2263</v>
      </c>
      <c r="I1923" s="2" t="s">
        <v>84</v>
      </c>
      <c r="J1923" s="2" t="s">
        <v>165</v>
      </c>
      <c r="K1923" s="2" t="n">
        <v>7</v>
      </c>
      <c r="L1923" s="2" t="n">
        <v>1</v>
      </c>
      <c r="M1923" s="2" t="n">
        <v>1</v>
      </c>
    </row>
    <row r="1924" customFormat="false" ht="15" hidden="false" customHeight="false" outlineLevel="0" collapsed="false">
      <c r="A1924" s="2" t="s">
        <v>4110</v>
      </c>
      <c r="B1924" s="2" t="s">
        <v>4111</v>
      </c>
      <c r="C1924" s="2" t="n">
        <v>2</v>
      </c>
      <c r="D1924" s="2" t="s">
        <v>4112</v>
      </c>
      <c r="E1924" s="2" t="s">
        <v>3843</v>
      </c>
      <c r="F1924" s="3" t="n">
        <v>45843.5173611111</v>
      </c>
      <c r="G1924" s="2" t="s">
        <v>4011</v>
      </c>
      <c r="H1924" s="4" t="n">
        <v>-0.2155</v>
      </c>
      <c r="I1924" s="2" t="s">
        <v>84</v>
      </c>
      <c r="J1924" s="2" t="s">
        <v>59</v>
      </c>
      <c r="K1924" s="2" t="n">
        <v>1</v>
      </c>
      <c r="L1924" s="2" t="n">
        <v>0</v>
      </c>
      <c r="M1924" s="2" t="n">
        <v>1</v>
      </c>
    </row>
    <row r="1925" customFormat="false" ht="15" hidden="false" customHeight="false" outlineLevel="0" collapsed="false">
      <c r="A1925" s="2" t="s">
        <v>4113</v>
      </c>
      <c r="B1925" s="2" t="s">
        <v>4114</v>
      </c>
      <c r="C1925" s="2" t="n">
        <v>2</v>
      </c>
      <c r="D1925" s="2" t="s">
        <v>498</v>
      </c>
      <c r="E1925" s="2" t="s">
        <v>3843</v>
      </c>
      <c r="F1925" s="3" t="n">
        <v>45843.5298611111</v>
      </c>
      <c r="G1925" s="2" t="s">
        <v>4011</v>
      </c>
      <c r="H1925" s="4" t="n">
        <v>0</v>
      </c>
      <c r="I1925" s="2" t="s">
        <v>18</v>
      </c>
      <c r="J1925" s="2" t="s">
        <v>165</v>
      </c>
      <c r="K1925" s="2" t="n">
        <v>1</v>
      </c>
      <c r="L1925" s="2" t="n">
        <v>0</v>
      </c>
      <c r="M1925" s="2" t="n">
        <v>1</v>
      </c>
    </row>
    <row r="1926" customFormat="false" ht="15" hidden="false" customHeight="false" outlineLevel="0" collapsed="false">
      <c r="A1926" s="2" t="s">
        <v>4115</v>
      </c>
      <c r="B1926" s="2" t="s">
        <v>4116</v>
      </c>
      <c r="C1926" s="2" t="n">
        <v>3</v>
      </c>
      <c r="D1926" s="2" t="s">
        <v>22</v>
      </c>
      <c r="E1926" s="2" t="s">
        <v>3843</v>
      </c>
      <c r="F1926" s="3" t="n">
        <v>45843.5784722222</v>
      </c>
      <c r="G1926" s="2" t="s">
        <v>4011</v>
      </c>
      <c r="H1926" s="4" t="n">
        <v>0.2023</v>
      </c>
      <c r="I1926" s="2" t="s">
        <v>23</v>
      </c>
      <c r="J1926" s="2" t="s">
        <v>19</v>
      </c>
      <c r="K1926" s="2" t="n">
        <v>4</v>
      </c>
      <c r="L1926" s="2" t="n">
        <v>0</v>
      </c>
      <c r="M1926" s="2" t="n">
        <v>1</v>
      </c>
    </row>
    <row r="1927" customFormat="false" ht="15" hidden="false" customHeight="false" outlineLevel="0" collapsed="false">
      <c r="A1927" s="2" t="s">
        <v>4117</v>
      </c>
      <c r="B1927" s="2" t="s">
        <v>4118</v>
      </c>
      <c r="C1927" s="2" t="n">
        <v>4</v>
      </c>
      <c r="D1927" s="2" t="s">
        <v>22</v>
      </c>
      <c r="E1927" s="2" t="s">
        <v>3843</v>
      </c>
      <c r="F1927" s="3" t="n">
        <v>45843.5805555556</v>
      </c>
      <c r="G1927" s="2" t="s">
        <v>4011</v>
      </c>
      <c r="H1927" s="4" t="n">
        <v>0.2023</v>
      </c>
      <c r="I1927" s="2" t="s">
        <v>23</v>
      </c>
      <c r="J1927" s="2" t="s">
        <v>19</v>
      </c>
      <c r="K1927" s="2" t="n">
        <v>0</v>
      </c>
      <c r="L1927" s="2" t="n">
        <v>0</v>
      </c>
      <c r="M1927" s="2" t="n">
        <v>1</v>
      </c>
    </row>
    <row r="1928" customFormat="false" ht="15" hidden="false" customHeight="false" outlineLevel="0" collapsed="false">
      <c r="A1928" s="2" t="s">
        <v>4119</v>
      </c>
      <c r="B1928" s="2" t="s">
        <v>4120</v>
      </c>
      <c r="C1928" s="2" t="n">
        <v>2</v>
      </c>
      <c r="D1928" s="2" t="s">
        <v>4121</v>
      </c>
      <c r="E1928" s="2" t="s">
        <v>3843</v>
      </c>
      <c r="F1928" s="3" t="n">
        <v>45843.6986111111</v>
      </c>
      <c r="G1928" s="2" t="s">
        <v>4011</v>
      </c>
      <c r="H1928" s="4" t="n">
        <v>0.4404</v>
      </c>
      <c r="I1928" s="2" t="s">
        <v>23</v>
      </c>
      <c r="J1928" s="2" t="s">
        <v>165</v>
      </c>
      <c r="K1928" s="2" t="n">
        <v>2</v>
      </c>
      <c r="L1928" s="2" t="n">
        <v>0</v>
      </c>
      <c r="M1928" s="2" t="n">
        <v>1</v>
      </c>
    </row>
    <row r="1929" customFormat="false" ht="15" hidden="false" customHeight="false" outlineLevel="0" collapsed="false">
      <c r="A1929" s="2" t="s">
        <v>4122</v>
      </c>
      <c r="B1929" s="2" t="s">
        <v>4123</v>
      </c>
      <c r="C1929" s="2" t="n">
        <v>2</v>
      </c>
      <c r="D1929" s="2" t="s">
        <v>83</v>
      </c>
      <c r="E1929" s="2" t="s">
        <v>3843</v>
      </c>
      <c r="F1929" s="3" t="n">
        <v>45843.9652777778</v>
      </c>
      <c r="G1929" s="2" t="s">
        <v>4011</v>
      </c>
      <c r="H1929" s="4" t="n">
        <v>-0.6166</v>
      </c>
      <c r="I1929" s="2" t="s">
        <v>84</v>
      </c>
      <c r="J1929" s="2" t="s">
        <v>59</v>
      </c>
      <c r="K1929" s="2" t="n">
        <v>6</v>
      </c>
      <c r="L1929" s="2" t="n">
        <v>0</v>
      </c>
      <c r="M1929" s="2" t="n">
        <v>1</v>
      </c>
    </row>
    <row r="1930" customFormat="false" ht="15" hidden="false" customHeight="false" outlineLevel="0" collapsed="false">
      <c r="A1930" s="2" t="s">
        <v>4124</v>
      </c>
      <c r="B1930" s="2" t="s">
        <v>4125</v>
      </c>
      <c r="C1930" s="2" t="n">
        <v>2</v>
      </c>
      <c r="D1930" s="2" t="s">
        <v>4112</v>
      </c>
      <c r="E1930" s="2" t="s">
        <v>3843</v>
      </c>
      <c r="F1930" s="3" t="n">
        <v>45843.9993055556</v>
      </c>
      <c r="G1930" s="2" t="s">
        <v>4011</v>
      </c>
      <c r="H1930" s="4" t="n">
        <v>-0.2155</v>
      </c>
      <c r="I1930" s="2" t="s">
        <v>84</v>
      </c>
      <c r="J1930" s="2" t="s">
        <v>59</v>
      </c>
      <c r="K1930" s="2" t="n">
        <v>3</v>
      </c>
      <c r="L1930" s="2" t="n">
        <v>1</v>
      </c>
      <c r="M1930" s="2" t="n">
        <v>1</v>
      </c>
    </row>
    <row r="1931" customFormat="false" ht="15" hidden="false" customHeight="false" outlineLevel="0" collapsed="false">
      <c r="A1931" s="2" t="s">
        <v>4126</v>
      </c>
      <c r="B1931" s="2" t="s">
        <v>4127</v>
      </c>
      <c r="C1931" s="2" t="n">
        <v>1</v>
      </c>
      <c r="D1931" s="2" t="s">
        <v>1942</v>
      </c>
      <c r="E1931" s="2" t="s">
        <v>3843</v>
      </c>
      <c r="F1931" s="3" t="n">
        <v>45844.0680555556</v>
      </c>
      <c r="G1931" s="2" t="s">
        <v>4011</v>
      </c>
      <c r="H1931" s="4" t="n">
        <v>0</v>
      </c>
      <c r="I1931" s="2" t="s">
        <v>18</v>
      </c>
      <c r="J1931" s="2" t="s">
        <v>165</v>
      </c>
      <c r="K1931" s="2" t="n">
        <v>1</v>
      </c>
      <c r="L1931" s="2" t="n">
        <v>1</v>
      </c>
      <c r="M1931" s="2" t="n">
        <v>1</v>
      </c>
    </row>
    <row r="1932" customFormat="false" ht="15" hidden="false" customHeight="false" outlineLevel="0" collapsed="false">
      <c r="A1932" s="2" t="s">
        <v>4128</v>
      </c>
      <c r="B1932" s="2" t="s">
        <v>4129</v>
      </c>
      <c r="C1932" s="2" t="n">
        <v>5</v>
      </c>
      <c r="D1932" s="2" t="s">
        <v>1286</v>
      </c>
      <c r="E1932" s="2" t="s">
        <v>3843</v>
      </c>
      <c r="F1932" s="3" t="n">
        <v>45844.1402777778</v>
      </c>
      <c r="G1932" s="2" t="s">
        <v>4011</v>
      </c>
      <c r="H1932" s="4" t="n">
        <v>0.4019</v>
      </c>
      <c r="I1932" s="2" t="s">
        <v>23</v>
      </c>
      <c r="J1932" s="2" t="s">
        <v>33</v>
      </c>
      <c r="K1932" s="2" t="n">
        <v>16</v>
      </c>
      <c r="L1932" s="2" t="n">
        <v>0</v>
      </c>
      <c r="M1932" s="2" t="n">
        <v>1</v>
      </c>
    </row>
    <row r="1933" customFormat="false" ht="15" hidden="false" customHeight="false" outlineLevel="0" collapsed="false">
      <c r="A1933" s="2" t="s">
        <v>4130</v>
      </c>
      <c r="B1933" s="2" t="s">
        <v>4131</v>
      </c>
      <c r="C1933" s="2" t="n">
        <v>1</v>
      </c>
      <c r="D1933" s="2" t="s">
        <v>357</v>
      </c>
      <c r="E1933" s="2" t="s">
        <v>3843</v>
      </c>
      <c r="F1933" s="3" t="n">
        <v>45844.1736111111</v>
      </c>
      <c r="G1933" s="2" t="s">
        <v>4011</v>
      </c>
      <c r="H1933" s="4" t="n">
        <v>0</v>
      </c>
      <c r="I1933" s="2" t="s">
        <v>18</v>
      </c>
      <c r="J1933" s="2" t="s">
        <v>165</v>
      </c>
      <c r="K1933" s="2" t="n">
        <v>0</v>
      </c>
      <c r="L1933" s="2" t="n">
        <v>1</v>
      </c>
      <c r="M1933" s="2" t="n">
        <v>1</v>
      </c>
    </row>
    <row r="1934" customFormat="false" ht="15" hidden="false" customHeight="false" outlineLevel="0" collapsed="false">
      <c r="A1934" s="2" t="s">
        <v>4132</v>
      </c>
      <c r="B1934" s="2" t="s">
        <v>4133</v>
      </c>
      <c r="C1934" s="2" t="n">
        <v>1</v>
      </c>
      <c r="D1934" s="2" t="s">
        <v>498</v>
      </c>
      <c r="E1934" s="2" t="s">
        <v>3843</v>
      </c>
      <c r="F1934" s="3" t="n">
        <v>45844.2479166667</v>
      </c>
      <c r="G1934" s="2" t="s">
        <v>4011</v>
      </c>
      <c r="H1934" s="4" t="n">
        <v>0</v>
      </c>
      <c r="I1934" s="2" t="s">
        <v>18</v>
      </c>
      <c r="J1934" s="2" t="s">
        <v>165</v>
      </c>
      <c r="K1934" s="2" t="n">
        <v>4</v>
      </c>
      <c r="L1934" s="2" t="n">
        <v>1</v>
      </c>
      <c r="M1934" s="2" t="n">
        <v>1</v>
      </c>
    </row>
    <row r="1935" customFormat="false" ht="15" hidden="false" customHeight="false" outlineLevel="0" collapsed="false">
      <c r="A1935" s="2" t="s">
        <v>4134</v>
      </c>
      <c r="B1935" s="2" t="s">
        <v>4135</v>
      </c>
      <c r="C1935" s="2" t="n">
        <v>5</v>
      </c>
      <c r="D1935" s="2" t="s">
        <v>2140</v>
      </c>
      <c r="E1935" s="2" t="s">
        <v>3843</v>
      </c>
      <c r="F1935" s="3" t="n">
        <v>45844.3194444445</v>
      </c>
      <c r="G1935" s="2" t="s">
        <v>4011</v>
      </c>
      <c r="H1935" s="4" t="n">
        <v>0.8777</v>
      </c>
      <c r="I1935" s="2" t="s">
        <v>23</v>
      </c>
      <c r="J1935" s="2" t="s">
        <v>19</v>
      </c>
      <c r="K1935" s="2" t="n">
        <v>9</v>
      </c>
      <c r="L1935" s="2" t="n">
        <v>0</v>
      </c>
      <c r="M1935" s="2" t="n">
        <v>1</v>
      </c>
    </row>
    <row r="1936" customFormat="false" ht="15" hidden="false" customHeight="false" outlineLevel="0" collapsed="false">
      <c r="A1936" s="2" t="s">
        <v>4136</v>
      </c>
      <c r="B1936" s="2" t="s">
        <v>4137</v>
      </c>
      <c r="C1936" s="2" t="n">
        <v>5</v>
      </c>
      <c r="D1936" s="2" t="s">
        <v>90</v>
      </c>
      <c r="E1936" s="2" t="s">
        <v>3843</v>
      </c>
      <c r="F1936" s="3" t="n">
        <v>45844.3590277778</v>
      </c>
      <c r="G1936" s="2" t="s">
        <v>4011</v>
      </c>
      <c r="H1936" s="4" t="n">
        <v>0.6249</v>
      </c>
      <c r="I1936" s="2" t="s">
        <v>23</v>
      </c>
      <c r="J1936" s="2" t="s">
        <v>37</v>
      </c>
      <c r="K1936" s="2" t="n">
        <v>3</v>
      </c>
      <c r="L1936" s="2" t="n">
        <v>0</v>
      </c>
      <c r="M1936" s="2" t="n">
        <v>1</v>
      </c>
    </row>
    <row r="1937" customFormat="false" ht="15" hidden="false" customHeight="false" outlineLevel="0" collapsed="false">
      <c r="A1937" s="2" t="s">
        <v>4138</v>
      </c>
      <c r="B1937" s="2" t="s">
        <v>4139</v>
      </c>
      <c r="C1937" s="2" t="n">
        <v>3</v>
      </c>
      <c r="D1937" s="2" t="s">
        <v>402</v>
      </c>
      <c r="E1937" s="2" t="s">
        <v>3843</v>
      </c>
      <c r="F1937" s="3" t="n">
        <v>45844.4520833333</v>
      </c>
      <c r="G1937" s="2" t="s">
        <v>4011</v>
      </c>
      <c r="H1937" s="4" t="n">
        <v>0</v>
      </c>
      <c r="I1937" s="2" t="s">
        <v>18</v>
      </c>
      <c r="J1937" s="2" t="s">
        <v>59</v>
      </c>
      <c r="K1937" s="2" t="n">
        <v>0</v>
      </c>
      <c r="L1937" s="2" t="n">
        <v>0</v>
      </c>
      <c r="M1937" s="2" t="n">
        <v>1</v>
      </c>
    </row>
    <row r="1938" customFormat="false" ht="15" hidden="false" customHeight="false" outlineLevel="0" collapsed="false">
      <c r="A1938" s="2" t="s">
        <v>4140</v>
      </c>
      <c r="B1938" s="2" t="s">
        <v>4141</v>
      </c>
      <c r="C1938" s="2" t="n">
        <v>2</v>
      </c>
      <c r="D1938" s="2" t="s">
        <v>234</v>
      </c>
      <c r="E1938" s="2" t="s">
        <v>3843</v>
      </c>
      <c r="F1938" s="3" t="n">
        <v>45844.5138888889</v>
      </c>
      <c r="G1938" s="2" t="s">
        <v>4011</v>
      </c>
      <c r="H1938" s="4" t="n">
        <v>0</v>
      </c>
      <c r="I1938" s="2" t="s">
        <v>18</v>
      </c>
      <c r="J1938" s="2" t="s">
        <v>165</v>
      </c>
      <c r="K1938" s="2" t="n">
        <v>1</v>
      </c>
      <c r="L1938" s="2" t="n">
        <v>1</v>
      </c>
      <c r="M1938" s="2" t="n">
        <v>1</v>
      </c>
    </row>
    <row r="1939" customFormat="false" ht="15" hidden="false" customHeight="false" outlineLevel="0" collapsed="false">
      <c r="A1939" s="2" t="s">
        <v>4142</v>
      </c>
      <c r="B1939" s="2" t="s">
        <v>3577</v>
      </c>
      <c r="C1939" s="2" t="n">
        <v>1</v>
      </c>
      <c r="D1939" s="2" t="s">
        <v>661</v>
      </c>
      <c r="E1939" s="2" t="s">
        <v>3843</v>
      </c>
      <c r="F1939" s="3" t="n">
        <v>45844.5347222222</v>
      </c>
      <c r="G1939" s="2" t="s">
        <v>4011</v>
      </c>
      <c r="H1939" s="4" t="n">
        <v>0</v>
      </c>
      <c r="I1939" s="2" t="s">
        <v>18</v>
      </c>
      <c r="J1939" s="2" t="s">
        <v>59</v>
      </c>
      <c r="K1939" s="2" t="n">
        <v>3</v>
      </c>
      <c r="L1939" s="2" t="n">
        <v>1</v>
      </c>
      <c r="M1939" s="2" t="n">
        <v>1</v>
      </c>
    </row>
    <row r="1940" customFormat="false" ht="15" hidden="false" customHeight="false" outlineLevel="0" collapsed="false">
      <c r="A1940" s="2" t="s">
        <v>4143</v>
      </c>
      <c r="B1940" s="2" t="s">
        <v>4144</v>
      </c>
      <c r="C1940" s="2" t="n">
        <v>3</v>
      </c>
      <c r="D1940" s="2" t="s">
        <v>58</v>
      </c>
      <c r="E1940" s="2" t="s">
        <v>3843</v>
      </c>
      <c r="F1940" s="3" t="n">
        <v>45844.5423611111</v>
      </c>
      <c r="G1940" s="2" t="s">
        <v>4011</v>
      </c>
      <c r="H1940" s="4" t="n">
        <v>0</v>
      </c>
      <c r="I1940" s="2" t="s">
        <v>18</v>
      </c>
      <c r="J1940" s="2" t="s">
        <v>59</v>
      </c>
      <c r="K1940" s="2" t="n">
        <v>1</v>
      </c>
      <c r="L1940" s="2" t="n">
        <v>0</v>
      </c>
      <c r="M1940" s="2" t="n">
        <v>1</v>
      </c>
    </row>
    <row r="1941" customFormat="false" ht="15" hidden="false" customHeight="false" outlineLevel="0" collapsed="false">
      <c r="A1941" s="2" t="s">
        <v>4145</v>
      </c>
      <c r="B1941" s="2" t="s">
        <v>4146</v>
      </c>
      <c r="C1941" s="2" t="n">
        <v>4</v>
      </c>
      <c r="D1941" s="2" t="s">
        <v>22</v>
      </c>
      <c r="E1941" s="2" t="s">
        <v>3843</v>
      </c>
      <c r="F1941" s="3" t="n">
        <v>45844.5895833333</v>
      </c>
      <c r="G1941" s="2" t="s">
        <v>4011</v>
      </c>
      <c r="H1941" s="4" t="n">
        <v>0.2023</v>
      </c>
      <c r="I1941" s="2" t="s">
        <v>23</v>
      </c>
      <c r="J1941" s="2" t="s">
        <v>19</v>
      </c>
      <c r="K1941" s="2" t="n">
        <v>2</v>
      </c>
      <c r="L1941" s="2" t="n">
        <v>0</v>
      </c>
      <c r="M1941" s="2" t="n">
        <v>1</v>
      </c>
    </row>
    <row r="1942" customFormat="false" ht="15" hidden="false" customHeight="false" outlineLevel="0" collapsed="false">
      <c r="A1942" s="2" t="s">
        <v>4147</v>
      </c>
      <c r="B1942" s="2" t="s">
        <v>4148</v>
      </c>
      <c r="C1942" s="2" t="n">
        <v>3</v>
      </c>
      <c r="D1942" s="2" t="s">
        <v>397</v>
      </c>
      <c r="E1942" s="2" t="s">
        <v>3843</v>
      </c>
      <c r="F1942" s="3" t="n">
        <v>45844.6159722222</v>
      </c>
      <c r="G1942" s="2" t="s">
        <v>4011</v>
      </c>
      <c r="H1942" s="4" t="n">
        <v>0</v>
      </c>
      <c r="I1942" s="2" t="s">
        <v>18</v>
      </c>
      <c r="J1942" s="2" t="s">
        <v>110</v>
      </c>
      <c r="K1942" s="2" t="n">
        <v>9</v>
      </c>
      <c r="L1942" s="2" t="n">
        <v>0</v>
      </c>
      <c r="M1942" s="2" t="n">
        <v>1</v>
      </c>
    </row>
    <row r="1943" customFormat="false" ht="15" hidden="false" customHeight="false" outlineLevel="0" collapsed="false">
      <c r="A1943" s="2" t="s">
        <v>4149</v>
      </c>
      <c r="B1943" s="2" t="s">
        <v>4150</v>
      </c>
      <c r="C1943" s="2" t="n">
        <v>1</v>
      </c>
      <c r="D1943" s="2" t="s">
        <v>58</v>
      </c>
      <c r="E1943" s="2" t="s">
        <v>3843</v>
      </c>
      <c r="F1943" s="3" t="n">
        <v>45844.9145833333</v>
      </c>
      <c r="G1943" s="2" t="s">
        <v>4011</v>
      </c>
      <c r="H1943" s="4" t="n">
        <v>0</v>
      </c>
      <c r="I1943" s="2" t="s">
        <v>18</v>
      </c>
      <c r="J1943" s="2" t="s">
        <v>59</v>
      </c>
      <c r="K1943" s="2" t="n">
        <v>0</v>
      </c>
      <c r="L1943" s="2" t="n">
        <v>0</v>
      </c>
      <c r="M1943" s="2" t="n">
        <v>1</v>
      </c>
    </row>
    <row r="1944" customFormat="false" ht="15" hidden="false" customHeight="false" outlineLevel="0" collapsed="false">
      <c r="A1944" s="2" t="s">
        <v>4151</v>
      </c>
      <c r="B1944" s="2" t="s">
        <v>4152</v>
      </c>
      <c r="C1944" s="2" t="n">
        <v>2</v>
      </c>
      <c r="D1944" s="2" t="s">
        <v>83</v>
      </c>
      <c r="E1944" s="2" t="s">
        <v>3843</v>
      </c>
      <c r="F1944" s="3" t="n">
        <v>45844.9423611111</v>
      </c>
      <c r="G1944" s="2" t="s">
        <v>4011</v>
      </c>
      <c r="H1944" s="4" t="n">
        <v>-0.6166</v>
      </c>
      <c r="I1944" s="2" t="s">
        <v>84</v>
      </c>
      <c r="J1944" s="2" t="s">
        <v>59</v>
      </c>
      <c r="K1944" s="2" t="n">
        <v>5</v>
      </c>
      <c r="L1944" s="2" t="n">
        <v>0</v>
      </c>
      <c r="M1944" s="2" t="n">
        <v>1</v>
      </c>
    </row>
    <row r="1945" customFormat="false" ht="15" hidden="false" customHeight="false" outlineLevel="0" collapsed="false">
      <c r="A1945" s="2" t="s">
        <v>4153</v>
      </c>
      <c r="B1945" s="2" t="s">
        <v>4084</v>
      </c>
      <c r="C1945" s="2" t="n">
        <v>5</v>
      </c>
      <c r="D1945" s="2" t="s">
        <v>62</v>
      </c>
      <c r="E1945" s="2" t="s">
        <v>4154</v>
      </c>
      <c r="F1945" s="3" t="n">
        <v>45845.0597222222</v>
      </c>
      <c r="G1945" s="2" t="s">
        <v>4011</v>
      </c>
      <c r="H1945" s="4" t="n">
        <v>0.7088</v>
      </c>
      <c r="I1945" s="2" t="s">
        <v>23</v>
      </c>
      <c r="J1945" s="2" t="s">
        <v>19</v>
      </c>
      <c r="K1945" s="2" t="n">
        <v>6</v>
      </c>
      <c r="L1945" s="2" t="n">
        <v>0</v>
      </c>
      <c r="M1945" s="2" t="n">
        <v>1</v>
      </c>
    </row>
    <row r="1946" customFormat="false" ht="15" hidden="false" customHeight="false" outlineLevel="0" collapsed="false">
      <c r="A1946" s="2" t="s">
        <v>4155</v>
      </c>
      <c r="B1946" s="2" t="s">
        <v>4156</v>
      </c>
      <c r="C1946" s="2" t="n">
        <v>1</v>
      </c>
      <c r="D1946" s="2" t="s">
        <v>1380</v>
      </c>
      <c r="E1946" s="2" t="s">
        <v>4154</v>
      </c>
      <c r="F1946" s="3" t="n">
        <v>45845.2506944445</v>
      </c>
      <c r="G1946" s="2" t="s">
        <v>4011</v>
      </c>
      <c r="H1946" s="4" t="n">
        <v>0</v>
      </c>
      <c r="I1946" s="2" t="s">
        <v>18</v>
      </c>
      <c r="J1946" s="2" t="s">
        <v>110</v>
      </c>
      <c r="K1946" s="2" t="n">
        <v>6</v>
      </c>
      <c r="L1946" s="2" t="n">
        <v>0</v>
      </c>
      <c r="M1946" s="2" t="n">
        <v>1</v>
      </c>
    </row>
    <row r="1947" customFormat="false" ht="15" hidden="false" customHeight="false" outlineLevel="0" collapsed="false">
      <c r="A1947" s="2" t="s">
        <v>4157</v>
      </c>
      <c r="B1947" s="2" t="s">
        <v>4158</v>
      </c>
      <c r="C1947" s="2" t="n">
        <v>5</v>
      </c>
      <c r="D1947" s="2" t="s">
        <v>62</v>
      </c>
      <c r="E1947" s="2" t="s">
        <v>4154</v>
      </c>
      <c r="F1947" s="3" t="n">
        <v>45845.3388888889</v>
      </c>
      <c r="G1947" s="2" t="s">
        <v>4011</v>
      </c>
      <c r="H1947" s="4" t="n">
        <v>0.7088</v>
      </c>
      <c r="I1947" s="2" t="s">
        <v>23</v>
      </c>
      <c r="J1947" s="2" t="s">
        <v>19</v>
      </c>
      <c r="K1947" s="2" t="n">
        <v>2</v>
      </c>
      <c r="L1947" s="2" t="n">
        <v>0</v>
      </c>
      <c r="M1947" s="2" t="n">
        <v>1</v>
      </c>
    </row>
    <row r="1948" customFormat="false" ht="15" hidden="false" customHeight="false" outlineLevel="0" collapsed="false">
      <c r="A1948" s="2" t="s">
        <v>4159</v>
      </c>
      <c r="B1948" s="2" t="s">
        <v>4160</v>
      </c>
      <c r="C1948" s="2" t="n">
        <v>5</v>
      </c>
      <c r="D1948" s="2" t="s">
        <v>76</v>
      </c>
      <c r="E1948" s="2" t="s">
        <v>4154</v>
      </c>
      <c r="F1948" s="3" t="n">
        <v>45845.3895833333</v>
      </c>
      <c r="G1948" s="2" t="s">
        <v>4011</v>
      </c>
      <c r="H1948" s="4" t="n">
        <v>0.607</v>
      </c>
      <c r="I1948" s="2" t="s">
        <v>23</v>
      </c>
      <c r="J1948" s="2" t="s">
        <v>33</v>
      </c>
      <c r="K1948" s="2" t="n">
        <v>0</v>
      </c>
      <c r="L1948" s="2" t="n">
        <v>0</v>
      </c>
      <c r="M1948" s="2" t="n">
        <v>1</v>
      </c>
    </row>
    <row r="1949" customFormat="false" ht="15" hidden="false" customHeight="false" outlineLevel="0" collapsed="false">
      <c r="A1949" s="2" t="s">
        <v>4161</v>
      </c>
      <c r="B1949" s="2" t="s">
        <v>4162</v>
      </c>
      <c r="C1949" s="2" t="n">
        <v>4</v>
      </c>
      <c r="D1949" s="2" t="s">
        <v>40</v>
      </c>
      <c r="E1949" s="2" t="s">
        <v>4154</v>
      </c>
      <c r="F1949" s="3" t="n">
        <v>45845.4930555556</v>
      </c>
      <c r="G1949" s="2" t="s">
        <v>4011</v>
      </c>
      <c r="H1949" s="4" t="n">
        <v>0.4019</v>
      </c>
      <c r="I1949" s="2" t="s">
        <v>23</v>
      </c>
      <c r="J1949" s="2" t="s">
        <v>33</v>
      </c>
      <c r="K1949" s="2" t="n">
        <v>1</v>
      </c>
      <c r="L1949" s="2" t="n">
        <v>0</v>
      </c>
      <c r="M1949" s="2" t="n">
        <v>1</v>
      </c>
    </row>
    <row r="1950" customFormat="false" ht="15" hidden="false" customHeight="false" outlineLevel="0" collapsed="false">
      <c r="A1950" s="2" t="s">
        <v>4163</v>
      </c>
      <c r="B1950" s="2" t="s">
        <v>4164</v>
      </c>
      <c r="C1950" s="2" t="n">
        <v>5</v>
      </c>
      <c r="D1950" s="2" t="s">
        <v>96</v>
      </c>
      <c r="E1950" s="2" t="s">
        <v>4154</v>
      </c>
      <c r="F1950" s="3" t="n">
        <v>45845.6902777778</v>
      </c>
      <c r="G1950" s="2" t="s">
        <v>4011</v>
      </c>
      <c r="H1950" s="4" t="n">
        <v>0.6369</v>
      </c>
      <c r="I1950" s="2" t="s">
        <v>23</v>
      </c>
      <c r="J1950" s="2" t="s">
        <v>19</v>
      </c>
      <c r="K1950" s="2" t="n">
        <v>4</v>
      </c>
      <c r="L1950" s="2" t="n">
        <v>0</v>
      </c>
      <c r="M1950" s="2" t="n">
        <v>1</v>
      </c>
    </row>
    <row r="1951" customFormat="false" ht="15" hidden="false" customHeight="false" outlineLevel="0" collapsed="false">
      <c r="A1951" s="2" t="s">
        <v>4165</v>
      </c>
      <c r="B1951" s="2" t="s">
        <v>4166</v>
      </c>
      <c r="C1951" s="2" t="n">
        <v>5</v>
      </c>
      <c r="D1951" s="2" t="s">
        <v>127</v>
      </c>
      <c r="E1951" s="2" t="s">
        <v>4154</v>
      </c>
      <c r="F1951" s="3" t="n">
        <v>45845.7027777778</v>
      </c>
      <c r="G1951" s="2" t="s">
        <v>4011</v>
      </c>
      <c r="H1951" s="4" t="n">
        <v>0.9359</v>
      </c>
      <c r="I1951" s="2" t="s">
        <v>23</v>
      </c>
      <c r="J1951" s="2" t="s">
        <v>37</v>
      </c>
      <c r="K1951" s="2" t="n">
        <v>1</v>
      </c>
      <c r="L1951" s="2" t="n">
        <v>0</v>
      </c>
      <c r="M1951" s="2" t="n">
        <v>1</v>
      </c>
    </row>
    <row r="1952" customFormat="false" ht="15" hidden="false" customHeight="false" outlineLevel="0" collapsed="false">
      <c r="A1952" s="2" t="s">
        <v>4167</v>
      </c>
      <c r="B1952" s="2" t="s">
        <v>4168</v>
      </c>
      <c r="C1952" s="2" t="n">
        <v>2</v>
      </c>
      <c r="D1952" s="2" t="s">
        <v>721</v>
      </c>
      <c r="E1952" s="2" t="s">
        <v>4154</v>
      </c>
      <c r="F1952" s="3" t="n">
        <v>45845.7270833333</v>
      </c>
      <c r="G1952" s="2" t="s">
        <v>4011</v>
      </c>
      <c r="H1952" s="4" t="n">
        <v>-0.4588</v>
      </c>
      <c r="I1952" s="2" t="s">
        <v>84</v>
      </c>
      <c r="J1952" s="2" t="s">
        <v>37</v>
      </c>
      <c r="K1952" s="2" t="n">
        <v>1</v>
      </c>
      <c r="L1952" s="2" t="n">
        <v>1</v>
      </c>
      <c r="M1952" s="2" t="n">
        <v>1</v>
      </c>
    </row>
    <row r="1953" customFormat="false" ht="15" hidden="false" customHeight="false" outlineLevel="0" collapsed="false">
      <c r="A1953" s="2" t="s">
        <v>4169</v>
      </c>
      <c r="B1953" s="2" t="s">
        <v>4170</v>
      </c>
      <c r="C1953" s="2" t="n">
        <v>4</v>
      </c>
      <c r="D1953" s="2" t="s">
        <v>374</v>
      </c>
      <c r="E1953" s="2" t="s">
        <v>4154</v>
      </c>
      <c r="F1953" s="3" t="n">
        <v>45845.8715277778</v>
      </c>
      <c r="G1953" s="2" t="s">
        <v>4011</v>
      </c>
      <c r="H1953" s="4" t="n">
        <v>0.6369</v>
      </c>
      <c r="I1953" s="2" t="s">
        <v>23</v>
      </c>
      <c r="J1953" s="2" t="s">
        <v>19</v>
      </c>
      <c r="K1953" s="2" t="n">
        <v>3</v>
      </c>
      <c r="L1953" s="2" t="n">
        <v>0</v>
      </c>
      <c r="M1953" s="2" t="n">
        <v>1</v>
      </c>
    </row>
    <row r="1954" customFormat="false" ht="15" hidden="false" customHeight="false" outlineLevel="0" collapsed="false">
      <c r="A1954" s="2" t="s">
        <v>4171</v>
      </c>
      <c r="B1954" s="2" t="s">
        <v>4172</v>
      </c>
      <c r="C1954" s="2" t="n">
        <v>5</v>
      </c>
      <c r="D1954" s="2" t="s">
        <v>47</v>
      </c>
      <c r="E1954" s="2" t="s">
        <v>4154</v>
      </c>
      <c r="F1954" s="3" t="n">
        <v>45845.8868055556</v>
      </c>
      <c r="G1954" s="2" t="s">
        <v>4011</v>
      </c>
      <c r="H1954" s="4" t="n">
        <v>0.3089</v>
      </c>
      <c r="I1954" s="2" t="s">
        <v>23</v>
      </c>
      <c r="J1954" s="2" t="s">
        <v>19</v>
      </c>
      <c r="K1954" s="2" t="n">
        <v>1</v>
      </c>
      <c r="L1954" s="2" t="n">
        <v>0</v>
      </c>
      <c r="M1954" s="2" t="n">
        <v>1</v>
      </c>
    </row>
    <row r="1955" customFormat="false" ht="15" hidden="false" customHeight="false" outlineLevel="0" collapsed="false">
      <c r="A1955" s="2" t="s">
        <v>4173</v>
      </c>
      <c r="B1955" s="2" t="s">
        <v>4174</v>
      </c>
      <c r="C1955" s="2" t="n">
        <v>4</v>
      </c>
      <c r="D1955" s="2" t="s">
        <v>4175</v>
      </c>
      <c r="E1955" s="2" t="s">
        <v>4154</v>
      </c>
      <c r="F1955" s="3" t="n">
        <v>45846.0631944445</v>
      </c>
      <c r="G1955" s="2" t="s">
        <v>4011</v>
      </c>
      <c r="H1955" s="4" t="n">
        <v>0.9709</v>
      </c>
      <c r="I1955" s="2" t="s">
        <v>23</v>
      </c>
      <c r="J1955" s="2" t="s">
        <v>37</v>
      </c>
      <c r="K1955" s="2" t="n">
        <v>3</v>
      </c>
      <c r="L1955" s="2" t="n">
        <v>0</v>
      </c>
      <c r="M1955" s="2" t="n">
        <v>1</v>
      </c>
    </row>
    <row r="1956" customFormat="false" ht="15" hidden="false" customHeight="false" outlineLevel="0" collapsed="false">
      <c r="A1956" s="2" t="s">
        <v>4176</v>
      </c>
      <c r="B1956" s="2" t="s">
        <v>4177</v>
      </c>
      <c r="C1956" s="2" t="n">
        <v>5</v>
      </c>
      <c r="D1956" s="2" t="s">
        <v>475</v>
      </c>
      <c r="E1956" s="2" t="s">
        <v>4154</v>
      </c>
      <c r="F1956" s="3" t="n">
        <v>45846.1902777778</v>
      </c>
      <c r="G1956" s="2" t="s">
        <v>4011</v>
      </c>
      <c r="H1956" s="4" t="n">
        <v>0.7845</v>
      </c>
      <c r="I1956" s="2" t="s">
        <v>23</v>
      </c>
      <c r="J1956" s="2" t="s">
        <v>33</v>
      </c>
      <c r="K1956" s="2" t="n">
        <v>4</v>
      </c>
      <c r="L1956" s="2" t="n">
        <v>0</v>
      </c>
      <c r="M1956" s="2" t="n">
        <v>1</v>
      </c>
    </row>
    <row r="1957" customFormat="false" ht="15" hidden="false" customHeight="false" outlineLevel="0" collapsed="false">
      <c r="A1957" s="2" t="s">
        <v>4178</v>
      </c>
      <c r="B1957" s="2" t="s">
        <v>4179</v>
      </c>
      <c r="C1957" s="2" t="n">
        <v>4</v>
      </c>
      <c r="D1957" s="2" t="s">
        <v>90</v>
      </c>
      <c r="E1957" s="2" t="s">
        <v>4154</v>
      </c>
      <c r="F1957" s="3" t="n">
        <v>45846.2520833333</v>
      </c>
      <c r="G1957" s="2" t="s">
        <v>4011</v>
      </c>
      <c r="H1957" s="4" t="n">
        <v>0.6249</v>
      </c>
      <c r="I1957" s="2" t="s">
        <v>23</v>
      </c>
      <c r="J1957" s="2" t="s">
        <v>37</v>
      </c>
      <c r="K1957" s="2" t="n">
        <v>14</v>
      </c>
      <c r="L1957" s="2" t="n">
        <v>0</v>
      </c>
      <c r="M1957" s="2" t="n">
        <v>1</v>
      </c>
    </row>
    <row r="1958" customFormat="false" ht="15" hidden="false" customHeight="false" outlineLevel="0" collapsed="false">
      <c r="A1958" s="2" t="s">
        <v>4180</v>
      </c>
      <c r="B1958" s="2" t="s">
        <v>4181</v>
      </c>
      <c r="C1958" s="2" t="n">
        <v>4</v>
      </c>
      <c r="D1958" s="2" t="s">
        <v>40</v>
      </c>
      <c r="E1958" s="2" t="s">
        <v>4154</v>
      </c>
      <c r="F1958" s="3" t="n">
        <v>45846.3388888889</v>
      </c>
      <c r="G1958" s="2" t="s">
        <v>4011</v>
      </c>
      <c r="H1958" s="4" t="n">
        <v>0.4019</v>
      </c>
      <c r="I1958" s="2" t="s">
        <v>23</v>
      </c>
      <c r="J1958" s="2" t="s">
        <v>33</v>
      </c>
      <c r="K1958" s="2" t="n">
        <v>6</v>
      </c>
      <c r="L1958" s="2" t="n">
        <v>0</v>
      </c>
      <c r="M1958" s="2" t="n">
        <v>1</v>
      </c>
    </row>
    <row r="1959" customFormat="false" ht="15" hidden="false" customHeight="false" outlineLevel="0" collapsed="false">
      <c r="A1959" s="2" t="s">
        <v>4182</v>
      </c>
      <c r="B1959" s="2" t="s">
        <v>4183</v>
      </c>
      <c r="C1959" s="2" t="n">
        <v>5</v>
      </c>
      <c r="D1959" s="2" t="s">
        <v>210</v>
      </c>
      <c r="E1959" s="2" t="s">
        <v>4154</v>
      </c>
      <c r="F1959" s="3" t="n">
        <v>45846.5993055556</v>
      </c>
      <c r="G1959" s="2" t="s">
        <v>4011</v>
      </c>
      <c r="H1959" s="4" t="n">
        <v>0.5448</v>
      </c>
      <c r="I1959" s="2" t="s">
        <v>23</v>
      </c>
      <c r="J1959" s="2" t="s">
        <v>19</v>
      </c>
      <c r="K1959" s="2" t="n">
        <v>3</v>
      </c>
      <c r="L1959" s="2" t="n">
        <v>0</v>
      </c>
      <c r="M1959" s="2" t="n">
        <v>1</v>
      </c>
    </row>
    <row r="1960" customFormat="false" ht="15" hidden="false" customHeight="false" outlineLevel="0" collapsed="false">
      <c r="A1960" s="2" t="s">
        <v>4184</v>
      </c>
      <c r="B1960" s="2" t="s">
        <v>4185</v>
      </c>
      <c r="C1960" s="2" t="n">
        <v>1</v>
      </c>
      <c r="D1960" s="2" t="s">
        <v>2625</v>
      </c>
      <c r="E1960" s="2" t="s">
        <v>4154</v>
      </c>
      <c r="F1960" s="3" t="n">
        <v>45846.6020833333</v>
      </c>
      <c r="G1960" s="2" t="s">
        <v>4011</v>
      </c>
      <c r="H1960" s="4" t="n">
        <v>0.4404</v>
      </c>
      <c r="I1960" s="2" t="s">
        <v>23</v>
      </c>
      <c r="J1960" s="2" t="s">
        <v>165</v>
      </c>
      <c r="K1960" s="2" t="n">
        <v>4</v>
      </c>
      <c r="L1960" s="2" t="n">
        <v>1</v>
      </c>
      <c r="M1960" s="2" t="n">
        <v>1</v>
      </c>
    </row>
    <row r="1961" customFormat="false" ht="15" hidden="false" customHeight="false" outlineLevel="0" collapsed="false">
      <c r="A1961" s="2" t="s">
        <v>4186</v>
      </c>
      <c r="B1961" s="2" t="s">
        <v>4187</v>
      </c>
      <c r="C1961" s="2" t="n">
        <v>5</v>
      </c>
      <c r="D1961" s="2" t="s">
        <v>1683</v>
      </c>
      <c r="E1961" s="2" t="s">
        <v>4154</v>
      </c>
      <c r="F1961" s="3" t="n">
        <v>45846.7784722222</v>
      </c>
      <c r="G1961" s="2" t="s">
        <v>4011</v>
      </c>
      <c r="H1961" s="4" t="n">
        <v>0.6369</v>
      </c>
      <c r="I1961" s="2" t="s">
        <v>23</v>
      </c>
      <c r="J1961" s="2" t="s">
        <v>19</v>
      </c>
      <c r="K1961" s="2" t="n">
        <v>4</v>
      </c>
      <c r="L1961" s="2" t="n">
        <v>0</v>
      </c>
      <c r="M1961" s="2" t="n">
        <v>1</v>
      </c>
    </row>
    <row r="1962" customFormat="false" ht="15" hidden="false" customHeight="false" outlineLevel="0" collapsed="false">
      <c r="A1962" s="2" t="s">
        <v>4188</v>
      </c>
      <c r="B1962" s="2" t="s">
        <v>4189</v>
      </c>
      <c r="C1962" s="2" t="n">
        <v>4</v>
      </c>
      <c r="D1962" s="2" t="s">
        <v>96</v>
      </c>
      <c r="E1962" s="2" t="s">
        <v>4154</v>
      </c>
      <c r="F1962" s="3" t="n">
        <v>45846.8673611111</v>
      </c>
      <c r="G1962" s="2" t="s">
        <v>4011</v>
      </c>
      <c r="H1962" s="4" t="n">
        <v>0.6369</v>
      </c>
      <c r="I1962" s="2" t="s">
        <v>23</v>
      </c>
      <c r="J1962" s="2" t="s">
        <v>19</v>
      </c>
      <c r="K1962" s="2" t="n">
        <v>5</v>
      </c>
      <c r="L1962" s="2" t="n">
        <v>0</v>
      </c>
      <c r="M1962" s="2" t="n">
        <v>1</v>
      </c>
    </row>
    <row r="1963" customFormat="false" ht="15" hidden="false" customHeight="false" outlineLevel="0" collapsed="false">
      <c r="A1963" s="2" t="s">
        <v>4190</v>
      </c>
      <c r="B1963" s="2" t="s">
        <v>1488</v>
      </c>
      <c r="C1963" s="2" t="n">
        <v>5</v>
      </c>
      <c r="D1963" s="2" t="s">
        <v>475</v>
      </c>
      <c r="E1963" s="2" t="s">
        <v>4154</v>
      </c>
      <c r="F1963" s="3" t="n">
        <v>45847.0208333333</v>
      </c>
      <c r="G1963" s="2" t="s">
        <v>4011</v>
      </c>
      <c r="H1963" s="4" t="n">
        <v>0.7845</v>
      </c>
      <c r="I1963" s="2" t="s">
        <v>23</v>
      </c>
      <c r="J1963" s="2" t="s">
        <v>33</v>
      </c>
      <c r="K1963" s="2" t="n">
        <v>4</v>
      </c>
      <c r="L1963" s="2" t="n">
        <v>0</v>
      </c>
      <c r="M1963" s="2" t="n">
        <v>1</v>
      </c>
    </row>
    <row r="1964" customFormat="false" ht="15" hidden="false" customHeight="false" outlineLevel="0" collapsed="false">
      <c r="A1964" s="2" t="s">
        <v>4191</v>
      </c>
      <c r="B1964" s="2" t="s">
        <v>4192</v>
      </c>
      <c r="C1964" s="2" t="n">
        <v>5</v>
      </c>
      <c r="D1964" s="2" t="s">
        <v>790</v>
      </c>
      <c r="E1964" s="2" t="s">
        <v>4154</v>
      </c>
      <c r="F1964" s="3" t="n">
        <v>45847.0243055556</v>
      </c>
      <c r="G1964" s="2" t="s">
        <v>4011</v>
      </c>
      <c r="H1964" s="4" t="n">
        <v>0.9647</v>
      </c>
      <c r="I1964" s="2" t="s">
        <v>23</v>
      </c>
      <c r="J1964" s="2" t="s">
        <v>37</v>
      </c>
      <c r="K1964" s="2" t="n">
        <v>0</v>
      </c>
      <c r="L1964" s="2" t="n">
        <v>0</v>
      </c>
      <c r="M1964" s="2" t="n">
        <v>1</v>
      </c>
    </row>
    <row r="1965" customFormat="false" ht="15" hidden="false" customHeight="false" outlineLevel="0" collapsed="false">
      <c r="A1965" s="2" t="s">
        <v>4193</v>
      </c>
      <c r="B1965" s="2" t="s">
        <v>4194</v>
      </c>
      <c r="C1965" s="2" t="n">
        <v>5</v>
      </c>
      <c r="D1965" s="2" t="s">
        <v>47</v>
      </c>
      <c r="E1965" s="2" t="s">
        <v>4154</v>
      </c>
      <c r="F1965" s="3" t="n">
        <v>45847.0604166667</v>
      </c>
      <c r="G1965" s="2" t="s">
        <v>4011</v>
      </c>
      <c r="H1965" s="4" t="n">
        <v>0.3089</v>
      </c>
      <c r="I1965" s="2" t="s">
        <v>23</v>
      </c>
      <c r="J1965" s="2" t="s">
        <v>19</v>
      </c>
      <c r="K1965" s="2" t="n">
        <v>4</v>
      </c>
      <c r="L1965" s="2" t="n">
        <v>0</v>
      </c>
      <c r="M1965" s="2" t="n">
        <v>1</v>
      </c>
    </row>
    <row r="1966" customFormat="false" ht="15" hidden="false" customHeight="false" outlineLevel="0" collapsed="false">
      <c r="A1966" s="2" t="s">
        <v>4195</v>
      </c>
      <c r="B1966" s="2" t="s">
        <v>4196</v>
      </c>
      <c r="C1966" s="2" t="n">
        <v>5</v>
      </c>
      <c r="D1966" s="2" t="s">
        <v>2727</v>
      </c>
      <c r="E1966" s="2" t="s">
        <v>4154</v>
      </c>
      <c r="F1966" s="3" t="n">
        <v>45847.0791666667</v>
      </c>
      <c r="G1966" s="2" t="s">
        <v>4011</v>
      </c>
      <c r="H1966" s="4" t="n">
        <v>0.4019</v>
      </c>
      <c r="I1966" s="2" t="s">
        <v>23</v>
      </c>
      <c r="J1966" s="2" t="s">
        <v>33</v>
      </c>
      <c r="K1966" s="2" t="n">
        <v>3</v>
      </c>
      <c r="L1966" s="2" t="n">
        <v>0</v>
      </c>
      <c r="M1966" s="2" t="n">
        <v>1</v>
      </c>
    </row>
    <row r="1967" customFormat="false" ht="15" hidden="false" customHeight="false" outlineLevel="0" collapsed="false">
      <c r="A1967" s="2" t="s">
        <v>4197</v>
      </c>
      <c r="B1967" s="2" t="s">
        <v>4198</v>
      </c>
      <c r="C1967" s="2" t="n">
        <v>5</v>
      </c>
      <c r="D1967" s="2" t="s">
        <v>90</v>
      </c>
      <c r="E1967" s="2" t="s">
        <v>4154</v>
      </c>
      <c r="F1967" s="3" t="n">
        <v>45847.0944444445</v>
      </c>
      <c r="G1967" s="2" t="s">
        <v>4011</v>
      </c>
      <c r="H1967" s="4" t="n">
        <v>0.6249</v>
      </c>
      <c r="I1967" s="2" t="s">
        <v>23</v>
      </c>
      <c r="J1967" s="2" t="s">
        <v>37</v>
      </c>
      <c r="K1967" s="2" t="n">
        <v>2</v>
      </c>
      <c r="L1967" s="2" t="n">
        <v>1</v>
      </c>
      <c r="M1967" s="2" t="n">
        <v>1</v>
      </c>
    </row>
    <row r="1968" customFormat="false" ht="15" hidden="false" customHeight="false" outlineLevel="0" collapsed="false">
      <c r="A1968" s="2" t="s">
        <v>4199</v>
      </c>
      <c r="B1968" s="2" t="s">
        <v>4200</v>
      </c>
      <c r="C1968" s="2" t="n">
        <v>4</v>
      </c>
      <c r="D1968" s="2" t="s">
        <v>15</v>
      </c>
      <c r="E1968" s="2" t="s">
        <v>4154</v>
      </c>
      <c r="F1968" s="3" t="n">
        <v>45847.2777777778</v>
      </c>
      <c r="G1968" s="2" t="s">
        <v>4011</v>
      </c>
      <c r="H1968" s="4" t="n">
        <v>0</v>
      </c>
      <c r="I1968" s="2" t="s">
        <v>18</v>
      </c>
      <c r="J1968" s="2" t="s">
        <v>19</v>
      </c>
      <c r="K1968" s="2" t="n">
        <v>4</v>
      </c>
      <c r="L1968" s="2" t="n">
        <v>0</v>
      </c>
      <c r="M1968" s="2" t="n">
        <v>1</v>
      </c>
    </row>
    <row r="1969" customFormat="false" ht="15" hidden="false" customHeight="false" outlineLevel="0" collapsed="false">
      <c r="A1969" s="2" t="s">
        <v>4201</v>
      </c>
      <c r="B1969" s="2" t="s">
        <v>4202</v>
      </c>
      <c r="C1969" s="2" t="n">
        <v>3</v>
      </c>
      <c r="D1969" s="2" t="s">
        <v>22</v>
      </c>
      <c r="E1969" s="2" t="s">
        <v>4154</v>
      </c>
      <c r="F1969" s="3" t="n">
        <v>45847.4520833333</v>
      </c>
      <c r="G1969" s="2" t="s">
        <v>4011</v>
      </c>
      <c r="H1969" s="4" t="n">
        <v>0.2023</v>
      </c>
      <c r="I1969" s="2" t="s">
        <v>23</v>
      </c>
      <c r="J1969" s="2" t="s">
        <v>19</v>
      </c>
      <c r="K1969" s="2" t="n">
        <v>0</v>
      </c>
      <c r="L1969" s="2" t="n">
        <v>0</v>
      </c>
      <c r="M1969" s="2" t="n">
        <v>1</v>
      </c>
    </row>
    <row r="1970" customFormat="false" ht="15" hidden="false" customHeight="false" outlineLevel="0" collapsed="false">
      <c r="A1970" s="2" t="s">
        <v>4203</v>
      </c>
      <c r="B1970" s="2" t="s">
        <v>532</v>
      </c>
      <c r="C1970" s="2" t="n">
        <v>5</v>
      </c>
      <c r="D1970" s="2" t="s">
        <v>52</v>
      </c>
      <c r="E1970" s="2" t="s">
        <v>4154</v>
      </c>
      <c r="F1970" s="3" t="n">
        <v>45847.4847222222</v>
      </c>
      <c r="G1970" s="2" t="s">
        <v>4011</v>
      </c>
      <c r="H1970" s="4" t="n">
        <v>0.6369</v>
      </c>
      <c r="I1970" s="2" t="s">
        <v>23</v>
      </c>
      <c r="J1970" s="2" t="s">
        <v>19</v>
      </c>
      <c r="K1970" s="2" t="n">
        <v>2</v>
      </c>
      <c r="L1970" s="2" t="n">
        <v>0</v>
      </c>
      <c r="M1970" s="2" t="n">
        <v>1</v>
      </c>
    </row>
    <row r="1971" customFormat="false" ht="15" hidden="false" customHeight="false" outlineLevel="0" collapsed="false">
      <c r="A1971" s="2" t="s">
        <v>4204</v>
      </c>
      <c r="B1971" s="2" t="s">
        <v>4205</v>
      </c>
      <c r="C1971" s="2" t="n">
        <v>5</v>
      </c>
      <c r="D1971" s="2" t="s">
        <v>407</v>
      </c>
      <c r="E1971" s="2" t="s">
        <v>4154</v>
      </c>
      <c r="F1971" s="3" t="n">
        <v>45847.5479166667</v>
      </c>
      <c r="G1971" s="2" t="s">
        <v>4011</v>
      </c>
      <c r="H1971" s="4" t="n">
        <v>0.7783</v>
      </c>
      <c r="I1971" s="2" t="s">
        <v>23</v>
      </c>
      <c r="J1971" s="2" t="s">
        <v>37</v>
      </c>
      <c r="K1971" s="2" t="n">
        <v>2</v>
      </c>
      <c r="L1971" s="2" t="n">
        <v>0</v>
      </c>
      <c r="M1971" s="2" t="n">
        <v>1</v>
      </c>
    </row>
    <row r="1972" customFormat="false" ht="15" hidden="false" customHeight="false" outlineLevel="0" collapsed="false">
      <c r="A1972" s="2" t="s">
        <v>4206</v>
      </c>
      <c r="B1972" s="2" t="s">
        <v>4207</v>
      </c>
      <c r="C1972" s="2" t="n">
        <v>5</v>
      </c>
      <c r="D1972" s="2" t="s">
        <v>40</v>
      </c>
      <c r="E1972" s="2" t="s">
        <v>4154</v>
      </c>
      <c r="F1972" s="3" t="n">
        <v>45847.6055555556</v>
      </c>
      <c r="G1972" s="2" t="s">
        <v>4011</v>
      </c>
      <c r="H1972" s="4" t="n">
        <v>0.4019</v>
      </c>
      <c r="I1972" s="2" t="s">
        <v>23</v>
      </c>
      <c r="J1972" s="2" t="s">
        <v>33</v>
      </c>
      <c r="K1972" s="2" t="n">
        <v>5</v>
      </c>
      <c r="L1972" s="2" t="n">
        <v>0</v>
      </c>
      <c r="M1972" s="2" t="n">
        <v>1</v>
      </c>
    </row>
    <row r="1973" customFormat="false" ht="15" hidden="false" customHeight="false" outlineLevel="0" collapsed="false">
      <c r="A1973" s="2" t="s">
        <v>4208</v>
      </c>
      <c r="B1973" s="2" t="s">
        <v>4209</v>
      </c>
      <c r="C1973" s="2" t="n">
        <v>4</v>
      </c>
      <c r="D1973" s="2" t="s">
        <v>40</v>
      </c>
      <c r="E1973" s="2" t="s">
        <v>4154</v>
      </c>
      <c r="F1973" s="3" t="n">
        <v>45847.7895833333</v>
      </c>
      <c r="G1973" s="2" t="s">
        <v>4011</v>
      </c>
      <c r="H1973" s="4" t="n">
        <v>0.4019</v>
      </c>
      <c r="I1973" s="2" t="s">
        <v>23</v>
      </c>
      <c r="J1973" s="2" t="s">
        <v>33</v>
      </c>
      <c r="K1973" s="2" t="n">
        <v>4</v>
      </c>
      <c r="L1973" s="2" t="n">
        <v>0</v>
      </c>
      <c r="M1973" s="2" t="n">
        <v>1</v>
      </c>
    </row>
    <row r="1974" customFormat="false" ht="15" hidden="false" customHeight="false" outlineLevel="0" collapsed="false">
      <c r="A1974" s="2" t="s">
        <v>4210</v>
      </c>
      <c r="B1974" s="2" t="s">
        <v>4211</v>
      </c>
      <c r="C1974" s="2" t="n">
        <v>5</v>
      </c>
      <c r="D1974" s="2" t="s">
        <v>1013</v>
      </c>
      <c r="E1974" s="2" t="s">
        <v>4154</v>
      </c>
      <c r="F1974" s="3" t="n">
        <v>45847.8013888889</v>
      </c>
      <c r="G1974" s="2" t="s">
        <v>4011</v>
      </c>
      <c r="H1974" s="4" t="n">
        <v>0.9606</v>
      </c>
      <c r="I1974" s="2" t="s">
        <v>23</v>
      </c>
      <c r="J1974" s="2" t="s">
        <v>37</v>
      </c>
      <c r="K1974" s="2" t="n">
        <v>0</v>
      </c>
      <c r="L1974" s="2" t="n">
        <v>0</v>
      </c>
      <c r="M1974" s="2" t="n">
        <v>1</v>
      </c>
    </row>
    <row r="1975" customFormat="false" ht="15" hidden="false" customHeight="false" outlineLevel="0" collapsed="false">
      <c r="A1975" s="2" t="s">
        <v>4212</v>
      </c>
      <c r="B1975" s="2" t="s">
        <v>4213</v>
      </c>
      <c r="C1975" s="2" t="n">
        <v>5</v>
      </c>
      <c r="D1975" s="2" t="s">
        <v>52</v>
      </c>
      <c r="E1975" s="2" t="s">
        <v>4154</v>
      </c>
      <c r="F1975" s="3" t="n">
        <v>45847.8083333333</v>
      </c>
      <c r="G1975" s="2" t="s">
        <v>4011</v>
      </c>
      <c r="H1975" s="4" t="n">
        <v>0.6369</v>
      </c>
      <c r="I1975" s="2" t="s">
        <v>23</v>
      </c>
      <c r="J1975" s="2" t="s">
        <v>19</v>
      </c>
      <c r="K1975" s="2" t="n">
        <v>3</v>
      </c>
      <c r="L1975" s="2" t="n">
        <v>0</v>
      </c>
      <c r="M1975" s="2" t="n">
        <v>1</v>
      </c>
    </row>
    <row r="1976" customFormat="false" ht="15" hidden="false" customHeight="false" outlineLevel="0" collapsed="false">
      <c r="A1976" s="2" t="s">
        <v>4214</v>
      </c>
      <c r="B1976" s="2" t="s">
        <v>4215</v>
      </c>
      <c r="C1976" s="2" t="n">
        <v>2</v>
      </c>
      <c r="D1976" s="2" t="s">
        <v>357</v>
      </c>
      <c r="E1976" s="2" t="s">
        <v>4154</v>
      </c>
      <c r="F1976" s="3" t="n">
        <v>45847.8215277778</v>
      </c>
      <c r="G1976" s="2" t="s">
        <v>4011</v>
      </c>
      <c r="H1976" s="4" t="n">
        <v>0</v>
      </c>
      <c r="I1976" s="2" t="s">
        <v>18</v>
      </c>
      <c r="J1976" s="2" t="s">
        <v>165</v>
      </c>
      <c r="K1976" s="2" t="n">
        <v>1</v>
      </c>
      <c r="L1976" s="2" t="n">
        <v>0</v>
      </c>
      <c r="M1976" s="2" t="n">
        <v>1</v>
      </c>
    </row>
    <row r="1977" customFormat="false" ht="15" hidden="false" customHeight="false" outlineLevel="0" collapsed="false">
      <c r="A1977" s="2" t="s">
        <v>4216</v>
      </c>
      <c r="B1977" s="2" t="s">
        <v>4217</v>
      </c>
      <c r="C1977" s="2" t="n">
        <v>4</v>
      </c>
      <c r="D1977" s="2" t="s">
        <v>47</v>
      </c>
      <c r="E1977" s="2" t="s">
        <v>4154</v>
      </c>
      <c r="F1977" s="3" t="n">
        <v>45847.84375</v>
      </c>
      <c r="G1977" s="2" t="s">
        <v>4011</v>
      </c>
      <c r="H1977" s="4" t="n">
        <v>0.3089</v>
      </c>
      <c r="I1977" s="2" t="s">
        <v>23</v>
      </c>
      <c r="J1977" s="2" t="s">
        <v>19</v>
      </c>
      <c r="K1977" s="2" t="n">
        <v>10</v>
      </c>
      <c r="L1977" s="2" t="n">
        <v>0</v>
      </c>
      <c r="M1977" s="2" t="n">
        <v>1</v>
      </c>
    </row>
    <row r="1978" customFormat="false" ht="15" hidden="false" customHeight="false" outlineLevel="0" collapsed="false">
      <c r="A1978" s="2" t="s">
        <v>4218</v>
      </c>
      <c r="B1978" s="2" t="s">
        <v>4219</v>
      </c>
      <c r="C1978" s="2" t="n">
        <v>5</v>
      </c>
      <c r="D1978" s="2" t="s">
        <v>40</v>
      </c>
      <c r="E1978" s="2" t="s">
        <v>4154</v>
      </c>
      <c r="F1978" s="3" t="n">
        <v>45847.9034722222</v>
      </c>
      <c r="G1978" s="2" t="s">
        <v>4011</v>
      </c>
      <c r="H1978" s="4" t="n">
        <v>0.4019</v>
      </c>
      <c r="I1978" s="2" t="s">
        <v>23</v>
      </c>
      <c r="J1978" s="2" t="s">
        <v>33</v>
      </c>
      <c r="K1978" s="2" t="n">
        <v>2</v>
      </c>
      <c r="L1978" s="2" t="n">
        <v>0</v>
      </c>
      <c r="M1978" s="2" t="n">
        <v>1</v>
      </c>
    </row>
    <row r="1979" customFormat="false" ht="15" hidden="false" customHeight="false" outlineLevel="0" collapsed="false">
      <c r="A1979" s="2" t="s">
        <v>4220</v>
      </c>
      <c r="B1979" s="2" t="s">
        <v>4221</v>
      </c>
      <c r="C1979" s="2" t="n">
        <v>5</v>
      </c>
      <c r="D1979" s="2" t="s">
        <v>47</v>
      </c>
      <c r="E1979" s="2" t="s">
        <v>4154</v>
      </c>
      <c r="F1979" s="3" t="n">
        <v>45847.9333333333</v>
      </c>
      <c r="G1979" s="2" t="s">
        <v>4011</v>
      </c>
      <c r="H1979" s="4" t="n">
        <v>0.3089</v>
      </c>
      <c r="I1979" s="2" t="s">
        <v>23</v>
      </c>
      <c r="J1979" s="2" t="s">
        <v>19</v>
      </c>
      <c r="K1979" s="2" t="n">
        <v>3</v>
      </c>
      <c r="L1979" s="2" t="n">
        <v>0</v>
      </c>
      <c r="M1979" s="2" t="n">
        <v>1</v>
      </c>
    </row>
    <row r="1980" customFormat="false" ht="15" hidden="false" customHeight="false" outlineLevel="0" collapsed="false">
      <c r="A1980" s="2" t="s">
        <v>4222</v>
      </c>
      <c r="B1980" s="2" t="s">
        <v>4223</v>
      </c>
      <c r="C1980" s="2" t="n">
        <v>1</v>
      </c>
      <c r="D1980" s="2" t="s">
        <v>3710</v>
      </c>
      <c r="E1980" s="2" t="s">
        <v>4154</v>
      </c>
      <c r="F1980" s="3" t="n">
        <v>45847.9416666667</v>
      </c>
      <c r="G1980" s="2" t="s">
        <v>4011</v>
      </c>
      <c r="H1980" s="4" t="n">
        <v>-0.3309</v>
      </c>
      <c r="I1980" s="2" t="s">
        <v>84</v>
      </c>
      <c r="J1980" s="2" t="s">
        <v>59</v>
      </c>
      <c r="K1980" s="2" t="n">
        <v>8</v>
      </c>
      <c r="L1980" s="2" t="n">
        <v>0</v>
      </c>
      <c r="M1980" s="2" t="n">
        <v>1</v>
      </c>
    </row>
    <row r="1981" customFormat="false" ht="15" hidden="false" customHeight="false" outlineLevel="0" collapsed="false">
      <c r="A1981" s="2" t="s">
        <v>4224</v>
      </c>
      <c r="B1981" s="2" t="s">
        <v>4225</v>
      </c>
      <c r="C1981" s="2" t="n">
        <v>4</v>
      </c>
      <c r="D1981" s="2" t="s">
        <v>52</v>
      </c>
      <c r="E1981" s="2" t="s">
        <v>4154</v>
      </c>
      <c r="F1981" s="3" t="n">
        <v>45848.0465277778</v>
      </c>
      <c r="G1981" s="2" t="s">
        <v>4011</v>
      </c>
      <c r="H1981" s="4" t="n">
        <v>0.6369</v>
      </c>
      <c r="I1981" s="2" t="s">
        <v>23</v>
      </c>
      <c r="J1981" s="2" t="s">
        <v>19</v>
      </c>
      <c r="K1981" s="2" t="n">
        <v>5</v>
      </c>
      <c r="L1981" s="2" t="n">
        <v>0</v>
      </c>
      <c r="M1981" s="2" t="n">
        <v>1</v>
      </c>
    </row>
    <row r="1982" customFormat="false" ht="15" hidden="false" customHeight="false" outlineLevel="0" collapsed="false">
      <c r="A1982" s="2" t="s">
        <v>4226</v>
      </c>
      <c r="B1982" s="2" t="s">
        <v>4227</v>
      </c>
      <c r="C1982" s="2" t="n">
        <v>5</v>
      </c>
      <c r="D1982" s="2" t="s">
        <v>52</v>
      </c>
      <c r="E1982" s="2" t="s">
        <v>4154</v>
      </c>
      <c r="F1982" s="3" t="n">
        <v>45848.1180555556</v>
      </c>
      <c r="G1982" s="2" t="s">
        <v>4011</v>
      </c>
      <c r="H1982" s="4" t="n">
        <v>0.6369</v>
      </c>
      <c r="I1982" s="2" t="s">
        <v>23</v>
      </c>
      <c r="J1982" s="2" t="s">
        <v>19</v>
      </c>
      <c r="K1982" s="2" t="n">
        <v>2</v>
      </c>
      <c r="L1982" s="2" t="n">
        <v>0</v>
      </c>
      <c r="M1982" s="2" t="n">
        <v>1</v>
      </c>
    </row>
    <row r="1983" customFormat="false" ht="15" hidden="false" customHeight="false" outlineLevel="0" collapsed="false">
      <c r="A1983" s="2" t="s">
        <v>4228</v>
      </c>
      <c r="B1983" s="2" t="s">
        <v>4229</v>
      </c>
      <c r="C1983" s="2" t="n">
        <v>5</v>
      </c>
      <c r="D1983" s="2" t="s">
        <v>40</v>
      </c>
      <c r="E1983" s="2" t="s">
        <v>4154</v>
      </c>
      <c r="F1983" s="3" t="n">
        <v>45848.1777777778</v>
      </c>
      <c r="G1983" s="2" t="s">
        <v>4011</v>
      </c>
      <c r="H1983" s="4" t="n">
        <v>0.4019</v>
      </c>
      <c r="I1983" s="2" t="s">
        <v>23</v>
      </c>
      <c r="J1983" s="2" t="s">
        <v>33</v>
      </c>
      <c r="K1983" s="2" t="n">
        <v>3</v>
      </c>
      <c r="L1983" s="2" t="n">
        <v>0</v>
      </c>
      <c r="M1983" s="2" t="n">
        <v>1</v>
      </c>
    </row>
    <row r="1984" customFormat="false" ht="15" hidden="false" customHeight="false" outlineLevel="0" collapsed="false">
      <c r="A1984" s="2" t="s">
        <v>4230</v>
      </c>
      <c r="B1984" s="2" t="s">
        <v>4231</v>
      </c>
      <c r="C1984" s="2" t="n">
        <v>5</v>
      </c>
      <c r="D1984" s="2" t="s">
        <v>1222</v>
      </c>
      <c r="E1984" s="2" t="s">
        <v>4154</v>
      </c>
      <c r="F1984" s="3" t="n">
        <v>45848.2875</v>
      </c>
      <c r="G1984" s="2" t="s">
        <v>4011</v>
      </c>
      <c r="H1984" s="4" t="n">
        <v>0.8221</v>
      </c>
      <c r="I1984" s="2" t="s">
        <v>23</v>
      </c>
      <c r="J1984" s="2" t="s">
        <v>33</v>
      </c>
      <c r="K1984" s="2" t="n">
        <v>5</v>
      </c>
      <c r="L1984" s="2" t="n">
        <v>1</v>
      </c>
      <c r="M1984" s="2" t="n">
        <v>1</v>
      </c>
    </row>
    <row r="1985" customFormat="false" ht="15" hidden="false" customHeight="false" outlineLevel="0" collapsed="false">
      <c r="A1985" s="2" t="s">
        <v>4232</v>
      </c>
      <c r="B1985" s="2" t="s">
        <v>4233</v>
      </c>
      <c r="C1985" s="2" t="n">
        <v>5</v>
      </c>
      <c r="D1985" s="2" t="s">
        <v>52</v>
      </c>
      <c r="E1985" s="2" t="s">
        <v>4154</v>
      </c>
      <c r="F1985" s="3" t="n">
        <v>45848.3791666667</v>
      </c>
      <c r="G1985" s="2" t="s">
        <v>4011</v>
      </c>
      <c r="H1985" s="4" t="n">
        <v>0.6369</v>
      </c>
      <c r="I1985" s="2" t="s">
        <v>23</v>
      </c>
      <c r="J1985" s="2" t="s">
        <v>19</v>
      </c>
      <c r="K1985" s="2" t="n">
        <v>6</v>
      </c>
      <c r="L1985" s="2" t="n">
        <v>0</v>
      </c>
      <c r="M1985" s="2" t="n">
        <v>1</v>
      </c>
    </row>
    <row r="1986" customFormat="false" ht="15" hidden="false" customHeight="false" outlineLevel="0" collapsed="false">
      <c r="A1986" s="2" t="s">
        <v>4234</v>
      </c>
      <c r="B1986" s="2" t="s">
        <v>4235</v>
      </c>
      <c r="C1986" s="2" t="n">
        <v>5</v>
      </c>
      <c r="D1986" s="2" t="s">
        <v>2578</v>
      </c>
      <c r="E1986" s="2" t="s">
        <v>4154</v>
      </c>
      <c r="F1986" s="3" t="n">
        <v>45848.4194444444</v>
      </c>
      <c r="G1986" s="2" t="s">
        <v>4011</v>
      </c>
      <c r="H1986" s="4" t="n">
        <v>0.9626</v>
      </c>
      <c r="I1986" s="2" t="s">
        <v>23</v>
      </c>
      <c r="J1986" s="2" t="s">
        <v>37</v>
      </c>
      <c r="K1986" s="2" t="n">
        <v>6</v>
      </c>
      <c r="L1986" s="2" t="n">
        <v>0</v>
      </c>
      <c r="M1986" s="2" t="n">
        <v>1</v>
      </c>
    </row>
    <row r="1987" customFormat="false" ht="15" hidden="false" customHeight="false" outlineLevel="0" collapsed="false">
      <c r="A1987" s="2" t="s">
        <v>4236</v>
      </c>
      <c r="B1987" s="2" t="s">
        <v>4237</v>
      </c>
      <c r="C1987" s="2" t="n">
        <v>4</v>
      </c>
      <c r="D1987" s="2" t="s">
        <v>90</v>
      </c>
      <c r="E1987" s="2" t="s">
        <v>4154</v>
      </c>
      <c r="F1987" s="3" t="n">
        <v>45848.4513888889</v>
      </c>
      <c r="G1987" s="2" t="s">
        <v>4011</v>
      </c>
      <c r="H1987" s="4" t="n">
        <v>0.6249</v>
      </c>
      <c r="I1987" s="2" t="s">
        <v>23</v>
      </c>
      <c r="J1987" s="2" t="s">
        <v>37</v>
      </c>
      <c r="K1987" s="2" t="n">
        <v>4</v>
      </c>
      <c r="L1987" s="2" t="n">
        <v>0</v>
      </c>
      <c r="M1987" s="2" t="n">
        <v>1</v>
      </c>
    </row>
    <row r="1988" customFormat="false" ht="15" hidden="false" customHeight="false" outlineLevel="0" collapsed="false">
      <c r="A1988" s="2" t="s">
        <v>4238</v>
      </c>
      <c r="B1988" s="2" t="s">
        <v>4239</v>
      </c>
      <c r="C1988" s="2" t="n">
        <v>4</v>
      </c>
      <c r="D1988" s="2" t="s">
        <v>692</v>
      </c>
      <c r="E1988" s="2" t="s">
        <v>4154</v>
      </c>
      <c r="F1988" s="3" t="n">
        <v>45848.4611111111</v>
      </c>
      <c r="G1988" s="2" t="s">
        <v>4011</v>
      </c>
      <c r="H1988" s="4" t="n">
        <v>0.9516</v>
      </c>
      <c r="I1988" s="2" t="s">
        <v>23</v>
      </c>
      <c r="J1988" s="2" t="s">
        <v>37</v>
      </c>
      <c r="K1988" s="2" t="n">
        <v>1</v>
      </c>
      <c r="L1988" s="2" t="n">
        <v>0</v>
      </c>
      <c r="M1988" s="2" t="n">
        <v>1</v>
      </c>
    </row>
    <row r="1989" customFormat="false" ht="15" hidden="false" customHeight="false" outlineLevel="0" collapsed="false">
      <c r="A1989" s="2" t="s">
        <v>4240</v>
      </c>
      <c r="B1989" s="2" t="s">
        <v>4241</v>
      </c>
      <c r="C1989" s="2" t="n">
        <v>1</v>
      </c>
      <c r="D1989" s="2" t="s">
        <v>109</v>
      </c>
      <c r="E1989" s="2" t="s">
        <v>4154</v>
      </c>
      <c r="F1989" s="3" t="n">
        <v>45848.5020833333</v>
      </c>
      <c r="G1989" s="2" t="s">
        <v>4011</v>
      </c>
      <c r="H1989" s="4" t="n">
        <v>0</v>
      </c>
      <c r="I1989" s="2" t="s">
        <v>18</v>
      </c>
      <c r="J1989" s="2" t="s">
        <v>110</v>
      </c>
      <c r="K1989" s="2" t="n">
        <v>6</v>
      </c>
      <c r="L1989" s="2" t="n">
        <v>0</v>
      </c>
      <c r="M1989" s="2" t="n">
        <v>1</v>
      </c>
    </row>
    <row r="1990" customFormat="false" ht="15" hidden="false" customHeight="false" outlineLevel="0" collapsed="false">
      <c r="A1990" s="2" t="s">
        <v>4242</v>
      </c>
      <c r="B1990" s="2" t="s">
        <v>4243</v>
      </c>
      <c r="C1990" s="2" t="n">
        <v>4</v>
      </c>
      <c r="D1990" s="2" t="s">
        <v>36</v>
      </c>
      <c r="E1990" s="2" t="s">
        <v>4154</v>
      </c>
      <c r="F1990" s="3" t="n">
        <v>45848.5611111111</v>
      </c>
      <c r="G1990" s="2" t="s">
        <v>4011</v>
      </c>
      <c r="H1990" s="4" t="n">
        <v>0.4404</v>
      </c>
      <c r="I1990" s="2" t="s">
        <v>23</v>
      </c>
      <c r="J1990" s="2" t="s">
        <v>37</v>
      </c>
      <c r="K1990" s="2" t="n">
        <v>5</v>
      </c>
      <c r="L1990" s="2" t="n">
        <v>0</v>
      </c>
      <c r="M1990" s="2" t="n">
        <v>1</v>
      </c>
    </row>
    <row r="1991" customFormat="false" ht="15" hidden="false" customHeight="false" outlineLevel="0" collapsed="false">
      <c r="A1991" s="2" t="s">
        <v>4244</v>
      </c>
      <c r="B1991" s="2" t="s">
        <v>4245</v>
      </c>
      <c r="C1991" s="2" t="n">
        <v>4</v>
      </c>
      <c r="D1991" s="2" t="s">
        <v>62</v>
      </c>
      <c r="E1991" s="2" t="s">
        <v>4154</v>
      </c>
      <c r="F1991" s="3" t="n">
        <v>45848.9034722222</v>
      </c>
      <c r="G1991" s="2" t="s">
        <v>4011</v>
      </c>
      <c r="H1991" s="4" t="n">
        <v>0.7088</v>
      </c>
      <c r="I1991" s="2" t="s">
        <v>23</v>
      </c>
      <c r="J1991" s="2" t="s">
        <v>19</v>
      </c>
      <c r="K1991" s="2" t="n">
        <v>3</v>
      </c>
      <c r="L1991" s="2" t="n">
        <v>0</v>
      </c>
      <c r="M1991" s="2" t="n">
        <v>1</v>
      </c>
    </row>
    <row r="1992" customFormat="false" ht="15" hidden="false" customHeight="false" outlineLevel="0" collapsed="false">
      <c r="A1992" s="2" t="s">
        <v>4246</v>
      </c>
      <c r="B1992" s="2" t="s">
        <v>4247</v>
      </c>
      <c r="C1992" s="2" t="n">
        <v>5</v>
      </c>
      <c r="D1992" s="2" t="s">
        <v>96</v>
      </c>
      <c r="E1992" s="2" t="s">
        <v>4154</v>
      </c>
      <c r="F1992" s="3" t="n">
        <v>45848.9645833333</v>
      </c>
      <c r="G1992" s="2" t="s">
        <v>4011</v>
      </c>
      <c r="H1992" s="4" t="n">
        <v>0.6369</v>
      </c>
      <c r="I1992" s="2" t="s">
        <v>23</v>
      </c>
      <c r="J1992" s="2" t="s">
        <v>19</v>
      </c>
      <c r="K1992" s="2" t="n">
        <v>5</v>
      </c>
      <c r="L1992" s="2" t="n">
        <v>0</v>
      </c>
      <c r="M1992" s="2" t="n">
        <v>1</v>
      </c>
    </row>
    <row r="1993" customFormat="false" ht="15" hidden="false" customHeight="false" outlineLevel="0" collapsed="false">
      <c r="A1993" s="2" t="s">
        <v>4248</v>
      </c>
      <c r="B1993" s="2" t="s">
        <v>4249</v>
      </c>
      <c r="C1993" s="2" t="n">
        <v>3</v>
      </c>
      <c r="D1993" s="2" t="s">
        <v>863</v>
      </c>
      <c r="E1993" s="2" t="s">
        <v>4154</v>
      </c>
      <c r="F1993" s="3" t="n">
        <v>45849.4951388889</v>
      </c>
      <c r="G1993" s="2" t="s">
        <v>4011</v>
      </c>
      <c r="H1993" s="4" t="n">
        <v>-0.092</v>
      </c>
      <c r="I1993" s="2" t="s">
        <v>84</v>
      </c>
      <c r="J1993" s="2" t="s">
        <v>19</v>
      </c>
      <c r="K1993" s="2" t="n">
        <v>0</v>
      </c>
      <c r="L1993" s="2" t="n">
        <v>0</v>
      </c>
      <c r="M1993" s="2" t="n">
        <v>1</v>
      </c>
    </row>
    <row r="1994" customFormat="false" ht="15" hidden="false" customHeight="false" outlineLevel="0" collapsed="false">
      <c r="A1994" s="2" t="s">
        <v>4250</v>
      </c>
      <c r="B1994" s="2" t="s">
        <v>4251</v>
      </c>
      <c r="C1994" s="2" t="n">
        <v>5</v>
      </c>
      <c r="D1994" s="2" t="s">
        <v>674</v>
      </c>
      <c r="E1994" s="2" t="s">
        <v>4154</v>
      </c>
      <c r="F1994" s="3" t="n">
        <v>45849.6243055556</v>
      </c>
      <c r="G1994" s="2" t="s">
        <v>4011</v>
      </c>
      <c r="H1994" s="4" t="n">
        <v>0.9481</v>
      </c>
      <c r="I1994" s="2" t="s">
        <v>23</v>
      </c>
      <c r="J1994" s="2" t="s">
        <v>37</v>
      </c>
      <c r="K1994" s="2" t="n">
        <v>0</v>
      </c>
      <c r="L1994" s="2" t="n">
        <v>0</v>
      </c>
      <c r="M1994" s="2" t="n">
        <v>1</v>
      </c>
    </row>
    <row r="1995" customFormat="false" ht="15" hidden="false" customHeight="false" outlineLevel="0" collapsed="false">
      <c r="A1995" s="2" t="s">
        <v>4252</v>
      </c>
      <c r="B1995" s="2" t="s">
        <v>4253</v>
      </c>
      <c r="C1995" s="2" t="n">
        <v>5</v>
      </c>
      <c r="D1995" s="2" t="s">
        <v>62</v>
      </c>
      <c r="E1995" s="2" t="s">
        <v>4154</v>
      </c>
      <c r="F1995" s="3" t="n">
        <v>45849.7201388889</v>
      </c>
      <c r="G1995" s="2" t="s">
        <v>4011</v>
      </c>
      <c r="H1995" s="4" t="n">
        <v>0.7088</v>
      </c>
      <c r="I1995" s="2" t="s">
        <v>23</v>
      </c>
      <c r="J1995" s="2" t="s">
        <v>19</v>
      </c>
      <c r="K1995" s="2" t="n">
        <v>0</v>
      </c>
      <c r="L1995" s="2" t="n">
        <v>0</v>
      </c>
      <c r="M1995" s="2" t="n">
        <v>1</v>
      </c>
    </row>
    <row r="1996" customFormat="false" ht="15" hidden="false" customHeight="false" outlineLevel="0" collapsed="false">
      <c r="A1996" s="2" t="s">
        <v>4254</v>
      </c>
      <c r="B1996" s="2" t="s">
        <v>4255</v>
      </c>
      <c r="C1996" s="2" t="n">
        <v>4</v>
      </c>
      <c r="D1996" s="2" t="s">
        <v>15</v>
      </c>
      <c r="E1996" s="2" t="s">
        <v>4154</v>
      </c>
      <c r="F1996" s="3" t="n">
        <v>45849.8208333333</v>
      </c>
      <c r="G1996" s="2" t="s">
        <v>4011</v>
      </c>
      <c r="H1996" s="4" t="n">
        <v>0</v>
      </c>
      <c r="I1996" s="2" t="s">
        <v>18</v>
      </c>
      <c r="J1996" s="2" t="s">
        <v>19</v>
      </c>
      <c r="K1996" s="2" t="n">
        <v>0</v>
      </c>
      <c r="L1996" s="2" t="n">
        <v>0</v>
      </c>
      <c r="M1996" s="2" t="n">
        <v>1</v>
      </c>
    </row>
    <row r="1997" customFormat="false" ht="15" hidden="false" customHeight="false" outlineLevel="0" collapsed="false">
      <c r="A1997" s="2" t="s">
        <v>4256</v>
      </c>
      <c r="B1997" s="2" t="s">
        <v>4257</v>
      </c>
      <c r="C1997" s="2" t="n">
        <v>3</v>
      </c>
      <c r="D1997" s="2" t="s">
        <v>4258</v>
      </c>
      <c r="E1997" s="2" t="s">
        <v>4154</v>
      </c>
      <c r="F1997" s="3" t="n">
        <v>45849.8645833333</v>
      </c>
      <c r="G1997" s="2" t="s">
        <v>4011</v>
      </c>
      <c r="H1997" s="4" t="n">
        <v>0.1635</v>
      </c>
      <c r="I1997" s="2" t="s">
        <v>23</v>
      </c>
      <c r="J1997" s="2" t="s">
        <v>37</v>
      </c>
      <c r="K1997" s="2" t="n">
        <v>3</v>
      </c>
      <c r="L1997" s="2" t="n">
        <v>0</v>
      </c>
      <c r="M1997" s="2" t="n">
        <v>1</v>
      </c>
    </row>
    <row r="1998" customFormat="false" ht="15" hidden="false" customHeight="false" outlineLevel="0" collapsed="false">
      <c r="A1998" s="2" t="s">
        <v>4259</v>
      </c>
      <c r="B1998" s="2" t="s">
        <v>4260</v>
      </c>
      <c r="C1998" s="2" t="n">
        <v>4</v>
      </c>
      <c r="D1998" s="2" t="s">
        <v>76</v>
      </c>
      <c r="E1998" s="2" t="s">
        <v>4154</v>
      </c>
      <c r="F1998" s="3" t="n">
        <v>45849.925</v>
      </c>
      <c r="G1998" s="2" t="s">
        <v>4011</v>
      </c>
      <c r="H1998" s="4" t="n">
        <v>0.607</v>
      </c>
      <c r="I1998" s="2" t="s">
        <v>23</v>
      </c>
      <c r="J1998" s="2" t="s">
        <v>33</v>
      </c>
      <c r="K1998" s="2" t="n">
        <v>0</v>
      </c>
      <c r="L1998" s="2" t="n">
        <v>0</v>
      </c>
      <c r="M1998" s="2" t="n">
        <v>1</v>
      </c>
    </row>
    <row r="1999" customFormat="false" ht="15" hidden="false" customHeight="false" outlineLevel="0" collapsed="false">
      <c r="A1999" s="2" t="s">
        <v>4261</v>
      </c>
      <c r="B1999" s="2" t="s">
        <v>4262</v>
      </c>
      <c r="C1999" s="2" t="n">
        <v>3</v>
      </c>
      <c r="D1999" s="2" t="s">
        <v>36</v>
      </c>
      <c r="E1999" s="2" t="s">
        <v>4154</v>
      </c>
      <c r="F1999" s="3" t="n">
        <v>45849.9423611111</v>
      </c>
      <c r="G1999" s="2" t="s">
        <v>4011</v>
      </c>
      <c r="H1999" s="4" t="n">
        <v>0.4404</v>
      </c>
      <c r="I1999" s="2" t="s">
        <v>23</v>
      </c>
      <c r="J1999" s="2" t="s">
        <v>37</v>
      </c>
      <c r="K1999" s="2" t="n">
        <v>1</v>
      </c>
      <c r="L1999" s="2" t="n">
        <v>0</v>
      </c>
      <c r="M1999" s="2" t="n">
        <v>1</v>
      </c>
    </row>
    <row r="2000" customFormat="false" ht="15" hidden="false" customHeight="false" outlineLevel="0" collapsed="false">
      <c r="A2000" s="2" t="s">
        <v>4263</v>
      </c>
      <c r="B2000" s="2" t="s">
        <v>4264</v>
      </c>
      <c r="C2000" s="2" t="n">
        <v>1</v>
      </c>
      <c r="D2000" s="2" t="s">
        <v>2186</v>
      </c>
      <c r="E2000" s="2" t="s">
        <v>4154</v>
      </c>
      <c r="F2000" s="3" t="n">
        <v>45850.1680555556</v>
      </c>
      <c r="G2000" s="2" t="s">
        <v>4011</v>
      </c>
      <c r="H2000" s="4" t="n">
        <v>-0.128</v>
      </c>
      <c r="I2000" s="2" t="s">
        <v>84</v>
      </c>
      <c r="J2000" s="2" t="s">
        <v>37</v>
      </c>
      <c r="K2000" s="2" t="n">
        <v>1</v>
      </c>
      <c r="L2000" s="2" t="n">
        <v>0</v>
      </c>
      <c r="M2000" s="2" t="n">
        <v>1</v>
      </c>
    </row>
    <row r="2001" customFormat="false" ht="15" hidden="false" customHeight="false" outlineLevel="0" collapsed="false">
      <c r="A2001" s="2" t="s">
        <v>4265</v>
      </c>
      <c r="B2001" s="2" t="s">
        <v>4266</v>
      </c>
      <c r="C2001" s="2" t="n">
        <v>5</v>
      </c>
      <c r="D2001" s="2" t="s">
        <v>96</v>
      </c>
      <c r="E2001" s="2" t="s">
        <v>4154</v>
      </c>
      <c r="F2001" s="3" t="n">
        <v>45850.3513888889</v>
      </c>
      <c r="G2001" s="2" t="s">
        <v>4011</v>
      </c>
      <c r="H2001" s="4" t="n">
        <v>0.6369</v>
      </c>
      <c r="I2001" s="2" t="s">
        <v>23</v>
      </c>
      <c r="J2001" s="2" t="s">
        <v>19</v>
      </c>
      <c r="K2001" s="2" t="n">
        <v>3</v>
      </c>
      <c r="L2001" s="2" t="n">
        <v>0</v>
      </c>
      <c r="M2001" s="2" t="n">
        <v>1</v>
      </c>
    </row>
    <row r="2002" customFormat="false" ht="15" hidden="false" customHeight="false" outlineLevel="0" collapsed="false">
      <c r="A2002" s="2" t="s">
        <v>4267</v>
      </c>
      <c r="B2002" s="2" t="s">
        <v>4268</v>
      </c>
      <c r="C2002" s="2" t="n">
        <v>5</v>
      </c>
      <c r="D2002" s="2" t="s">
        <v>47</v>
      </c>
      <c r="E2002" s="2" t="s">
        <v>4154</v>
      </c>
      <c r="F2002" s="3" t="n">
        <v>45850.49375</v>
      </c>
      <c r="G2002" s="2" t="s">
        <v>4011</v>
      </c>
      <c r="H2002" s="4" t="n">
        <v>0.3089</v>
      </c>
      <c r="I2002" s="2" t="s">
        <v>23</v>
      </c>
      <c r="J2002" s="2" t="s">
        <v>19</v>
      </c>
      <c r="K2002" s="2" t="n">
        <v>2</v>
      </c>
      <c r="L2002" s="2" t="n">
        <v>0</v>
      </c>
      <c r="M2002" s="2" t="n">
        <v>1</v>
      </c>
    </row>
    <row r="2003" customFormat="false" ht="15" hidden="false" customHeight="false" outlineLevel="0" collapsed="false">
      <c r="A2003" s="2" t="s">
        <v>4269</v>
      </c>
      <c r="B2003" s="2" t="s">
        <v>4270</v>
      </c>
      <c r="C2003" s="2" t="n">
        <v>4</v>
      </c>
      <c r="D2003" s="2" t="s">
        <v>22</v>
      </c>
      <c r="E2003" s="2" t="s">
        <v>4154</v>
      </c>
      <c r="F2003" s="3" t="n">
        <v>45850.5152777778</v>
      </c>
      <c r="G2003" s="2" t="s">
        <v>4011</v>
      </c>
      <c r="H2003" s="4" t="n">
        <v>0.2023</v>
      </c>
      <c r="I2003" s="2" t="s">
        <v>23</v>
      </c>
      <c r="J2003" s="2" t="s">
        <v>19</v>
      </c>
      <c r="K2003" s="2" t="n">
        <v>3</v>
      </c>
      <c r="L2003" s="2" t="n">
        <v>0</v>
      </c>
      <c r="M2003" s="2" t="n">
        <v>1</v>
      </c>
    </row>
    <row r="2004" customFormat="false" ht="15" hidden="false" customHeight="false" outlineLevel="0" collapsed="false">
      <c r="A2004" s="2" t="s">
        <v>4271</v>
      </c>
      <c r="B2004" s="2" t="s">
        <v>4272</v>
      </c>
      <c r="C2004" s="2" t="n">
        <v>5</v>
      </c>
      <c r="D2004" s="2" t="s">
        <v>40</v>
      </c>
      <c r="E2004" s="2" t="s">
        <v>4154</v>
      </c>
      <c r="F2004" s="3" t="n">
        <v>45850.5430555556</v>
      </c>
      <c r="G2004" s="2" t="s">
        <v>4011</v>
      </c>
      <c r="H2004" s="4" t="n">
        <v>0.4019</v>
      </c>
      <c r="I2004" s="2" t="s">
        <v>23</v>
      </c>
      <c r="J2004" s="2" t="s">
        <v>33</v>
      </c>
      <c r="K2004" s="2" t="n">
        <v>2</v>
      </c>
      <c r="L2004" s="2" t="n">
        <v>0</v>
      </c>
      <c r="M2004" s="2" t="n">
        <v>1</v>
      </c>
    </row>
    <row r="2005" customFormat="false" ht="15" hidden="false" customHeight="false" outlineLevel="0" collapsed="false">
      <c r="A2005" s="2" t="s">
        <v>4273</v>
      </c>
      <c r="B2005" s="2" t="s">
        <v>4274</v>
      </c>
      <c r="C2005" s="2" t="n">
        <v>5</v>
      </c>
      <c r="D2005" s="2" t="s">
        <v>47</v>
      </c>
      <c r="E2005" s="2" t="s">
        <v>4154</v>
      </c>
      <c r="F2005" s="3" t="n">
        <v>45850.5986111111</v>
      </c>
      <c r="G2005" s="2" t="s">
        <v>4011</v>
      </c>
      <c r="H2005" s="4" t="n">
        <v>0.3089</v>
      </c>
      <c r="I2005" s="2" t="s">
        <v>23</v>
      </c>
      <c r="J2005" s="2" t="s">
        <v>19</v>
      </c>
      <c r="K2005" s="2" t="n">
        <v>7</v>
      </c>
      <c r="L2005" s="2" t="n">
        <v>0</v>
      </c>
      <c r="M2005" s="2" t="n">
        <v>1</v>
      </c>
    </row>
    <row r="2006" customFormat="false" ht="15" hidden="false" customHeight="false" outlineLevel="0" collapsed="false">
      <c r="A2006" s="2" t="s">
        <v>4275</v>
      </c>
      <c r="B2006" s="2" t="s">
        <v>4276</v>
      </c>
      <c r="C2006" s="2" t="n">
        <v>3</v>
      </c>
      <c r="D2006" s="2" t="s">
        <v>2127</v>
      </c>
      <c r="E2006" s="2" t="s">
        <v>4154</v>
      </c>
      <c r="F2006" s="3" t="n">
        <v>45851.0451388889</v>
      </c>
      <c r="G2006" s="2" t="s">
        <v>4011</v>
      </c>
      <c r="H2006" s="4" t="n">
        <v>0.3818</v>
      </c>
      <c r="I2006" s="2" t="s">
        <v>23</v>
      </c>
      <c r="J2006" s="2" t="s">
        <v>19</v>
      </c>
      <c r="K2006" s="2" t="n">
        <v>3</v>
      </c>
      <c r="L2006" s="2" t="n">
        <v>0</v>
      </c>
      <c r="M2006" s="2" t="n">
        <v>1</v>
      </c>
    </row>
    <row r="2007" customFormat="false" ht="15" hidden="false" customHeight="false" outlineLevel="0" collapsed="false">
      <c r="A2007" s="2" t="s">
        <v>4277</v>
      </c>
      <c r="B2007" s="2" t="s">
        <v>4278</v>
      </c>
      <c r="C2007" s="2" t="n">
        <v>4</v>
      </c>
      <c r="D2007" s="2" t="s">
        <v>62</v>
      </c>
      <c r="E2007" s="2" t="s">
        <v>4154</v>
      </c>
      <c r="F2007" s="3" t="n">
        <v>45851.0465277778</v>
      </c>
      <c r="G2007" s="2" t="s">
        <v>4011</v>
      </c>
      <c r="H2007" s="4" t="n">
        <v>0.7088</v>
      </c>
      <c r="I2007" s="2" t="s">
        <v>23</v>
      </c>
      <c r="J2007" s="2" t="s">
        <v>19</v>
      </c>
      <c r="K2007" s="2" t="n">
        <v>4</v>
      </c>
      <c r="L2007" s="2" t="n">
        <v>0</v>
      </c>
      <c r="M2007" s="2" t="n">
        <v>1</v>
      </c>
    </row>
    <row r="2008" customFormat="false" ht="15" hidden="false" customHeight="false" outlineLevel="0" collapsed="false">
      <c r="A2008" s="2" t="s">
        <v>4279</v>
      </c>
      <c r="B2008" s="2" t="s">
        <v>4280</v>
      </c>
      <c r="C2008" s="2" t="n">
        <v>4</v>
      </c>
      <c r="D2008" s="2" t="s">
        <v>90</v>
      </c>
      <c r="E2008" s="2" t="s">
        <v>4154</v>
      </c>
      <c r="F2008" s="3" t="n">
        <v>45851.2256944445</v>
      </c>
      <c r="G2008" s="2" t="s">
        <v>4011</v>
      </c>
      <c r="H2008" s="4" t="n">
        <v>0.6249</v>
      </c>
      <c r="I2008" s="2" t="s">
        <v>23</v>
      </c>
      <c r="J2008" s="2" t="s">
        <v>37</v>
      </c>
      <c r="K2008" s="2" t="n">
        <v>4</v>
      </c>
      <c r="L2008" s="2" t="n">
        <v>0</v>
      </c>
      <c r="M2008" s="2" t="n">
        <v>1</v>
      </c>
    </row>
    <row r="2009" customFormat="false" ht="15" hidden="false" customHeight="false" outlineLevel="0" collapsed="false">
      <c r="A2009" s="2" t="s">
        <v>4281</v>
      </c>
      <c r="B2009" s="2" t="s">
        <v>4282</v>
      </c>
      <c r="C2009" s="2" t="n">
        <v>5</v>
      </c>
      <c r="D2009" s="2" t="s">
        <v>40</v>
      </c>
      <c r="E2009" s="2" t="s">
        <v>4154</v>
      </c>
      <c r="F2009" s="3" t="n">
        <v>45851.6111111111</v>
      </c>
      <c r="G2009" s="2" t="s">
        <v>4011</v>
      </c>
      <c r="H2009" s="4" t="n">
        <v>0.4019</v>
      </c>
      <c r="I2009" s="2" t="s">
        <v>23</v>
      </c>
      <c r="J2009" s="2" t="s">
        <v>33</v>
      </c>
      <c r="K2009" s="2" t="n">
        <v>2</v>
      </c>
      <c r="L2009" s="2" t="n">
        <v>0</v>
      </c>
      <c r="M2009" s="2" t="n">
        <v>1</v>
      </c>
    </row>
    <row r="2010" customFormat="false" ht="15" hidden="false" customHeight="false" outlineLevel="0" collapsed="false">
      <c r="A2010" s="2" t="s">
        <v>4283</v>
      </c>
      <c r="B2010" s="2" t="s">
        <v>4284</v>
      </c>
      <c r="C2010" s="2" t="n">
        <v>5</v>
      </c>
      <c r="D2010" s="2" t="s">
        <v>26</v>
      </c>
      <c r="E2010" s="2" t="s">
        <v>4154</v>
      </c>
      <c r="F2010" s="3" t="n">
        <v>45851.7520833333</v>
      </c>
      <c r="G2010" s="2" t="s">
        <v>4011</v>
      </c>
      <c r="H2010" s="4" t="n">
        <v>0.8848</v>
      </c>
      <c r="I2010" s="2" t="s">
        <v>23</v>
      </c>
      <c r="J2010" s="2" t="s">
        <v>19</v>
      </c>
      <c r="K2010" s="2" t="n">
        <v>0</v>
      </c>
      <c r="L2010" s="2" t="n">
        <v>0</v>
      </c>
      <c r="M2010" s="2" t="n">
        <v>1</v>
      </c>
    </row>
    <row r="2011" customFormat="false" ht="15" hidden="false" customHeight="false" outlineLevel="0" collapsed="false">
      <c r="A2011" s="2" t="s">
        <v>4285</v>
      </c>
      <c r="B2011" s="2" t="s">
        <v>4286</v>
      </c>
      <c r="C2011" s="2" t="n">
        <v>1</v>
      </c>
      <c r="D2011" s="2" t="s">
        <v>721</v>
      </c>
      <c r="E2011" s="2" t="s">
        <v>4154</v>
      </c>
      <c r="F2011" s="3" t="n">
        <v>45851.8173611111</v>
      </c>
      <c r="G2011" s="2" t="s">
        <v>4011</v>
      </c>
      <c r="H2011" s="4" t="n">
        <v>-0.4588</v>
      </c>
      <c r="I2011" s="2" t="s">
        <v>84</v>
      </c>
      <c r="J2011" s="2" t="s">
        <v>37</v>
      </c>
      <c r="K2011" s="2" t="n">
        <v>1</v>
      </c>
      <c r="L2011" s="2" t="n">
        <v>0</v>
      </c>
      <c r="M2011" s="2" t="n">
        <v>1</v>
      </c>
    </row>
    <row r="2012" customFormat="false" ht="15" hidden="false" customHeight="false" outlineLevel="0" collapsed="false">
      <c r="A2012" s="2" t="s">
        <v>4287</v>
      </c>
      <c r="B2012" s="2" t="s">
        <v>4288</v>
      </c>
      <c r="C2012" s="2" t="n">
        <v>4</v>
      </c>
      <c r="D2012" s="2" t="s">
        <v>96</v>
      </c>
      <c r="E2012" s="2" t="s">
        <v>4154</v>
      </c>
      <c r="F2012" s="3" t="n">
        <v>45851.8618055556</v>
      </c>
      <c r="G2012" s="2" t="s">
        <v>4011</v>
      </c>
      <c r="H2012" s="4" t="n">
        <v>0.6369</v>
      </c>
      <c r="I2012" s="2" t="s">
        <v>23</v>
      </c>
      <c r="J2012" s="2" t="s">
        <v>19</v>
      </c>
      <c r="K2012" s="2" t="n">
        <v>6</v>
      </c>
      <c r="L2012" s="2" t="n">
        <v>0</v>
      </c>
      <c r="M2012" s="2" t="n">
        <v>1</v>
      </c>
    </row>
    <row r="2013" customFormat="false" ht="15" hidden="false" customHeight="false" outlineLevel="0" collapsed="false">
      <c r="A2013" s="2" t="s">
        <v>4289</v>
      </c>
      <c r="B2013" s="2" t="s">
        <v>4290</v>
      </c>
      <c r="C2013" s="2" t="n">
        <v>5</v>
      </c>
      <c r="D2013" s="2" t="s">
        <v>1167</v>
      </c>
      <c r="E2013" s="2" t="s">
        <v>4154</v>
      </c>
      <c r="F2013" s="3" t="n">
        <v>45851.99375</v>
      </c>
      <c r="G2013" s="2" t="s">
        <v>4011</v>
      </c>
      <c r="H2013" s="4" t="n">
        <v>0.8519</v>
      </c>
      <c r="I2013" s="2" t="s">
        <v>23</v>
      </c>
      <c r="J2013" s="2" t="s">
        <v>37</v>
      </c>
      <c r="K2013" s="2" t="n">
        <v>4</v>
      </c>
      <c r="L2013" s="2" t="n">
        <v>0</v>
      </c>
      <c r="M2013" s="2" t="n">
        <v>1</v>
      </c>
    </row>
    <row r="2014" customFormat="false" ht="15" hidden="false" customHeight="false" outlineLevel="0" collapsed="false">
      <c r="A2014" s="2" t="s">
        <v>4291</v>
      </c>
      <c r="B2014" s="2" t="s">
        <v>4292</v>
      </c>
      <c r="C2014" s="2" t="n">
        <v>3</v>
      </c>
      <c r="D2014" s="2" t="s">
        <v>36</v>
      </c>
      <c r="E2014" s="2" t="s">
        <v>4154</v>
      </c>
      <c r="F2014" s="3" t="n">
        <v>45852.0895833333</v>
      </c>
      <c r="G2014" s="2" t="s">
        <v>4011</v>
      </c>
      <c r="H2014" s="4" t="n">
        <v>0.4404</v>
      </c>
      <c r="I2014" s="2" t="s">
        <v>23</v>
      </c>
      <c r="J2014" s="2" t="s">
        <v>37</v>
      </c>
      <c r="K2014" s="2" t="n">
        <v>3</v>
      </c>
      <c r="L2014" s="2" t="n">
        <v>0</v>
      </c>
      <c r="M2014" s="2" t="n">
        <v>1</v>
      </c>
    </row>
    <row r="2015" customFormat="false" ht="15" hidden="false" customHeight="false" outlineLevel="0" collapsed="false">
      <c r="A2015" s="2" t="s">
        <v>4293</v>
      </c>
      <c r="B2015" s="2" t="s">
        <v>4294</v>
      </c>
      <c r="C2015" s="2" t="n">
        <v>5</v>
      </c>
      <c r="D2015" s="2" t="s">
        <v>127</v>
      </c>
      <c r="E2015" s="2" t="s">
        <v>4154</v>
      </c>
      <c r="F2015" s="3" t="n">
        <v>45852.0958333333</v>
      </c>
      <c r="G2015" s="2" t="s">
        <v>4011</v>
      </c>
      <c r="H2015" s="4" t="n">
        <v>0.9359</v>
      </c>
      <c r="I2015" s="2" t="s">
        <v>23</v>
      </c>
      <c r="J2015" s="2" t="s">
        <v>37</v>
      </c>
      <c r="K2015" s="2" t="n">
        <v>6</v>
      </c>
      <c r="L2015" s="2" t="n">
        <v>0</v>
      </c>
      <c r="M2015" s="2" t="n">
        <v>1</v>
      </c>
    </row>
    <row r="2016" customFormat="false" ht="15" hidden="false" customHeight="false" outlineLevel="0" collapsed="false">
      <c r="A2016" s="2" t="s">
        <v>4295</v>
      </c>
      <c r="B2016" s="2" t="s">
        <v>4296</v>
      </c>
      <c r="C2016" s="2" t="n">
        <v>2</v>
      </c>
      <c r="D2016" s="2" t="s">
        <v>3710</v>
      </c>
      <c r="E2016" s="2" t="s">
        <v>4154</v>
      </c>
      <c r="F2016" s="3" t="n">
        <v>45852.2861111111</v>
      </c>
      <c r="G2016" s="2" t="s">
        <v>4011</v>
      </c>
      <c r="H2016" s="4" t="n">
        <v>-0.3309</v>
      </c>
      <c r="I2016" s="2" t="s">
        <v>84</v>
      </c>
      <c r="J2016" s="2" t="s">
        <v>59</v>
      </c>
      <c r="K2016" s="2" t="n">
        <v>4</v>
      </c>
      <c r="L2016" s="2" t="n">
        <v>1</v>
      </c>
      <c r="M2016" s="2" t="n">
        <v>1</v>
      </c>
    </row>
    <row r="2017" customFormat="false" ht="15" hidden="false" customHeight="false" outlineLevel="0" collapsed="false">
      <c r="A2017" s="2" t="s">
        <v>4297</v>
      </c>
      <c r="B2017" s="2" t="s">
        <v>4298</v>
      </c>
      <c r="C2017" s="2" t="n">
        <v>5</v>
      </c>
      <c r="D2017" s="2" t="s">
        <v>52</v>
      </c>
      <c r="E2017" s="2" t="s">
        <v>4154</v>
      </c>
      <c r="F2017" s="3" t="n">
        <v>45852.3159722222</v>
      </c>
      <c r="G2017" s="2" t="s">
        <v>4011</v>
      </c>
      <c r="H2017" s="4" t="n">
        <v>0.6369</v>
      </c>
      <c r="I2017" s="2" t="s">
        <v>23</v>
      </c>
      <c r="J2017" s="2" t="s">
        <v>19</v>
      </c>
      <c r="K2017" s="2" t="n">
        <v>1</v>
      </c>
      <c r="L2017" s="2" t="n">
        <v>0</v>
      </c>
      <c r="M2017" s="2" t="n">
        <v>1</v>
      </c>
    </row>
    <row r="2018" customFormat="false" ht="15" hidden="false" customHeight="false" outlineLevel="0" collapsed="false">
      <c r="A2018" s="2" t="s">
        <v>4299</v>
      </c>
      <c r="B2018" s="2" t="s">
        <v>4300</v>
      </c>
      <c r="C2018" s="2" t="n">
        <v>3</v>
      </c>
      <c r="D2018" s="2" t="s">
        <v>4301</v>
      </c>
      <c r="E2018" s="2" t="s">
        <v>4154</v>
      </c>
      <c r="F2018" s="3" t="n">
        <v>45852.3826388889</v>
      </c>
      <c r="G2018" s="2" t="s">
        <v>4011</v>
      </c>
      <c r="H2018" s="4" t="n">
        <v>-0.1174</v>
      </c>
      <c r="I2018" s="2" t="s">
        <v>84</v>
      </c>
      <c r="J2018" s="2" t="s">
        <v>33</v>
      </c>
      <c r="K2018" s="2" t="n">
        <v>1</v>
      </c>
      <c r="L2018" s="2" t="n">
        <v>0</v>
      </c>
      <c r="M2018" s="2" t="n">
        <v>1</v>
      </c>
    </row>
    <row r="2019" customFormat="false" ht="15" hidden="false" customHeight="false" outlineLevel="0" collapsed="false">
      <c r="A2019" s="2" t="s">
        <v>4302</v>
      </c>
      <c r="B2019" s="2" t="s">
        <v>4303</v>
      </c>
      <c r="C2019" s="2" t="n">
        <v>4</v>
      </c>
      <c r="D2019" s="2" t="s">
        <v>96</v>
      </c>
      <c r="E2019" s="2" t="s">
        <v>4154</v>
      </c>
      <c r="F2019" s="3" t="n">
        <v>45852.46875</v>
      </c>
      <c r="G2019" s="2" t="s">
        <v>4011</v>
      </c>
      <c r="H2019" s="4" t="n">
        <v>0.6369</v>
      </c>
      <c r="I2019" s="2" t="s">
        <v>23</v>
      </c>
      <c r="J2019" s="2" t="s">
        <v>19</v>
      </c>
      <c r="K2019" s="2" t="n">
        <v>2</v>
      </c>
      <c r="L2019" s="2" t="n">
        <v>0</v>
      </c>
      <c r="M2019" s="2" t="n">
        <v>1</v>
      </c>
    </row>
    <row r="2020" customFormat="false" ht="15" hidden="false" customHeight="false" outlineLevel="0" collapsed="false">
      <c r="A2020" s="2" t="s">
        <v>4304</v>
      </c>
      <c r="B2020" s="2" t="s">
        <v>4305</v>
      </c>
      <c r="C2020" s="2" t="n">
        <v>1</v>
      </c>
      <c r="D2020" s="2" t="s">
        <v>455</v>
      </c>
      <c r="E2020" s="2" t="s">
        <v>4154</v>
      </c>
      <c r="F2020" s="3" t="n">
        <v>45852.5402777778</v>
      </c>
      <c r="G2020" s="2" t="s">
        <v>4011</v>
      </c>
      <c r="H2020" s="4" t="n">
        <v>-0.2263</v>
      </c>
      <c r="I2020" s="2" t="s">
        <v>84</v>
      </c>
      <c r="J2020" s="2" t="s">
        <v>165</v>
      </c>
      <c r="K2020" s="2" t="n">
        <v>1</v>
      </c>
      <c r="L2020" s="2" t="n">
        <v>0</v>
      </c>
      <c r="M2020" s="2" t="n">
        <v>1</v>
      </c>
    </row>
    <row r="2021" customFormat="false" ht="15" hidden="false" customHeight="false" outlineLevel="0" collapsed="false">
      <c r="A2021" s="2" t="s">
        <v>4306</v>
      </c>
      <c r="B2021" s="2" t="s">
        <v>4307</v>
      </c>
      <c r="C2021" s="2" t="n">
        <v>3</v>
      </c>
      <c r="D2021" s="2" t="s">
        <v>701</v>
      </c>
      <c r="E2021" s="2" t="s">
        <v>4154</v>
      </c>
      <c r="F2021" s="3" t="n">
        <v>45852.5645833333</v>
      </c>
      <c r="G2021" s="2" t="s">
        <v>4011</v>
      </c>
      <c r="H2021" s="4" t="n">
        <v>-0.7184</v>
      </c>
      <c r="I2021" s="2" t="s">
        <v>84</v>
      </c>
      <c r="J2021" s="2" t="s">
        <v>37</v>
      </c>
      <c r="K2021" s="2" t="n">
        <v>0</v>
      </c>
      <c r="L2021" s="2" t="n">
        <v>0</v>
      </c>
      <c r="M2021" s="2" t="n">
        <v>1</v>
      </c>
    </row>
    <row r="2022" customFormat="false" ht="15" hidden="false" customHeight="false" outlineLevel="0" collapsed="false">
      <c r="A2022" s="2" t="s">
        <v>4308</v>
      </c>
      <c r="B2022" s="2" t="s">
        <v>4309</v>
      </c>
      <c r="C2022" s="2" t="n">
        <v>5</v>
      </c>
      <c r="D2022" s="2" t="s">
        <v>96</v>
      </c>
      <c r="E2022" s="2" t="s">
        <v>4154</v>
      </c>
      <c r="F2022" s="3" t="n">
        <v>45852.6895833333</v>
      </c>
      <c r="G2022" s="2" t="s">
        <v>4011</v>
      </c>
      <c r="H2022" s="4" t="n">
        <v>0.6369</v>
      </c>
      <c r="I2022" s="2" t="s">
        <v>23</v>
      </c>
      <c r="J2022" s="2" t="s">
        <v>19</v>
      </c>
      <c r="K2022" s="2" t="n">
        <v>1</v>
      </c>
      <c r="L2022" s="2" t="n">
        <v>0</v>
      </c>
      <c r="M2022" s="2" t="n">
        <v>1</v>
      </c>
    </row>
    <row r="2023" customFormat="false" ht="15" hidden="false" customHeight="false" outlineLevel="0" collapsed="false">
      <c r="A2023" s="2" t="s">
        <v>4310</v>
      </c>
      <c r="B2023" s="2" t="s">
        <v>4162</v>
      </c>
      <c r="C2023" s="2" t="n">
        <v>5</v>
      </c>
      <c r="D2023" s="2" t="s">
        <v>90</v>
      </c>
      <c r="E2023" s="2" t="s">
        <v>4154</v>
      </c>
      <c r="F2023" s="3" t="n">
        <v>45853.2395833333</v>
      </c>
      <c r="G2023" s="2" t="s">
        <v>4011</v>
      </c>
      <c r="H2023" s="4" t="n">
        <v>0.6249</v>
      </c>
      <c r="I2023" s="2" t="s">
        <v>23</v>
      </c>
      <c r="J2023" s="2" t="s">
        <v>37</v>
      </c>
      <c r="K2023" s="2" t="n">
        <v>3</v>
      </c>
      <c r="L2023" s="2" t="n">
        <v>0</v>
      </c>
      <c r="M2023" s="2" t="n">
        <v>1</v>
      </c>
    </row>
    <row r="2024" customFormat="false" ht="15" hidden="false" customHeight="false" outlineLevel="0" collapsed="false">
      <c r="A2024" s="2" t="s">
        <v>4311</v>
      </c>
      <c r="B2024" s="2" t="s">
        <v>4312</v>
      </c>
      <c r="C2024" s="2" t="n">
        <v>3</v>
      </c>
      <c r="D2024" s="2" t="s">
        <v>301</v>
      </c>
      <c r="E2024" s="2" t="s">
        <v>4154</v>
      </c>
      <c r="F2024" s="3" t="n">
        <v>45853.3215277778</v>
      </c>
      <c r="G2024" s="2" t="s">
        <v>4011</v>
      </c>
      <c r="H2024" s="4" t="n">
        <v>0.2263</v>
      </c>
      <c r="I2024" s="2" t="s">
        <v>23</v>
      </c>
      <c r="J2024" s="2" t="s">
        <v>19</v>
      </c>
      <c r="K2024" s="2" t="n">
        <v>3</v>
      </c>
      <c r="L2024" s="2" t="n">
        <v>0</v>
      </c>
      <c r="M2024" s="2" t="n">
        <v>1</v>
      </c>
    </row>
    <row r="2025" customFormat="false" ht="15" hidden="false" customHeight="false" outlineLevel="0" collapsed="false">
      <c r="A2025" s="2" t="s">
        <v>4313</v>
      </c>
      <c r="B2025" s="2" t="s">
        <v>4314</v>
      </c>
      <c r="C2025" s="2" t="n">
        <v>3</v>
      </c>
      <c r="D2025" s="2" t="s">
        <v>710</v>
      </c>
      <c r="E2025" s="2" t="s">
        <v>4154</v>
      </c>
      <c r="F2025" s="3" t="n">
        <v>45853.3381944444</v>
      </c>
      <c r="G2025" s="2" t="s">
        <v>4011</v>
      </c>
      <c r="H2025" s="4" t="n">
        <v>0.5719</v>
      </c>
      <c r="I2025" s="2" t="s">
        <v>23</v>
      </c>
      <c r="J2025" s="2" t="s">
        <v>37</v>
      </c>
      <c r="K2025" s="2" t="n">
        <v>3</v>
      </c>
      <c r="L2025" s="2" t="n">
        <v>0</v>
      </c>
      <c r="M2025" s="2" t="n">
        <v>1</v>
      </c>
    </row>
    <row r="2026" customFormat="false" ht="15" hidden="false" customHeight="false" outlineLevel="0" collapsed="false">
      <c r="A2026" s="2" t="s">
        <v>4315</v>
      </c>
      <c r="B2026" s="2" t="s">
        <v>4316</v>
      </c>
      <c r="C2026" s="2" t="n">
        <v>4</v>
      </c>
      <c r="D2026" s="2" t="s">
        <v>186</v>
      </c>
      <c r="E2026" s="2" t="s">
        <v>4154</v>
      </c>
      <c r="F2026" s="3" t="n">
        <v>45853.41875</v>
      </c>
      <c r="G2026" s="2" t="s">
        <v>4011</v>
      </c>
      <c r="H2026" s="4" t="n">
        <v>0.8777</v>
      </c>
      <c r="I2026" s="2" t="s">
        <v>23</v>
      </c>
      <c r="J2026" s="2" t="s">
        <v>19</v>
      </c>
      <c r="K2026" s="2" t="n">
        <v>1</v>
      </c>
      <c r="L2026" s="2" t="n">
        <v>0</v>
      </c>
      <c r="M2026" s="2" t="n">
        <v>1</v>
      </c>
    </row>
    <row r="2027" customFormat="false" ht="15" hidden="false" customHeight="false" outlineLevel="0" collapsed="false">
      <c r="A2027" s="2" t="s">
        <v>4317</v>
      </c>
      <c r="B2027" s="2" t="s">
        <v>4318</v>
      </c>
      <c r="C2027" s="2" t="n">
        <v>3</v>
      </c>
      <c r="D2027" s="2" t="s">
        <v>1674</v>
      </c>
      <c r="E2027" s="2" t="s">
        <v>4154</v>
      </c>
      <c r="F2027" s="3" t="n">
        <v>45853.5736111111</v>
      </c>
      <c r="G2027" s="2" t="s">
        <v>4011</v>
      </c>
      <c r="H2027" s="4" t="n">
        <v>-0.438</v>
      </c>
      <c r="I2027" s="2" t="s">
        <v>84</v>
      </c>
      <c r="J2027" s="2" t="s">
        <v>19</v>
      </c>
      <c r="K2027" s="2" t="n">
        <v>11</v>
      </c>
      <c r="L2027" s="2" t="n">
        <v>0</v>
      </c>
      <c r="M2027" s="2" t="n">
        <v>1</v>
      </c>
    </row>
    <row r="2028" customFormat="false" ht="15" hidden="false" customHeight="false" outlineLevel="0" collapsed="false">
      <c r="A2028" s="2" t="s">
        <v>4319</v>
      </c>
      <c r="B2028" s="2" t="s">
        <v>4320</v>
      </c>
      <c r="C2028" s="2" t="n">
        <v>4</v>
      </c>
      <c r="D2028" s="2" t="s">
        <v>90</v>
      </c>
      <c r="E2028" s="2" t="s">
        <v>4154</v>
      </c>
      <c r="F2028" s="3" t="n">
        <v>45853.6020833333</v>
      </c>
      <c r="G2028" s="2" t="s">
        <v>4011</v>
      </c>
      <c r="H2028" s="4" t="n">
        <v>0.6249</v>
      </c>
      <c r="I2028" s="2" t="s">
        <v>23</v>
      </c>
      <c r="J2028" s="2" t="s">
        <v>37</v>
      </c>
      <c r="K2028" s="2" t="n">
        <v>7</v>
      </c>
      <c r="L2028" s="2" t="n">
        <v>0</v>
      </c>
      <c r="M2028" s="2" t="n">
        <v>1</v>
      </c>
    </row>
    <row r="2029" customFormat="false" ht="15" hidden="false" customHeight="false" outlineLevel="0" collapsed="false">
      <c r="A2029" s="2" t="s">
        <v>4321</v>
      </c>
      <c r="B2029" s="2" t="s">
        <v>4322</v>
      </c>
      <c r="C2029" s="2" t="n">
        <v>4</v>
      </c>
      <c r="D2029" s="2" t="s">
        <v>99</v>
      </c>
      <c r="E2029" s="2" t="s">
        <v>4154</v>
      </c>
      <c r="F2029" s="3" t="n">
        <v>45853.6152777778</v>
      </c>
      <c r="G2029" s="2" t="s">
        <v>4011</v>
      </c>
      <c r="H2029" s="4" t="n">
        <v>-0.3089</v>
      </c>
      <c r="I2029" s="2" t="s">
        <v>84</v>
      </c>
      <c r="J2029" s="2" t="s">
        <v>19</v>
      </c>
      <c r="K2029" s="2" t="n">
        <v>0</v>
      </c>
      <c r="L2029" s="2" t="n">
        <v>0</v>
      </c>
      <c r="M2029" s="2" t="n">
        <v>1</v>
      </c>
    </row>
    <row r="2030" customFormat="false" ht="15" hidden="false" customHeight="false" outlineLevel="0" collapsed="false">
      <c r="A2030" s="2" t="s">
        <v>4323</v>
      </c>
      <c r="B2030" s="2" t="s">
        <v>4324</v>
      </c>
      <c r="C2030" s="2" t="n">
        <v>2</v>
      </c>
      <c r="D2030" s="2" t="s">
        <v>32</v>
      </c>
      <c r="E2030" s="2" t="s">
        <v>4154</v>
      </c>
      <c r="F2030" s="3" t="n">
        <v>45853.6798611111</v>
      </c>
      <c r="G2030" s="2" t="s">
        <v>4011</v>
      </c>
      <c r="H2030" s="4" t="n">
        <v>0.2023</v>
      </c>
      <c r="I2030" s="2" t="s">
        <v>23</v>
      </c>
      <c r="J2030" s="2" t="s">
        <v>33</v>
      </c>
      <c r="K2030" s="2" t="n">
        <v>1</v>
      </c>
      <c r="L2030" s="2" t="n">
        <v>0</v>
      </c>
      <c r="M2030" s="2" t="n">
        <v>1</v>
      </c>
    </row>
    <row r="2031" customFormat="false" ht="15" hidden="false" customHeight="false" outlineLevel="0" collapsed="false">
      <c r="A2031" s="2" t="s">
        <v>4325</v>
      </c>
      <c r="B2031" s="2" t="s">
        <v>4326</v>
      </c>
      <c r="C2031" s="2" t="n">
        <v>5</v>
      </c>
      <c r="D2031" s="2" t="s">
        <v>127</v>
      </c>
      <c r="E2031" s="2" t="s">
        <v>4154</v>
      </c>
      <c r="F2031" s="3" t="n">
        <v>45853.9090277778</v>
      </c>
      <c r="G2031" s="2" t="s">
        <v>4011</v>
      </c>
      <c r="H2031" s="4" t="n">
        <v>0.9359</v>
      </c>
      <c r="I2031" s="2" t="s">
        <v>23</v>
      </c>
      <c r="J2031" s="2" t="s">
        <v>37</v>
      </c>
      <c r="K2031" s="2" t="n">
        <v>1</v>
      </c>
      <c r="L2031" s="2" t="n">
        <v>0</v>
      </c>
      <c r="M2031" s="2" t="n">
        <v>1</v>
      </c>
    </row>
    <row r="2032" customFormat="false" ht="15" hidden="false" customHeight="false" outlineLevel="0" collapsed="false">
      <c r="A2032" s="2" t="s">
        <v>4327</v>
      </c>
      <c r="B2032" s="2" t="s">
        <v>4328</v>
      </c>
      <c r="C2032" s="2" t="n">
        <v>1</v>
      </c>
      <c r="D2032" s="2" t="s">
        <v>4329</v>
      </c>
      <c r="E2032" s="2" t="s">
        <v>4154</v>
      </c>
      <c r="F2032" s="3" t="n">
        <v>45854.0069444445</v>
      </c>
      <c r="G2032" s="2" t="s">
        <v>4011</v>
      </c>
      <c r="H2032" s="4" t="n">
        <v>0.1531</v>
      </c>
      <c r="I2032" s="2" t="s">
        <v>23</v>
      </c>
      <c r="J2032" s="2" t="s">
        <v>37</v>
      </c>
      <c r="K2032" s="2" t="n">
        <v>4</v>
      </c>
      <c r="L2032" s="2" t="n">
        <v>1</v>
      </c>
      <c r="M2032" s="2" t="n">
        <v>1</v>
      </c>
    </row>
    <row r="2033" customFormat="false" ht="15" hidden="false" customHeight="false" outlineLevel="0" collapsed="false">
      <c r="A2033" s="2" t="s">
        <v>4330</v>
      </c>
      <c r="B2033" s="2" t="s">
        <v>4331</v>
      </c>
      <c r="C2033" s="2" t="n">
        <v>4</v>
      </c>
      <c r="D2033" s="2" t="s">
        <v>96</v>
      </c>
      <c r="E2033" s="2" t="s">
        <v>4154</v>
      </c>
      <c r="F2033" s="3" t="n">
        <v>45854.0409722222</v>
      </c>
      <c r="G2033" s="2" t="s">
        <v>4011</v>
      </c>
      <c r="H2033" s="4" t="n">
        <v>0.6369</v>
      </c>
      <c r="I2033" s="2" t="s">
        <v>23</v>
      </c>
      <c r="J2033" s="2" t="s">
        <v>19</v>
      </c>
      <c r="K2033" s="2" t="n">
        <v>5</v>
      </c>
      <c r="L2033" s="2" t="n">
        <v>0</v>
      </c>
      <c r="M2033" s="2" t="n">
        <v>1</v>
      </c>
    </row>
    <row r="2034" customFormat="false" ht="15" hidden="false" customHeight="false" outlineLevel="0" collapsed="false">
      <c r="A2034" s="2" t="s">
        <v>4332</v>
      </c>
      <c r="B2034" s="2" t="s">
        <v>4333</v>
      </c>
      <c r="C2034" s="2" t="n">
        <v>4</v>
      </c>
      <c r="D2034" s="2" t="s">
        <v>1265</v>
      </c>
      <c r="E2034" s="2" t="s">
        <v>4154</v>
      </c>
      <c r="F2034" s="3" t="n">
        <v>45854.14375</v>
      </c>
      <c r="G2034" s="2" t="s">
        <v>4011</v>
      </c>
      <c r="H2034" s="4" t="n">
        <v>0.7684</v>
      </c>
      <c r="I2034" s="2" t="s">
        <v>23</v>
      </c>
      <c r="J2034" s="2" t="s">
        <v>37</v>
      </c>
      <c r="K2034" s="2" t="n">
        <v>3</v>
      </c>
      <c r="L2034" s="2" t="n">
        <v>0</v>
      </c>
      <c r="M2034" s="2" t="n">
        <v>1</v>
      </c>
    </row>
    <row r="2035" customFormat="false" ht="15" hidden="false" customHeight="false" outlineLevel="0" collapsed="false">
      <c r="A2035" s="2" t="s">
        <v>4334</v>
      </c>
      <c r="B2035" s="2" t="s">
        <v>4335</v>
      </c>
      <c r="C2035" s="2" t="n">
        <v>4</v>
      </c>
      <c r="D2035" s="2" t="s">
        <v>807</v>
      </c>
      <c r="E2035" s="2" t="s">
        <v>4154</v>
      </c>
      <c r="F2035" s="3" t="n">
        <v>45854.2118055556</v>
      </c>
      <c r="G2035" s="2" t="s">
        <v>4011</v>
      </c>
      <c r="H2035" s="4" t="n">
        <v>0.6369</v>
      </c>
      <c r="I2035" s="2" t="s">
        <v>23</v>
      </c>
      <c r="J2035" s="2" t="s">
        <v>19</v>
      </c>
      <c r="K2035" s="2" t="n">
        <v>5</v>
      </c>
      <c r="L2035" s="2" t="n">
        <v>0</v>
      </c>
      <c r="M2035" s="2" t="n">
        <v>1</v>
      </c>
    </row>
    <row r="2036" customFormat="false" ht="15" hidden="false" customHeight="false" outlineLevel="0" collapsed="false">
      <c r="A2036" s="2" t="s">
        <v>4336</v>
      </c>
      <c r="B2036" s="2" t="s">
        <v>4337</v>
      </c>
      <c r="C2036" s="2" t="n">
        <v>5</v>
      </c>
      <c r="D2036" s="2" t="s">
        <v>62</v>
      </c>
      <c r="E2036" s="2" t="s">
        <v>4154</v>
      </c>
      <c r="F2036" s="3" t="n">
        <v>45854.2770833333</v>
      </c>
      <c r="G2036" s="2" t="s">
        <v>4011</v>
      </c>
      <c r="H2036" s="4" t="n">
        <v>0.7088</v>
      </c>
      <c r="I2036" s="2" t="s">
        <v>23</v>
      </c>
      <c r="J2036" s="2" t="s">
        <v>19</v>
      </c>
      <c r="K2036" s="2" t="n">
        <v>3</v>
      </c>
      <c r="L2036" s="2" t="n">
        <v>0</v>
      </c>
      <c r="M2036" s="2" t="n">
        <v>1</v>
      </c>
    </row>
    <row r="2037" customFormat="false" ht="15" hidden="false" customHeight="false" outlineLevel="0" collapsed="false">
      <c r="A2037" s="2" t="s">
        <v>4338</v>
      </c>
      <c r="B2037" s="2" t="s">
        <v>4339</v>
      </c>
      <c r="C2037" s="2" t="n">
        <v>5</v>
      </c>
      <c r="D2037" s="2" t="s">
        <v>90</v>
      </c>
      <c r="E2037" s="2" t="s">
        <v>4154</v>
      </c>
      <c r="F2037" s="3" t="n">
        <v>45854.7041666667</v>
      </c>
      <c r="G2037" s="2" t="s">
        <v>4011</v>
      </c>
      <c r="H2037" s="4" t="n">
        <v>0.6249</v>
      </c>
      <c r="I2037" s="2" t="s">
        <v>23</v>
      </c>
      <c r="J2037" s="2" t="s">
        <v>37</v>
      </c>
      <c r="K2037" s="2" t="n">
        <v>0</v>
      </c>
      <c r="L2037" s="2" t="n">
        <v>0</v>
      </c>
      <c r="M2037" s="2" t="n">
        <v>1</v>
      </c>
    </row>
    <row r="2038" customFormat="false" ht="15" hidden="false" customHeight="false" outlineLevel="0" collapsed="false">
      <c r="A2038" s="2" t="s">
        <v>4340</v>
      </c>
      <c r="B2038" s="2" t="s">
        <v>4341</v>
      </c>
      <c r="C2038" s="2" t="n">
        <v>1</v>
      </c>
      <c r="D2038" s="2" t="s">
        <v>661</v>
      </c>
      <c r="E2038" s="2" t="s">
        <v>4154</v>
      </c>
      <c r="F2038" s="3" t="n">
        <v>45854.9097222222</v>
      </c>
      <c r="G2038" s="2" t="s">
        <v>4011</v>
      </c>
      <c r="H2038" s="4" t="n">
        <v>0</v>
      </c>
      <c r="I2038" s="2" t="s">
        <v>18</v>
      </c>
      <c r="J2038" s="2" t="s">
        <v>59</v>
      </c>
      <c r="K2038" s="2" t="n">
        <v>1</v>
      </c>
      <c r="L2038" s="2" t="n">
        <v>1</v>
      </c>
      <c r="M2038" s="2" t="n">
        <v>1</v>
      </c>
    </row>
    <row r="2039" customFormat="false" ht="15" hidden="false" customHeight="false" outlineLevel="0" collapsed="false">
      <c r="A2039" s="2" t="s">
        <v>4342</v>
      </c>
      <c r="B2039" s="2" t="s">
        <v>4343</v>
      </c>
      <c r="C2039" s="2" t="n">
        <v>2</v>
      </c>
      <c r="D2039" s="2" t="s">
        <v>946</v>
      </c>
      <c r="E2039" s="2" t="s">
        <v>4154</v>
      </c>
      <c r="F2039" s="3" t="n">
        <v>45855.1888888889</v>
      </c>
      <c r="G2039" s="2" t="s">
        <v>4011</v>
      </c>
      <c r="H2039" s="4" t="n">
        <v>-0.25</v>
      </c>
      <c r="I2039" s="2" t="s">
        <v>84</v>
      </c>
      <c r="J2039" s="2" t="s">
        <v>37</v>
      </c>
      <c r="K2039" s="2" t="n">
        <v>0</v>
      </c>
      <c r="L2039" s="2" t="n">
        <v>1</v>
      </c>
      <c r="M2039" s="2" t="n">
        <v>1</v>
      </c>
    </row>
    <row r="2040" customFormat="false" ht="15" hidden="false" customHeight="false" outlineLevel="0" collapsed="false">
      <c r="A2040" s="2" t="s">
        <v>4344</v>
      </c>
      <c r="B2040" s="2" t="s">
        <v>4345</v>
      </c>
      <c r="C2040" s="2" t="n">
        <v>5</v>
      </c>
      <c r="D2040" s="2" t="s">
        <v>96</v>
      </c>
      <c r="E2040" s="2" t="s">
        <v>4154</v>
      </c>
      <c r="F2040" s="3" t="n">
        <v>45855.2138888889</v>
      </c>
      <c r="G2040" s="2" t="s">
        <v>4011</v>
      </c>
      <c r="H2040" s="4" t="n">
        <v>0.6369</v>
      </c>
      <c r="I2040" s="2" t="s">
        <v>23</v>
      </c>
      <c r="J2040" s="2" t="s">
        <v>19</v>
      </c>
      <c r="K2040" s="2" t="n">
        <v>5</v>
      </c>
      <c r="L2040" s="2" t="n">
        <v>0</v>
      </c>
      <c r="M2040" s="2" t="n">
        <v>1</v>
      </c>
    </row>
    <row r="2041" customFormat="false" ht="15" hidden="false" customHeight="false" outlineLevel="0" collapsed="false">
      <c r="A2041" s="2" t="s">
        <v>4346</v>
      </c>
      <c r="B2041" s="2" t="s">
        <v>4347</v>
      </c>
      <c r="C2041" s="2" t="n">
        <v>3</v>
      </c>
      <c r="D2041" s="2" t="s">
        <v>99</v>
      </c>
      <c r="E2041" s="2" t="s">
        <v>4154</v>
      </c>
      <c r="F2041" s="3" t="n">
        <v>45855.3868055556</v>
      </c>
      <c r="G2041" s="2" t="s">
        <v>4011</v>
      </c>
      <c r="H2041" s="4" t="n">
        <v>-0.3089</v>
      </c>
      <c r="I2041" s="2" t="s">
        <v>84</v>
      </c>
      <c r="J2041" s="2" t="s">
        <v>19</v>
      </c>
      <c r="K2041" s="2" t="n">
        <v>0</v>
      </c>
      <c r="L2041" s="2" t="n">
        <v>0</v>
      </c>
      <c r="M2041" s="2" t="n">
        <v>1</v>
      </c>
    </row>
    <row r="2042" customFormat="false" ht="15" hidden="false" customHeight="false" outlineLevel="0" collapsed="false">
      <c r="A2042" s="2" t="s">
        <v>4348</v>
      </c>
      <c r="B2042" s="2" t="s">
        <v>4349</v>
      </c>
      <c r="C2042" s="2" t="n">
        <v>5</v>
      </c>
      <c r="D2042" s="2" t="s">
        <v>62</v>
      </c>
      <c r="E2042" s="2" t="s">
        <v>4154</v>
      </c>
      <c r="F2042" s="3" t="n">
        <v>45855.3881944444</v>
      </c>
      <c r="G2042" s="2" t="s">
        <v>4011</v>
      </c>
      <c r="H2042" s="4" t="n">
        <v>0.7088</v>
      </c>
      <c r="I2042" s="2" t="s">
        <v>23</v>
      </c>
      <c r="J2042" s="2" t="s">
        <v>19</v>
      </c>
      <c r="K2042" s="2" t="n">
        <v>1</v>
      </c>
      <c r="L2042" s="2" t="n">
        <v>0</v>
      </c>
      <c r="M2042" s="2" t="n">
        <v>1</v>
      </c>
    </row>
    <row r="2043" customFormat="false" ht="15" hidden="false" customHeight="false" outlineLevel="0" collapsed="false">
      <c r="A2043" s="2" t="s">
        <v>4350</v>
      </c>
      <c r="B2043" s="2" t="s">
        <v>4351</v>
      </c>
      <c r="C2043" s="2" t="n">
        <v>4</v>
      </c>
      <c r="D2043" s="2" t="s">
        <v>47</v>
      </c>
      <c r="E2043" s="2" t="s">
        <v>4154</v>
      </c>
      <c r="F2043" s="3" t="n">
        <v>45855.4916666667</v>
      </c>
      <c r="G2043" s="2" t="s">
        <v>4011</v>
      </c>
      <c r="H2043" s="4" t="n">
        <v>0.3089</v>
      </c>
      <c r="I2043" s="2" t="s">
        <v>23</v>
      </c>
      <c r="J2043" s="2" t="s">
        <v>19</v>
      </c>
      <c r="K2043" s="2" t="n">
        <v>12</v>
      </c>
      <c r="L2043" s="2" t="n">
        <v>0</v>
      </c>
      <c r="M2043" s="2" t="n">
        <v>1</v>
      </c>
    </row>
    <row r="2044" customFormat="false" ht="15" hidden="false" customHeight="false" outlineLevel="0" collapsed="false">
      <c r="A2044" s="2" t="s">
        <v>4352</v>
      </c>
      <c r="B2044" s="2" t="s">
        <v>4353</v>
      </c>
      <c r="C2044" s="2" t="n">
        <v>5</v>
      </c>
      <c r="D2044" s="2" t="s">
        <v>555</v>
      </c>
      <c r="E2044" s="2" t="s">
        <v>4154</v>
      </c>
      <c r="F2044" s="3" t="n">
        <v>45855.5055555556</v>
      </c>
      <c r="G2044" s="2" t="s">
        <v>4011</v>
      </c>
      <c r="H2044" s="4" t="n">
        <v>0.8221</v>
      </c>
      <c r="I2044" s="2" t="s">
        <v>23</v>
      </c>
      <c r="J2044" s="2" t="s">
        <v>33</v>
      </c>
      <c r="K2044" s="2" t="n">
        <v>2</v>
      </c>
      <c r="L2044" s="2" t="n">
        <v>0</v>
      </c>
      <c r="M2044" s="2" t="n">
        <v>1</v>
      </c>
    </row>
    <row r="2045" customFormat="false" ht="15" hidden="false" customHeight="false" outlineLevel="0" collapsed="false">
      <c r="A2045" s="2" t="s">
        <v>4354</v>
      </c>
      <c r="B2045" s="2" t="s">
        <v>4355</v>
      </c>
      <c r="C2045" s="2" t="n">
        <v>4</v>
      </c>
      <c r="D2045" s="2" t="s">
        <v>555</v>
      </c>
      <c r="E2045" s="2" t="s">
        <v>4154</v>
      </c>
      <c r="F2045" s="3" t="n">
        <v>45855.5722222222</v>
      </c>
      <c r="G2045" s="2" t="s">
        <v>4011</v>
      </c>
      <c r="H2045" s="4" t="n">
        <v>0.8221</v>
      </c>
      <c r="I2045" s="2" t="s">
        <v>23</v>
      </c>
      <c r="J2045" s="2" t="s">
        <v>33</v>
      </c>
      <c r="K2045" s="2" t="n">
        <v>0</v>
      </c>
      <c r="L2045" s="2" t="n">
        <v>0</v>
      </c>
      <c r="M2045" s="2" t="n">
        <v>1</v>
      </c>
    </row>
    <row r="2046" customFormat="false" ht="15" hidden="false" customHeight="false" outlineLevel="0" collapsed="false">
      <c r="A2046" s="2" t="s">
        <v>4356</v>
      </c>
      <c r="B2046" s="2" t="s">
        <v>4357</v>
      </c>
      <c r="C2046" s="2" t="n">
        <v>3</v>
      </c>
      <c r="D2046" s="2" t="s">
        <v>99</v>
      </c>
      <c r="E2046" s="2" t="s">
        <v>4154</v>
      </c>
      <c r="F2046" s="3" t="n">
        <v>45855.5923611111</v>
      </c>
      <c r="G2046" s="2" t="s">
        <v>4011</v>
      </c>
      <c r="H2046" s="4" t="n">
        <v>-0.3089</v>
      </c>
      <c r="I2046" s="2" t="s">
        <v>84</v>
      </c>
      <c r="J2046" s="2" t="s">
        <v>19</v>
      </c>
      <c r="K2046" s="2" t="n">
        <v>0</v>
      </c>
      <c r="L2046" s="2" t="n">
        <v>0</v>
      </c>
      <c r="M2046" s="2" t="n">
        <v>1</v>
      </c>
    </row>
    <row r="2047" customFormat="false" ht="15" hidden="false" customHeight="false" outlineLevel="0" collapsed="false">
      <c r="A2047" s="2" t="s">
        <v>4358</v>
      </c>
      <c r="B2047" s="2" t="s">
        <v>4359</v>
      </c>
      <c r="C2047" s="2" t="n">
        <v>4</v>
      </c>
      <c r="D2047" s="2" t="s">
        <v>127</v>
      </c>
      <c r="E2047" s="2" t="s">
        <v>4154</v>
      </c>
      <c r="F2047" s="3" t="n">
        <v>45855.7416666667</v>
      </c>
      <c r="G2047" s="2" t="s">
        <v>4011</v>
      </c>
      <c r="H2047" s="4" t="n">
        <v>0.9359</v>
      </c>
      <c r="I2047" s="2" t="s">
        <v>23</v>
      </c>
      <c r="J2047" s="2" t="s">
        <v>37</v>
      </c>
      <c r="K2047" s="2" t="n">
        <v>6</v>
      </c>
      <c r="L2047" s="2" t="n">
        <v>0</v>
      </c>
      <c r="M2047" s="2" t="n">
        <v>1</v>
      </c>
    </row>
    <row r="2048" customFormat="false" ht="15" hidden="false" customHeight="false" outlineLevel="0" collapsed="false">
      <c r="A2048" s="2" t="s">
        <v>4360</v>
      </c>
      <c r="B2048" s="2" t="s">
        <v>4361</v>
      </c>
      <c r="C2048" s="2" t="n">
        <v>4</v>
      </c>
      <c r="D2048" s="2" t="s">
        <v>301</v>
      </c>
      <c r="E2048" s="2" t="s">
        <v>4154</v>
      </c>
      <c r="F2048" s="3" t="n">
        <v>45856.1930555556</v>
      </c>
      <c r="G2048" s="2" t="s">
        <v>4011</v>
      </c>
      <c r="H2048" s="4" t="n">
        <v>0.2263</v>
      </c>
      <c r="I2048" s="2" t="s">
        <v>23</v>
      </c>
      <c r="J2048" s="2" t="s">
        <v>19</v>
      </c>
      <c r="K2048" s="2" t="n">
        <v>0</v>
      </c>
      <c r="L2048" s="2" t="n">
        <v>0</v>
      </c>
      <c r="M2048" s="2" t="n">
        <v>1</v>
      </c>
    </row>
    <row r="2049" customFormat="false" ht="15" hidden="false" customHeight="false" outlineLevel="0" collapsed="false">
      <c r="A2049" s="2" t="s">
        <v>4362</v>
      </c>
      <c r="B2049" s="2" t="s">
        <v>4363</v>
      </c>
      <c r="C2049" s="2" t="n">
        <v>4</v>
      </c>
      <c r="D2049" s="2" t="s">
        <v>3798</v>
      </c>
      <c r="E2049" s="2" t="s">
        <v>4154</v>
      </c>
      <c r="F2049" s="3" t="n">
        <v>45856.4548611111</v>
      </c>
      <c r="G2049" s="2" t="s">
        <v>4011</v>
      </c>
      <c r="H2049" s="4" t="n">
        <v>0.7549</v>
      </c>
      <c r="I2049" s="2" t="s">
        <v>23</v>
      </c>
      <c r="J2049" s="2" t="s">
        <v>19</v>
      </c>
      <c r="K2049" s="2" t="n">
        <v>0</v>
      </c>
      <c r="L2049" s="2" t="n">
        <v>0</v>
      </c>
      <c r="M2049" s="2" t="n">
        <v>1</v>
      </c>
    </row>
    <row r="2050" customFormat="false" ht="15" hidden="false" customHeight="false" outlineLevel="0" collapsed="false">
      <c r="A2050" s="2" t="s">
        <v>4364</v>
      </c>
      <c r="B2050" s="2" t="s">
        <v>4365</v>
      </c>
      <c r="C2050" s="2" t="n">
        <v>5</v>
      </c>
      <c r="D2050" s="2" t="s">
        <v>15</v>
      </c>
      <c r="E2050" s="2" t="s">
        <v>4154</v>
      </c>
      <c r="F2050" s="3" t="n">
        <v>45856.8284722222</v>
      </c>
      <c r="G2050" s="2" t="s">
        <v>4011</v>
      </c>
      <c r="H2050" s="4" t="n">
        <v>0</v>
      </c>
      <c r="I2050" s="2" t="s">
        <v>18</v>
      </c>
      <c r="J2050" s="2" t="s">
        <v>19</v>
      </c>
      <c r="K2050" s="2" t="n">
        <v>9</v>
      </c>
      <c r="L2050" s="2" t="n">
        <v>0</v>
      </c>
      <c r="M2050" s="2" t="n">
        <v>1</v>
      </c>
    </row>
    <row r="2051" customFormat="false" ht="15" hidden="false" customHeight="false" outlineLevel="0" collapsed="false">
      <c r="A2051" s="2" t="s">
        <v>4366</v>
      </c>
      <c r="B2051" s="2" t="s">
        <v>4367</v>
      </c>
      <c r="C2051" s="2" t="n">
        <v>5</v>
      </c>
      <c r="D2051" s="2" t="s">
        <v>96</v>
      </c>
      <c r="E2051" s="2" t="s">
        <v>4154</v>
      </c>
      <c r="F2051" s="3" t="n">
        <v>45856.8444444445</v>
      </c>
      <c r="G2051" s="2" t="s">
        <v>4011</v>
      </c>
      <c r="H2051" s="4" t="n">
        <v>0.6369</v>
      </c>
      <c r="I2051" s="2" t="s">
        <v>23</v>
      </c>
      <c r="J2051" s="2" t="s">
        <v>19</v>
      </c>
      <c r="K2051" s="2" t="n">
        <v>1</v>
      </c>
      <c r="L2051" s="2" t="n">
        <v>0</v>
      </c>
      <c r="M2051" s="2" t="n">
        <v>1</v>
      </c>
    </row>
    <row r="2052" customFormat="false" ht="15" hidden="false" customHeight="false" outlineLevel="0" collapsed="false">
      <c r="A2052" s="2" t="s">
        <v>4368</v>
      </c>
      <c r="B2052" s="2" t="s">
        <v>4369</v>
      </c>
      <c r="C2052" s="2" t="n">
        <v>3</v>
      </c>
      <c r="D2052" s="2" t="s">
        <v>22</v>
      </c>
      <c r="E2052" s="2" t="s">
        <v>4154</v>
      </c>
      <c r="F2052" s="3" t="n">
        <v>45856.8909722222</v>
      </c>
      <c r="G2052" s="2" t="s">
        <v>4011</v>
      </c>
      <c r="H2052" s="4" t="n">
        <v>0.2023</v>
      </c>
      <c r="I2052" s="2" t="s">
        <v>23</v>
      </c>
      <c r="J2052" s="2" t="s">
        <v>19</v>
      </c>
      <c r="K2052" s="2" t="n">
        <v>0</v>
      </c>
      <c r="L2052" s="2" t="n">
        <v>0</v>
      </c>
      <c r="M2052" s="2" t="n">
        <v>1</v>
      </c>
    </row>
    <row r="2053" customFormat="false" ht="15" hidden="false" customHeight="false" outlineLevel="0" collapsed="false">
      <c r="A2053" s="2" t="s">
        <v>4370</v>
      </c>
      <c r="B2053" s="2" t="s">
        <v>4371</v>
      </c>
      <c r="C2053" s="2" t="n">
        <v>5</v>
      </c>
      <c r="D2053" s="2" t="s">
        <v>15</v>
      </c>
      <c r="E2053" s="2" t="s">
        <v>4154</v>
      </c>
      <c r="F2053" s="3" t="n">
        <v>45856.9180555556</v>
      </c>
      <c r="G2053" s="2" t="s">
        <v>4011</v>
      </c>
      <c r="H2053" s="4" t="n">
        <v>0</v>
      </c>
      <c r="I2053" s="2" t="s">
        <v>18</v>
      </c>
      <c r="J2053" s="2" t="s">
        <v>19</v>
      </c>
      <c r="K2053" s="2" t="n">
        <v>1</v>
      </c>
      <c r="L2053" s="2" t="n">
        <v>0</v>
      </c>
      <c r="M2053" s="2" t="n">
        <v>1</v>
      </c>
    </row>
    <row r="2054" customFormat="false" ht="15" hidden="false" customHeight="false" outlineLevel="0" collapsed="false">
      <c r="A2054" s="2" t="s">
        <v>4372</v>
      </c>
      <c r="B2054" s="2" t="s">
        <v>4373</v>
      </c>
      <c r="C2054" s="2" t="n">
        <v>3</v>
      </c>
      <c r="D2054" s="2" t="s">
        <v>301</v>
      </c>
      <c r="E2054" s="2" t="s">
        <v>4154</v>
      </c>
      <c r="F2054" s="3" t="n">
        <v>45856.9590277778</v>
      </c>
      <c r="G2054" s="2" t="s">
        <v>4011</v>
      </c>
      <c r="H2054" s="4" t="n">
        <v>0.2263</v>
      </c>
      <c r="I2054" s="2" t="s">
        <v>23</v>
      </c>
      <c r="J2054" s="2" t="s">
        <v>19</v>
      </c>
      <c r="K2054" s="2" t="n">
        <v>5</v>
      </c>
      <c r="L2054" s="2" t="n">
        <v>0</v>
      </c>
      <c r="M2054" s="2" t="n">
        <v>1</v>
      </c>
    </row>
    <row r="2055" customFormat="false" ht="15" hidden="false" customHeight="false" outlineLevel="0" collapsed="false">
      <c r="A2055" s="2" t="s">
        <v>4374</v>
      </c>
      <c r="B2055" s="2" t="s">
        <v>4375</v>
      </c>
      <c r="C2055" s="2" t="n">
        <v>4</v>
      </c>
      <c r="D2055" s="2" t="s">
        <v>22</v>
      </c>
      <c r="E2055" s="2" t="s">
        <v>4154</v>
      </c>
      <c r="F2055" s="3" t="n">
        <v>45857</v>
      </c>
      <c r="G2055" s="2" t="s">
        <v>4011</v>
      </c>
      <c r="H2055" s="4" t="n">
        <v>0.2023</v>
      </c>
      <c r="I2055" s="2" t="s">
        <v>23</v>
      </c>
      <c r="J2055" s="2" t="s">
        <v>19</v>
      </c>
      <c r="K2055" s="2" t="n">
        <v>2</v>
      </c>
      <c r="L2055" s="2" t="n">
        <v>0</v>
      </c>
      <c r="M2055" s="2" t="n">
        <v>1</v>
      </c>
    </row>
    <row r="2056" customFormat="false" ht="15" hidden="false" customHeight="false" outlineLevel="0" collapsed="false">
      <c r="A2056" s="2" t="s">
        <v>4376</v>
      </c>
      <c r="B2056" s="2" t="s">
        <v>4377</v>
      </c>
      <c r="C2056" s="2" t="n">
        <v>5</v>
      </c>
      <c r="D2056" s="2" t="s">
        <v>52</v>
      </c>
      <c r="E2056" s="2" t="s">
        <v>4154</v>
      </c>
      <c r="F2056" s="3" t="n">
        <v>45857.0680555556</v>
      </c>
      <c r="G2056" s="2" t="s">
        <v>4011</v>
      </c>
      <c r="H2056" s="4" t="n">
        <v>0.6369</v>
      </c>
      <c r="I2056" s="2" t="s">
        <v>23</v>
      </c>
      <c r="J2056" s="2" t="s">
        <v>19</v>
      </c>
      <c r="K2056" s="2" t="n">
        <v>5</v>
      </c>
      <c r="L2056" s="2" t="n">
        <v>0</v>
      </c>
      <c r="M2056" s="2" t="n">
        <v>1</v>
      </c>
    </row>
    <row r="2057" customFormat="false" ht="15" hidden="false" customHeight="false" outlineLevel="0" collapsed="false">
      <c r="A2057" s="2" t="s">
        <v>4378</v>
      </c>
      <c r="B2057" s="2" t="s">
        <v>4379</v>
      </c>
      <c r="C2057" s="2" t="n">
        <v>4</v>
      </c>
      <c r="D2057" s="2" t="s">
        <v>90</v>
      </c>
      <c r="E2057" s="2" t="s">
        <v>4154</v>
      </c>
      <c r="F2057" s="3" t="n">
        <v>45857.0770833333</v>
      </c>
      <c r="G2057" s="2" t="s">
        <v>4011</v>
      </c>
      <c r="H2057" s="4" t="n">
        <v>0.6249</v>
      </c>
      <c r="I2057" s="2" t="s">
        <v>23</v>
      </c>
      <c r="J2057" s="2" t="s">
        <v>37</v>
      </c>
      <c r="K2057" s="2" t="n">
        <v>2</v>
      </c>
      <c r="L2057" s="2" t="n">
        <v>0</v>
      </c>
      <c r="M2057" s="2" t="n">
        <v>1</v>
      </c>
    </row>
    <row r="2058" customFormat="false" ht="15" hidden="false" customHeight="false" outlineLevel="0" collapsed="false">
      <c r="A2058" s="2" t="s">
        <v>4380</v>
      </c>
      <c r="B2058" s="2" t="s">
        <v>4381</v>
      </c>
      <c r="C2058" s="2" t="n">
        <v>2</v>
      </c>
      <c r="D2058" s="2" t="s">
        <v>83</v>
      </c>
      <c r="E2058" s="2" t="s">
        <v>4154</v>
      </c>
      <c r="F2058" s="3" t="n">
        <v>45857.2729166667</v>
      </c>
      <c r="G2058" s="2" t="s">
        <v>4011</v>
      </c>
      <c r="H2058" s="4" t="n">
        <v>-0.6166</v>
      </c>
      <c r="I2058" s="2" t="s">
        <v>84</v>
      </c>
      <c r="J2058" s="2" t="s">
        <v>59</v>
      </c>
      <c r="K2058" s="2" t="n">
        <v>2</v>
      </c>
      <c r="L2058" s="2" t="n">
        <v>0</v>
      </c>
      <c r="M2058" s="2" t="n">
        <v>1</v>
      </c>
    </row>
    <row r="2059" customFormat="false" ht="15" hidden="false" customHeight="false" outlineLevel="0" collapsed="false">
      <c r="A2059" s="2" t="s">
        <v>4382</v>
      </c>
      <c r="B2059" s="2" t="s">
        <v>4383</v>
      </c>
      <c r="C2059" s="2" t="n">
        <v>5</v>
      </c>
      <c r="D2059" s="2" t="s">
        <v>62</v>
      </c>
      <c r="E2059" s="2" t="s">
        <v>4154</v>
      </c>
      <c r="F2059" s="3" t="n">
        <v>45857.3027777778</v>
      </c>
      <c r="G2059" s="2" t="s">
        <v>4011</v>
      </c>
      <c r="H2059" s="4" t="n">
        <v>0.7088</v>
      </c>
      <c r="I2059" s="2" t="s">
        <v>23</v>
      </c>
      <c r="J2059" s="2" t="s">
        <v>19</v>
      </c>
      <c r="K2059" s="2" t="n">
        <v>0</v>
      </c>
      <c r="L2059" s="2" t="n">
        <v>0</v>
      </c>
      <c r="M2059" s="2" t="n">
        <v>1</v>
      </c>
    </row>
    <row r="2060" customFormat="false" ht="15" hidden="false" customHeight="false" outlineLevel="0" collapsed="false">
      <c r="A2060" s="2" t="s">
        <v>4384</v>
      </c>
      <c r="B2060" s="2" t="s">
        <v>4385</v>
      </c>
      <c r="C2060" s="2" t="n">
        <v>5</v>
      </c>
      <c r="D2060" s="2" t="s">
        <v>90</v>
      </c>
      <c r="E2060" s="2" t="s">
        <v>4154</v>
      </c>
      <c r="F2060" s="3" t="n">
        <v>45857.4486111111</v>
      </c>
      <c r="G2060" s="2" t="s">
        <v>4011</v>
      </c>
      <c r="H2060" s="4" t="n">
        <v>0.6249</v>
      </c>
      <c r="I2060" s="2" t="s">
        <v>23</v>
      </c>
      <c r="J2060" s="2" t="s">
        <v>37</v>
      </c>
      <c r="K2060" s="2" t="n">
        <v>3</v>
      </c>
      <c r="L2060" s="2" t="n">
        <v>0</v>
      </c>
      <c r="M2060" s="2" t="n">
        <v>1</v>
      </c>
    </row>
    <row r="2061" customFormat="false" ht="15" hidden="false" customHeight="false" outlineLevel="0" collapsed="false">
      <c r="A2061" s="2" t="s">
        <v>4386</v>
      </c>
      <c r="B2061" s="2" t="s">
        <v>4387</v>
      </c>
      <c r="C2061" s="2" t="n">
        <v>4</v>
      </c>
      <c r="D2061" s="2" t="s">
        <v>3104</v>
      </c>
      <c r="E2061" s="2" t="s">
        <v>4154</v>
      </c>
      <c r="F2061" s="3" t="n">
        <v>45857.5854166667</v>
      </c>
      <c r="G2061" s="2" t="s">
        <v>4011</v>
      </c>
      <c r="H2061" s="4" t="n">
        <v>0.3089</v>
      </c>
      <c r="I2061" s="2" t="s">
        <v>23</v>
      </c>
      <c r="J2061" s="2" t="s">
        <v>19</v>
      </c>
      <c r="K2061" s="2" t="n">
        <v>1</v>
      </c>
      <c r="L2061" s="2" t="n">
        <v>0</v>
      </c>
      <c r="M2061" s="2" t="n">
        <v>1</v>
      </c>
    </row>
    <row r="2062" customFormat="false" ht="15" hidden="false" customHeight="false" outlineLevel="0" collapsed="false">
      <c r="A2062" s="2" t="s">
        <v>4388</v>
      </c>
      <c r="B2062" s="2" t="s">
        <v>4389</v>
      </c>
      <c r="C2062" s="2" t="n">
        <v>4</v>
      </c>
      <c r="D2062" s="2" t="s">
        <v>127</v>
      </c>
      <c r="E2062" s="2" t="s">
        <v>4154</v>
      </c>
      <c r="F2062" s="3" t="n">
        <v>45857.6159722222</v>
      </c>
      <c r="G2062" s="2" t="s">
        <v>4011</v>
      </c>
      <c r="H2062" s="4" t="n">
        <v>0.9359</v>
      </c>
      <c r="I2062" s="2" t="s">
        <v>23</v>
      </c>
      <c r="J2062" s="2" t="s">
        <v>37</v>
      </c>
      <c r="K2062" s="2" t="n">
        <v>3</v>
      </c>
      <c r="L2062" s="2" t="n">
        <v>0</v>
      </c>
      <c r="M2062" s="2" t="n">
        <v>1</v>
      </c>
    </row>
    <row r="2063" customFormat="false" ht="15" hidden="false" customHeight="false" outlineLevel="0" collapsed="false">
      <c r="A2063" s="2" t="s">
        <v>4390</v>
      </c>
      <c r="B2063" s="2" t="s">
        <v>4391</v>
      </c>
      <c r="C2063" s="2" t="n">
        <v>5</v>
      </c>
      <c r="D2063" s="2" t="s">
        <v>1279</v>
      </c>
      <c r="E2063" s="2" t="s">
        <v>4154</v>
      </c>
      <c r="F2063" s="3" t="n">
        <v>45857.6361111111</v>
      </c>
      <c r="G2063" s="2" t="s">
        <v>4011</v>
      </c>
      <c r="H2063" s="4" t="n">
        <v>0.7783</v>
      </c>
      <c r="I2063" s="2" t="s">
        <v>23</v>
      </c>
      <c r="J2063" s="2" t="s">
        <v>37</v>
      </c>
      <c r="K2063" s="2" t="n">
        <v>4</v>
      </c>
      <c r="L2063" s="2" t="n">
        <v>0</v>
      </c>
      <c r="M2063" s="2" t="n">
        <v>1</v>
      </c>
    </row>
    <row r="2064" customFormat="false" ht="15" hidden="false" customHeight="false" outlineLevel="0" collapsed="false">
      <c r="A2064" s="2" t="s">
        <v>4392</v>
      </c>
      <c r="B2064" s="2" t="s">
        <v>4393</v>
      </c>
      <c r="C2064" s="2" t="n">
        <v>5</v>
      </c>
      <c r="D2064" s="2" t="s">
        <v>90</v>
      </c>
      <c r="E2064" s="2" t="s">
        <v>4154</v>
      </c>
      <c r="F2064" s="3" t="n">
        <v>45857.6763888889</v>
      </c>
      <c r="G2064" s="2" t="s">
        <v>4011</v>
      </c>
      <c r="H2064" s="4" t="n">
        <v>0.6249</v>
      </c>
      <c r="I2064" s="2" t="s">
        <v>23</v>
      </c>
      <c r="J2064" s="2" t="s">
        <v>37</v>
      </c>
      <c r="K2064" s="2" t="n">
        <v>1</v>
      </c>
      <c r="L2064" s="2" t="n">
        <v>0</v>
      </c>
      <c r="M2064" s="2" t="n">
        <v>1</v>
      </c>
    </row>
    <row r="2065" customFormat="false" ht="15" hidden="false" customHeight="false" outlineLevel="0" collapsed="false">
      <c r="A2065" s="2" t="s">
        <v>4394</v>
      </c>
      <c r="B2065" s="2" t="s">
        <v>4395</v>
      </c>
      <c r="C2065" s="2" t="n">
        <v>4</v>
      </c>
      <c r="D2065" s="2" t="s">
        <v>47</v>
      </c>
      <c r="E2065" s="2" t="s">
        <v>4154</v>
      </c>
      <c r="F2065" s="3" t="n">
        <v>45857.7944444444</v>
      </c>
      <c r="G2065" s="2" t="s">
        <v>4011</v>
      </c>
      <c r="H2065" s="4" t="n">
        <v>0.3089</v>
      </c>
      <c r="I2065" s="2" t="s">
        <v>23</v>
      </c>
      <c r="J2065" s="2" t="s">
        <v>19</v>
      </c>
      <c r="K2065" s="2" t="n">
        <v>1</v>
      </c>
      <c r="L2065" s="2" t="n">
        <v>0</v>
      </c>
      <c r="M2065" s="2" t="n">
        <v>1</v>
      </c>
    </row>
    <row r="2066" customFormat="false" ht="15" hidden="false" customHeight="false" outlineLevel="0" collapsed="false">
      <c r="A2066" s="2" t="s">
        <v>4396</v>
      </c>
      <c r="B2066" s="2" t="s">
        <v>4397</v>
      </c>
      <c r="C2066" s="2" t="n">
        <v>3</v>
      </c>
      <c r="D2066" s="2" t="s">
        <v>22</v>
      </c>
      <c r="E2066" s="2" t="s">
        <v>4154</v>
      </c>
      <c r="F2066" s="3" t="n">
        <v>45857.9645833333</v>
      </c>
      <c r="G2066" s="2" t="s">
        <v>4011</v>
      </c>
      <c r="H2066" s="4" t="n">
        <v>0.2023</v>
      </c>
      <c r="I2066" s="2" t="s">
        <v>23</v>
      </c>
      <c r="J2066" s="2" t="s">
        <v>19</v>
      </c>
      <c r="K2066" s="2" t="n">
        <v>0</v>
      </c>
      <c r="L2066" s="2" t="n">
        <v>0</v>
      </c>
      <c r="M2066" s="2" t="n">
        <v>1</v>
      </c>
    </row>
    <row r="2067" customFormat="false" ht="15" hidden="false" customHeight="false" outlineLevel="0" collapsed="false">
      <c r="A2067" s="2" t="s">
        <v>4398</v>
      </c>
      <c r="B2067" s="2" t="s">
        <v>4399</v>
      </c>
      <c r="C2067" s="2" t="n">
        <v>5</v>
      </c>
      <c r="D2067" s="2" t="s">
        <v>420</v>
      </c>
      <c r="E2067" s="2" t="s">
        <v>4154</v>
      </c>
      <c r="F2067" s="3" t="n">
        <v>45857.9944444444</v>
      </c>
      <c r="G2067" s="2" t="s">
        <v>4011</v>
      </c>
      <c r="H2067" s="4" t="n">
        <v>0.7845</v>
      </c>
      <c r="I2067" s="2" t="s">
        <v>23</v>
      </c>
      <c r="J2067" s="2" t="s">
        <v>33</v>
      </c>
      <c r="K2067" s="2" t="n">
        <v>2</v>
      </c>
      <c r="L2067" s="2" t="n">
        <v>0</v>
      </c>
      <c r="M2067" s="2" t="n">
        <v>1</v>
      </c>
    </row>
    <row r="2068" customFormat="false" ht="15" hidden="false" customHeight="false" outlineLevel="0" collapsed="false">
      <c r="A2068" s="2" t="s">
        <v>4400</v>
      </c>
      <c r="B2068" s="2" t="s">
        <v>4401</v>
      </c>
      <c r="C2068" s="2" t="n">
        <v>5</v>
      </c>
      <c r="D2068" s="2" t="s">
        <v>96</v>
      </c>
      <c r="E2068" s="2" t="s">
        <v>4154</v>
      </c>
      <c r="F2068" s="3" t="n">
        <v>45858</v>
      </c>
      <c r="G2068" s="2" t="s">
        <v>4011</v>
      </c>
      <c r="H2068" s="4" t="n">
        <v>0.6369</v>
      </c>
      <c r="I2068" s="2" t="s">
        <v>23</v>
      </c>
      <c r="J2068" s="2" t="s">
        <v>19</v>
      </c>
      <c r="K2068" s="2" t="n">
        <v>1</v>
      </c>
      <c r="L2068" s="2" t="n">
        <v>0</v>
      </c>
      <c r="M2068" s="2" t="n">
        <v>1</v>
      </c>
    </row>
    <row r="2069" customFormat="false" ht="15" hidden="false" customHeight="false" outlineLevel="0" collapsed="false">
      <c r="A2069" s="2" t="s">
        <v>4402</v>
      </c>
      <c r="B2069" s="2" t="s">
        <v>4403</v>
      </c>
      <c r="C2069" s="2" t="n">
        <v>4</v>
      </c>
      <c r="D2069" s="2" t="s">
        <v>87</v>
      </c>
      <c r="E2069" s="2" t="s">
        <v>4154</v>
      </c>
      <c r="F2069" s="3" t="n">
        <v>45858.0236111111</v>
      </c>
      <c r="G2069" s="2" t="s">
        <v>4011</v>
      </c>
      <c r="H2069" s="4" t="n">
        <v>0</v>
      </c>
      <c r="I2069" s="2" t="s">
        <v>18</v>
      </c>
      <c r="J2069" s="2" t="s">
        <v>19</v>
      </c>
      <c r="K2069" s="2" t="n">
        <v>5</v>
      </c>
      <c r="L2069" s="2" t="n">
        <v>0</v>
      </c>
      <c r="M2069" s="2" t="n">
        <v>1</v>
      </c>
    </row>
    <row r="2070" customFormat="false" ht="15" hidden="false" customHeight="false" outlineLevel="0" collapsed="false">
      <c r="A2070" s="2" t="s">
        <v>4404</v>
      </c>
      <c r="B2070" s="2" t="s">
        <v>4405</v>
      </c>
      <c r="C2070" s="2" t="n">
        <v>4</v>
      </c>
      <c r="D2070" s="2" t="s">
        <v>4406</v>
      </c>
      <c r="E2070" s="2" t="s">
        <v>4154</v>
      </c>
      <c r="F2070" s="3" t="n">
        <v>45858.0965277778</v>
      </c>
      <c r="G2070" s="2" t="s">
        <v>4011</v>
      </c>
      <c r="H2070" s="4" t="n">
        <v>0.7845</v>
      </c>
      <c r="I2070" s="2" t="s">
        <v>23</v>
      </c>
      <c r="J2070" s="2" t="s">
        <v>33</v>
      </c>
      <c r="K2070" s="2" t="n">
        <v>8</v>
      </c>
      <c r="L2070" s="2" t="n">
        <v>0</v>
      </c>
      <c r="M2070" s="2" t="n">
        <v>1</v>
      </c>
    </row>
    <row r="2071" customFormat="false" ht="15" hidden="false" customHeight="false" outlineLevel="0" collapsed="false">
      <c r="A2071" s="2" t="s">
        <v>4407</v>
      </c>
      <c r="B2071" s="2" t="s">
        <v>4408</v>
      </c>
      <c r="C2071" s="2" t="n">
        <v>4</v>
      </c>
      <c r="D2071" s="2" t="s">
        <v>15</v>
      </c>
      <c r="E2071" s="2" t="s">
        <v>4154</v>
      </c>
      <c r="F2071" s="3" t="n">
        <v>45858.28125</v>
      </c>
      <c r="G2071" s="2" t="s">
        <v>4011</v>
      </c>
      <c r="H2071" s="4" t="n">
        <v>0</v>
      </c>
      <c r="I2071" s="2" t="s">
        <v>18</v>
      </c>
      <c r="J2071" s="2" t="s">
        <v>19</v>
      </c>
      <c r="K2071" s="2" t="n">
        <v>9</v>
      </c>
      <c r="L2071" s="2" t="n">
        <v>0</v>
      </c>
      <c r="M2071" s="2" t="n">
        <v>1</v>
      </c>
    </row>
    <row r="2072" customFormat="false" ht="15" hidden="false" customHeight="false" outlineLevel="0" collapsed="false">
      <c r="A2072" s="2" t="s">
        <v>4409</v>
      </c>
      <c r="B2072" s="2" t="s">
        <v>4410</v>
      </c>
      <c r="C2072" s="2" t="n">
        <v>5</v>
      </c>
      <c r="D2072" s="2" t="s">
        <v>40</v>
      </c>
      <c r="E2072" s="2" t="s">
        <v>4154</v>
      </c>
      <c r="F2072" s="3" t="n">
        <v>45858.3458333333</v>
      </c>
      <c r="G2072" s="2" t="s">
        <v>4011</v>
      </c>
      <c r="H2072" s="4" t="n">
        <v>0.4019</v>
      </c>
      <c r="I2072" s="2" t="s">
        <v>23</v>
      </c>
      <c r="J2072" s="2" t="s">
        <v>33</v>
      </c>
      <c r="K2072" s="2" t="n">
        <v>6</v>
      </c>
      <c r="L2072" s="2" t="n">
        <v>0</v>
      </c>
      <c r="M2072" s="2" t="n">
        <v>1</v>
      </c>
    </row>
    <row r="2073" customFormat="false" ht="15" hidden="false" customHeight="false" outlineLevel="0" collapsed="false">
      <c r="A2073" s="2" t="s">
        <v>4411</v>
      </c>
      <c r="B2073" s="2" t="s">
        <v>4412</v>
      </c>
      <c r="C2073" s="2" t="n">
        <v>5</v>
      </c>
      <c r="D2073" s="2" t="s">
        <v>96</v>
      </c>
      <c r="E2073" s="2" t="s">
        <v>4154</v>
      </c>
      <c r="F2073" s="3" t="n">
        <v>45858.38125</v>
      </c>
      <c r="G2073" s="2" t="s">
        <v>4011</v>
      </c>
      <c r="H2073" s="4" t="n">
        <v>0.6369</v>
      </c>
      <c r="I2073" s="2" t="s">
        <v>23</v>
      </c>
      <c r="J2073" s="2" t="s">
        <v>19</v>
      </c>
      <c r="K2073" s="2" t="n">
        <v>1</v>
      </c>
      <c r="L2073" s="2" t="n">
        <v>0</v>
      </c>
      <c r="M2073" s="2" t="n">
        <v>1</v>
      </c>
    </row>
    <row r="2074" customFormat="false" ht="15" hidden="false" customHeight="false" outlineLevel="0" collapsed="false">
      <c r="A2074" s="2" t="s">
        <v>4413</v>
      </c>
      <c r="B2074" s="2" t="s">
        <v>4414</v>
      </c>
      <c r="C2074" s="2" t="n">
        <v>4</v>
      </c>
      <c r="D2074" s="2" t="s">
        <v>90</v>
      </c>
      <c r="E2074" s="2" t="s">
        <v>4154</v>
      </c>
      <c r="F2074" s="3" t="n">
        <v>45858.4319444444</v>
      </c>
      <c r="G2074" s="2" t="s">
        <v>4011</v>
      </c>
      <c r="H2074" s="4" t="n">
        <v>0.6249</v>
      </c>
      <c r="I2074" s="2" t="s">
        <v>23</v>
      </c>
      <c r="J2074" s="2" t="s">
        <v>37</v>
      </c>
      <c r="K2074" s="2" t="n">
        <v>9</v>
      </c>
      <c r="L2074" s="2" t="n">
        <v>0</v>
      </c>
      <c r="M2074" s="2" t="n">
        <v>1</v>
      </c>
    </row>
    <row r="2075" customFormat="false" ht="15" hidden="false" customHeight="false" outlineLevel="0" collapsed="false">
      <c r="A2075" s="2" t="s">
        <v>4415</v>
      </c>
      <c r="B2075" s="2" t="s">
        <v>4416</v>
      </c>
      <c r="C2075" s="2" t="n">
        <v>5</v>
      </c>
      <c r="D2075" s="2" t="s">
        <v>96</v>
      </c>
      <c r="E2075" s="2" t="s">
        <v>4154</v>
      </c>
      <c r="F2075" s="3" t="n">
        <v>45858.4416666667</v>
      </c>
      <c r="G2075" s="2" t="s">
        <v>4011</v>
      </c>
      <c r="H2075" s="4" t="n">
        <v>0.6369</v>
      </c>
      <c r="I2075" s="2" t="s">
        <v>23</v>
      </c>
      <c r="J2075" s="2" t="s">
        <v>19</v>
      </c>
      <c r="K2075" s="2" t="n">
        <v>1</v>
      </c>
      <c r="L2075" s="2" t="n">
        <v>0</v>
      </c>
      <c r="M2075" s="2" t="n">
        <v>1</v>
      </c>
    </row>
    <row r="2076" customFormat="false" ht="15" hidden="false" customHeight="false" outlineLevel="0" collapsed="false">
      <c r="A2076" s="2" t="s">
        <v>4417</v>
      </c>
      <c r="B2076" s="2" t="s">
        <v>4418</v>
      </c>
      <c r="C2076" s="2" t="n">
        <v>5</v>
      </c>
      <c r="D2076" s="2" t="s">
        <v>40</v>
      </c>
      <c r="E2076" s="2" t="s">
        <v>4154</v>
      </c>
      <c r="F2076" s="3" t="n">
        <v>45858.4576388889</v>
      </c>
      <c r="G2076" s="2" t="s">
        <v>4011</v>
      </c>
      <c r="H2076" s="4" t="n">
        <v>0.4019</v>
      </c>
      <c r="I2076" s="2" t="s">
        <v>23</v>
      </c>
      <c r="J2076" s="2" t="s">
        <v>33</v>
      </c>
      <c r="K2076" s="2" t="n">
        <v>1</v>
      </c>
      <c r="L2076" s="2" t="n">
        <v>0</v>
      </c>
      <c r="M2076" s="2" t="n">
        <v>1</v>
      </c>
    </row>
    <row r="2077" customFormat="false" ht="15" hidden="false" customHeight="false" outlineLevel="0" collapsed="false">
      <c r="A2077" s="2" t="s">
        <v>4419</v>
      </c>
      <c r="B2077" s="2" t="s">
        <v>4420</v>
      </c>
      <c r="C2077" s="2" t="n">
        <v>5</v>
      </c>
      <c r="D2077" s="2" t="s">
        <v>1387</v>
      </c>
      <c r="E2077" s="2" t="s">
        <v>4154</v>
      </c>
      <c r="F2077" s="3" t="n">
        <v>45858.5159722222</v>
      </c>
      <c r="G2077" s="2" t="s">
        <v>4011</v>
      </c>
      <c r="H2077" s="4" t="n">
        <v>0.9359</v>
      </c>
      <c r="I2077" s="2" t="s">
        <v>23</v>
      </c>
      <c r="J2077" s="2" t="s">
        <v>37</v>
      </c>
      <c r="K2077" s="2" t="n">
        <v>0</v>
      </c>
      <c r="L2077" s="2" t="n">
        <v>0</v>
      </c>
      <c r="M2077" s="2" t="n">
        <v>1</v>
      </c>
    </row>
    <row r="2078" customFormat="false" ht="15" hidden="false" customHeight="false" outlineLevel="0" collapsed="false">
      <c r="A2078" s="2" t="s">
        <v>4421</v>
      </c>
      <c r="B2078" s="2" t="s">
        <v>4422</v>
      </c>
      <c r="C2078" s="2" t="n">
        <v>4</v>
      </c>
      <c r="D2078" s="2" t="s">
        <v>90</v>
      </c>
      <c r="E2078" s="2" t="s">
        <v>4154</v>
      </c>
      <c r="F2078" s="3" t="n">
        <v>45858.8013888889</v>
      </c>
      <c r="G2078" s="2" t="s">
        <v>4011</v>
      </c>
      <c r="H2078" s="4" t="n">
        <v>0.6249</v>
      </c>
      <c r="I2078" s="2" t="s">
        <v>23</v>
      </c>
      <c r="J2078" s="2" t="s">
        <v>37</v>
      </c>
      <c r="K2078" s="2" t="n">
        <v>11</v>
      </c>
      <c r="L2078" s="2" t="n">
        <v>0</v>
      </c>
      <c r="M2078" s="2" t="n">
        <v>1</v>
      </c>
    </row>
    <row r="2079" customFormat="false" ht="15" hidden="false" customHeight="false" outlineLevel="0" collapsed="false">
      <c r="A2079" s="2" t="s">
        <v>4423</v>
      </c>
      <c r="B2079" s="2" t="s">
        <v>4424</v>
      </c>
      <c r="C2079" s="2" t="n">
        <v>4</v>
      </c>
      <c r="D2079" s="2" t="s">
        <v>47</v>
      </c>
      <c r="E2079" s="2" t="s">
        <v>4154</v>
      </c>
      <c r="F2079" s="3" t="n">
        <v>45859.5659722222</v>
      </c>
      <c r="G2079" s="2" t="s">
        <v>4011</v>
      </c>
      <c r="H2079" s="4" t="n">
        <v>0.3089</v>
      </c>
      <c r="I2079" s="2" t="s">
        <v>23</v>
      </c>
      <c r="J2079" s="2" t="s">
        <v>19</v>
      </c>
      <c r="K2079" s="2" t="n">
        <v>1</v>
      </c>
      <c r="L2079" s="2" t="n">
        <v>0</v>
      </c>
      <c r="M2079" s="2" t="n">
        <v>1</v>
      </c>
    </row>
    <row r="2080" customFormat="false" ht="15" hidden="false" customHeight="false" outlineLevel="0" collapsed="false">
      <c r="A2080" s="2" t="s">
        <v>4425</v>
      </c>
      <c r="B2080" s="2" t="s">
        <v>4426</v>
      </c>
      <c r="C2080" s="2" t="n">
        <v>5</v>
      </c>
      <c r="D2080" s="2" t="s">
        <v>52</v>
      </c>
      <c r="E2080" s="2" t="s">
        <v>4154</v>
      </c>
      <c r="F2080" s="3" t="n">
        <v>45859.59375</v>
      </c>
      <c r="G2080" s="2" t="s">
        <v>4011</v>
      </c>
      <c r="H2080" s="4" t="n">
        <v>0.6369</v>
      </c>
      <c r="I2080" s="2" t="s">
        <v>23</v>
      </c>
      <c r="J2080" s="2" t="s">
        <v>19</v>
      </c>
      <c r="K2080" s="2" t="n">
        <v>3</v>
      </c>
      <c r="L2080" s="2" t="n">
        <v>0</v>
      </c>
      <c r="M2080" s="2" t="n">
        <v>1</v>
      </c>
    </row>
    <row r="2081" customFormat="false" ht="15" hidden="false" customHeight="false" outlineLevel="0" collapsed="false">
      <c r="A2081" s="2" t="s">
        <v>4427</v>
      </c>
      <c r="B2081" s="2" t="s">
        <v>4428</v>
      </c>
      <c r="C2081" s="2" t="n">
        <v>2</v>
      </c>
      <c r="D2081" s="2" t="s">
        <v>482</v>
      </c>
      <c r="E2081" s="2" t="s">
        <v>4154</v>
      </c>
      <c r="F2081" s="3" t="n">
        <v>45859.9027777778</v>
      </c>
      <c r="G2081" s="2" t="s">
        <v>4011</v>
      </c>
      <c r="H2081" s="4" t="n">
        <v>-0.6808</v>
      </c>
      <c r="I2081" s="2" t="s">
        <v>84</v>
      </c>
      <c r="J2081" s="2" t="s">
        <v>110</v>
      </c>
      <c r="K2081" s="2" t="n">
        <v>0</v>
      </c>
      <c r="L2081" s="2" t="n">
        <v>0</v>
      </c>
      <c r="M2081" s="2" t="n">
        <v>1</v>
      </c>
    </row>
    <row r="2082" customFormat="false" ht="15" hidden="false" customHeight="false" outlineLevel="0" collapsed="false">
      <c r="A2082" s="2" t="s">
        <v>4429</v>
      </c>
      <c r="B2082" s="2" t="s">
        <v>4430</v>
      </c>
      <c r="C2082" s="2" t="n">
        <v>5</v>
      </c>
      <c r="D2082" s="2" t="s">
        <v>47</v>
      </c>
      <c r="E2082" s="2" t="s">
        <v>4154</v>
      </c>
      <c r="F2082" s="3" t="n">
        <v>45859.9590277778</v>
      </c>
      <c r="G2082" s="2" t="s">
        <v>4011</v>
      </c>
      <c r="H2082" s="4" t="n">
        <v>0.3089</v>
      </c>
      <c r="I2082" s="2" t="s">
        <v>23</v>
      </c>
      <c r="J2082" s="2" t="s">
        <v>19</v>
      </c>
      <c r="K2082" s="2" t="n">
        <v>1</v>
      </c>
      <c r="L2082" s="2" t="n">
        <v>0</v>
      </c>
      <c r="M2082" s="2" t="n">
        <v>1</v>
      </c>
    </row>
    <row r="2083" customFormat="false" ht="15" hidden="false" customHeight="false" outlineLevel="0" collapsed="false">
      <c r="A2083" s="2" t="s">
        <v>4431</v>
      </c>
      <c r="B2083" s="2" t="s">
        <v>4432</v>
      </c>
      <c r="C2083" s="2" t="n">
        <v>2</v>
      </c>
      <c r="D2083" s="2" t="s">
        <v>83</v>
      </c>
      <c r="E2083" s="2" t="s">
        <v>4154</v>
      </c>
      <c r="F2083" s="3" t="n">
        <v>45860.0284722222</v>
      </c>
      <c r="G2083" s="2" t="s">
        <v>4011</v>
      </c>
      <c r="H2083" s="4" t="n">
        <v>-0.6166</v>
      </c>
      <c r="I2083" s="2" t="s">
        <v>84</v>
      </c>
      <c r="J2083" s="2" t="s">
        <v>59</v>
      </c>
      <c r="K2083" s="2" t="n">
        <v>0</v>
      </c>
      <c r="L2083" s="2" t="n">
        <v>0</v>
      </c>
      <c r="M2083" s="2" t="n">
        <v>0</v>
      </c>
    </row>
    <row r="2084" customFormat="false" ht="15" hidden="false" customHeight="false" outlineLevel="0" collapsed="false">
      <c r="A2084" s="2" t="s">
        <v>4433</v>
      </c>
      <c r="B2084" s="2" t="s">
        <v>4434</v>
      </c>
      <c r="C2084" s="2" t="n">
        <v>4</v>
      </c>
      <c r="D2084" s="2" t="s">
        <v>96</v>
      </c>
      <c r="E2084" s="2" t="s">
        <v>4154</v>
      </c>
      <c r="F2084" s="3" t="n">
        <v>45860.0409722222</v>
      </c>
      <c r="G2084" s="2" t="s">
        <v>4011</v>
      </c>
      <c r="H2084" s="4" t="n">
        <v>0.6369</v>
      </c>
      <c r="I2084" s="2" t="s">
        <v>23</v>
      </c>
      <c r="J2084" s="2" t="s">
        <v>19</v>
      </c>
      <c r="K2084" s="2" t="n">
        <v>4</v>
      </c>
      <c r="L2084" s="2" t="n">
        <v>0</v>
      </c>
      <c r="M2084" s="2" t="n">
        <v>0</v>
      </c>
    </row>
    <row r="2085" customFormat="false" ht="15" hidden="false" customHeight="false" outlineLevel="0" collapsed="false">
      <c r="A2085" s="2" t="s">
        <v>4435</v>
      </c>
      <c r="B2085" s="2" t="s">
        <v>4436</v>
      </c>
      <c r="C2085" s="2" t="n">
        <v>3</v>
      </c>
      <c r="D2085" s="2" t="s">
        <v>87</v>
      </c>
      <c r="E2085" s="2" t="s">
        <v>4154</v>
      </c>
      <c r="F2085" s="3" t="n">
        <v>45860.2208333333</v>
      </c>
      <c r="G2085" s="2" t="s">
        <v>4011</v>
      </c>
      <c r="H2085" s="4" t="n">
        <v>0</v>
      </c>
      <c r="I2085" s="2" t="s">
        <v>18</v>
      </c>
      <c r="J2085" s="2" t="s">
        <v>19</v>
      </c>
      <c r="K2085" s="2" t="n">
        <v>4</v>
      </c>
      <c r="L2085" s="2" t="n">
        <v>0</v>
      </c>
      <c r="M2085" s="2" t="n">
        <v>0</v>
      </c>
    </row>
    <row r="2086" customFormat="false" ht="15" hidden="false" customHeight="false" outlineLevel="0" collapsed="false">
      <c r="A2086" s="2" t="s">
        <v>4437</v>
      </c>
      <c r="B2086" s="2" t="s">
        <v>4438</v>
      </c>
      <c r="C2086" s="2" t="n">
        <v>2</v>
      </c>
      <c r="D2086" s="2" t="s">
        <v>2816</v>
      </c>
      <c r="E2086" s="2" t="s">
        <v>4154</v>
      </c>
      <c r="F2086" s="3" t="n">
        <v>45860.2444444444</v>
      </c>
      <c r="G2086" s="2" t="s">
        <v>4011</v>
      </c>
      <c r="H2086" s="4" t="n">
        <v>0</v>
      </c>
      <c r="I2086" s="2" t="s">
        <v>18</v>
      </c>
      <c r="J2086" s="2" t="s">
        <v>110</v>
      </c>
      <c r="K2086" s="2" t="n">
        <v>0</v>
      </c>
      <c r="L2086" s="2" t="n">
        <v>1</v>
      </c>
      <c r="M2086" s="2" t="n">
        <v>0</v>
      </c>
    </row>
    <row r="2087" customFormat="false" ht="15" hidden="false" customHeight="false" outlineLevel="0" collapsed="false">
      <c r="A2087" s="2" t="s">
        <v>4439</v>
      </c>
      <c r="B2087" s="2" t="s">
        <v>4440</v>
      </c>
      <c r="C2087" s="2" t="n">
        <v>4</v>
      </c>
      <c r="D2087" s="2" t="s">
        <v>15</v>
      </c>
      <c r="E2087" s="2" t="s">
        <v>4154</v>
      </c>
      <c r="F2087" s="3" t="n">
        <v>45860.3347222222</v>
      </c>
      <c r="G2087" s="2" t="s">
        <v>4011</v>
      </c>
      <c r="H2087" s="4" t="n">
        <v>0</v>
      </c>
      <c r="I2087" s="2" t="s">
        <v>18</v>
      </c>
      <c r="J2087" s="2" t="s">
        <v>19</v>
      </c>
      <c r="K2087" s="2" t="n">
        <v>4</v>
      </c>
      <c r="L2087" s="2" t="n">
        <v>0</v>
      </c>
      <c r="M2087" s="2" t="n">
        <v>0</v>
      </c>
    </row>
    <row r="2088" customFormat="false" ht="15" hidden="false" customHeight="false" outlineLevel="0" collapsed="false">
      <c r="A2088" s="2" t="s">
        <v>4441</v>
      </c>
      <c r="B2088" s="2" t="s">
        <v>4442</v>
      </c>
      <c r="C2088" s="2" t="n">
        <v>5</v>
      </c>
      <c r="D2088" s="2" t="s">
        <v>1004</v>
      </c>
      <c r="E2088" s="2" t="s">
        <v>4154</v>
      </c>
      <c r="F2088" s="3" t="n">
        <v>45860.3409722222</v>
      </c>
      <c r="G2088" s="2" t="s">
        <v>4011</v>
      </c>
      <c r="H2088" s="4" t="n">
        <v>0.6249</v>
      </c>
      <c r="I2088" s="2" t="s">
        <v>23</v>
      </c>
      <c r="J2088" s="2" t="s">
        <v>37</v>
      </c>
      <c r="K2088" s="2" t="n">
        <v>3</v>
      </c>
      <c r="L2088" s="2" t="n">
        <v>0</v>
      </c>
      <c r="M2088" s="2" t="n">
        <v>0</v>
      </c>
    </row>
    <row r="2089" customFormat="false" ht="15" hidden="false" customHeight="false" outlineLevel="0" collapsed="false">
      <c r="A2089" s="2" t="s">
        <v>4443</v>
      </c>
      <c r="B2089" s="2" t="s">
        <v>4444</v>
      </c>
      <c r="C2089" s="2" t="n">
        <v>3</v>
      </c>
      <c r="D2089" s="2" t="s">
        <v>4445</v>
      </c>
      <c r="E2089" s="2" t="s">
        <v>4154</v>
      </c>
      <c r="F2089" s="3" t="n">
        <v>45860.3784722222</v>
      </c>
      <c r="G2089" s="2" t="s">
        <v>4011</v>
      </c>
      <c r="H2089" s="4" t="n">
        <v>-0.1603</v>
      </c>
      <c r="I2089" s="2" t="s">
        <v>84</v>
      </c>
      <c r="J2089" s="2" t="s">
        <v>19</v>
      </c>
      <c r="K2089" s="2" t="n">
        <v>0</v>
      </c>
      <c r="L2089" s="2" t="n">
        <v>0</v>
      </c>
      <c r="M2089" s="2" t="n">
        <v>0</v>
      </c>
    </row>
    <row r="2090" customFormat="false" ht="15" hidden="false" customHeight="false" outlineLevel="0" collapsed="false">
      <c r="A2090" s="2" t="s">
        <v>4446</v>
      </c>
      <c r="B2090" s="2" t="s">
        <v>3937</v>
      </c>
      <c r="C2090" s="2" t="n">
        <v>5</v>
      </c>
      <c r="D2090" s="2" t="s">
        <v>1249</v>
      </c>
      <c r="E2090" s="2" t="s">
        <v>4154</v>
      </c>
      <c r="F2090" s="3" t="n">
        <v>45860.4215277778</v>
      </c>
      <c r="G2090" s="2" t="s">
        <v>4011</v>
      </c>
      <c r="H2090" s="4" t="n">
        <v>0.8519</v>
      </c>
      <c r="I2090" s="2" t="s">
        <v>23</v>
      </c>
      <c r="J2090" s="2" t="s">
        <v>37</v>
      </c>
      <c r="K2090" s="2" t="n">
        <v>4</v>
      </c>
      <c r="L2090" s="2" t="n">
        <v>0</v>
      </c>
      <c r="M2090" s="2" t="n">
        <v>0</v>
      </c>
    </row>
    <row r="2091" customFormat="false" ht="15" hidden="false" customHeight="false" outlineLevel="0" collapsed="false">
      <c r="A2091" s="2" t="s">
        <v>4447</v>
      </c>
      <c r="B2091" s="2" t="s">
        <v>4448</v>
      </c>
      <c r="C2091" s="2" t="n">
        <v>2</v>
      </c>
      <c r="D2091" s="2" t="s">
        <v>4449</v>
      </c>
      <c r="E2091" s="2" t="s">
        <v>4154</v>
      </c>
      <c r="F2091" s="3" t="n">
        <v>45860.4784722222</v>
      </c>
      <c r="G2091" s="2" t="s">
        <v>4011</v>
      </c>
      <c r="H2091" s="4" t="n">
        <v>-0.0258</v>
      </c>
      <c r="I2091" s="2" t="s">
        <v>18</v>
      </c>
      <c r="J2091" s="2" t="s">
        <v>37</v>
      </c>
      <c r="K2091" s="2" t="n">
        <v>2</v>
      </c>
      <c r="L2091" s="2" t="n">
        <v>0</v>
      </c>
      <c r="M2091" s="2" t="n">
        <v>0</v>
      </c>
    </row>
    <row r="2092" customFormat="false" ht="15" hidden="false" customHeight="false" outlineLevel="0" collapsed="false">
      <c r="A2092" s="2" t="s">
        <v>4450</v>
      </c>
      <c r="B2092" s="2" t="s">
        <v>4451</v>
      </c>
      <c r="C2092" s="2" t="n">
        <v>5</v>
      </c>
      <c r="D2092" s="2" t="s">
        <v>96</v>
      </c>
      <c r="E2092" s="2" t="s">
        <v>4154</v>
      </c>
      <c r="F2092" s="3" t="n">
        <v>45860.4972222222</v>
      </c>
      <c r="G2092" s="2" t="s">
        <v>4011</v>
      </c>
      <c r="H2092" s="4" t="n">
        <v>0.6369</v>
      </c>
      <c r="I2092" s="2" t="s">
        <v>23</v>
      </c>
      <c r="J2092" s="2" t="s">
        <v>19</v>
      </c>
      <c r="K2092" s="2" t="n">
        <v>2</v>
      </c>
      <c r="L2092" s="2" t="n">
        <v>0</v>
      </c>
      <c r="M2092" s="2" t="n">
        <v>0</v>
      </c>
    </row>
    <row r="2093" customFormat="false" ht="15" hidden="false" customHeight="false" outlineLevel="0" collapsed="false">
      <c r="A2093" s="2" t="s">
        <v>4452</v>
      </c>
      <c r="B2093" s="2" t="s">
        <v>4453</v>
      </c>
      <c r="C2093" s="2" t="n">
        <v>3</v>
      </c>
      <c r="D2093" s="2" t="s">
        <v>1491</v>
      </c>
      <c r="E2093" s="2" t="s">
        <v>4154</v>
      </c>
      <c r="F2093" s="3" t="n">
        <v>45860.5375</v>
      </c>
      <c r="G2093" s="2" t="s">
        <v>4011</v>
      </c>
      <c r="H2093" s="4" t="n">
        <v>-0.1174</v>
      </c>
      <c r="I2093" s="2" t="s">
        <v>84</v>
      </c>
      <c r="J2093" s="2" t="s">
        <v>19</v>
      </c>
      <c r="K2093" s="2" t="n">
        <v>1</v>
      </c>
      <c r="L2093" s="2" t="n">
        <v>0</v>
      </c>
      <c r="M2093" s="2" t="n">
        <v>0</v>
      </c>
    </row>
    <row r="2094" customFormat="false" ht="15" hidden="false" customHeight="false" outlineLevel="0" collapsed="false">
      <c r="A2094" s="2" t="s">
        <v>4454</v>
      </c>
      <c r="B2094" s="2" t="s">
        <v>4455</v>
      </c>
      <c r="C2094" s="2" t="n">
        <v>5</v>
      </c>
      <c r="D2094" s="2" t="s">
        <v>62</v>
      </c>
      <c r="E2094" s="2" t="s">
        <v>4154</v>
      </c>
      <c r="F2094" s="3" t="n">
        <v>45860.5381944445</v>
      </c>
      <c r="G2094" s="2" t="s">
        <v>4011</v>
      </c>
      <c r="H2094" s="4" t="n">
        <v>0.7088</v>
      </c>
      <c r="I2094" s="2" t="s">
        <v>23</v>
      </c>
      <c r="J2094" s="2" t="s">
        <v>19</v>
      </c>
      <c r="K2094" s="2" t="n">
        <v>2</v>
      </c>
      <c r="L2094" s="2" t="n">
        <v>0</v>
      </c>
      <c r="M2094" s="2" t="n">
        <v>0</v>
      </c>
    </row>
    <row r="2095" customFormat="false" ht="15" hidden="false" customHeight="false" outlineLevel="0" collapsed="false">
      <c r="A2095" s="2" t="s">
        <v>4456</v>
      </c>
      <c r="B2095" s="2" t="s">
        <v>4457</v>
      </c>
      <c r="C2095" s="2" t="n">
        <v>5</v>
      </c>
      <c r="D2095" s="2" t="s">
        <v>52</v>
      </c>
      <c r="E2095" s="2" t="s">
        <v>4154</v>
      </c>
      <c r="F2095" s="3" t="n">
        <v>45860.5847222222</v>
      </c>
      <c r="G2095" s="2" t="s">
        <v>4011</v>
      </c>
      <c r="H2095" s="4" t="n">
        <v>0.6369</v>
      </c>
      <c r="I2095" s="2" t="s">
        <v>23</v>
      </c>
      <c r="J2095" s="2" t="s">
        <v>19</v>
      </c>
      <c r="K2095" s="2" t="n">
        <v>0</v>
      </c>
      <c r="L2095" s="2" t="n">
        <v>0</v>
      </c>
      <c r="M2095" s="2" t="n">
        <v>0</v>
      </c>
    </row>
    <row r="2096" customFormat="false" ht="15" hidden="false" customHeight="false" outlineLevel="0" collapsed="false">
      <c r="A2096" s="2" t="s">
        <v>4458</v>
      </c>
      <c r="B2096" s="2" t="s">
        <v>4459</v>
      </c>
      <c r="C2096" s="2" t="n">
        <v>2</v>
      </c>
      <c r="D2096" s="2" t="s">
        <v>1912</v>
      </c>
      <c r="E2096" s="2" t="s">
        <v>4154</v>
      </c>
      <c r="F2096" s="3" t="n">
        <v>45860.6666666667</v>
      </c>
      <c r="G2096" s="2" t="s">
        <v>4011</v>
      </c>
      <c r="H2096" s="4" t="n">
        <v>-0.4404</v>
      </c>
      <c r="I2096" s="2" t="s">
        <v>84</v>
      </c>
      <c r="J2096" s="2" t="s">
        <v>33</v>
      </c>
      <c r="K2096" s="2" t="n">
        <v>4</v>
      </c>
      <c r="L2096" s="2" t="n">
        <v>1</v>
      </c>
      <c r="M2096" s="2" t="n">
        <v>0</v>
      </c>
    </row>
    <row r="2097" customFormat="false" ht="15" hidden="false" customHeight="false" outlineLevel="0" collapsed="false">
      <c r="A2097" s="2" t="s">
        <v>4460</v>
      </c>
      <c r="B2097" s="2" t="s">
        <v>4461</v>
      </c>
      <c r="C2097" s="2" t="n">
        <v>5</v>
      </c>
      <c r="D2097" s="2" t="s">
        <v>29</v>
      </c>
      <c r="E2097" s="2" t="s">
        <v>4154</v>
      </c>
      <c r="F2097" s="3" t="n">
        <v>45860.7923611111</v>
      </c>
      <c r="G2097" s="2" t="s">
        <v>4011</v>
      </c>
      <c r="H2097" s="4" t="n">
        <v>0.6369</v>
      </c>
      <c r="I2097" s="2" t="s">
        <v>23</v>
      </c>
      <c r="J2097" s="2" t="s">
        <v>19</v>
      </c>
      <c r="K2097" s="2" t="n">
        <v>1</v>
      </c>
      <c r="L2097" s="2" t="n">
        <v>0</v>
      </c>
      <c r="M2097" s="2" t="n">
        <v>0</v>
      </c>
    </row>
    <row r="2098" customFormat="false" ht="15" hidden="false" customHeight="false" outlineLevel="0" collapsed="false">
      <c r="A2098" s="2" t="s">
        <v>4462</v>
      </c>
      <c r="B2098" s="2" t="s">
        <v>4463</v>
      </c>
      <c r="C2098" s="2" t="n">
        <v>3</v>
      </c>
      <c r="D2098" s="2" t="s">
        <v>2127</v>
      </c>
      <c r="E2098" s="2" t="s">
        <v>4154</v>
      </c>
      <c r="F2098" s="3" t="n">
        <v>45860.9902777778</v>
      </c>
      <c r="G2098" s="2" t="s">
        <v>4011</v>
      </c>
      <c r="H2098" s="4" t="n">
        <v>0.3818</v>
      </c>
      <c r="I2098" s="2" t="s">
        <v>23</v>
      </c>
      <c r="J2098" s="2" t="s">
        <v>19</v>
      </c>
      <c r="K2098" s="2" t="n">
        <v>3</v>
      </c>
      <c r="L2098" s="2" t="n">
        <v>0</v>
      </c>
      <c r="M2098" s="2" t="n">
        <v>0</v>
      </c>
    </row>
    <row r="2099" customFormat="false" ht="15" hidden="false" customHeight="false" outlineLevel="0" collapsed="false">
      <c r="A2099" s="2" t="s">
        <v>4464</v>
      </c>
      <c r="B2099" s="2" t="s">
        <v>4465</v>
      </c>
      <c r="C2099" s="2" t="n">
        <v>4</v>
      </c>
      <c r="D2099" s="2" t="s">
        <v>40</v>
      </c>
      <c r="E2099" s="2" t="s">
        <v>4154</v>
      </c>
      <c r="F2099" s="3" t="n">
        <v>45861.0305555556</v>
      </c>
      <c r="G2099" s="2" t="s">
        <v>4011</v>
      </c>
      <c r="H2099" s="4" t="n">
        <v>0.4019</v>
      </c>
      <c r="I2099" s="2" t="s">
        <v>23</v>
      </c>
      <c r="J2099" s="2" t="s">
        <v>33</v>
      </c>
      <c r="K2099" s="2" t="n">
        <v>1</v>
      </c>
      <c r="L2099" s="2" t="n">
        <v>0</v>
      </c>
      <c r="M2099" s="2" t="n">
        <v>0</v>
      </c>
    </row>
    <row r="2100" customFormat="false" ht="15" hidden="false" customHeight="false" outlineLevel="0" collapsed="false">
      <c r="A2100" s="2" t="s">
        <v>4466</v>
      </c>
      <c r="B2100" s="2" t="s">
        <v>4467</v>
      </c>
      <c r="C2100" s="2" t="n">
        <v>1</v>
      </c>
      <c r="D2100" s="2" t="s">
        <v>168</v>
      </c>
      <c r="E2100" s="2" t="s">
        <v>4154</v>
      </c>
      <c r="F2100" s="3" t="n">
        <v>45861.0597222222</v>
      </c>
      <c r="G2100" s="2" t="s">
        <v>4011</v>
      </c>
      <c r="H2100" s="4" t="n">
        <v>-0.1027</v>
      </c>
      <c r="I2100" s="2" t="s">
        <v>84</v>
      </c>
      <c r="J2100" s="2" t="s">
        <v>33</v>
      </c>
      <c r="K2100" s="2" t="n">
        <v>4</v>
      </c>
      <c r="L2100" s="2" t="n">
        <v>1</v>
      </c>
      <c r="M2100" s="2" t="n">
        <v>0</v>
      </c>
    </row>
    <row r="2101" customFormat="false" ht="15" hidden="false" customHeight="false" outlineLevel="0" collapsed="false">
      <c r="A2101" s="2" t="s">
        <v>4468</v>
      </c>
      <c r="B2101" s="2" t="s">
        <v>4469</v>
      </c>
      <c r="C2101" s="2" t="n">
        <v>4</v>
      </c>
      <c r="D2101" s="2" t="s">
        <v>127</v>
      </c>
      <c r="E2101" s="2" t="s">
        <v>4154</v>
      </c>
      <c r="F2101" s="3" t="n">
        <v>45861.1229166667</v>
      </c>
      <c r="G2101" s="2" t="s">
        <v>4011</v>
      </c>
      <c r="H2101" s="4" t="n">
        <v>0.9359</v>
      </c>
      <c r="I2101" s="2" t="s">
        <v>23</v>
      </c>
      <c r="J2101" s="2" t="s">
        <v>37</v>
      </c>
      <c r="K2101" s="2" t="n">
        <v>2</v>
      </c>
      <c r="L2101" s="2" t="n">
        <v>0</v>
      </c>
      <c r="M2101" s="2" t="n">
        <v>0</v>
      </c>
    </row>
    <row r="2102" customFormat="false" ht="15" hidden="false" customHeight="false" outlineLevel="0" collapsed="false">
      <c r="A2102" s="2" t="s">
        <v>4470</v>
      </c>
      <c r="B2102" s="2" t="s">
        <v>4471</v>
      </c>
      <c r="C2102" s="2" t="n">
        <v>1</v>
      </c>
      <c r="D2102" s="2" t="s">
        <v>1034</v>
      </c>
      <c r="E2102" s="2" t="s">
        <v>4154</v>
      </c>
      <c r="F2102" s="3" t="n">
        <v>45861.1666666667</v>
      </c>
      <c r="G2102" s="2" t="s">
        <v>4011</v>
      </c>
      <c r="H2102" s="4" t="n">
        <v>0</v>
      </c>
      <c r="I2102" s="2" t="s">
        <v>18</v>
      </c>
      <c r="J2102" s="2" t="s">
        <v>110</v>
      </c>
      <c r="K2102" s="2" t="n">
        <v>0</v>
      </c>
      <c r="L2102" s="2" t="n">
        <v>0</v>
      </c>
      <c r="M2102" s="2" t="n">
        <v>0</v>
      </c>
    </row>
    <row r="2103" customFormat="false" ht="15" hidden="false" customHeight="false" outlineLevel="0" collapsed="false">
      <c r="A2103" s="2" t="s">
        <v>4472</v>
      </c>
      <c r="B2103" s="2" t="s">
        <v>4473</v>
      </c>
      <c r="C2103" s="2" t="n">
        <v>4</v>
      </c>
      <c r="D2103" s="2" t="s">
        <v>1197</v>
      </c>
      <c r="E2103" s="2" t="s">
        <v>4154</v>
      </c>
      <c r="F2103" s="3" t="n">
        <v>45861.1881944445</v>
      </c>
      <c r="G2103" s="2" t="s">
        <v>4011</v>
      </c>
      <c r="H2103" s="4" t="n">
        <v>0.3089</v>
      </c>
      <c r="I2103" s="2" t="s">
        <v>23</v>
      </c>
      <c r="J2103" s="2" t="s">
        <v>19</v>
      </c>
      <c r="K2103" s="2" t="n">
        <v>0</v>
      </c>
      <c r="L2103" s="2" t="n">
        <v>0</v>
      </c>
      <c r="M2103" s="2" t="n">
        <v>0</v>
      </c>
    </row>
    <row r="2104" customFormat="false" ht="15" hidden="false" customHeight="false" outlineLevel="0" collapsed="false">
      <c r="A2104" s="2" t="s">
        <v>4474</v>
      </c>
      <c r="B2104" s="2" t="s">
        <v>4475</v>
      </c>
      <c r="C2104" s="2" t="n">
        <v>5</v>
      </c>
      <c r="D2104" s="2" t="s">
        <v>15</v>
      </c>
      <c r="E2104" s="2" t="s">
        <v>4154</v>
      </c>
      <c r="F2104" s="3" t="n">
        <v>45861.2118055556</v>
      </c>
      <c r="G2104" s="2" t="s">
        <v>4011</v>
      </c>
      <c r="H2104" s="4" t="n">
        <v>0</v>
      </c>
      <c r="I2104" s="2" t="s">
        <v>18</v>
      </c>
      <c r="J2104" s="2" t="s">
        <v>19</v>
      </c>
      <c r="K2104" s="2" t="n">
        <v>3</v>
      </c>
      <c r="L2104" s="2" t="n">
        <v>0</v>
      </c>
      <c r="M2104" s="2" t="n">
        <v>0</v>
      </c>
    </row>
    <row r="2105" customFormat="false" ht="15" hidden="false" customHeight="false" outlineLevel="0" collapsed="false">
      <c r="A2105" s="2" t="s">
        <v>4476</v>
      </c>
      <c r="B2105" s="2" t="s">
        <v>4477</v>
      </c>
      <c r="C2105" s="2" t="n">
        <v>5</v>
      </c>
      <c r="D2105" s="2" t="s">
        <v>1052</v>
      </c>
      <c r="E2105" s="2" t="s">
        <v>4154</v>
      </c>
      <c r="F2105" s="3" t="n">
        <v>45861.5347222222</v>
      </c>
      <c r="G2105" s="2" t="s">
        <v>4011</v>
      </c>
      <c r="H2105" s="4" t="n">
        <v>0.7088</v>
      </c>
      <c r="I2105" s="2" t="s">
        <v>23</v>
      </c>
      <c r="J2105" s="2" t="s">
        <v>19</v>
      </c>
      <c r="K2105" s="2" t="n">
        <v>8</v>
      </c>
      <c r="L2105" s="2" t="n">
        <v>0</v>
      </c>
      <c r="M2105" s="2" t="n">
        <v>0</v>
      </c>
    </row>
    <row r="2106" customFormat="false" ht="15" hidden="false" customHeight="false" outlineLevel="0" collapsed="false">
      <c r="A2106" s="2" t="s">
        <v>4478</v>
      </c>
      <c r="B2106" s="2" t="s">
        <v>4479</v>
      </c>
      <c r="C2106" s="2" t="n">
        <v>5</v>
      </c>
      <c r="D2106" s="2" t="s">
        <v>15</v>
      </c>
      <c r="E2106" s="2" t="s">
        <v>4154</v>
      </c>
      <c r="F2106" s="3" t="n">
        <v>45861.5451388889</v>
      </c>
      <c r="G2106" s="2" t="s">
        <v>4011</v>
      </c>
      <c r="H2106" s="4" t="n">
        <v>0</v>
      </c>
      <c r="I2106" s="2" t="s">
        <v>18</v>
      </c>
      <c r="J2106" s="2" t="s">
        <v>19</v>
      </c>
      <c r="K2106" s="2" t="n">
        <v>0</v>
      </c>
      <c r="L2106" s="2" t="n">
        <v>0</v>
      </c>
      <c r="M2106" s="2" t="n">
        <v>0</v>
      </c>
    </row>
    <row r="2107" customFormat="false" ht="15" hidden="false" customHeight="false" outlineLevel="0" collapsed="false">
      <c r="A2107" s="2" t="s">
        <v>4480</v>
      </c>
      <c r="B2107" s="2" t="s">
        <v>4481</v>
      </c>
      <c r="C2107" s="2" t="n">
        <v>5</v>
      </c>
      <c r="D2107" s="2" t="s">
        <v>62</v>
      </c>
      <c r="E2107" s="2" t="s">
        <v>4154</v>
      </c>
      <c r="F2107" s="3" t="n">
        <v>45861.5493055556</v>
      </c>
      <c r="G2107" s="2" t="s">
        <v>4011</v>
      </c>
      <c r="H2107" s="4" t="n">
        <v>0.7088</v>
      </c>
      <c r="I2107" s="2" t="s">
        <v>23</v>
      </c>
      <c r="J2107" s="2" t="s">
        <v>19</v>
      </c>
      <c r="K2107" s="2" t="n">
        <v>2</v>
      </c>
      <c r="L2107" s="2" t="n">
        <v>0</v>
      </c>
      <c r="M2107" s="2" t="n">
        <v>0</v>
      </c>
    </row>
    <row r="2108" customFormat="false" ht="15" hidden="false" customHeight="false" outlineLevel="0" collapsed="false">
      <c r="A2108" s="2" t="s">
        <v>4482</v>
      </c>
      <c r="B2108" s="2" t="s">
        <v>4483</v>
      </c>
      <c r="C2108" s="2" t="n">
        <v>3</v>
      </c>
      <c r="D2108" s="2" t="s">
        <v>36</v>
      </c>
      <c r="E2108" s="2" t="s">
        <v>4154</v>
      </c>
      <c r="F2108" s="3" t="n">
        <v>45861.5770833333</v>
      </c>
      <c r="G2108" s="2" t="s">
        <v>4011</v>
      </c>
      <c r="H2108" s="4" t="n">
        <v>0.4404</v>
      </c>
      <c r="I2108" s="2" t="s">
        <v>23</v>
      </c>
      <c r="J2108" s="2" t="s">
        <v>37</v>
      </c>
      <c r="K2108" s="2" t="n">
        <v>1</v>
      </c>
      <c r="L2108" s="2" t="n">
        <v>0</v>
      </c>
      <c r="M2108" s="2" t="n">
        <v>0</v>
      </c>
    </row>
    <row r="2109" customFormat="false" ht="15" hidden="false" customHeight="false" outlineLevel="0" collapsed="false">
      <c r="A2109" s="2" t="s">
        <v>4484</v>
      </c>
      <c r="B2109" s="2" t="s">
        <v>4485</v>
      </c>
      <c r="C2109" s="2" t="n">
        <v>1</v>
      </c>
      <c r="D2109" s="2" t="s">
        <v>32</v>
      </c>
      <c r="E2109" s="2" t="s">
        <v>4154</v>
      </c>
      <c r="F2109" s="3" t="n">
        <v>45861.5840277778</v>
      </c>
      <c r="G2109" s="2" t="s">
        <v>4011</v>
      </c>
      <c r="H2109" s="4" t="n">
        <v>0.2023</v>
      </c>
      <c r="I2109" s="2" t="s">
        <v>23</v>
      </c>
      <c r="J2109" s="2" t="s">
        <v>33</v>
      </c>
      <c r="K2109" s="2" t="n">
        <v>8</v>
      </c>
      <c r="L2109" s="2" t="n">
        <v>0</v>
      </c>
      <c r="M2109" s="2" t="n">
        <v>0</v>
      </c>
    </row>
    <row r="2110" customFormat="false" ht="15" hidden="false" customHeight="false" outlineLevel="0" collapsed="false">
      <c r="A2110" s="2" t="s">
        <v>4486</v>
      </c>
      <c r="B2110" s="2" t="s">
        <v>4487</v>
      </c>
      <c r="C2110" s="2" t="n">
        <v>5</v>
      </c>
      <c r="D2110" s="2" t="s">
        <v>1167</v>
      </c>
      <c r="E2110" s="2" t="s">
        <v>4154</v>
      </c>
      <c r="F2110" s="3" t="n">
        <v>45861.6541666667</v>
      </c>
      <c r="G2110" s="2" t="s">
        <v>4011</v>
      </c>
      <c r="H2110" s="4" t="n">
        <v>0.8519</v>
      </c>
      <c r="I2110" s="2" t="s">
        <v>23</v>
      </c>
      <c r="J2110" s="2" t="s">
        <v>37</v>
      </c>
      <c r="K2110" s="2" t="n">
        <v>1</v>
      </c>
      <c r="L2110" s="2" t="n">
        <v>0</v>
      </c>
      <c r="M2110" s="2" t="n">
        <v>0</v>
      </c>
    </row>
    <row r="2111" customFormat="false" ht="15" hidden="false" customHeight="false" outlineLevel="0" collapsed="false">
      <c r="A2111" s="2" t="s">
        <v>4488</v>
      </c>
      <c r="B2111" s="2" t="s">
        <v>4489</v>
      </c>
      <c r="C2111" s="2" t="n">
        <v>4</v>
      </c>
      <c r="D2111" s="2" t="s">
        <v>15</v>
      </c>
      <c r="E2111" s="2" t="s">
        <v>4154</v>
      </c>
      <c r="F2111" s="3" t="n">
        <v>45861.7256944445</v>
      </c>
      <c r="G2111" s="2" t="s">
        <v>4011</v>
      </c>
      <c r="H2111" s="4" t="n">
        <v>0</v>
      </c>
      <c r="I2111" s="2" t="s">
        <v>18</v>
      </c>
      <c r="J2111" s="2" t="s">
        <v>19</v>
      </c>
      <c r="K2111" s="2" t="n">
        <v>0</v>
      </c>
      <c r="L2111" s="2" t="n">
        <v>0</v>
      </c>
      <c r="M2111" s="2" t="n">
        <v>0</v>
      </c>
    </row>
    <row r="2112" customFormat="false" ht="15" hidden="false" customHeight="false" outlineLevel="0" collapsed="false">
      <c r="A2112" s="2" t="s">
        <v>4490</v>
      </c>
      <c r="B2112" s="2" t="s">
        <v>4491</v>
      </c>
      <c r="C2112" s="2" t="n">
        <v>4</v>
      </c>
      <c r="D2112" s="2" t="s">
        <v>40</v>
      </c>
      <c r="E2112" s="2" t="s">
        <v>4154</v>
      </c>
      <c r="F2112" s="3" t="n">
        <v>45861.7555555556</v>
      </c>
      <c r="G2112" s="2" t="s">
        <v>4011</v>
      </c>
      <c r="H2112" s="4" t="n">
        <v>0.4019</v>
      </c>
      <c r="I2112" s="2" t="s">
        <v>23</v>
      </c>
      <c r="J2112" s="2" t="s">
        <v>33</v>
      </c>
      <c r="K2112" s="2" t="n">
        <v>1</v>
      </c>
      <c r="L2112" s="2" t="n">
        <v>0</v>
      </c>
      <c r="M2112" s="2" t="n">
        <v>0</v>
      </c>
    </row>
    <row r="2113" customFormat="false" ht="15" hidden="false" customHeight="false" outlineLevel="0" collapsed="false">
      <c r="A2113" s="2" t="s">
        <v>4492</v>
      </c>
      <c r="B2113" s="2" t="s">
        <v>4493</v>
      </c>
      <c r="C2113" s="2" t="n">
        <v>3</v>
      </c>
      <c r="D2113" s="2" t="s">
        <v>2143</v>
      </c>
      <c r="E2113" s="2" t="s">
        <v>4154</v>
      </c>
      <c r="F2113" s="3" t="n">
        <v>45861.8486111111</v>
      </c>
      <c r="G2113" s="2" t="s">
        <v>4011</v>
      </c>
      <c r="H2113" s="4" t="n">
        <v>0.6448</v>
      </c>
      <c r="I2113" s="2" t="s">
        <v>23</v>
      </c>
      <c r="J2113" s="2" t="s">
        <v>37</v>
      </c>
      <c r="K2113" s="2" t="n">
        <v>0</v>
      </c>
      <c r="L2113" s="2" t="n">
        <v>0</v>
      </c>
      <c r="M2113" s="2" t="n">
        <v>0</v>
      </c>
    </row>
    <row r="2114" customFormat="false" ht="15" hidden="false" customHeight="false" outlineLevel="0" collapsed="false">
      <c r="A2114" s="2" t="s">
        <v>4494</v>
      </c>
      <c r="B2114" s="2" t="s">
        <v>4495</v>
      </c>
      <c r="C2114" s="2" t="n">
        <v>5</v>
      </c>
      <c r="D2114" s="2" t="s">
        <v>96</v>
      </c>
      <c r="E2114" s="2" t="s">
        <v>4154</v>
      </c>
      <c r="F2114" s="3" t="n">
        <v>45861.8854166667</v>
      </c>
      <c r="G2114" s="2" t="s">
        <v>4011</v>
      </c>
      <c r="H2114" s="4" t="n">
        <v>0.6369</v>
      </c>
      <c r="I2114" s="2" t="s">
        <v>23</v>
      </c>
      <c r="J2114" s="2" t="s">
        <v>19</v>
      </c>
      <c r="K2114" s="2" t="n">
        <v>5</v>
      </c>
      <c r="L2114" s="2" t="n">
        <v>0</v>
      </c>
      <c r="M2114" s="2" t="n">
        <v>0</v>
      </c>
    </row>
    <row r="2115" customFormat="false" ht="15" hidden="false" customHeight="false" outlineLevel="0" collapsed="false">
      <c r="A2115" s="2" t="s">
        <v>4496</v>
      </c>
      <c r="B2115" s="2" t="s">
        <v>4497</v>
      </c>
      <c r="C2115" s="2" t="n">
        <v>2</v>
      </c>
      <c r="D2115" s="2" t="s">
        <v>3968</v>
      </c>
      <c r="E2115" s="2" t="s">
        <v>4154</v>
      </c>
      <c r="F2115" s="3" t="n">
        <v>45861.9243055556</v>
      </c>
      <c r="G2115" s="2" t="s">
        <v>4011</v>
      </c>
      <c r="H2115" s="4" t="n">
        <v>0.4404</v>
      </c>
      <c r="I2115" s="2" t="s">
        <v>23</v>
      </c>
      <c r="J2115" s="2" t="s">
        <v>59</v>
      </c>
      <c r="K2115" s="2" t="n">
        <v>3</v>
      </c>
      <c r="L2115" s="2" t="n">
        <v>0</v>
      </c>
      <c r="M2115" s="2" t="n">
        <v>0</v>
      </c>
    </row>
    <row r="2116" customFormat="false" ht="15" hidden="false" customHeight="false" outlineLevel="0" collapsed="false">
      <c r="A2116" s="2" t="s">
        <v>4498</v>
      </c>
      <c r="B2116" s="2" t="s">
        <v>4499</v>
      </c>
      <c r="C2116" s="2" t="n">
        <v>5</v>
      </c>
      <c r="D2116" s="2" t="s">
        <v>40</v>
      </c>
      <c r="E2116" s="2" t="s">
        <v>4154</v>
      </c>
      <c r="F2116" s="3" t="n">
        <v>45861.9541666667</v>
      </c>
      <c r="G2116" s="2" t="s">
        <v>4011</v>
      </c>
      <c r="H2116" s="4" t="n">
        <v>0.4019</v>
      </c>
      <c r="I2116" s="2" t="s">
        <v>23</v>
      </c>
      <c r="J2116" s="2" t="s">
        <v>33</v>
      </c>
      <c r="K2116" s="2" t="n">
        <v>8</v>
      </c>
      <c r="L2116" s="2" t="n">
        <v>0</v>
      </c>
      <c r="M2116" s="2" t="n">
        <v>0</v>
      </c>
    </row>
    <row r="2117" customFormat="false" ht="15" hidden="false" customHeight="false" outlineLevel="0" collapsed="false">
      <c r="A2117" s="2" t="s">
        <v>4500</v>
      </c>
      <c r="B2117" s="2" t="s">
        <v>4501</v>
      </c>
      <c r="C2117" s="2" t="n">
        <v>5</v>
      </c>
      <c r="D2117" s="2" t="s">
        <v>210</v>
      </c>
      <c r="E2117" s="2" t="s">
        <v>4154</v>
      </c>
      <c r="F2117" s="3" t="n">
        <v>45861.9770833333</v>
      </c>
      <c r="G2117" s="2" t="s">
        <v>4011</v>
      </c>
      <c r="H2117" s="4" t="n">
        <v>0.5448</v>
      </c>
      <c r="I2117" s="2" t="s">
        <v>23</v>
      </c>
      <c r="J2117" s="2" t="s">
        <v>19</v>
      </c>
      <c r="K2117" s="2" t="n">
        <v>2</v>
      </c>
      <c r="L2117" s="2" t="n">
        <v>0</v>
      </c>
      <c r="M2117" s="2" t="n">
        <v>0</v>
      </c>
    </row>
    <row r="2118" customFormat="false" ht="15" hidden="false" customHeight="false" outlineLevel="0" collapsed="false">
      <c r="A2118" s="2" t="s">
        <v>4502</v>
      </c>
      <c r="B2118" s="2" t="s">
        <v>4503</v>
      </c>
      <c r="C2118" s="2" t="n">
        <v>1</v>
      </c>
      <c r="D2118" s="2" t="s">
        <v>4504</v>
      </c>
      <c r="E2118" s="2" t="s">
        <v>4154</v>
      </c>
      <c r="F2118" s="3" t="n">
        <v>45862.0229166667</v>
      </c>
      <c r="G2118" s="2" t="s">
        <v>4011</v>
      </c>
      <c r="H2118" s="4" t="n">
        <v>-0.4767</v>
      </c>
      <c r="I2118" s="2" t="s">
        <v>84</v>
      </c>
      <c r="J2118" s="2" t="s">
        <v>37</v>
      </c>
      <c r="K2118" s="2" t="n">
        <v>1</v>
      </c>
      <c r="L2118" s="2" t="n">
        <v>0</v>
      </c>
      <c r="M2118" s="2" t="n">
        <v>0</v>
      </c>
    </row>
    <row r="2119" customFormat="false" ht="15" hidden="false" customHeight="false" outlineLevel="0" collapsed="false">
      <c r="A2119" s="2" t="s">
        <v>4505</v>
      </c>
      <c r="B2119" s="2" t="s">
        <v>4506</v>
      </c>
      <c r="C2119" s="2" t="n">
        <v>5</v>
      </c>
      <c r="D2119" s="2" t="s">
        <v>62</v>
      </c>
      <c r="E2119" s="2" t="s">
        <v>4154</v>
      </c>
      <c r="F2119" s="3" t="n">
        <v>45862.0583333333</v>
      </c>
      <c r="G2119" s="2" t="s">
        <v>4011</v>
      </c>
      <c r="H2119" s="4" t="n">
        <v>0.7088</v>
      </c>
      <c r="I2119" s="2" t="s">
        <v>23</v>
      </c>
      <c r="J2119" s="2" t="s">
        <v>19</v>
      </c>
      <c r="K2119" s="2" t="n">
        <v>1</v>
      </c>
      <c r="L2119" s="2" t="n">
        <v>0</v>
      </c>
      <c r="M2119" s="2" t="n">
        <v>0</v>
      </c>
    </row>
    <row r="2120" customFormat="false" ht="15" hidden="false" customHeight="false" outlineLevel="0" collapsed="false">
      <c r="A2120" s="2" t="s">
        <v>4507</v>
      </c>
      <c r="B2120" s="2" t="s">
        <v>4508</v>
      </c>
      <c r="C2120" s="2" t="n">
        <v>5</v>
      </c>
      <c r="D2120" s="2" t="s">
        <v>15</v>
      </c>
      <c r="E2120" s="2" t="s">
        <v>4154</v>
      </c>
      <c r="F2120" s="3" t="n">
        <v>45862.1125</v>
      </c>
      <c r="G2120" s="2" t="s">
        <v>4011</v>
      </c>
      <c r="H2120" s="4" t="n">
        <v>0</v>
      </c>
      <c r="I2120" s="2" t="s">
        <v>18</v>
      </c>
      <c r="J2120" s="2" t="s">
        <v>19</v>
      </c>
      <c r="K2120" s="2" t="n">
        <v>2</v>
      </c>
      <c r="L2120" s="2" t="n">
        <v>0</v>
      </c>
      <c r="M2120" s="2" t="n">
        <v>0</v>
      </c>
    </row>
    <row r="2121" customFormat="false" ht="15" hidden="false" customHeight="false" outlineLevel="0" collapsed="false">
      <c r="A2121" s="2" t="s">
        <v>4509</v>
      </c>
      <c r="B2121" s="2" t="s">
        <v>4510</v>
      </c>
      <c r="C2121" s="2" t="n">
        <v>4</v>
      </c>
      <c r="D2121" s="2" t="s">
        <v>2727</v>
      </c>
      <c r="E2121" s="2" t="s">
        <v>4154</v>
      </c>
      <c r="F2121" s="3" t="n">
        <v>45862.2104166667</v>
      </c>
      <c r="G2121" s="2" t="s">
        <v>4011</v>
      </c>
      <c r="H2121" s="4" t="n">
        <v>0.4019</v>
      </c>
      <c r="I2121" s="2" t="s">
        <v>23</v>
      </c>
      <c r="J2121" s="2" t="s">
        <v>33</v>
      </c>
      <c r="K2121" s="2" t="n">
        <v>0</v>
      </c>
      <c r="L2121" s="2" t="n">
        <v>0</v>
      </c>
      <c r="M2121" s="2" t="n">
        <v>0</v>
      </c>
    </row>
    <row r="2122" customFormat="false" ht="15" hidden="false" customHeight="false" outlineLevel="0" collapsed="false">
      <c r="A2122" s="2" t="s">
        <v>4511</v>
      </c>
      <c r="B2122" s="2" t="s">
        <v>4512</v>
      </c>
      <c r="C2122" s="2" t="n">
        <v>5</v>
      </c>
      <c r="D2122" s="2" t="s">
        <v>1249</v>
      </c>
      <c r="E2122" s="2" t="s">
        <v>4154</v>
      </c>
      <c r="F2122" s="3" t="n">
        <v>45862.2444444444</v>
      </c>
      <c r="G2122" s="2" t="s">
        <v>4011</v>
      </c>
      <c r="H2122" s="4" t="n">
        <v>0.8519</v>
      </c>
      <c r="I2122" s="2" t="s">
        <v>23</v>
      </c>
      <c r="J2122" s="2" t="s">
        <v>37</v>
      </c>
      <c r="K2122" s="2" t="n">
        <v>2</v>
      </c>
      <c r="L2122" s="2" t="n">
        <v>0</v>
      </c>
      <c r="M2122" s="2" t="n">
        <v>0</v>
      </c>
    </row>
    <row r="2123" customFormat="false" ht="15" hidden="false" customHeight="false" outlineLevel="0" collapsed="false">
      <c r="A2123" s="2" t="s">
        <v>4513</v>
      </c>
      <c r="B2123" s="2" t="s">
        <v>4514</v>
      </c>
      <c r="C2123" s="2" t="n">
        <v>4</v>
      </c>
      <c r="D2123" s="2" t="s">
        <v>374</v>
      </c>
      <c r="E2123" s="2" t="s">
        <v>4154</v>
      </c>
      <c r="F2123" s="3" t="n">
        <v>45862.2666666667</v>
      </c>
      <c r="G2123" s="2" t="s">
        <v>4011</v>
      </c>
      <c r="H2123" s="4" t="n">
        <v>0.6369</v>
      </c>
      <c r="I2123" s="2" t="s">
        <v>23</v>
      </c>
      <c r="J2123" s="2" t="s">
        <v>19</v>
      </c>
      <c r="K2123" s="2" t="n">
        <v>9</v>
      </c>
      <c r="L2123" s="2" t="n">
        <v>0</v>
      </c>
      <c r="M2123" s="2" t="n">
        <v>0</v>
      </c>
    </row>
    <row r="2124" customFormat="false" ht="15" hidden="false" customHeight="false" outlineLevel="0" collapsed="false">
      <c r="A2124" s="2" t="s">
        <v>4515</v>
      </c>
      <c r="B2124" s="2" t="s">
        <v>4516</v>
      </c>
      <c r="C2124" s="2" t="n">
        <v>1</v>
      </c>
      <c r="D2124" s="2" t="s">
        <v>2395</v>
      </c>
      <c r="E2124" s="2" t="s">
        <v>4154</v>
      </c>
      <c r="F2124" s="3" t="n">
        <v>45862.3375</v>
      </c>
      <c r="G2124" s="2" t="s">
        <v>4011</v>
      </c>
      <c r="H2124" s="4" t="n">
        <v>-0.6115</v>
      </c>
      <c r="I2124" s="2" t="s">
        <v>84</v>
      </c>
      <c r="J2124" s="2" t="s">
        <v>19</v>
      </c>
      <c r="K2124" s="2" t="n">
        <v>4</v>
      </c>
      <c r="L2124" s="2" t="n">
        <v>1</v>
      </c>
      <c r="M2124" s="2" t="n">
        <v>0</v>
      </c>
    </row>
    <row r="2125" customFormat="false" ht="15" hidden="false" customHeight="false" outlineLevel="0" collapsed="false">
      <c r="A2125" s="2" t="s">
        <v>4517</v>
      </c>
      <c r="B2125" s="2" t="s">
        <v>4518</v>
      </c>
      <c r="C2125" s="2" t="n">
        <v>2</v>
      </c>
      <c r="D2125" s="2" t="s">
        <v>133</v>
      </c>
      <c r="E2125" s="2" t="s">
        <v>4154</v>
      </c>
      <c r="F2125" s="3" t="n">
        <v>45862.5819444444</v>
      </c>
      <c r="G2125" s="2" t="s">
        <v>4011</v>
      </c>
      <c r="H2125" s="4" t="n">
        <v>-0.5719</v>
      </c>
      <c r="I2125" s="2" t="s">
        <v>84</v>
      </c>
      <c r="J2125" s="2" t="s">
        <v>33</v>
      </c>
      <c r="K2125" s="2" t="n">
        <v>1</v>
      </c>
      <c r="L2125" s="2" t="n">
        <v>0</v>
      </c>
      <c r="M2125" s="2" t="n">
        <v>0</v>
      </c>
    </row>
    <row r="2126" customFormat="false" ht="15" hidden="false" customHeight="false" outlineLevel="0" collapsed="false">
      <c r="A2126" s="2" t="s">
        <v>4519</v>
      </c>
      <c r="B2126" s="2" t="s">
        <v>4520</v>
      </c>
      <c r="C2126" s="2" t="n">
        <v>5</v>
      </c>
      <c r="D2126" s="2" t="s">
        <v>15</v>
      </c>
      <c r="E2126" s="2" t="s">
        <v>4154</v>
      </c>
      <c r="F2126" s="3" t="n">
        <v>45862.68125</v>
      </c>
      <c r="G2126" s="2" t="s">
        <v>4011</v>
      </c>
      <c r="H2126" s="4" t="n">
        <v>0</v>
      </c>
      <c r="I2126" s="2" t="s">
        <v>18</v>
      </c>
      <c r="J2126" s="2" t="s">
        <v>19</v>
      </c>
      <c r="K2126" s="2" t="n">
        <v>2</v>
      </c>
      <c r="L2126" s="2" t="n">
        <v>0</v>
      </c>
      <c r="M2126" s="2" t="n">
        <v>0</v>
      </c>
    </row>
    <row r="2127" customFormat="false" ht="15" hidden="false" customHeight="false" outlineLevel="0" collapsed="false">
      <c r="A2127" s="2" t="s">
        <v>4521</v>
      </c>
      <c r="B2127" s="2" t="s">
        <v>4522</v>
      </c>
      <c r="C2127" s="2" t="n">
        <v>4</v>
      </c>
      <c r="D2127" s="2" t="s">
        <v>40</v>
      </c>
      <c r="E2127" s="2" t="s">
        <v>4154</v>
      </c>
      <c r="F2127" s="3" t="n">
        <v>45862.7020833333</v>
      </c>
      <c r="G2127" s="2" t="s">
        <v>4011</v>
      </c>
      <c r="H2127" s="4" t="n">
        <v>0.4019</v>
      </c>
      <c r="I2127" s="2" t="s">
        <v>23</v>
      </c>
      <c r="J2127" s="2" t="s">
        <v>33</v>
      </c>
      <c r="K2127" s="2" t="n">
        <v>0</v>
      </c>
      <c r="L2127" s="2" t="n">
        <v>0</v>
      </c>
      <c r="M2127" s="2" t="n">
        <v>0</v>
      </c>
    </row>
    <row r="2128" customFormat="false" ht="15" hidden="false" customHeight="false" outlineLevel="0" collapsed="false">
      <c r="A2128" s="2" t="s">
        <v>4523</v>
      </c>
      <c r="B2128" s="2" t="s">
        <v>4524</v>
      </c>
      <c r="C2128" s="2" t="n">
        <v>3</v>
      </c>
      <c r="D2128" s="2" t="s">
        <v>2127</v>
      </c>
      <c r="E2128" s="2" t="s">
        <v>4154</v>
      </c>
      <c r="F2128" s="3" t="n">
        <v>45862.7625</v>
      </c>
      <c r="G2128" s="2" t="s">
        <v>4011</v>
      </c>
      <c r="H2128" s="4" t="n">
        <v>0.3818</v>
      </c>
      <c r="I2128" s="2" t="s">
        <v>23</v>
      </c>
      <c r="J2128" s="2" t="s">
        <v>19</v>
      </c>
      <c r="K2128" s="2" t="n">
        <v>0</v>
      </c>
      <c r="L2128" s="2" t="n">
        <v>0</v>
      </c>
      <c r="M2128" s="2" t="n">
        <v>0</v>
      </c>
    </row>
    <row r="2129" customFormat="false" ht="15" hidden="false" customHeight="false" outlineLevel="0" collapsed="false">
      <c r="A2129" s="2" t="s">
        <v>4525</v>
      </c>
      <c r="B2129" s="2" t="s">
        <v>4526</v>
      </c>
      <c r="C2129" s="2" t="n">
        <v>5</v>
      </c>
      <c r="D2129" s="2" t="s">
        <v>127</v>
      </c>
      <c r="E2129" s="2" t="s">
        <v>4154</v>
      </c>
      <c r="F2129" s="3" t="n">
        <v>45862.7854166667</v>
      </c>
      <c r="G2129" s="2" t="s">
        <v>4011</v>
      </c>
      <c r="H2129" s="4" t="n">
        <v>0.9359</v>
      </c>
      <c r="I2129" s="2" t="s">
        <v>23</v>
      </c>
      <c r="J2129" s="2" t="s">
        <v>37</v>
      </c>
      <c r="K2129" s="2" t="n">
        <v>1</v>
      </c>
      <c r="L2129" s="2" t="n">
        <v>0</v>
      </c>
      <c r="M2129" s="2" t="n">
        <v>0</v>
      </c>
    </row>
    <row r="2130" customFormat="false" ht="15" hidden="false" customHeight="false" outlineLevel="0" collapsed="false">
      <c r="A2130" s="2" t="s">
        <v>4527</v>
      </c>
      <c r="B2130" s="2" t="s">
        <v>4528</v>
      </c>
      <c r="C2130" s="2" t="n">
        <v>1</v>
      </c>
      <c r="D2130" s="2" t="s">
        <v>1942</v>
      </c>
      <c r="E2130" s="2" t="s">
        <v>4154</v>
      </c>
      <c r="F2130" s="3" t="n">
        <v>45863.2097222222</v>
      </c>
      <c r="G2130" s="2" t="s">
        <v>4011</v>
      </c>
      <c r="H2130" s="4" t="n">
        <v>0</v>
      </c>
      <c r="I2130" s="2" t="s">
        <v>18</v>
      </c>
      <c r="J2130" s="2" t="s">
        <v>165</v>
      </c>
      <c r="K2130" s="2" t="n">
        <v>2</v>
      </c>
      <c r="L2130" s="2" t="n">
        <v>1</v>
      </c>
      <c r="M2130" s="2" t="n">
        <v>0</v>
      </c>
    </row>
    <row r="2131" customFormat="false" ht="15" hidden="false" customHeight="false" outlineLevel="0" collapsed="false">
      <c r="A2131" s="2" t="s">
        <v>4529</v>
      </c>
      <c r="B2131" s="2" t="s">
        <v>4530</v>
      </c>
      <c r="C2131" s="2" t="n">
        <v>5</v>
      </c>
      <c r="D2131" s="2" t="s">
        <v>15</v>
      </c>
      <c r="E2131" s="2" t="s">
        <v>4154</v>
      </c>
      <c r="F2131" s="3" t="n">
        <v>45863.2284722222</v>
      </c>
      <c r="G2131" s="2" t="s">
        <v>4011</v>
      </c>
      <c r="H2131" s="4" t="n">
        <v>0</v>
      </c>
      <c r="I2131" s="2" t="s">
        <v>18</v>
      </c>
      <c r="J2131" s="2" t="s">
        <v>19</v>
      </c>
      <c r="K2131" s="2" t="n">
        <v>3</v>
      </c>
      <c r="L2131" s="2" t="n">
        <v>0</v>
      </c>
      <c r="M2131" s="2" t="n">
        <v>0</v>
      </c>
    </row>
    <row r="2132" customFormat="false" ht="15" hidden="false" customHeight="false" outlineLevel="0" collapsed="false">
      <c r="A2132" s="2" t="s">
        <v>4531</v>
      </c>
      <c r="B2132" s="2" t="s">
        <v>4532</v>
      </c>
      <c r="C2132" s="2" t="n">
        <v>5</v>
      </c>
      <c r="D2132" s="2" t="s">
        <v>127</v>
      </c>
      <c r="E2132" s="2" t="s">
        <v>4154</v>
      </c>
      <c r="F2132" s="3" t="n">
        <v>45863.2625</v>
      </c>
      <c r="G2132" s="2" t="s">
        <v>4011</v>
      </c>
      <c r="H2132" s="4" t="n">
        <v>0.9359</v>
      </c>
      <c r="I2132" s="2" t="s">
        <v>23</v>
      </c>
      <c r="J2132" s="2" t="s">
        <v>37</v>
      </c>
      <c r="K2132" s="2" t="n">
        <v>3</v>
      </c>
      <c r="L2132" s="2" t="n">
        <v>0</v>
      </c>
      <c r="M2132" s="2" t="n">
        <v>0</v>
      </c>
    </row>
    <row r="2133" customFormat="false" ht="15" hidden="false" customHeight="false" outlineLevel="0" collapsed="false">
      <c r="A2133" s="2" t="s">
        <v>4533</v>
      </c>
      <c r="B2133" s="2" t="s">
        <v>4534</v>
      </c>
      <c r="C2133" s="2" t="n">
        <v>1</v>
      </c>
      <c r="D2133" s="2" t="s">
        <v>32</v>
      </c>
      <c r="E2133" s="2" t="s">
        <v>4154</v>
      </c>
      <c r="F2133" s="3" t="n">
        <v>45863.5875</v>
      </c>
      <c r="G2133" s="2" t="s">
        <v>4011</v>
      </c>
      <c r="H2133" s="4" t="n">
        <v>0.2023</v>
      </c>
      <c r="I2133" s="2" t="s">
        <v>23</v>
      </c>
      <c r="J2133" s="2" t="s">
        <v>33</v>
      </c>
      <c r="K2133" s="2" t="n">
        <v>2</v>
      </c>
      <c r="L2133" s="2" t="n">
        <v>0</v>
      </c>
      <c r="M2133" s="2" t="n">
        <v>0</v>
      </c>
    </row>
    <row r="2134" customFormat="false" ht="15" hidden="false" customHeight="false" outlineLevel="0" collapsed="false">
      <c r="A2134" s="2" t="s">
        <v>4535</v>
      </c>
      <c r="B2134" s="2" t="s">
        <v>4536</v>
      </c>
      <c r="C2134" s="2" t="n">
        <v>5</v>
      </c>
      <c r="D2134" s="2" t="s">
        <v>52</v>
      </c>
      <c r="E2134" s="2" t="s">
        <v>4154</v>
      </c>
      <c r="F2134" s="3" t="n">
        <v>45863.6104166667</v>
      </c>
      <c r="G2134" s="2" t="s">
        <v>4011</v>
      </c>
      <c r="H2134" s="4" t="n">
        <v>0.6369</v>
      </c>
      <c r="I2134" s="2" t="s">
        <v>23</v>
      </c>
      <c r="J2134" s="2" t="s">
        <v>19</v>
      </c>
      <c r="K2134" s="2" t="n">
        <v>0</v>
      </c>
      <c r="L2134" s="2" t="n">
        <v>0</v>
      </c>
      <c r="M2134" s="2" t="n">
        <v>0</v>
      </c>
    </row>
    <row r="2135" customFormat="false" ht="15" hidden="false" customHeight="false" outlineLevel="0" collapsed="false">
      <c r="A2135" s="2" t="s">
        <v>4537</v>
      </c>
      <c r="B2135" s="2" t="s">
        <v>4538</v>
      </c>
      <c r="C2135" s="2" t="n">
        <v>5</v>
      </c>
      <c r="D2135" s="2" t="s">
        <v>62</v>
      </c>
      <c r="E2135" s="2" t="s">
        <v>4154</v>
      </c>
      <c r="F2135" s="3" t="n">
        <v>45863.7270833333</v>
      </c>
      <c r="G2135" s="2" t="s">
        <v>4011</v>
      </c>
      <c r="H2135" s="4" t="n">
        <v>0.7088</v>
      </c>
      <c r="I2135" s="2" t="s">
        <v>23</v>
      </c>
      <c r="J2135" s="2" t="s">
        <v>19</v>
      </c>
      <c r="K2135" s="2" t="n">
        <v>2</v>
      </c>
      <c r="L2135" s="2" t="n">
        <v>0</v>
      </c>
      <c r="M2135" s="2" t="n">
        <v>0</v>
      </c>
    </row>
    <row r="2136" customFormat="false" ht="15" hidden="false" customHeight="false" outlineLevel="0" collapsed="false">
      <c r="A2136" s="2" t="s">
        <v>4539</v>
      </c>
      <c r="B2136" s="2" t="s">
        <v>4540</v>
      </c>
      <c r="C2136" s="2" t="n">
        <v>2</v>
      </c>
      <c r="D2136" s="2" t="s">
        <v>823</v>
      </c>
      <c r="E2136" s="2" t="s">
        <v>4154</v>
      </c>
      <c r="F2136" s="3" t="n">
        <v>45863.8229166667</v>
      </c>
      <c r="G2136" s="2" t="s">
        <v>4011</v>
      </c>
      <c r="H2136" s="4" t="n">
        <v>-0.6997</v>
      </c>
      <c r="I2136" s="2" t="s">
        <v>84</v>
      </c>
      <c r="J2136" s="2" t="s">
        <v>19</v>
      </c>
      <c r="K2136" s="2" t="n">
        <v>4</v>
      </c>
      <c r="L2136" s="2" t="n">
        <v>1</v>
      </c>
      <c r="M2136" s="2" t="n">
        <v>0</v>
      </c>
    </row>
    <row r="2137" customFormat="false" ht="15" hidden="false" customHeight="false" outlineLevel="0" collapsed="false">
      <c r="A2137" s="2" t="s">
        <v>4541</v>
      </c>
      <c r="B2137" s="2" t="s">
        <v>4542</v>
      </c>
      <c r="C2137" s="2" t="n">
        <v>5</v>
      </c>
      <c r="D2137" s="2" t="s">
        <v>15</v>
      </c>
      <c r="E2137" s="2" t="s">
        <v>4154</v>
      </c>
      <c r="F2137" s="3" t="n">
        <v>45863.8284722222</v>
      </c>
      <c r="G2137" s="2" t="s">
        <v>4011</v>
      </c>
      <c r="H2137" s="4" t="n">
        <v>0</v>
      </c>
      <c r="I2137" s="2" t="s">
        <v>18</v>
      </c>
      <c r="J2137" s="2" t="s">
        <v>19</v>
      </c>
      <c r="K2137" s="2" t="n">
        <v>1</v>
      </c>
      <c r="L2137" s="2" t="n">
        <v>0</v>
      </c>
      <c r="M2137" s="2" t="n">
        <v>0</v>
      </c>
    </row>
    <row r="2138" customFormat="false" ht="15" hidden="false" customHeight="false" outlineLevel="0" collapsed="false">
      <c r="A2138" s="2" t="s">
        <v>4543</v>
      </c>
      <c r="B2138" s="2" t="s">
        <v>4544</v>
      </c>
      <c r="C2138" s="2" t="n">
        <v>3</v>
      </c>
      <c r="D2138" s="2" t="s">
        <v>2143</v>
      </c>
      <c r="E2138" s="2" t="s">
        <v>4154</v>
      </c>
      <c r="F2138" s="3" t="n">
        <v>45863.8451388889</v>
      </c>
      <c r="G2138" s="2" t="s">
        <v>4011</v>
      </c>
      <c r="H2138" s="4" t="n">
        <v>0.6448</v>
      </c>
      <c r="I2138" s="2" t="s">
        <v>23</v>
      </c>
      <c r="J2138" s="2" t="s">
        <v>37</v>
      </c>
      <c r="K2138" s="2" t="n">
        <v>2</v>
      </c>
      <c r="L2138" s="2" t="n">
        <v>0</v>
      </c>
      <c r="M2138" s="2" t="n">
        <v>0</v>
      </c>
    </row>
    <row r="2139" customFormat="false" ht="15" hidden="false" customHeight="false" outlineLevel="0" collapsed="false">
      <c r="A2139" s="2" t="s">
        <v>4545</v>
      </c>
      <c r="B2139" s="2" t="s">
        <v>4546</v>
      </c>
      <c r="C2139" s="2" t="n">
        <v>4</v>
      </c>
      <c r="D2139" s="2" t="s">
        <v>87</v>
      </c>
      <c r="E2139" s="2" t="s">
        <v>4154</v>
      </c>
      <c r="F2139" s="3" t="n">
        <v>45863.9916666667</v>
      </c>
      <c r="G2139" s="2" t="s">
        <v>4011</v>
      </c>
      <c r="H2139" s="4" t="n">
        <v>0</v>
      </c>
      <c r="I2139" s="2" t="s">
        <v>18</v>
      </c>
      <c r="J2139" s="2" t="s">
        <v>19</v>
      </c>
      <c r="K2139" s="2" t="n">
        <v>1</v>
      </c>
      <c r="L2139" s="2" t="n">
        <v>0</v>
      </c>
      <c r="M2139" s="2" t="n">
        <v>0</v>
      </c>
    </row>
    <row r="2140" customFormat="false" ht="15" hidden="false" customHeight="false" outlineLevel="0" collapsed="false">
      <c r="A2140" s="2" t="s">
        <v>4547</v>
      </c>
      <c r="B2140" s="2" t="s">
        <v>4548</v>
      </c>
      <c r="C2140" s="2" t="n">
        <v>5</v>
      </c>
      <c r="D2140" s="2" t="s">
        <v>93</v>
      </c>
      <c r="E2140" s="2" t="s">
        <v>4154</v>
      </c>
      <c r="F2140" s="3" t="n">
        <v>45863.9979166667</v>
      </c>
      <c r="G2140" s="2" t="s">
        <v>4011</v>
      </c>
      <c r="H2140" s="4" t="n">
        <v>0.8008</v>
      </c>
      <c r="I2140" s="2" t="s">
        <v>23</v>
      </c>
      <c r="J2140" s="2" t="s">
        <v>33</v>
      </c>
      <c r="K2140" s="2" t="n">
        <v>2</v>
      </c>
      <c r="L2140" s="2" t="n">
        <v>0</v>
      </c>
      <c r="M2140" s="2" t="n">
        <v>0</v>
      </c>
    </row>
    <row r="2141" customFormat="false" ht="15" hidden="false" customHeight="false" outlineLevel="0" collapsed="false">
      <c r="A2141" s="2" t="s">
        <v>4549</v>
      </c>
      <c r="B2141" s="2" t="s">
        <v>4550</v>
      </c>
      <c r="C2141" s="2" t="n">
        <v>4</v>
      </c>
      <c r="D2141" s="2" t="s">
        <v>47</v>
      </c>
      <c r="E2141" s="2" t="s">
        <v>4154</v>
      </c>
      <c r="F2141" s="3" t="n">
        <v>45864.0840277778</v>
      </c>
      <c r="G2141" s="2" t="s">
        <v>4011</v>
      </c>
      <c r="H2141" s="4" t="n">
        <v>0.3089</v>
      </c>
      <c r="I2141" s="2" t="s">
        <v>23</v>
      </c>
      <c r="J2141" s="2" t="s">
        <v>19</v>
      </c>
      <c r="K2141" s="2" t="n">
        <v>4</v>
      </c>
      <c r="L2141" s="2" t="n">
        <v>0</v>
      </c>
      <c r="M2141" s="2" t="n">
        <v>0</v>
      </c>
    </row>
    <row r="2142" customFormat="false" ht="15" hidden="false" customHeight="false" outlineLevel="0" collapsed="false">
      <c r="A2142" s="2" t="s">
        <v>4551</v>
      </c>
      <c r="B2142" s="2" t="s">
        <v>4552</v>
      </c>
      <c r="C2142" s="2" t="n">
        <v>5</v>
      </c>
      <c r="D2142" s="2" t="s">
        <v>127</v>
      </c>
      <c r="E2142" s="2" t="s">
        <v>4154</v>
      </c>
      <c r="F2142" s="3" t="n">
        <v>45864.1263888889</v>
      </c>
      <c r="G2142" s="2" t="s">
        <v>4011</v>
      </c>
      <c r="H2142" s="4" t="n">
        <v>0.9359</v>
      </c>
      <c r="I2142" s="2" t="s">
        <v>23</v>
      </c>
      <c r="J2142" s="2" t="s">
        <v>37</v>
      </c>
      <c r="K2142" s="2" t="n">
        <v>0</v>
      </c>
      <c r="L2142" s="2" t="n">
        <v>0</v>
      </c>
      <c r="M2142" s="2" t="n">
        <v>0</v>
      </c>
    </row>
    <row r="2143" customFormat="false" ht="15" hidden="false" customHeight="false" outlineLevel="0" collapsed="false">
      <c r="A2143" s="2" t="s">
        <v>4553</v>
      </c>
      <c r="B2143" s="2" t="s">
        <v>967</v>
      </c>
      <c r="C2143" s="2" t="n">
        <v>2</v>
      </c>
      <c r="D2143" s="2" t="s">
        <v>4554</v>
      </c>
      <c r="E2143" s="2" t="s">
        <v>4154</v>
      </c>
      <c r="F2143" s="3" t="n">
        <v>45864.14375</v>
      </c>
      <c r="G2143" s="2" t="s">
        <v>4011</v>
      </c>
      <c r="H2143" s="4" t="n">
        <v>0.2023</v>
      </c>
      <c r="I2143" s="2" t="s">
        <v>23</v>
      </c>
      <c r="J2143" s="2" t="s">
        <v>59</v>
      </c>
      <c r="K2143" s="2" t="n">
        <v>0</v>
      </c>
      <c r="L2143" s="2" t="n">
        <v>1</v>
      </c>
      <c r="M2143" s="2" t="n">
        <v>0</v>
      </c>
    </row>
    <row r="2144" customFormat="false" ht="15" hidden="false" customHeight="false" outlineLevel="0" collapsed="false">
      <c r="A2144" s="2" t="s">
        <v>4555</v>
      </c>
      <c r="B2144" s="2" t="s">
        <v>4556</v>
      </c>
      <c r="C2144" s="2" t="n">
        <v>4</v>
      </c>
      <c r="D2144" s="2" t="s">
        <v>90</v>
      </c>
      <c r="E2144" s="2" t="s">
        <v>4154</v>
      </c>
      <c r="F2144" s="3" t="n">
        <v>45864.5652777778</v>
      </c>
      <c r="G2144" s="2" t="s">
        <v>4011</v>
      </c>
      <c r="H2144" s="4" t="n">
        <v>0.6249</v>
      </c>
      <c r="I2144" s="2" t="s">
        <v>23</v>
      </c>
      <c r="J2144" s="2" t="s">
        <v>37</v>
      </c>
      <c r="K2144" s="2" t="n">
        <v>0</v>
      </c>
      <c r="L2144" s="2" t="n">
        <v>0</v>
      </c>
      <c r="M2144" s="2" t="n">
        <v>0</v>
      </c>
    </row>
    <row r="2145" customFormat="false" ht="15" hidden="false" customHeight="false" outlineLevel="0" collapsed="false">
      <c r="A2145" s="2" t="s">
        <v>4557</v>
      </c>
      <c r="B2145" s="2" t="s">
        <v>4558</v>
      </c>
      <c r="C2145" s="2" t="n">
        <v>5</v>
      </c>
      <c r="D2145" s="2" t="s">
        <v>62</v>
      </c>
      <c r="E2145" s="2" t="s">
        <v>4154</v>
      </c>
      <c r="F2145" s="3" t="n">
        <v>45864.5673611111</v>
      </c>
      <c r="G2145" s="2" t="s">
        <v>4011</v>
      </c>
      <c r="H2145" s="4" t="n">
        <v>0.7088</v>
      </c>
      <c r="I2145" s="2" t="s">
        <v>23</v>
      </c>
      <c r="J2145" s="2" t="s">
        <v>19</v>
      </c>
      <c r="K2145" s="2" t="n">
        <v>2</v>
      </c>
      <c r="L2145" s="2" t="n">
        <v>0</v>
      </c>
      <c r="M2145" s="2" t="n">
        <v>0</v>
      </c>
    </row>
    <row r="2146" customFormat="false" ht="15" hidden="false" customHeight="false" outlineLevel="0" collapsed="false">
      <c r="A2146" s="2" t="s">
        <v>4559</v>
      </c>
      <c r="B2146" s="2" t="s">
        <v>4560</v>
      </c>
      <c r="C2146" s="2" t="n">
        <v>5</v>
      </c>
      <c r="D2146" s="2" t="s">
        <v>62</v>
      </c>
      <c r="E2146" s="2" t="s">
        <v>4154</v>
      </c>
      <c r="F2146" s="3" t="n">
        <v>45864.8798611111</v>
      </c>
      <c r="G2146" s="2" t="s">
        <v>4011</v>
      </c>
      <c r="H2146" s="4" t="n">
        <v>0.7088</v>
      </c>
      <c r="I2146" s="2" t="s">
        <v>23</v>
      </c>
      <c r="J2146" s="2" t="s">
        <v>19</v>
      </c>
      <c r="K2146" s="2" t="n">
        <v>5</v>
      </c>
      <c r="L2146" s="2" t="n">
        <v>0</v>
      </c>
      <c r="M2146" s="2" t="n">
        <v>0</v>
      </c>
    </row>
    <row r="2147" customFormat="false" ht="15" hidden="false" customHeight="false" outlineLevel="0" collapsed="false">
      <c r="A2147" s="2" t="s">
        <v>4561</v>
      </c>
      <c r="B2147" s="2" t="s">
        <v>4562</v>
      </c>
      <c r="C2147" s="2" t="n">
        <v>3</v>
      </c>
      <c r="D2147" s="2" t="s">
        <v>301</v>
      </c>
      <c r="E2147" s="2" t="s">
        <v>4154</v>
      </c>
      <c r="F2147" s="3" t="n">
        <v>45864.8861111111</v>
      </c>
      <c r="G2147" s="2" t="s">
        <v>4011</v>
      </c>
      <c r="H2147" s="4" t="n">
        <v>0.2263</v>
      </c>
      <c r="I2147" s="2" t="s">
        <v>23</v>
      </c>
      <c r="J2147" s="2" t="s">
        <v>19</v>
      </c>
      <c r="K2147" s="2" t="n">
        <v>1</v>
      </c>
      <c r="L2147" s="2" t="n">
        <v>0</v>
      </c>
      <c r="M2147" s="2" t="n">
        <v>0</v>
      </c>
    </row>
    <row r="2148" customFormat="false" ht="15" hidden="false" customHeight="false" outlineLevel="0" collapsed="false">
      <c r="A2148" s="2" t="s">
        <v>4563</v>
      </c>
      <c r="B2148" s="2" t="s">
        <v>4564</v>
      </c>
      <c r="C2148" s="2" t="n">
        <v>4</v>
      </c>
      <c r="D2148" s="2" t="s">
        <v>52</v>
      </c>
      <c r="E2148" s="2" t="s">
        <v>4154</v>
      </c>
      <c r="F2148" s="3" t="n">
        <v>45865.1847222222</v>
      </c>
      <c r="G2148" s="2" t="s">
        <v>4011</v>
      </c>
      <c r="H2148" s="4" t="n">
        <v>0.6369</v>
      </c>
      <c r="I2148" s="2" t="s">
        <v>23</v>
      </c>
      <c r="J2148" s="2" t="s">
        <v>19</v>
      </c>
      <c r="K2148" s="2" t="n">
        <v>5</v>
      </c>
      <c r="L2148" s="2" t="n">
        <v>0</v>
      </c>
      <c r="M2148" s="2" t="n">
        <v>0</v>
      </c>
    </row>
    <row r="2149" customFormat="false" ht="15" hidden="false" customHeight="false" outlineLevel="0" collapsed="false">
      <c r="A2149" s="2" t="s">
        <v>4565</v>
      </c>
      <c r="B2149" s="2" t="s">
        <v>4566</v>
      </c>
      <c r="C2149" s="2" t="n">
        <v>5</v>
      </c>
      <c r="D2149" s="2" t="s">
        <v>62</v>
      </c>
      <c r="E2149" s="2" t="s">
        <v>4154</v>
      </c>
      <c r="F2149" s="3" t="n">
        <v>45865.2465277778</v>
      </c>
      <c r="G2149" s="2" t="s">
        <v>4011</v>
      </c>
      <c r="H2149" s="4" t="n">
        <v>0.7088</v>
      </c>
      <c r="I2149" s="2" t="s">
        <v>23</v>
      </c>
      <c r="J2149" s="2" t="s">
        <v>19</v>
      </c>
      <c r="K2149" s="2" t="n">
        <v>1</v>
      </c>
      <c r="L2149" s="2" t="n">
        <v>0</v>
      </c>
      <c r="M2149" s="2" t="n">
        <v>0</v>
      </c>
    </row>
    <row r="2150" customFormat="false" ht="15" hidden="false" customHeight="false" outlineLevel="0" collapsed="false">
      <c r="A2150" s="2" t="s">
        <v>4567</v>
      </c>
      <c r="B2150" s="2" t="s">
        <v>4568</v>
      </c>
      <c r="C2150" s="2" t="n">
        <v>5</v>
      </c>
      <c r="D2150" s="2" t="s">
        <v>47</v>
      </c>
      <c r="E2150" s="2" t="s">
        <v>4154</v>
      </c>
      <c r="F2150" s="3" t="n">
        <v>45865.3013888889</v>
      </c>
      <c r="G2150" s="2" t="s">
        <v>4011</v>
      </c>
      <c r="H2150" s="4" t="n">
        <v>0.3089</v>
      </c>
      <c r="I2150" s="2" t="s">
        <v>23</v>
      </c>
      <c r="J2150" s="2" t="s">
        <v>19</v>
      </c>
      <c r="K2150" s="2" t="n">
        <v>1</v>
      </c>
      <c r="L2150" s="2" t="n">
        <v>0</v>
      </c>
      <c r="M2150" s="2" t="n">
        <v>0</v>
      </c>
    </row>
    <row r="2151" customFormat="false" ht="15" hidden="false" customHeight="false" outlineLevel="0" collapsed="false">
      <c r="A2151" s="2" t="s">
        <v>4569</v>
      </c>
      <c r="B2151" s="2" t="s">
        <v>4570</v>
      </c>
      <c r="C2151" s="2" t="n">
        <v>4</v>
      </c>
      <c r="D2151" s="2" t="s">
        <v>87</v>
      </c>
      <c r="E2151" s="2" t="s">
        <v>4154</v>
      </c>
      <c r="F2151" s="3" t="n">
        <v>45865.3055555556</v>
      </c>
      <c r="G2151" s="2" t="s">
        <v>4011</v>
      </c>
      <c r="H2151" s="4" t="n">
        <v>0</v>
      </c>
      <c r="I2151" s="2" t="s">
        <v>18</v>
      </c>
      <c r="J2151" s="2" t="s">
        <v>19</v>
      </c>
      <c r="K2151" s="2" t="n">
        <v>0</v>
      </c>
      <c r="L2151" s="2" t="n">
        <v>0</v>
      </c>
      <c r="M2151" s="2" t="n">
        <v>0</v>
      </c>
    </row>
    <row r="2152" customFormat="false" ht="15" hidden="false" customHeight="false" outlineLevel="0" collapsed="false">
      <c r="A2152" s="2" t="s">
        <v>4571</v>
      </c>
      <c r="B2152" s="2" t="s">
        <v>4572</v>
      </c>
      <c r="C2152" s="2" t="n">
        <v>3</v>
      </c>
      <c r="D2152" s="2" t="s">
        <v>179</v>
      </c>
      <c r="E2152" s="2" t="s">
        <v>4154</v>
      </c>
      <c r="F2152" s="3" t="n">
        <v>45865.5465277778</v>
      </c>
      <c r="G2152" s="2" t="s">
        <v>4011</v>
      </c>
      <c r="H2152" s="4" t="n">
        <v>-0.0258</v>
      </c>
      <c r="I2152" s="2" t="s">
        <v>18</v>
      </c>
      <c r="J2152" s="2" t="s">
        <v>59</v>
      </c>
      <c r="K2152" s="2" t="n">
        <v>2</v>
      </c>
      <c r="L2152" s="2" t="n">
        <v>0</v>
      </c>
      <c r="M2152" s="2" t="n">
        <v>0</v>
      </c>
    </row>
    <row r="2153" customFormat="false" ht="15" hidden="false" customHeight="false" outlineLevel="0" collapsed="false">
      <c r="A2153" s="2" t="s">
        <v>4573</v>
      </c>
      <c r="B2153" s="2" t="s">
        <v>4574</v>
      </c>
      <c r="C2153" s="2" t="n">
        <v>4</v>
      </c>
      <c r="D2153" s="2" t="s">
        <v>222</v>
      </c>
      <c r="E2153" s="2" t="s">
        <v>4154</v>
      </c>
      <c r="F2153" s="3" t="n">
        <v>45865.6326388889</v>
      </c>
      <c r="G2153" s="2" t="s">
        <v>4011</v>
      </c>
      <c r="H2153" s="4" t="n">
        <v>0.9647</v>
      </c>
      <c r="I2153" s="2" t="s">
        <v>23</v>
      </c>
      <c r="J2153" s="2" t="s">
        <v>37</v>
      </c>
      <c r="K2153" s="2" t="n">
        <v>2</v>
      </c>
      <c r="L2153" s="2" t="n">
        <v>0</v>
      </c>
      <c r="M2153" s="2" t="n">
        <v>0</v>
      </c>
    </row>
    <row r="2154" customFormat="false" ht="15" hidden="false" customHeight="false" outlineLevel="0" collapsed="false">
      <c r="A2154" s="2" t="s">
        <v>4575</v>
      </c>
      <c r="B2154" s="2" t="s">
        <v>4576</v>
      </c>
      <c r="C2154" s="2" t="n">
        <v>4</v>
      </c>
      <c r="D2154" s="2" t="s">
        <v>96</v>
      </c>
      <c r="E2154" s="2" t="s">
        <v>4154</v>
      </c>
      <c r="F2154" s="3" t="n">
        <v>45865.6506944444</v>
      </c>
      <c r="G2154" s="2" t="s">
        <v>4011</v>
      </c>
      <c r="H2154" s="4" t="n">
        <v>0.6369</v>
      </c>
      <c r="I2154" s="2" t="s">
        <v>23</v>
      </c>
      <c r="J2154" s="2" t="s">
        <v>19</v>
      </c>
      <c r="K2154" s="2" t="n">
        <v>5</v>
      </c>
      <c r="L2154" s="2" t="n">
        <v>0</v>
      </c>
      <c r="M2154" s="2" t="n">
        <v>0</v>
      </c>
    </row>
    <row r="2155" customFormat="false" ht="15" hidden="false" customHeight="false" outlineLevel="0" collapsed="false">
      <c r="A2155" s="2" t="s">
        <v>4577</v>
      </c>
      <c r="B2155" s="2" t="s">
        <v>4578</v>
      </c>
      <c r="C2155" s="2" t="n">
        <v>4</v>
      </c>
      <c r="D2155" s="2" t="s">
        <v>127</v>
      </c>
      <c r="E2155" s="2" t="s">
        <v>4154</v>
      </c>
      <c r="F2155" s="3" t="n">
        <v>45865.6854166667</v>
      </c>
      <c r="G2155" s="2" t="s">
        <v>4011</v>
      </c>
      <c r="H2155" s="4" t="n">
        <v>0.9359</v>
      </c>
      <c r="I2155" s="2" t="s">
        <v>23</v>
      </c>
      <c r="J2155" s="2" t="s">
        <v>37</v>
      </c>
      <c r="K2155" s="2" t="n">
        <v>1</v>
      </c>
      <c r="L2155" s="2" t="n">
        <v>1</v>
      </c>
      <c r="M2155" s="2" t="n">
        <v>0</v>
      </c>
    </row>
    <row r="2156" customFormat="false" ht="15" hidden="false" customHeight="false" outlineLevel="0" collapsed="false">
      <c r="A2156" s="2" t="s">
        <v>4579</v>
      </c>
      <c r="B2156" s="2" t="s">
        <v>4580</v>
      </c>
      <c r="C2156" s="2" t="n">
        <v>2</v>
      </c>
      <c r="D2156" s="2" t="s">
        <v>357</v>
      </c>
      <c r="E2156" s="2" t="s">
        <v>4154</v>
      </c>
      <c r="F2156" s="3" t="n">
        <v>45865.8104166667</v>
      </c>
      <c r="G2156" s="2" t="s">
        <v>4011</v>
      </c>
      <c r="H2156" s="4" t="n">
        <v>0</v>
      </c>
      <c r="I2156" s="2" t="s">
        <v>18</v>
      </c>
      <c r="J2156" s="2" t="s">
        <v>165</v>
      </c>
      <c r="K2156" s="2" t="n">
        <v>16</v>
      </c>
      <c r="L2156" s="2" t="n">
        <v>0</v>
      </c>
      <c r="M2156" s="2" t="n">
        <v>0</v>
      </c>
    </row>
    <row r="2157" customFormat="false" ht="15" hidden="false" customHeight="false" outlineLevel="0" collapsed="false">
      <c r="A2157" s="2" t="s">
        <v>4581</v>
      </c>
      <c r="B2157" s="2" t="s">
        <v>4582</v>
      </c>
      <c r="C2157" s="2" t="n">
        <v>5</v>
      </c>
      <c r="D2157" s="2" t="s">
        <v>40</v>
      </c>
      <c r="E2157" s="2" t="s">
        <v>4154</v>
      </c>
      <c r="F2157" s="3" t="n">
        <v>45866.0673611111</v>
      </c>
      <c r="G2157" s="2" t="s">
        <v>4011</v>
      </c>
      <c r="H2157" s="4" t="n">
        <v>0.4019</v>
      </c>
      <c r="I2157" s="2" t="s">
        <v>23</v>
      </c>
      <c r="J2157" s="2" t="s">
        <v>33</v>
      </c>
      <c r="K2157" s="2" t="n">
        <v>2</v>
      </c>
      <c r="L2157" s="2" t="n">
        <v>0</v>
      </c>
      <c r="M2157" s="2" t="n">
        <v>0</v>
      </c>
    </row>
    <row r="2158" customFormat="false" ht="15" hidden="false" customHeight="false" outlineLevel="0" collapsed="false">
      <c r="A2158" s="2" t="s">
        <v>4583</v>
      </c>
      <c r="B2158" s="2" t="s">
        <v>4584</v>
      </c>
      <c r="C2158" s="2" t="n">
        <v>4</v>
      </c>
      <c r="D2158" s="2" t="s">
        <v>40</v>
      </c>
      <c r="E2158" s="2" t="s">
        <v>4154</v>
      </c>
      <c r="F2158" s="3" t="n">
        <v>45866.1333333333</v>
      </c>
      <c r="G2158" s="2" t="s">
        <v>4011</v>
      </c>
      <c r="H2158" s="4" t="n">
        <v>0.4019</v>
      </c>
      <c r="I2158" s="2" t="s">
        <v>23</v>
      </c>
      <c r="J2158" s="2" t="s">
        <v>33</v>
      </c>
      <c r="K2158" s="2" t="n">
        <v>0</v>
      </c>
      <c r="L2158" s="2" t="n">
        <v>0</v>
      </c>
      <c r="M2158" s="2" t="n">
        <v>0</v>
      </c>
    </row>
    <row r="2159" customFormat="false" ht="15" hidden="false" customHeight="false" outlineLevel="0" collapsed="false">
      <c r="A2159" s="2" t="s">
        <v>4585</v>
      </c>
      <c r="B2159" s="2" t="s">
        <v>4586</v>
      </c>
      <c r="C2159" s="2" t="n">
        <v>5</v>
      </c>
      <c r="D2159" s="2" t="s">
        <v>40</v>
      </c>
      <c r="E2159" s="2" t="s">
        <v>4154</v>
      </c>
      <c r="F2159" s="3" t="n">
        <v>45866.2125</v>
      </c>
      <c r="G2159" s="2" t="s">
        <v>4011</v>
      </c>
      <c r="H2159" s="4" t="n">
        <v>0.4019</v>
      </c>
      <c r="I2159" s="2" t="s">
        <v>23</v>
      </c>
      <c r="J2159" s="2" t="s">
        <v>33</v>
      </c>
      <c r="K2159" s="2" t="n">
        <v>4</v>
      </c>
      <c r="L2159" s="2" t="n">
        <v>0</v>
      </c>
      <c r="M2159" s="2" t="n">
        <v>0</v>
      </c>
    </row>
    <row r="2160" customFormat="false" ht="15" hidden="false" customHeight="false" outlineLevel="0" collapsed="false">
      <c r="A2160" s="2" t="s">
        <v>4587</v>
      </c>
      <c r="B2160" s="2" t="s">
        <v>4588</v>
      </c>
      <c r="C2160" s="2" t="n">
        <v>5</v>
      </c>
      <c r="D2160" s="2" t="s">
        <v>15</v>
      </c>
      <c r="E2160" s="2" t="s">
        <v>4154</v>
      </c>
      <c r="F2160" s="3" t="n">
        <v>45866.2701388889</v>
      </c>
      <c r="G2160" s="2" t="s">
        <v>4011</v>
      </c>
      <c r="H2160" s="4" t="n">
        <v>0</v>
      </c>
      <c r="I2160" s="2" t="s">
        <v>18</v>
      </c>
      <c r="J2160" s="2" t="s">
        <v>19</v>
      </c>
      <c r="K2160" s="2" t="n">
        <v>1</v>
      </c>
      <c r="L2160" s="2" t="n">
        <v>0</v>
      </c>
      <c r="M2160" s="2" t="n">
        <v>0</v>
      </c>
    </row>
    <row r="2161" customFormat="false" ht="15" hidden="false" customHeight="false" outlineLevel="0" collapsed="false">
      <c r="A2161" s="2" t="s">
        <v>4589</v>
      </c>
      <c r="B2161" s="2" t="s">
        <v>4590</v>
      </c>
      <c r="C2161" s="2" t="n">
        <v>5</v>
      </c>
      <c r="D2161" s="2" t="s">
        <v>62</v>
      </c>
      <c r="E2161" s="2" t="s">
        <v>4154</v>
      </c>
      <c r="F2161" s="3" t="n">
        <v>45866.6159722222</v>
      </c>
      <c r="G2161" s="2" t="s">
        <v>4011</v>
      </c>
      <c r="H2161" s="4" t="n">
        <v>0.7088</v>
      </c>
      <c r="I2161" s="2" t="s">
        <v>23</v>
      </c>
      <c r="J2161" s="2" t="s">
        <v>19</v>
      </c>
      <c r="K2161" s="2" t="n">
        <v>1</v>
      </c>
      <c r="L2161" s="2" t="n">
        <v>0</v>
      </c>
      <c r="M2161" s="2" t="n">
        <v>0</v>
      </c>
    </row>
    <row r="2162" customFormat="false" ht="15" hidden="false" customHeight="false" outlineLevel="0" collapsed="false">
      <c r="A2162" s="2" t="s">
        <v>4591</v>
      </c>
      <c r="B2162" s="2" t="s">
        <v>4592</v>
      </c>
      <c r="C2162" s="2" t="n">
        <v>3</v>
      </c>
      <c r="D2162" s="2" t="s">
        <v>99</v>
      </c>
      <c r="E2162" s="2" t="s">
        <v>4154</v>
      </c>
      <c r="F2162" s="3" t="n">
        <v>45866.6451388889</v>
      </c>
      <c r="G2162" s="2" t="s">
        <v>4011</v>
      </c>
      <c r="H2162" s="4" t="n">
        <v>-0.3089</v>
      </c>
      <c r="I2162" s="2" t="s">
        <v>84</v>
      </c>
      <c r="J2162" s="2" t="s">
        <v>19</v>
      </c>
      <c r="K2162" s="2" t="n">
        <v>1</v>
      </c>
      <c r="L2162" s="2" t="n">
        <v>0</v>
      </c>
      <c r="M2162" s="2" t="n">
        <v>0</v>
      </c>
    </row>
    <row r="2163" customFormat="false" ht="15" hidden="false" customHeight="false" outlineLevel="0" collapsed="false">
      <c r="A2163" s="2" t="s">
        <v>4593</v>
      </c>
      <c r="B2163" s="2" t="s">
        <v>4286</v>
      </c>
      <c r="C2163" s="2" t="n">
        <v>5</v>
      </c>
      <c r="D2163" s="2" t="s">
        <v>47</v>
      </c>
      <c r="E2163" s="2" t="s">
        <v>4154</v>
      </c>
      <c r="F2163" s="3" t="n">
        <v>45866.775</v>
      </c>
      <c r="G2163" s="2" t="s">
        <v>4011</v>
      </c>
      <c r="H2163" s="4" t="n">
        <v>0.3089</v>
      </c>
      <c r="I2163" s="2" t="s">
        <v>23</v>
      </c>
      <c r="J2163" s="2" t="s">
        <v>19</v>
      </c>
      <c r="K2163" s="2" t="n">
        <v>3</v>
      </c>
      <c r="L2163" s="2" t="n">
        <v>0</v>
      </c>
      <c r="M2163" s="2" t="n">
        <v>0</v>
      </c>
    </row>
    <row r="2164" customFormat="false" ht="15" hidden="false" customHeight="false" outlineLevel="0" collapsed="false">
      <c r="A2164" s="2" t="s">
        <v>4594</v>
      </c>
      <c r="B2164" s="2" t="s">
        <v>4595</v>
      </c>
      <c r="C2164" s="2" t="n">
        <v>5</v>
      </c>
      <c r="D2164" s="2" t="s">
        <v>40</v>
      </c>
      <c r="E2164" s="2" t="s">
        <v>4154</v>
      </c>
      <c r="F2164" s="3" t="n">
        <v>45866.9694444445</v>
      </c>
      <c r="G2164" s="2" t="s">
        <v>4011</v>
      </c>
      <c r="H2164" s="4" t="n">
        <v>0.4019</v>
      </c>
      <c r="I2164" s="2" t="s">
        <v>23</v>
      </c>
      <c r="J2164" s="2" t="s">
        <v>33</v>
      </c>
      <c r="K2164" s="2" t="n">
        <v>3</v>
      </c>
      <c r="L2164" s="2" t="n">
        <v>1</v>
      </c>
      <c r="M2164" s="2" t="n">
        <v>0</v>
      </c>
    </row>
    <row r="2165" customFormat="false" ht="15" hidden="false" customHeight="false" outlineLevel="0" collapsed="false">
      <c r="A2165" s="2" t="s">
        <v>4596</v>
      </c>
      <c r="B2165" s="2" t="s">
        <v>4597</v>
      </c>
      <c r="C2165" s="2" t="n">
        <v>5</v>
      </c>
      <c r="D2165" s="2" t="s">
        <v>127</v>
      </c>
      <c r="E2165" s="2" t="s">
        <v>4154</v>
      </c>
      <c r="F2165" s="3" t="n">
        <v>45867.1993055556</v>
      </c>
      <c r="G2165" s="2" t="s">
        <v>4011</v>
      </c>
      <c r="H2165" s="4" t="n">
        <v>0.9359</v>
      </c>
      <c r="I2165" s="2" t="s">
        <v>23</v>
      </c>
      <c r="J2165" s="2" t="s">
        <v>37</v>
      </c>
      <c r="K2165" s="2" t="n">
        <v>2</v>
      </c>
      <c r="L2165" s="2" t="n">
        <v>0</v>
      </c>
      <c r="M2165" s="2" t="n">
        <v>0</v>
      </c>
    </row>
    <row r="2166" customFormat="false" ht="15" hidden="false" customHeight="false" outlineLevel="0" collapsed="false">
      <c r="A2166" s="2" t="s">
        <v>4598</v>
      </c>
      <c r="B2166" s="2" t="s">
        <v>4599</v>
      </c>
      <c r="C2166" s="2" t="n">
        <v>5</v>
      </c>
      <c r="D2166" s="2" t="s">
        <v>47</v>
      </c>
      <c r="E2166" s="2" t="s">
        <v>4154</v>
      </c>
      <c r="F2166" s="3" t="n">
        <v>45867.2583333333</v>
      </c>
      <c r="G2166" s="2" t="s">
        <v>4011</v>
      </c>
      <c r="H2166" s="4" t="n">
        <v>0.3089</v>
      </c>
      <c r="I2166" s="2" t="s">
        <v>23</v>
      </c>
      <c r="J2166" s="2" t="s">
        <v>19</v>
      </c>
      <c r="K2166" s="2" t="n">
        <v>8</v>
      </c>
      <c r="L2166" s="2" t="n">
        <v>0</v>
      </c>
      <c r="M2166" s="2" t="n">
        <v>0</v>
      </c>
    </row>
    <row r="2167" customFormat="false" ht="15" hidden="false" customHeight="false" outlineLevel="0" collapsed="false">
      <c r="A2167" s="2" t="s">
        <v>4600</v>
      </c>
      <c r="B2167" s="2" t="s">
        <v>4601</v>
      </c>
      <c r="C2167" s="2" t="n">
        <v>5</v>
      </c>
      <c r="D2167" s="2" t="s">
        <v>475</v>
      </c>
      <c r="E2167" s="2" t="s">
        <v>4154</v>
      </c>
      <c r="F2167" s="3" t="n">
        <v>45867.2638888889</v>
      </c>
      <c r="G2167" s="2" t="s">
        <v>4011</v>
      </c>
      <c r="H2167" s="4" t="n">
        <v>0.7845</v>
      </c>
      <c r="I2167" s="2" t="s">
        <v>23</v>
      </c>
      <c r="J2167" s="2" t="s">
        <v>33</v>
      </c>
      <c r="K2167" s="2" t="n">
        <v>2</v>
      </c>
      <c r="L2167" s="2" t="n">
        <v>0</v>
      </c>
      <c r="M2167" s="2" t="n">
        <v>0</v>
      </c>
    </row>
    <row r="2168" customFormat="false" ht="15" hidden="false" customHeight="false" outlineLevel="0" collapsed="false">
      <c r="A2168" s="2" t="s">
        <v>4602</v>
      </c>
      <c r="B2168" s="2" t="s">
        <v>4603</v>
      </c>
      <c r="C2168" s="2" t="n">
        <v>4</v>
      </c>
      <c r="D2168" s="2" t="s">
        <v>940</v>
      </c>
      <c r="E2168" s="2" t="s">
        <v>4154</v>
      </c>
      <c r="F2168" s="3" t="n">
        <v>45867.3388888889</v>
      </c>
      <c r="G2168" s="2" t="s">
        <v>4011</v>
      </c>
      <c r="H2168" s="4" t="n">
        <v>0.7475</v>
      </c>
      <c r="I2168" s="2" t="s">
        <v>23</v>
      </c>
      <c r="J2168" s="2" t="s">
        <v>37</v>
      </c>
      <c r="K2168" s="2" t="n">
        <v>2</v>
      </c>
      <c r="L2168" s="2" t="n">
        <v>0</v>
      </c>
      <c r="M2168" s="2" t="n">
        <v>0</v>
      </c>
    </row>
    <row r="2169" customFormat="false" ht="15" hidden="false" customHeight="false" outlineLevel="0" collapsed="false">
      <c r="A2169" s="2" t="s">
        <v>4604</v>
      </c>
      <c r="B2169" s="2" t="s">
        <v>4605</v>
      </c>
      <c r="C2169" s="2" t="n">
        <v>2</v>
      </c>
      <c r="D2169" s="2" t="s">
        <v>701</v>
      </c>
      <c r="E2169" s="2" t="s">
        <v>4154</v>
      </c>
      <c r="F2169" s="3" t="n">
        <v>45867.3520833333</v>
      </c>
      <c r="G2169" s="2" t="s">
        <v>4011</v>
      </c>
      <c r="H2169" s="4" t="n">
        <v>-0.7184</v>
      </c>
      <c r="I2169" s="2" t="s">
        <v>84</v>
      </c>
      <c r="J2169" s="2" t="s">
        <v>37</v>
      </c>
      <c r="K2169" s="2" t="n">
        <v>0</v>
      </c>
      <c r="L2169" s="2" t="n">
        <v>0</v>
      </c>
      <c r="M2169" s="2" t="n">
        <v>0</v>
      </c>
    </row>
    <row r="2170" customFormat="false" ht="15" hidden="false" customHeight="false" outlineLevel="0" collapsed="false">
      <c r="A2170" s="2" t="s">
        <v>4606</v>
      </c>
      <c r="B2170" s="2" t="s">
        <v>4607</v>
      </c>
      <c r="C2170" s="2" t="n">
        <v>5</v>
      </c>
      <c r="D2170" s="2" t="s">
        <v>407</v>
      </c>
      <c r="E2170" s="2" t="s">
        <v>4154</v>
      </c>
      <c r="F2170" s="3" t="n">
        <v>45867.5395833333</v>
      </c>
      <c r="G2170" s="2" t="s">
        <v>4011</v>
      </c>
      <c r="H2170" s="4" t="n">
        <v>0.7783</v>
      </c>
      <c r="I2170" s="2" t="s">
        <v>23</v>
      </c>
      <c r="J2170" s="2" t="s">
        <v>37</v>
      </c>
      <c r="K2170" s="2" t="n">
        <v>2</v>
      </c>
      <c r="L2170" s="2" t="n">
        <v>0</v>
      </c>
      <c r="M2170" s="2" t="n">
        <v>0</v>
      </c>
    </row>
    <row r="2171" customFormat="false" ht="15" hidden="false" customHeight="false" outlineLevel="0" collapsed="false">
      <c r="A2171" s="2" t="s">
        <v>4608</v>
      </c>
      <c r="B2171" s="2" t="s">
        <v>4609</v>
      </c>
      <c r="C2171" s="2" t="n">
        <v>4</v>
      </c>
      <c r="D2171" s="2" t="s">
        <v>301</v>
      </c>
      <c r="E2171" s="2" t="s">
        <v>4154</v>
      </c>
      <c r="F2171" s="3" t="n">
        <v>45867.6965277778</v>
      </c>
      <c r="G2171" s="2" t="s">
        <v>4011</v>
      </c>
      <c r="H2171" s="4" t="n">
        <v>0.2263</v>
      </c>
      <c r="I2171" s="2" t="s">
        <v>23</v>
      </c>
      <c r="J2171" s="2" t="s">
        <v>19</v>
      </c>
      <c r="K2171" s="2" t="n">
        <v>0</v>
      </c>
      <c r="L2171" s="2" t="n">
        <v>0</v>
      </c>
      <c r="M2171" s="2" t="n">
        <v>0</v>
      </c>
    </row>
    <row r="2172" customFormat="false" ht="15" hidden="false" customHeight="false" outlineLevel="0" collapsed="false">
      <c r="A2172" s="2" t="s">
        <v>4610</v>
      </c>
      <c r="B2172" s="2" t="s">
        <v>4611</v>
      </c>
      <c r="C2172" s="2" t="n">
        <v>5</v>
      </c>
      <c r="D2172" s="2" t="s">
        <v>62</v>
      </c>
      <c r="E2172" s="2" t="s">
        <v>4154</v>
      </c>
      <c r="F2172" s="3" t="n">
        <v>45867.8229166667</v>
      </c>
      <c r="G2172" s="2" t="s">
        <v>4011</v>
      </c>
      <c r="H2172" s="4" t="n">
        <v>0.7088</v>
      </c>
      <c r="I2172" s="2" t="s">
        <v>23</v>
      </c>
      <c r="J2172" s="2" t="s">
        <v>19</v>
      </c>
      <c r="K2172" s="2" t="n">
        <v>3</v>
      </c>
      <c r="L2172" s="2" t="n">
        <v>0</v>
      </c>
      <c r="M2172" s="2" t="n">
        <v>0</v>
      </c>
    </row>
    <row r="2173" customFormat="false" ht="15" hidden="false" customHeight="false" outlineLevel="0" collapsed="false">
      <c r="A2173" s="2" t="s">
        <v>4612</v>
      </c>
      <c r="B2173" s="2" t="s">
        <v>4613</v>
      </c>
      <c r="C2173" s="2" t="n">
        <v>3</v>
      </c>
      <c r="D2173" s="2" t="s">
        <v>87</v>
      </c>
      <c r="E2173" s="2" t="s">
        <v>4154</v>
      </c>
      <c r="F2173" s="3" t="n">
        <v>45868.1611111111</v>
      </c>
      <c r="G2173" s="2" t="s">
        <v>4011</v>
      </c>
      <c r="H2173" s="4" t="n">
        <v>0</v>
      </c>
      <c r="I2173" s="2" t="s">
        <v>18</v>
      </c>
      <c r="J2173" s="2" t="s">
        <v>19</v>
      </c>
      <c r="K2173" s="2" t="n">
        <v>3</v>
      </c>
      <c r="L2173" s="2" t="n">
        <v>0</v>
      </c>
      <c r="M2173" s="2" t="n">
        <v>0</v>
      </c>
    </row>
    <row r="2174" customFormat="false" ht="15" hidden="false" customHeight="false" outlineLevel="0" collapsed="false">
      <c r="A2174" s="2" t="s">
        <v>4614</v>
      </c>
      <c r="B2174" s="2" t="s">
        <v>4615</v>
      </c>
      <c r="C2174" s="2" t="n">
        <v>5</v>
      </c>
      <c r="D2174" s="2" t="s">
        <v>47</v>
      </c>
      <c r="E2174" s="2" t="s">
        <v>4154</v>
      </c>
      <c r="F2174" s="3" t="n">
        <v>45868.4805555556</v>
      </c>
      <c r="G2174" s="2" t="s">
        <v>4011</v>
      </c>
      <c r="H2174" s="4" t="n">
        <v>0.3089</v>
      </c>
      <c r="I2174" s="2" t="s">
        <v>23</v>
      </c>
      <c r="J2174" s="2" t="s">
        <v>19</v>
      </c>
      <c r="K2174" s="2" t="n">
        <v>27</v>
      </c>
      <c r="L2174" s="2" t="n">
        <v>0</v>
      </c>
      <c r="M2174" s="2" t="n">
        <v>0</v>
      </c>
    </row>
    <row r="2175" customFormat="false" ht="15" hidden="false" customHeight="false" outlineLevel="0" collapsed="false">
      <c r="A2175" s="2" t="s">
        <v>4616</v>
      </c>
      <c r="B2175" s="2" t="s">
        <v>4617</v>
      </c>
      <c r="C2175" s="2" t="n">
        <v>1</v>
      </c>
      <c r="D2175" s="2" t="s">
        <v>4618</v>
      </c>
      <c r="E2175" s="2" t="s">
        <v>4154</v>
      </c>
      <c r="F2175" s="3" t="n">
        <v>45868.7388888889</v>
      </c>
      <c r="G2175" s="2" t="s">
        <v>4011</v>
      </c>
      <c r="H2175" s="4" t="n">
        <v>0.3612</v>
      </c>
      <c r="I2175" s="2" t="s">
        <v>23</v>
      </c>
      <c r="J2175" s="2" t="s">
        <v>37</v>
      </c>
      <c r="K2175" s="2" t="n">
        <v>3</v>
      </c>
      <c r="L2175" s="2" t="n">
        <v>1</v>
      </c>
      <c r="M2175" s="2" t="n">
        <v>0</v>
      </c>
    </row>
    <row r="2176" customFormat="false" ht="15" hidden="false" customHeight="false" outlineLevel="0" collapsed="false">
      <c r="A2176" s="2" t="s">
        <v>4619</v>
      </c>
      <c r="B2176" s="2" t="s">
        <v>4620</v>
      </c>
      <c r="C2176" s="2" t="n">
        <v>5</v>
      </c>
      <c r="D2176" s="2" t="s">
        <v>15</v>
      </c>
      <c r="E2176" s="2" t="s">
        <v>4154</v>
      </c>
      <c r="F2176" s="3" t="n">
        <v>45868.9152777778</v>
      </c>
      <c r="G2176" s="2" t="s">
        <v>4011</v>
      </c>
      <c r="H2176" s="4" t="n">
        <v>0</v>
      </c>
      <c r="I2176" s="2" t="s">
        <v>18</v>
      </c>
      <c r="J2176" s="2" t="s">
        <v>19</v>
      </c>
      <c r="K2176" s="2" t="n">
        <v>1</v>
      </c>
      <c r="L2176" s="2" t="n">
        <v>0</v>
      </c>
      <c r="M2176" s="2" t="n">
        <v>0</v>
      </c>
    </row>
    <row r="2177" customFormat="false" ht="15" hidden="false" customHeight="false" outlineLevel="0" collapsed="false">
      <c r="A2177" s="2" t="s">
        <v>4621</v>
      </c>
      <c r="B2177" s="2" t="s">
        <v>4622</v>
      </c>
      <c r="C2177" s="2" t="n">
        <v>4</v>
      </c>
      <c r="D2177" s="2" t="s">
        <v>820</v>
      </c>
      <c r="E2177" s="2" t="s">
        <v>4154</v>
      </c>
      <c r="F2177" s="3" t="n">
        <v>45868.9708333333</v>
      </c>
      <c r="G2177" s="2" t="s">
        <v>4011</v>
      </c>
      <c r="H2177" s="4" t="n">
        <v>0.6808</v>
      </c>
      <c r="I2177" s="2" t="s">
        <v>23</v>
      </c>
      <c r="J2177" s="2" t="s">
        <v>37</v>
      </c>
      <c r="K2177" s="2" t="n">
        <v>2</v>
      </c>
      <c r="L2177" s="2" t="n">
        <v>0</v>
      </c>
      <c r="M2177" s="2" t="n">
        <v>0</v>
      </c>
    </row>
    <row r="2178" customFormat="false" ht="15" hidden="false" customHeight="false" outlineLevel="0" collapsed="false">
      <c r="A2178" s="2" t="s">
        <v>4623</v>
      </c>
      <c r="B2178" s="2" t="s">
        <v>1001</v>
      </c>
      <c r="C2178" s="2" t="n">
        <v>5</v>
      </c>
      <c r="D2178" s="2" t="s">
        <v>15</v>
      </c>
      <c r="E2178" s="2" t="s">
        <v>4154</v>
      </c>
      <c r="F2178" s="3" t="n">
        <v>45869.0013888889</v>
      </c>
      <c r="G2178" s="2" t="s">
        <v>4011</v>
      </c>
      <c r="H2178" s="4" t="n">
        <v>0</v>
      </c>
      <c r="I2178" s="2" t="s">
        <v>18</v>
      </c>
      <c r="J2178" s="2" t="s">
        <v>19</v>
      </c>
      <c r="K2178" s="2" t="n">
        <v>1</v>
      </c>
      <c r="L2178" s="2" t="n">
        <v>0</v>
      </c>
      <c r="M2178" s="2" t="n">
        <v>0</v>
      </c>
    </row>
    <row r="2179" customFormat="false" ht="15" hidden="false" customHeight="false" outlineLevel="0" collapsed="false">
      <c r="A2179" s="2" t="s">
        <v>4624</v>
      </c>
      <c r="B2179" s="2" t="s">
        <v>4625</v>
      </c>
      <c r="C2179" s="2" t="n">
        <v>5</v>
      </c>
      <c r="D2179" s="2" t="s">
        <v>90</v>
      </c>
      <c r="E2179" s="2" t="s">
        <v>4154</v>
      </c>
      <c r="F2179" s="3" t="n">
        <v>45869.0979166667</v>
      </c>
      <c r="G2179" s="2" t="s">
        <v>4011</v>
      </c>
      <c r="H2179" s="4" t="n">
        <v>0.6249</v>
      </c>
      <c r="I2179" s="2" t="s">
        <v>23</v>
      </c>
      <c r="J2179" s="2" t="s">
        <v>37</v>
      </c>
      <c r="K2179" s="2" t="n">
        <v>4</v>
      </c>
      <c r="L2179" s="2" t="n">
        <v>0</v>
      </c>
      <c r="M2179" s="2" t="n">
        <v>0</v>
      </c>
    </row>
    <row r="2180" customFormat="false" ht="15" hidden="false" customHeight="false" outlineLevel="0" collapsed="false">
      <c r="A2180" s="2" t="s">
        <v>4626</v>
      </c>
      <c r="B2180" s="2" t="s">
        <v>4627</v>
      </c>
      <c r="C2180" s="2" t="n">
        <v>5</v>
      </c>
      <c r="D2180" s="2" t="s">
        <v>127</v>
      </c>
      <c r="E2180" s="2" t="s">
        <v>4154</v>
      </c>
      <c r="F2180" s="3" t="n">
        <v>45869.1638888889</v>
      </c>
      <c r="G2180" s="2" t="s">
        <v>4011</v>
      </c>
      <c r="H2180" s="4" t="n">
        <v>0.9359</v>
      </c>
      <c r="I2180" s="2" t="s">
        <v>23</v>
      </c>
      <c r="J2180" s="2" t="s">
        <v>37</v>
      </c>
      <c r="K2180" s="2" t="n">
        <v>1</v>
      </c>
      <c r="L2180" s="2" t="n">
        <v>0</v>
      </c>
      <c r="M2180" s="2" t="n">
        <v>0</v>
      </c>
    </row>
    <row r="2181" customFormat="false" ht="15" hidden="false" customHeight="false" outlineLevel="0" collapsed="false">
      <c r="A2181" s="2" t="s">
        <v>4628</v>
      </c>
      <c r="B2181" s="2" t="s">
        <v>4629</v>
      </c>
      <c r="C2181" s="2" t="n">
        <v>5</v>
      </c>
      <c r="D2181" s="2" t="s">
        <v>15</v>
      </c>
      <c r="E2181" s="2" t="s">
        <v>4154</v>
      </c>
      <c r="F2181" s="3" t="n">
        <v>45869.2</v>
      </c>
      <c r="G2181" s="2" t="s">
        <v>4011</v>
      </c>
      <c r="H2181" s="4" t="n">
        <v>0</v>
      </c>
      <c r="I2181" s="2" t="s">
        <v>18</v>
      </c>
      <c r="J2181" s="2" t="s">
        <v>19</v>
      </c>
      <c r="K2181" s="2" t="n">
        <v>6</v>
      </c>
      <c r="L2181" s="2" t="n">
        <v>0</v>
      </c>
      <c r="M2181" s="2" t="n">
        <v>0</v>
      </c>
    </row>
    <row r="2182" customFormat="false" ht="15" hidden="false" customHeight="false" outlineLevel="0" collapsed="false">
      <c r="A2182" s="2" t="s">
        <v>4630</v>
      </c>
      <c r="B2182" s="2" t="s">
        <v>4631</v>
      </c>
      <c r="C2182" s="2" t="n">
        <v>5</v>
      </c>
      <c r="D2182" s="2" t="s">
        <v>52</v>
      </c>
      <c r="E2182" s="2" t="s">
        <v>4154</v>
      </c>
      <c r="F2182" s="3" t="n">
        <v>45869.24375</v>
      </c>
      <c r="G2182" s="2" t="s">
        <v>4011</v>
      </c>
      <c r="H2182" s="4" t="n">
        <v>0.6369</v>
      </c>
      <c r="I2182" s="2" t="s">
        <v>23</v>
      </c>
      <c r="J2182" s="2" t="s">
        <v>19</v>
      </c>
      <c r="K2182" s="2" t="n">
        <v>3</v>
      </c>
      <c r="L2182" s="2" t="n">
        <v>0</v>
      </c>
      <c r="M2182" s="2" t="n">
        <v>0</v>
      </c>
    </row>
    <row r="2183" customFormat="false" ht="15" hidden="false" customHeight="false" outlineLevel="0" collapsed="false">
      <c r="A2183" s="2" t="s">
        <v>4632</v>
      </c>
      <c r="B2183" s="2" t="s">
        <v>4633</v>
      </c>
      <c r="C2183" s="2" t="n">
        <v>5</v>
      </c>
      <c r="D2183" s="2" t="s">
        <v>47</v>
      </c>
      <c r="E2183" s="2" t="s">
        <v>4154</v>
      </c>
      <c r="F2183" s="3" t="n">
        <v>45869.25625</v>
      </c>
      <c r="G2183" s="2" t="s">
        <v>4011</v>
      </c>
      <c r="H2183" s="4" t="n">
        <v>0.3089</v>
      </c>
      <c r="I2183" s="2" t="s">
        <v>23</v>
      </c>
      <c r="J2183" s="2" t="s">
        <v>19</v>
      </c>
      <c r="K2183" s="2" t="n">
        <v>5</v>
      </c>
      <c r="L2183" s="2" t="n">
        <v>0</v>
      </c>
      <c r="M2183" s="2" t="n">
        <v>0</v>
      </c>
    </row>
    <row r="2184" customFormat="false" ht="15" hidden="false" customHeight="false" outlineLevel="0" collapsed="false">
      <c r="A2184" s="2" t="s">
        <v>4634</v>
      </c>
      <c r="B2184" s="2" t="s">
        <v>4635</v>
      </c>
      <c r="C2184" s="2" t="n">
        <v>3</v>
      </c>
      <c r="D2184" s="2" t="s">
        <v>1674</v>
      </c>
      <c r="E2184" s="2" t="s">
        <v>4154</v>
      </c>
      <c r="F2184" s="3" t="n">
        <v>45869.4916666667</v>
      </c>
      <c r="G2184" s="2" t="s">
        <v>4011</v>
      </c>
      <c r="H2184" s="4" t="n">
        <v>-0.438</v>
      </c>
      <c r="I2184" s="2" t="s">
        <v>84</v>
      </c>
      <c r="J2184" s="2" t="s">
        <v>19</v>
      </c>
      <c r="K2184" s="2" t="n">
        <v>3</v>
      </c>
      <c r="L2184" s="2" t="n">
        <v>0</v>
      </c>
      <c r="M2184" s="2" t="n">
        <v>0</v>
      </c>
    </row>
    <row r="2185" customFormat="false" ht="15" hidden="false" customHeight="false" outlineLevel="0" collapsed="false">
      <c r="A2185" s="2" t="s">
        <v>4636</v>
      </c>
      <c r="B2185" s="2" t="s">
        <v>4637</v>
      </c>
      <c r="C2185" s="2" t="n">
        <v>5</v>
      </c>
      <c r="D2185" s="2" t="s">
        <v>52</v>
      </c>
      <c r="E2185" s="2" t="s">
        <v>4154</v>
      </c>
      <c r="F2185" s="3" t="n">
        <v>45869.5868055556</v>
      </c>
      <c r="G2185" s="2" t="s">
        <v>4011</v>
      </c>
      <c r="H2185" s="4" t="n">
        <v>0.6369</v>
      </c>
      <c r="I2185" s="2" t="s">
        <v>23</v>
      </c>
      <c r="J2185" s="2" t="s">
        <v>19</v>
      </c>
      <c r="K2185" s="2" t="n">
        <v>0</v>
      </c>
      <c r="L2185" s="2" t="n">
        <v>0</v>
      </c>
      <c r="M2185" s="2" t="n">
        <v>0</v>
      </c>
    </row>
    <row r="2186" customFormat="false" ht="15" hidden="false" customHeight="false" outlineLevel="0" collapsed="false">
      <c r="A2186" s="2" t="s">
        <v>4638</v>
      </c>
      <c r="B2186" s="2" t="s">
        <v>4639</v>
      </c>
      <c r="C2186" s="2" t="n">
        <v>1</v>
      </c>
      <c r="D2186" s="2" t="s">
        <v>397</v>
      </c>
      <c r="E2186" s="2" t="s">
        <v>4154</v>
      </c>
      <c r="F2186" s="3" t="n">
        <v>45869.8833333333</v>
      </c>
      <c r="G2186" s="2" t="s">
        <v>4011</v>
      </c>
      <c r="H2186" s="4" t="n">
        <v>0</v>
      </c>
      <c r="I2186" s="2" t="s">
        <v>18</v>
      </c>
      <c r="J2186" s="2" t="s">
        <v>110</v>
      </c>
      <c r="K2186" s="2" t="n">
        <v>2</v>
      </c>
      <c r="L2186" s="2" t="n">
        <v>1</v>
      </c>
      <c r="M2186" s="2" t="n">
        <v>0</v>
      </c>
    </row>
    <row r="2187" customFormat="false" ht="15" hidden="false" customHeight="false" outlineLevel="0" collapsed="false">
      <c r="A2187" s="2" t="s">
        <v>4640</v>
      </c>
      <c r="B2187" s="2" t="s">
        <v>4641</v>
      </c>
      <c r="C2187" s="2" t="n">
        <v>4</v>
      </c>
      <c r="D2187" s="2" t="s">
        <v>90</v>
      </c>
      <c r="E2187" s="2" t="s">
        <v>4154</v>
      </c>
      <c r="F2187" s="3" t="n">
        <v>45869.90625</v>
      </c>
      <c r="G2187" s="2" t="s">
        <v>4011</v>
      </c>
      <c r="H2187" s="4" t="n">
        <v>0.6249</v>
      </c>
      <c r="I2187" s="2" t="s">
        <v>23</v>
      </c>
      <c r="J2187" s="2" t="s">
        <v>37</v>
      </c>
      <c r="K2187" s="2" t="n">
        <v>2</v>
      </c>
      <c r="L2187" s="2" t="n">
        <v>0</v>
      </c>
      <c r="M2187" s="2" t="n">
        <v>0</v>
      </c>
    </row>
    <row r="2188" customFormat="false" ht="15" hidden="false" customHeight="false" outlineLevel="0" collapsed="false">
      <c r="A2188" s="2" t="s">
        <v>4642</v>
      </c>
      <c r="B2188" s="2" t="s">
        <v>4643</v>
      </c>
      <c r="C2188" s="2" t="n">
        <v>4</v>
      </c>
      <c r="D2188" s="2" t="s">
        <v>90</v>
      </c>
      <c r="E2188" s="2" t="s">
        <v>4154</v>
      </c>
      <c r="F2188" s="3" t="n">
        <v>45869.9347222222</v>
      </c>
      <c r="G2188" s="2" t="s">
        <v>4011</v>
      </c>
      <c r="H2188" s="4" t="n">
        <v>0.6249</v>
      </c>
      <c r="I2188" s="2" t="s">
        <v>23</v>
      </c>
      <c r="J2188" s="2" t="s">
        <v>37</v>
      </c>
      <c r="K2188" s="2" t="n">
        <v>4</v>
      </c>
      <c r="L2188" s="2" t="n">
        <v>0</v>
      </c>
      <c r="M2188" s="2" t="n">
        <v>0</v>
      </c>
    </row>
    <row r="2189" customFormat="false" ht="15" hidden="false" customHeight="false" outlineLevel="0" collapsed="false">
      <c r="A2189" s="2" t="s">
        <v>4644</v>
      </c>
      <c r="B2189" s="2" t="s">
        <v>4645</v>
      </c>
      <c r="C2189" s="2" t="n">
        <v>5</v>
      </c>
      <c r="D2189" s="2" t="s">
        <v>47</v>
      </c>
      <c r="E2189" s="2" t="s">
        <v>4154</v>
      </c>
      <c r="F2189" s="3" t="n">
        <v>45870.0222222222</v>
      </c>
      <c r="G2189" s="2" t="s">
        <v>4646</v>
      </c>
      <c r="H2189" s="4" t="n">
        <v>0.3089</v>
      </c>
      <c r="I2189" s="2" t="s">
        <v>23</v>
      </c>
      <c r="J2189" s="2" t="s">
        <v>19</v>
      </c>
      <c r="K2189" s="2" t="n">
        <v>8</v>
      </c>
      <c r="L2189" s="2" t="n">
        <v>0</v>
      </c>
      <c r="M2189" s="2" t="n">
        <v>0</v>
      </c>
    </row>
    <row r="2190" customFormat="false" ht="15" hidden="false" customHeight="false" outlineLevel="0" collapsed="false">
      <c r="A2190" s="2" t="s">
        <v>4647</v>
      </c>
      <c r="B2190" s="2" t="s">
        <v>4648</v>
      </c>
      <c r="C2190" s="2" t="n">
        <v>4</v>
      </c>
      <c r="D2190" s="2" t="s">
        <v>1167</v>
      </c>
      <c r="E2190" s="2" t="s">
        <v>4154</v>
      </c>
      <c r="F2190" s="3" t="n">
        <v>45870.2006944444</v>
      </c>
      <c r="G2190" s="2" t="s">
        <v>4646</v>
      </c>
      <c r="H2190" s="4" t="n">
        <v>0.8519</v>
      </c>
      <c r="I2190" s="2" t="s">
        <v>23</v>
      </c>
      <c r="J2190" s="2" t="s">
        <v>37</v>
      </c>
      <c r="K2190" s="2" t="n">
        <v>0</v>
      </c>
      <c r="L2190" s="2" t="n">
        <v>0</v>
      </c>
      <c r="M2190" s="2" t="n">
        <v>0</v>
      </c>
    </row>
    <row r="2191" customFormat="false" ht="15" hidden="false" customHeight="false" outlineLevel="0" collapsed="false">
      <c r="A2191" s="2" t="s">
        <v>4649</v>
      </c>
      <c r="B2191" s="2" t="s">
        <v>4650</v>
      </c>
      <c r="C2191" s="2" t="n">
        <v>4</v>
      </c>
      <c r="D2191" s="2" t="s">
        <v>62</v>
      </c>
      <c r="E2191" s="2" t="s">
        <v>4154</v>
      </c>
      <c r="F2191" s="3" t="n">
        <v>45870.2125</v>
      </c>
      <c r="G2191" s="2" t="s">
        <v>4646</v>
      </c>
      <c r="H2191" s="4" t="n">
        <v>0.7088</v>
      </c>
      <c r="I2191" s="2" t="s">
        <v>23</v>
      </c>
      <c r="J2191" s="2" t="s">
        <v>19</v>
      </c>
      <c r="K2191" s="2" t="n">
        <v>0</v>
      </c>
      <c r="L2191" s="2" t="n">
        <v>0</v>
      </c>
      <c r="M2191" s="2" t="n">
        <v>0</v>
      </c>
    </row>
    <row r="2192" customFormat="false" ht="15" hidden="false" customHeight="false" outlineLevel="0" collapsed="false">
      <c r="A2192" s="2" t="s">
        <v>4651</v>
      </c>
      <c r="B2192" s="2" t="s">
        <v>4652</v>
      </c>
      <c r="C2192" s="2" t="n">
        <v>5</v>
      </c>
      <c r="D2192" s="2" t="s">
        <v>90</v>
      </c>
      <c r="E2192" s="2" t="s">
        <v>4154</v>
      </c>
      <c r="F2192" s="3" t="n">
        <v>45870.2527777778</v>
      </c>
      <c r="G2192" s="2" t="s">
        <v>4646</v>
      </c>
      <c r="H2192" s="4" t="n">
        <v>0.6249</v>
      </c>
      <c r="I2192" s="2" t="s">
        <v>23</v>
      </c>
      <c r="J2192" s="2" t="s">
        <v>37</v>
      </c>
      <c r="K2192" s="2" t="n">
        <v>1</v>
      </c>
      <c r="L2192" s="2" t="n">
        <v>0</v>
      </c>
      <c r="M2192" s="2" t="n">
        <v>0</v>
      </c>
    </row>
    <row r="2193" customFormat="false" ht="15" hidden="false" customHeight="false" outlineLevel="0" collapsed="false">
      <c r="A2193" s="2" t="s">
        <v>4653</v>
      </c>
      <c r="B2193" s="2" t="s">
        <v>4654</v>
      </c>
      <c r="C2193" s="2" t="n">
        <v>1</v>
      </c>
      <c r="D2193" s="2" t="s">
        <v>455</v>
      </c>
      <c r="E2193" s="2" t="s">
        <v>4154</v>
      </c>
      <c r="F2193" s="3" t="n">
        <v>45870.4215277778</v>
      </c>
      <c r="G2193" s="2" t="s">
        <v>4646</v>
      </c>
      <c r="H2193" s="4" t="n">
        <v>-0.2263</v>
      </c>
      <c r="I2193" s="2" t="s">
        <v>84</v>
      </c>
      <c r="J2193" s="2" t="s">
        <v>165</v>
      </c>
      <c r="K2193" s="2" t="n">
        <v>4</v>
      </c>
      <c r="L2193" s="2" t="n">
        <v>1</v>
      </c>
      <c r="M2193" s="2" t="n">
        <v>0</v>
      </c>
    </row>
    <row r="2194" customFormat="false" ht="15" hidden="false" customHeight="false" outlineLevel="0" collapsed="false">
      <c r="A2194" s="2" t="s">
        <v>4655</v>
      </c>
      <c r="B2194" s="2" t="s">
        <v>4656</v>
      </c>
      <c r="C2194" s="2" t="n">
        <v>5</v>
      </c>
      <c r="D2194" s="2" t="s">
        <v>52</v>
      </c>
      <c r="E2194" s="2" t="s">
        <v>4154</v>
      </c>
      <c r="F2194" s="3" t="n">
        <v>45870.6666666667</v>
      </c>
      <c r="G2194" s="2" t="s">
        <v>4646</v>
      </c>
      <c r="H2194" s="4" t="n">
        <v>0.6369</v>
      </c>
      <c r="I2194" s="2" t="s">
        <v>23</v>
      </c>
      <c r="J2194" s="2" t="s">
        <v>19</v>
      </c>
      <c r="K2194" s="2" t="n">
        <v>4</v>
      </c>
      <c r="L2194" s="2" t="n">
        <v>0</v>
      </c>
      <c r="M2194" s="2" t="n">
        <v>0</v>
      </c>
    </row>
    <row r="2195" customFormat="false" ht="15" hidden="false" customHeight="false" outlineLevel="0" collapsed="false">
      <c r="A2195" s="2" t="s">
        <v>4657</v>
      </c>
      <c r="B2195" s="2" t="s">
        <v>4658</v>
      </c>
      <c r="C2195" s="2" t="n">
        <v>5</v>
      </c>
      <c r="D2195" s="2" t="s">
        <v>325</v>
      </c>
      <c r="E2195" s="2" t="s">
        <v>4154</v>
      </c>
      <c r="F2195" s="3" t="n">
        <v>45871.05625</v>
      </c>
      <c r="G2195" s="2" t="s">
        <v>4646</v>
      </c>
      <c r="H2195" s="4" t="n">
        <v>0.9612</v>
      </c>
      <c r="I2195" s="2" t="s">
        <v>23</v>
      </c>
      <c r="J2195" s="2" t="s">
        <v>37</v>
      </c>
      <c r="K2195" s="2" t="n">
        <v>2</v>
      </c>
      <c r="L2195" s="2" t="n">
        <v>0</v>
      </c>
      <c r="M2195" s="2" t="n">
        <v>0</v>
      </c>
    </row>
    <row r="2196" customFormat="false" ht="15" hidden="false" customHeight="false" outlineLevel="0" collapsed="false">
      <c r="A2196" s="2" t="s">
        <v>4659</v>
      </c>
      <c r="B2196" s="2" t="s">
        <v>4660</v>
      </c>
      <c r="C2196" s="2" t="n">
        <v>2</v>
      </c>
      <c r="D2196" s="2" t="s">
        <v>4661</v>
      </c>
      <c r="E2196" s="2" t="s">
        <v>4154</v>
      </c>
      <c r="F2196" s="3" t="n">
        <v>45871.0763888889</v>
      </c>
      <c r="G2196" s="2" t="s">
        <v>4646</v>
      </c>
      <c r="H2196" s="4" t="n">
        <v>0.2023</v>
      </c>
      <c r="I2196" s="2" t="s">
        <v>23</v>
      </c>
      <c r="J2196" s="2" t="s">
        <v>59</v>
      </c>
      <c r="K2196" s="2" t="n">
        <v>0</v>
      </c>
      <c r="L2196" s="2" t="n">
        <v>1</v>
      </c>
      <c r="M2196" s="2" t="n">
        <v>0</v>
      </c>
    </row>
    <row r="2197" customFormat="false" ht="15" hidden="false" customHeight="false" outlineLevel="0" collapsed="false">
      <c r="A2197" s="2" t="s">
        <v>4662</v>
      </c>
      <c r="B2197" s="2" t="s">
        <v>4663</v>
      </c>
      <c r="C2197" s="2" t="n">
        <v>3</v>
      </c>
      <c r="D2197" s="2" t="s">
        <v>22</v>
      </c>
      <c r="E2197" s="2" t="s">
        <v>4154</v>
      </c>
      <c r="F2197" s="3" t="n">
        <v>45871.2013888889</v>
      </c>
      <c r="G2197" s="2" t="s">
        <v>4646</v>
      </c>
      <c r="H2197" s="4" t="n">
        <v>0.2023</v>
      </c>
      <c r="I2197" s="2" t="s">
        <v>23</v>
      </c>
      <c r="J2197" s="2" t="s">
        <v>19</v>
      </c>
      <c r="K2197" s="2" t="n">
        <v>0</v>
      </c>
      <c r="L2197" s="2" t="n">
        <v>0</v>
      </c>
      <c r="M2197" s="2" t="n">
        <v>0</v>
      </c>
    </row>
    <row r="2198" customFormat="false" ht="15" hidden="false" customHeight="false" outlineLevel="0" collapsed="false">
      <c r="A2198" s="2" t="s">
        <v>4664</v>
      </c>
      <c r="B2198" s="2" t="s">
        <v>4665</v>
      </c>
      <c r="C2198" s="2" t="n">
        <v>5</v>
      </c>
      <c r="D2198" s="2" t="s">
        <v>62</v>
      </c>
      <c r="E2198" s="2" t="s">
        <v>4154</v>
      </c>
      <c r="F2198" s="3" t="n">
        <v>45871.3055555556</v>
      </c>
      <c r="G2198" s="2" t="s">
        <v>4646</v>
      </c>
      <c r="H2198" s="4" t="n">
        <v>0.7088</v>
      </c>
      <c r="I2198" s="2" t="s">
        <v>23</v>
      </c>
      <c r="J2198" s="2" t="s">
        <v>19</v>
      </c>
      <c r="K2198" s="2" t="n">
        <v>5</v>
      </c>
      <c r="L2198" s="2" t="n">
        <v>0</v>
      </c>
      <c r="M2198" s="2" t="n">
        <v>0</v>
      </c>
    </row>
    <row r="2199" customFormat="false" ht="15" hidden="false" customHeight="false" outlineLevel="0" collapsed="false">
      <c r="A2199" s="2" t="s">
        <v>4666</v>
      </c>
      <c r="B2199" s="2" t="s">
        <v>4667</v>
      </c>
      <c r="C2199" s="2" t="n">
        <v>4</v>
      </c>
      <c r="D2199" s="2" t="s">
        <v>99</v>
      </c>
      <c r="E2199" s="2" t="s">
        <v>4154</v>
      </c>
      <c r="F2199" s="3" t="n">
        <v>45871.3736111111</v>
      </c>
      <c r="G2199" s="2" t="s">
        <v>4646</v>
      </c>
      <c r="H2199" s="4" t="n">
        <v>-0.3089</v>
      </c>
      <c r="I2199" s="2" t="s">
        <v>84</v>
      </c>
      <c r="J2199" s="2" t="s">
        <v>19</v>
      </c>
      <c r="K2199" s="2" t="n">
        <v>5</v>
      </c>
      <c r="L2199" s="2" t="n">
        <v>0</v>
      </c>
      <c r="M2199" s="2" t="n">
        <v>0</v>
      </c>
    </row>
    <row r="2200" customFormat="false" ht="15" hidden="false" customHeight="false" outlineLevel="0" collapsed="false">
      <c r="A2200" s="2" t="s">
        <v>4668</v>
      </c>
      <c r="B2200" s="2" t="s">
        <v>4669</v>
      </c>
      <c r="C2200" s="2" t="n">
        <v>1</v>
      </c>
      <c r="D2200" s="2" t="s">
        <v>2825</v>
      </c>
      <c r="E2200" s="2" t="s">
        <v>4154</v>
      </c>
      <c r="F2200" s="3" t="n">
        <v>45871.4451388889</v>
      </c>
      <c r="G2200" s="2" t="s">
        <v>4646</v>
      </c>
      <c r="H2200" s="4" t="n">
        <v>-0.4398</v>
      </c>
      <c r="I2200" s="2" t="s">
        <v>84</v>
      </c>
      <c r="J2200" s="2" t="s">
        <v>19</v>
      </c>
      <c r="K2200" s="2" t="n">
        <v>1</v>
      </c>
      <c r="L2200" s="2" t="n">
        <v>1</v>
      </c>
      <c r="M2200" s="2" t="n">
        <v>0</v>
      </c>
    </row>
    <row r="2201" customFormat="false" ht="15" hidden="false" customHeight="false" outlineLevel="0" collapsed="false">
      <c r="A2201" s="2" t="s">
        <v>4670</v>
      </c>
      <c r="B2201" s="2" t="s">
        <v>4671</v>
      </c>
      <c r="C2201" s="2" t="n">
        <v>3</v>
      </c>
      <c r="D2201" s="2" t="s">
        <v>1400</v>
      </c>
      <c r="E2201" s="2" t="s">
        <v>4154</v>
      </c>
      <c r="F2201" s="3" t="n">
        <v>45871.5861111111</v>
      </c>
      <c r="G2201" s="2" t="s">
        <v>4646</v>
      </c>
      <c r="H2201" s="4" t="n">
        <v>0.4019</v>
      </c>
      <c r="I2201" s="2" t="s">
        <v>23</v>
      </c>
      <c r="J2201" s="2" t="s">
        <v>19</v>
      </c>
      <c r="K2201" s="2" t="n">
        <v>2</v>
      </c>
      <c r="L2201" s="2" t="n">
        <v>0</v>
      </c>
      <c r="M2201" s="2" t="n">
        <v>0</v>
      </c>
    </row>
    <row r="2202" customFormat="false" ht="15" hidden="false" customHeight="false" outlineLevel="0" collapsed="false">
      <c r="A2202" s="2" t="s">
        <v>4672</v>
      </c>
      <c r="B2202" s="2" t="s">
        <v>1070</v>
      </c>
      <c r="C2202" s="2" t="n">
        <v>3</v>
      </c>
      <c r="D2202" s="2" t="s">
        <v>22</v>
      </c>
      <c r="E2202" s="2" t="s">
        <v>4154</v>
      </c>
      <c r="F2202" s="3" t="n">
        <v>45871.6701388889</v>
      </c>
      <c r="G2202" s="2" t="s">
        <v>4646</v>
      </c>
      <c r="H2202" s="4" t="n">
        <v>0.2023</v>
      </c>
      <c r="I2202" s="2" t="s">
        <v>23</v>
      </c>
      <c r="J2202" s="2" t="s">
        <v>19</v>
      </c>
      <c r="K2202" s="2" t="n">
        <v>0</v>
      </c>
      <c r="L2202" s="2" t="n">
        <v>0</v>
      </c>
      <c r="M2202" s="2" t="n">
        <v>0</v>
      </c>
    </row>
    <row r="2203" customFormat="false" ht="15" hidden="false" customHeight="false" outlineLevel="0" collapsed="false">
      <c r="A2203" s="2" t="s">
        <v>4673</v>
      </c>
      <c r="B2203" s="2" t="s">
        <v>4674</v>
      </c>
      <c r="C2203" s="2" t="n">
        <v>4</v>
      </c>
      <c r="D2203" s="2" t="s">
        <v>22</v>
      </c>
      <c r="E2203" s="2" t="s">
        <v>4154</v>
      </c>
      <c r="F2203" s="3" t="n">
        <v>45871.7173611111</v>
      </c>
      <c r="G2203" s="2" t="s">
        <v>4646</v>
      </c>
      <c r="H2203" s="4" t="n">
        <v>0.2023</v>
      </c>
      <c r="I2203" s="2" t="s">
        <v>23</v>
      </c>
      <c r="J2203" s="2" t="s">
        <v>19</v>
      </c>
      <c r="K2203" s="2" t="n">
        <v>2</v>
      </c>
      <c r="L2203" s="2" t="n">
        <v>0</v>
      </c>
      <c r="M2203" s="2" t="n">
        <v>0</v>
      </c>
    </row>
    <row r="2204" customFormat="false" ht="15" hidden="false" customHeight="false" outlineLevel="0" collapsed="false">
      <c r="A2204" s="2" t="s">
        <v>4675</v>
      </c>
      <c r="B2204" s="2" t="s">
        <v>4676</v>
      </c>
      <c r="C2204" s="2" t="n">
        <v>5</v>
      </c>
      <c r="D2204" s="2" t="s">
        <v>40</v>
      </c>
      <c r="E2204" s="2" t="s">
        <v>4154</v>
      </c>
      <c r="F2204" s="3" t="n">
        <v>45871.8159722222</v>
      </c>
      <c r="G2204" s="2" t="s">
        <v>4646</v>
      </c>
      <c r="H2204" s="4" t="n">
        <v>0.4019</v>
      </c>
      <c r="I2204" s="2" t="s">
        <v>23</v>
      </c>
      <c r="J2204" s="2" t="s">
        <v>33</v>
      </c>
      <c r="K2204" s="2" t="n">
        <v>0</v>
      </c>
      <c r="L2204" s="2" t="n">
        <v>0</v>
      </c>
      <c r="M2204" s="2" t="n">
        <v>0</v>
      </c>
    </row>
    <row r="2205" customFormat="false" ht="15" hidden="false" customHeight="false" outlineLevel="0" collapsed="false">
      <c r="A2205" s="2" t="s">
        <v>4677</v>
      </c>
      <c r="B2205" s="2" t="s">
        <v>4678</v>
      </c>
      <c r="C2205" s="2" t="n">
        <v>4</v>
      </c>
      <c r="D2205" s="2" t="s">
        <v>52</v>
      </c>
      <c r="E2205" s="2" t="s">
        <v>4154</v>
      </c>
      <c r="F2205" s="3" t="n">
        <v>45871.9409722222</v>
      </c>
      <c r="G2205" s="2" t="s">
        <v>4646</v>
      </c>
      <c r="H2205" s="4" t="n">
        <v>0.6369</v>
      </c>
      <c r="I2205" s="2" t="s">
        <v>23</v>
      </c>
      <c r="J2205" s="2" t="s">
        <v>19</v>
      </c>
      <c r="K2205" s="2" t="n">
        <v>7</v>
      </c>
      <c r="L2205" s="2" t="n">
        <v>0</v>
      </c>
      <c r="M2205" s="2" t="n">
        <v>0</v>
      </c>
    </row>
    <row r="2206" customFormat="false" ht="15" hidden="false" customHeight="false" outlineLevel="0" collapsed="false">
      <c r="A2206" s="2" t="s">
        <v>4679</v>
      </c>
      <c r="B2206" s="2" t="s">
        <v>4680</v>
      </c>
      <c r="C2206" s="2" t="n">
        <v>5</v>
      </c>
      <c r="D2206" s="2" t="s">
        <v>47</v>
      </c>
      <c r="E2206" s="2" t="s">
        <v>4154</v>
      </c>
      <c r="F2206" s="3" t="n">
        <v>45871.9652777778</v>
      </c>
      <c r="G2206" s="2" t="s">
        <v>4646</v>
      </c>
      <c r="H2206" s="4" t="n">
        <v>0.3089</v>
      </c>
      <c r="I2206" s="2" t="s">
        <v>23</v>
      </c>
      <c r="J2206" s="2" t="s">
        <v>19</v>
      </c>
      <c r="K2206" s="2" t="n">
        <v>4</v>
      </c>
      <c r="L2206" s="2" t="n">
        <v>0</v>
      </c>
      <c r="M2206" s="2" t="n">
        <v>0</v>
      </c>
    </row>
    <row r="2207" customFormat="false" ht="15" hidden="false" customHeight="false" outlineLevel="0" collapsed="false">
      <c r="A2207" s="2" t="s">
        <v>4681</v>
      </c>
      <c r="B2207" s="2" t="s">
        <v>4682</v>
      </c>
      <c r="C2207" s="2" t="n">
        <v>4</v>
      </c>
      <c r="D2207" s="2" t="s">
        <v>4683</v>
      </c>
      <c r="E2207" s="2" t="s">
        <v>4154</v>
      </c>
      <c r="F2207" s="3" t="n">
        <v>45872.0388888889</v>
      </c>
      <c r="G2207" s="2" t="s">
        <v>4646</v>
      </c>
      <c r="H2207" s="4" t="n">
        <v>0.7777</v>
      </c>
      <c r="I2207" s="2" t="s">
        <v>23</v>
      </c>
      <c r="J2207" s="2" t="s">
        <v>19</v>
      </c>
      <c r="K2207" s="2" t="n">
        <v>5</v>
      </c>
      <c r="L2207" s="2" t="n">
        <v>0</v>
      </c>
      <c r="M2207" s="2" t="n">
        <v>0</v>
      </c>
    </row>
    <row r="2208" customFormat="false" ht="15" hidden="false" customHeight="false" outlineLevel="0" collapsed="false">
      <c r="A2208" s="2" t="s">
        <v>4684</v>
      </c>
      <c r="B2208" s="2" t="s">
        <v>4685</v>
      </c>
      <c r="C2208" s="2" t="n">
        <v>5</v>
      </c>
      <c r="D2208" s="2" t="s">
        <v>67</v>
      </c>
      <c r="E2208" s="2" t="s">
        <v>4154</v>
      </c>
      <c r="F2208" s="3" t="n">
        <v>45872.1118055556</v>
      </c>
      <c r="G2208" s="2" t="s">
        <v>4646</v>
      </c>
      <c r="H2208" s="4" t="n">
        <v>0.8953</v>
      </c>
      <c r="I2208" s="2" t="s">
        <v>23</v>
      </c>
      <c r="J2208" s="2" t="s">
        <v>19</v>
      </c>
      <c r="K2208" s="2" t="n">
        <v>2</v>
      </c>
      <c r="L2208" s="2" t="n">
        <v>0</v>
      </c>
      <c r="M2208" s="2" t="n">
        <v>0</v>
      </c>
    </row>
    <row r="2209" customFormat="false" ht="15" hidden="false" customHeight="false" outlineLevel="0" collapsed="false">
      <c r="A2209" s="2" t="s">
        <v>4686</v>
      </c>
      <c r="B2209" s="2" t="s">
        <v>4687</v>
      </c>
      <c r="C2209" s="2" t="n">
        <v>5</v>
      </c>
      <c r="D2209" s="2" t="s">
        <v>127</v>
      </c>
      <c r="E2209" s="2" t="s">
        <v>4154</v>
      </c>
      <c r="F2209" s="3" t="n">
        <v>45872.1652777778</v>
      </c>
      <c r="G2209" s="2" t="s">
        <v>4646</v>
      </c>
      <c r="H2209" s="4" t="n">
        <v>0.9359</v>
      </c>
      <c r="I2209" s="2" t="s">
        <v>23</v>
      </c>
      <c r="J2209" s="2" t="s">
        <v>37</v>
      </c>
      <c r="K2209" s="2" t="n">
        <v>8</v>
      </c>
      <c r="L2209" s="2" t="n">
        <v>0</v>
      </c>
      <c r="M2209" s="2" t="n">
        <v>0</v>
      </c>
    </row>
    <row r="2210" customFormat="false" ht="15" hidden="false" customHeight="false" outlineLevel="0" collapsed="false">
      <c r="A2210" s="2" t="s">
        <v>4688</v>
      </c>
      <c r="B2210" s="2" t="s">
        <v>4689</v>
      </c>
      <c r="C2210" s="2" t="n">
        <v>4</v>
      </c>
      <c r="D2210" s="2" t="s">
        <v>90</v>
      </c>
      <c r="E2210" s="2" t="s">
        <v>4154</v>
      </c>
      <c r="F2210" s="3" t="n">
        <v>45872.18125</v>
      </c>
      <c r="G2210" s="2" t="s">
        <v>4646</v>
      </c>
      <c r="H2210" s="4" t="n">
        <v>0.6249</v>
      </c>
      <c r="I2210" s="2" t="s">
        <v>23</v>
      </c>
      <c r="J2210" s="2" t="s">
        <v>37</v>
      </c>
      <c r="K2210" s="2" t="n">
        <v>9</v>
      </c>
      <c r="L2210" s="2" t="n">
        <v>0</v>
      </c>
      <c r="M2210" s="2" t="n">
        <v>0</v>
      </c>
    </row>
    <row r="2211" customFormat="false" ht="15" hidden="false" customHeight="false" outlineLevel="0" collapsed="false">
      <c r="A2211" s="2" t="s">
        <v>4690</v>
      </c>
      <c r="B2211" s="2" t="s">
        <v>4691</v>
      </c>
      <c r="C2211" s="2" t="n">
        <v>1</v>
      </c>
      <c r="D2211" s="2" t="s">
        <v>1863</v>
      </c>
      <c r="E2211" s="2" t="s">
        <v>4154</v>
      </c>
      <c r="F2211" s="3" t="n">
        <v>45872.3881944444</v>
      </c>
      <c r="G2211" s="2" t="s">
        <v>4646</v>
      </c>
      <c r="H2211" s="4" t="n">
        <v>0.128</v>
      </c>
      <c r="I2211" s="2" t="s">
        <v>23</v>
      </c>
      <c r="J2211" s="2" t="s">
        <v>33</v>
      </c>
      <c r="K2211" s="2" t="n">
        <v>1</v>
      </c>
      <c r="L2211" s="2" t="n">
        <v>1</v>
      </c>
      <c r="M2211" s="2" t="n">
        <v>0</v>
      </c>
    </row>
    <row r="2212" customFormat="false" ht="15" hidden="false" customHeight="false" outlineLevel="0" collapsed="false">
      <c r="A2212" s="2" t="s">
        <v>4692</v>
      </c>
      <c r="B2212" s="2" t="s">
        <v>4693</v>
      </c>
      <c r="C2212" s="2" t="n">
        <v>5</v>
      </c>
      <c r="D2212" s="2" t="s">
        <v>62</v>
      </c>
      <c r="E2212" s="2" t="s">
        <v>4154</v>
      </c>
      <c r="F2212" s="3" t="n">
        <v>45872.4666666667</v>
      </c>
      <c r="G2212" s="2" t="s">
        <v>4646</v>
      </c>
      <c r="H2212" s="4" t="n">
        <v>0.7088</v>
      </c>
      <c r="I2212" s="2" t="s">
        <v>23</v>
      </c>
      <c r="J2212" s="2" t="s">
        <v>19</v>
      </c>
      <c r="K2212" s="2" t="n">
        <v>0</v>
      </c>
      <c r="L2212" s="2" t="n">
        <v>0</v>
      </c>
      <c r="M2212" s="2" t="n">
        <v>0</v>
      </c>
    </row>
    <row r="2213" customFormat="false" ht="15" hidden="false" customHeight="false" outlineLevel="0" collapsed="false">
      <c r="A2213" s="2" t="s">
        <v>4694</v>
      </c>
      <c r="B2213" s="2" t="s">
        <v>4695</v>
      </c>
      <c r="C2213" s="2" t="n">
        <v>5</v>
      </c>
      <c r="D2213" s="2" t="s">
        <v>1249</v>
      </c>
      <c r="E2213" s="2" t="s">
        <v>4154</v>
      </c>
      <c r="F2213" s="3" t="n">
        <v>45872.9027777778</v>
      </c>
      <c r="G2213" s="2" t="s">
        <v>4646</v>
      </c>
      <c r="H2213" s="4" t="n">
        <v>0.8519</v>
      </c>
      <c r="I2213" s="2" t="s">
        <v>23</v>
      </c>
      <c r="J2213" s="2" t="s">
        <v>37</v>
      </c>
      <c r="K2213" s="2" t="n">
        <v>9</v>
      </c>
      <c r="L2213" s="2" t="n">
        <v>0</v>
      </c>
      <c r="M2213" s="2" t="n">
        <v>0</v>
      </c>
    </row>
    <row r="2214" customFormat="false" ht="15" hidden="false" customHeight="false" outlineLevel="0" collapsed="false">
      <c r="A2214" s="2" t="s">
        <v>4696</v>
      </c>
      <c r="B2214" s="2" t="s">
        <v>4697</v>
      </c>
      <c r="C2214" s="2" t="n">
        <v>1</v>
      </c>
      <c r="D2214" s="2" t="s">
        <v>32</v>
      </c>
      <c r="E2214" s="2" t="s">
        <v>4154</v>
      </c>
      <c r="F2214" s="3" t="n">
        <v>45872.9347222222</v>
      </c>
      <c r="G2214" s="2" t="s">
        <v>4646</v>
      </c>
      <c r="H2214" s="4" t="n">
        <v>0.2023</v>
      </c>
      <c r="I2214" s="2" t="s">
        <v>23</v>
      </c>
      <c r="J2214" s="2" t="s">
        <v>33</v>
      </c>
      <c r="K2214" s="2" t="n">
        <v>1</v>
      </c>
      <c r="L2214" s="2" t="n">
        <v>1</v>
      </c>
      <c r="M2214" s="2" t="n">
        <v>0</v>
      </c>
    </row>
    <row r="2215" customFormat="false" ht="15" hidden="false" customHeight="false" outlineLevel="0" collapsed="false">
      <c r="A2215" s="2" t="s">
        <v>4698</v>
      </c>
      <c r="B2215" s="2" t="s">
        <v>4699</v>
      </c>
      <c r="C2215" s="2" t="n">
        <v>5</v>
      </c>
      <c r="D2215" s="2" t="s">
        <v>790</v>
      </c>
      <c r="E2215" s="2" t="s">
        <v>4154</v>
      </c>
      <c r="F2215" s="3" t="n">
        <v>45872.9625</v>
      </c>
      <c r="G2215" s="2" t="s">
        <v>4646</v>
      </c>
      <c r="H2215" s="4" t="n">
        <v>0.9647</v>
      </c>
      <c r="I2215" s="2" t="s">
        <v>23</v>
      </c>
      <c r="J2215" s="2" t="s">
        <v>37</v>
      </c>
      <c r="K2215" s="2" t="n">
        <v>0</v>
      </c>
      <c r="L2215" s="2" t="n">
        <v>0</v>
      </c>
      <c r="M2215" s="2" t="n">
        <v>0</v>
      </c>
    </row>
    <row r="2216" customFormat="false" ht="15" hidden="false" customHeight="false" outlineLevel="0" collapsed="false">
      <c r="A2216" s="2" t="s">
        <v>4700</v>
      </c>
      <c r="B2216" s="2" t="s">
        <v>4701</v>
      </c>
      <c r="C2216" s="2" t="n">
        <v>3</v>
      </c>
      <c r="D2216" s="2" t="s">
        <v>99</v>
      </c>
      <c r="E2216" s="2" t="s">
        <v>4154</v>
      </c>
      <c r="F2216" s="3" t="n">
        <v>45873.1590277778</v>
      </c>
      <c r="G2216" s="2" t="s">
        <v>4646</v>
      </c>
      <c r="H2216" s="4" t="n">
        <v>-0.3089</v>
      </c>
      <c r="I2216" s="2" t="s">
        <v>84</v>
      </c>
      <c r="J2216" s="2" t="s">
        <v>19</v>
      </c>
      <c r="K2216" s="2" t="n">
        <v>1</v>
      </c>
      <c r="L2216" s="2" t="n">
        <v>0</v>
      </c>
      <c r="M2216" s="2" t="n">
        <v>0</v>
      </c>
    </row>
    <row r="2217" customFormat="false" ht="15" hidden="false" customHeight="false" outlineLevel="0" collapsed="false">
      <c r="A2217" s="2" t="s">
        <v>4702</v>
      </c>
      <c r="B2217" s="2" t="s">
        <v>4703</v>
      </c>
      <c r="C2217" s="2" t="n">
        <v>2</v>
      </c>
      <c r="D2217" s="2" t="s">
        <v>179</v>
      </c>
      <c r="E2217" s="2" t="s">
        <v>4154</v>
      </c>
      <c r="F2217" s="3" t="n">
        <v>45873.2076388889</v>
      </c>
      <c r="G2217" s="2" t="s">
        <v>4646</v>
      </c>
      <c r="H2217" s="4" t="n">
        <v>-0.0258</v>
      </c>
      <c r="I2217" s="2" t="s">
        <v>18</v>
      </c>
      <c r="J2217" s="2" t="s">
        <v>59</v>
      </c>
      <c r="K2217" s="2" t="n">
        <v>4</v>
      </c>
      <c r="L2217" s="2" t="n">
        <v>1</v>
      </c>
      <c r="M2217" s="2" t="n">
        <v>0</v>
      </c>
    </row>
    <row r="2218" customFormat="false" ht="15" hidden="false" customHeight="false" outlineLevel="0" collapsed="false">
      <c r="A2218" s="2" t="s">
        <v>4704</v>
      </c>
      <c r="B2218" s="2" t="s">
        <v>3986</v>
      </c>
      <c r="C2218" s="2" t="n">
        <v>4</v>
      </c>
      <c r="D2218" s="2" t="s">
        <v>36</v>
      </c>
      <c r="E2218" s="2" t="s">
        <v>4154</v>
      </c>
      <c r="F2218" s="3" t="n">
        <v>45873.2958333333</v>
      </c>
      <c r="G2218" s="2" t="s">
        <v>4646</v>
      </c>
      <c r="H2218" s="4" t="n">
        <v>0.4404</v>
      </c>
      <c r="I2218" s="2" t="s">
        <v>23</v>
      </c>
      <c r="J2218" s="2" t="s">
        <v>37</v>
      </c>
      <c r="K2218" s="2" t="n">
        <v>0</v>
      </c>
      <c r="L2218" s="2" t="n">
        <v>0</v>
      </c>
      <c r="M2218" s="2" t="n">
        <v>0</v>
      </c>
    </row>
    <row r="2219" customFormat="false" ht="15" hidden="false" customHeight="false" outlineLevel="0" collapsed="false">
      <c r="A2219" s="2" t="s">
        <v>4705</v>
      </c>
      <c r="B2219" s="2" t="s">
        <v>4706</v>
      </c>
      <c r="C2219" s="2" t="n">
        <v>4</v>
      </c>
      <c r="D2219" s="2" t="s">
        <v>1949</v>
      </c>
      <c r="E2219" s="2" t="s">
        <v>4154</v>
      </c>
      <c r="F2219" s="3" t="n">
        <v>45873.2986111111</v>
      </c>
      <c r="G2219" s="2" t="s">
        <v>4646</v>
      </c>
      <c r="H2219" s="4" t="n">
        <v>0</v>
      </c>
      <c r="I2219" s="2" t="s">
        <v>18</v>
      </c>
      <c r="J2219" s="2" t="s">
        <v>19</v>
      </c>
      <c r="K2219" s="2" t="n">
        <v>1</v>
      </c>
      <c r="L2219" s="2" t="n">
        <v>0</v>
      </c>
      <c r="M2219" s="2" t="n">
        <v>0</v>
      </c>
    </row>
    <row r="2220" customFormat="false" ht="15" hidden="false" customHeight="false" outlineLevel="0" collapsed="false">
      <c r="A2220" s="2" t="s">
        <v>4707</v>
      </c>
      <c r="B2220" s="2" t="s">
        <v>4708</v>
      </c>
      <c r="C2220" s="2" t="n">
        <v>4</v>
      </c>
      <c r="D2220" s="2" t="s">
        <v>1279</v>
      </c>
      <c r="E2220" s="2" t="s">
        <v>4154</v>
      </c>
      <c r="F2220" s="3" t="n">
        <v>45873.3472222222</v>
      </c>
      <c r="G2220" s="2" t="s">
        <v>4646</v>
      </c>
      <c r="H2220" s="4" t="n">
        <v>0.7783</v>
      </c>
      <c r="I2220" s="2" t="s">
        <v>23</v>
      </c>
      <c r="J2220" s="2" t="s">
        <v>37</v>
      </c>
      <c r="K2220" s="2" t="n">
        <v>3</v>
      </c>
      <c r="L2220" s="2" t="n">
        <v>0</v>
      </c>
      <c r="M2220" s="2" t="n">
        <v>0</v>
      </c>
    </row>
    <row r="2221" customFormat="false" ht="15" hidden="false" customHeight="false" outlineLevel="0" collapsed="false">
      <c r="A2221" s="2" t="s">
        <v>4709</v>
      </c>
      <c r="B2221" s="2" t="s">
        <v>4710</v>
      </c>
      <c r="C2221" s="2" t="n">
        <v>5</v>
      </c>
      <c r="D2221" s="2" t="s">
        <v>15</v>
      </c>
      <c r="E2221" s="2" t="s">
        <v>4154</v>
      </c>
      <c r="F2221" s="3" t="n">
        <v>45873.3513888889</v>
      </c>
      <c r="G2221" s="2" t="s">
        <v>4646</v>
      </c>
      <c r="H2221" s="4" t="n">
        <v>0</v>
      </c>
      <c r="I2221" s="2" t="s">
        <v>18</v>
      </c>
      <c r="J2221" s="2" t="s">
        <v>19</v>
      </c>
      <c r="K2221" s="2" t="n">
        <v>10</v>
      </c>
      <c r="L2221" s="2" t="n">
        <v>0</v>
      </c>
      <c r="M2221" s="2" t="n">
        <v>0</v>
      </c>
    </row>
    <row r="2222" customFormat="false" ht="15" hidden="false" customHeight="false" outlineLevel="0" collapsed="false">
      <c r="A2222" s="2" t="s">
        <v>4711</v>
      </c>
      <c r="B2222" s="2" t="s">
        <v>4712</v>
      </c>
      <c r="C2222" s="2" t="n">
        <v>5</v>
      </c>
      <c r="D2222" s="2" t="s">
        <v>47</v>
      </c>
      <c r="E2222" s="2" t="s">
        <v>4154</v>
      </c>
      <c r="F2222" s="3" t="n">
        <v>45873.8666666667</v>
      </c>
      <c r="G2222" s="2" t="s">
        <v>4646</v>
      </c>
      <c r="H2222" s="4" t="n">
        <v>0.3089</v>
      </c>
      <c r="I2222" s="2" t="s">
        <v>23</v>
      </c>
      <c r="J2222" s="2" t="s">
        <v>19</v>
      </c>
      <c r="K2222" s="2" t="n">
        <v>0</v>
      </c>
      <c r="L2222" s="2" t="n">
        <v>0</v>
      </c>
      <c r="M2222" s="2" t="n">
        <v>0</v>
      </c>
    </row>
    <row r="2223" customFormat="false" ht="15" hidden="false" customHeight="false" outlineLevel="0" collapsed="false">
      <c r="A2223" s="2" t="s">
        <v>4713</v>
      </c>
      <c r="B2223" s="2" t="s">
        <v>4714</v>
      </c>
      <c r="C2223" s="2" t="n">
        <v>3</v>
      </c>
      <c r="D2223" s="2" t="s">
        <v>87</v>
      </c>
      <c r="E2223" s="2" t="s">
        <v>4154</v>
      </c>
      <c r="F2223" s="3" t="n">
        <v>45873.9215277778</v>
      </c>
      <c r="G2223" s="2" t="s">
        <v>4646</v>
      </c>
      <c r="H2223" s="4" t="n">
        <v>0</v>
      </c>
      <c r="I2223" s="2" t="s">
        <v>18</v>
      </c>
      <c r="J2223" s="2" t="s">
        <v>19</v>
      </c>
      <c r="K2223" s="2" t="n">
        <v>1</v>
      </c>
      <c r="L2223" s="2" t="n">
        <v>0</v>
      </c>
      <c r="M2223" s="2" t="n">
        <v>0</v>
      </c>
    </row>
    <row r="2224" customFormat="false" ht="15" hidden="false" customHeight="false" outlineLevel="0" collapsed="false">
      <c r="A2224" s="2" t="s">
        <v>4715</v>
      </c>
      <c r="B2224" s="2" t="s">
        <v>4716</v>
      </c>
      <c r="C2224" s="2" t="n">
        <v>1</v>
      </c>
      <c r="D2224" s="2" t="s">
        <v>1942</v>
      </c>
      <c r="E2224" s="2" t="s">
        <v>4154</v>
      </c>
      <c r="F2224" s="3" t="n">
        <v>45873.9618055556</v>
      </c>
      <c r="G2224" s="2" t="s">
        <v>4646</v>
      </c>
      <c r="H2224" s="4" t="n">
        <v>0</v>
      </c>
      <c r="I2224" s="2" t="s">
        <v>18</v>
      </c>
      <c r="J2224" s="2" t="s">
        <v>165</v>
      </c>
      <c r="K2224" s="2" t="n">
        <v>0</v>
      </c>
      <c r="L2224" s="2" t="n">
        <v>1</v>
      </c>
      <c r="M2224" s="2" t="n">
        <v>0</v>
      </c>
    </row>
    <row r="2225" customFormat="false" ht="15" hidden="false" customHeight="false" outlineLevel="0" collapsed="false">
      <c r="A2225" s="2" t="s">
        <v>4717</v>
      </c>
      <c r="B2225" s="2" t="s">
        <v>4718</v>
      </c>
      <c r="C2225" s="2" t="n">
        <v>5</v>
      </c>
      <c r="D2225" s="2" t="s">
        <v>15</v>
      </c>
      <c r="E2225" s="2" t="s">
        <v>4154</v>
      </c>
      <c r="F2225" s="3" t="n">
        <v>45874.0416666667</v>
      </c>
      <c r="G2225" s="2" t="s">
        <v>4646</v>
      </c>
      <c r="H2225" s="4" t="n">
        <v>0</v>
      </c>
      <c r="I2225" s="2" t="s">
        <v>18</v>
      </c>
      <c r="J2225" s="2" t="s">
        <v>19</v>
      </c>
      <c r="K2225" s="2" t="n">
        <v>13</v>
      </c>
      <c r="L2225" s="2" t="n">
        <v>0</v>
      </c>
      <c r="M2225" s="2" t="n">
        <v>0</v>
      </c>
    </row>
    <row r="2226" customFormat="false" ht="15" hidden="false" customHeight="false" outlineLevel="0" collapsed="false">
      <c r="A2226" s="2" t="s">
        <v>4719</v>
      </c>
      <c r="B2226" s="2" t="s">
        <v>4720</v>
      </c>
      <c r="C2226" s="2" t="n">
        <v>3</v>
      </c>
      <c r="D2226" s="2" t="s">
        <v>99</v>
      </c>
      <c r="E2226" s="2" t="s">
        <v>4154</v>
      </c>
      <c r="F2226" s="3" t="n">
        <v>45874.1444444444</v>
      </c>
      <c r="G2226" s="2" t="s">
        <v>4646</v>
      </c>
      <c r="H2226" s="4" t="n">
        <v>-0.3089</v>
      </c>
      <c r="I2226" s="2" t="s">
        <v>84</v>
      </c>
      <c r="J2226" s="2" t="s">
        <v>19</v>
      </c>
      <c r="K2226" s="2" t="n">
        <v>3</v>
      </c>
      <c r="L2226" s="2" t="n">
        <v>0</v>
      </c>
      <c r="M2226" s="2" t="n">
        <v>0</v>
      </c>
    </row>
    <row r="2227" customFormat="false" ht="15" hidden="false" customHeight="false" outlineLevel="0" collapsed="false">
      <c r="A2227" s="2" t="s">
        <v>4721</v>
      </c>
      <c r="B2227" s="2" t="s">
        <v>4722</v>
      </c>
      <c r="C2227" s="2" t="n">
        <v>3</v>
      </c>
      <c r="D2227" s="2" t="s">
        <v>22</v>
      </c>
      <c r="E2227" s="2" t="s">
        <v>4154</v>
      </c>
      <c r="F2227" s="3" t="n">
        <v>45874.1916666667</v>
      </c>
      <c r="G2227" s="2" t="s">
        <v>4646</v>
      </c>
      <c r="H2227" s="4" t="n">
        <v>0.2023</v>
      </c>
      <c r="I2227" s="2" t="s">
        <v>23</v>
      </c>
      <c r="J2227" s="2" t="s">
        <v>19</v>
      </c>
      <c r="K2227" s="2" t="n">
        <v>2</v>
      </c>
      <c r="L2227" s="2" t="n">
        <v>0</v>
      </c>
      <c r="M2227" s="2" t="n">
        <v>0</v>
      </c>
    </row>
    <row r="2228" customFormat="false" ht="15" hidden="false" customHeight="false" outlineLevel="0" collapsed="false">
      <c r="A2228" s="2" t="s">
        <v>4723</v>
      </c>
      <c r="B2228" s="2" t="s">
        <v>4724</v>
      </c>
      <c r="C2228" s="2" t="n">
        <v>1</v>
      </c>
      <c r="D2228" s="2" t="s">
        <v>397</v>
      </c>
      <c r="E2228" s="2" t="s">
        <v>4154</v>
      </c>
      <c r="F2228" s="3" t="n">
        <v>45874.2083333333</v>
      </c>
      <c r="G2228" s="2" t="s">
        <v>4646</v>
      </c>
      <c r="H2228" s="4" t="n">
        <v>0</v>
      </c>
      <c r="I2228" s="2" t="s">
        <v>18</v>
      </c>
      <c r="J2228" s="2" t="s">
        <v>110</v>
      </c>
      <c r="K2228" s="2" t="n">
        <v>3</v>
      </c>
      <c r="L2228" s="2" t="n">
        <v>0</v>
      </c>
      <c r="M2228" s="2" t="n">
        <v>0</v>
      </c>
    </row>
    <row r="2229" customFormat="false" ht="15" hidden="false" customHeight="false" outlineLevel="0" collapsed="false">
      <c r="A2229" s="2" t="s">
        <v>4725</v>
      </c>
      <c r="B2229" s="2" t="s">
        <v>4726</v>
      </c>
      <c r="C2229" s="2" t="n">
        <v>4</v>
      </c>
      <c r="D2229" s="2" t="s">
        <v>692</v>
      </c>
      <c r="E2229" s="2" t="s">
        <v>4154</v>
      </c>
      <c r="F2229" s="3" t="n">
        <v>45874.3972222222</v>
      </c>
      <c r="G2229" s="2" t="s">
        <v>4646</v>
      </c>
      <c r="H2229" s="4" t="n">
        <v>0.9516</v>
      </c>
      <c r="I2229" s="2" t="s">
        <v>23</v>
      </c>
      <c r="J2229" s="2" t="s">
        <v>37</v>
      </c>
      <c r="K2229" s="2" t="n">
        <v>1</v>
      </c>
      <c r="L2229" s="2" t="n">
        <v>0</v>
      </c>
      <c r="M2229" s="2" t="n">
        <v>0</v>
      </c>
    </row>
    <row r="2230" customFormat="false" ht="15" hidden="false" customHeight="false" outlineLevel="0" collapsed="false">
      <c r="A2230" s="2" t="s">
        <v>4727</v>
      </c>
      <c r="B2230" s="2" t="s">
        <v>4728</v>
      </c>
      <c r="C2230" s="2" t="n">
        <v>5</v>
      </c>
      <c r="D2230" s="2" t="s">
        <v>4729</v>
      </c>
      <c r="E2230" s="2" t="s">
        <v>4154</v>
      </c>
      <c r="F2230" s="3" t="n">
        <v>45874.5840277778</v>
      </c>
      <c r="G2230" s="2" t="s">
        <v>4646</v>
      </c>
      <c r="H2230" s="4" t="n">
        <v>0.9516</v>
      </c>
      <c r="I2230" s="2" t="s">
        <v>23</v>
      </c>
      <c r="J2230" s="2" t="s">
        <v>37</v>
      </c>
      <c r="K2230" s="2" t="n">
        <v>3</v>
      </c>
      <c r="L2230" s="2" t="n">
        <v>0</v>
      </c>
      <c r="M2230" s="2" t="n">
        <v>0</v>
      </c>
    </row>
    <row r="2231" customFormat="false" ht="15" hidden="false" customHeight="false" outlineLevel="0" collapsed="false">
      <c r="A2231" s="2" t="s">
        <v>4730</v>
      </c>
      <c r="B2231" s="2" t="s">
        <v>4731</v>
      </c>
      <c r="C2231" s="2" t="n">
        <v>5</v>
      </c>
      <c r="D2231" s="2" t="s">
        <v>336</v>
      </c>
      <c r="E2231" s="2" t="s">
        <v>4154</v>
      </c>
      <c r="F2231" s="3" t="n">
        <v>45874.6201388889</v>
      </c>
      <c r="G2231" s="2" t="s">
        <v>4646</v>
      </c>
      <c r="H2231" s="4" t="n">
        <v>0.7088</v>
      </c>
      <c r="I2231" s="2" t="s">
        <v>23</v>
      </c>
      <c r="J2231" s="2" t="s">
        <v>19</v>
      </c>
      <c r="K2231" s="2" t="n">
        <v>2</v>
      </c>
      <c r="L2231" s="2" t="n">
        <v>0</v>
      </c>
      <c r="M2231" s="2" t="n">
        <v>0</v>
      </c>
    </row>
    <row r="2232" customFormat="false" ht="15" hidden="false" customHeight="false" outlineLevel="0" collapsed="false">
      <c r="A2232" s="2" t="s">
        <v>4732</v>
      </c>
      <c r="B2232" s="2" t="s">
        <v>4733</v>
      </c>
      <c r="C2232" s="2" t="n">
        <v>5</v>
      </c>
      <c r="D2232" s="2" t="s">
        <v>90</v>
      </c>
      <c r="E2232" s="2" t="s">
        <v>4154</v>
      </c>
      <c r="F2232" s="3" t="n">
        <v>45874.6409722222</v>
      </c>
      <c r="G2232" s="2" t="s">
        <v>4646</v>
      </c>
      <c r="H2232" s="4" t="n">
        <v>0.6249</v>
      </c>
      <c r="I2232" s="2" t="s">
        <v>23</v>
      </c>
      <c r="J2232" s="2" t="s">
        <v>37</v>
      </c>
      <c r="K2232" s="2" t="n">
        <v>1</v>
      </c>
      <c r="L2232" s="2" t="n">
        <v>0</v>
      </c>
      <c r="M2232" s="2" t="n">
        <v>0</v>
      </c>
    </row>
    <row r="2233" customFormat="false" ht="15" hidden="false" customHeight="false" outlineLevel="0" collapsed="false">
      <c r="A2233" s="2" t="s">
        <v>4734</v>
      </c>
      <c r="B2233" s="2" t="s">
        <v>4735</v>
      </c>
      <c r="C2233" s="2" t="n">
        <v>4</v>
      </c>
      <c r="D2233" s="2" t="s">
        <v>1265</v>
      </c>
      <c r="E2233" s="2" t="s">
        <v>4154</v>
      </c>
      <c r="F2233" s="3" t="n">
        <v>45874.69375</v>
      </c>
      <c r="G2233" s="2" t="s">
        <v>4646</v>
      </c>
      <c r="H2233" s="4" t="n">
        <v>0.7684</v>
      </c>
      <c r="I2233" s="2" t="s">
        <v>23</v>
      </c>
      <c r="J2233" s="2" t="s">
        <v>37</v>
      </c>
      <c r="K2233" s="2" t="n">
        <v>8</v>
      </c>
      <c r="L2233" s="2" t="n">
        <v>0</v>
      </c>
      <c r="M2233" s="2" t="n">
        <v>0</v>
      </c>
    </row>
    <row r="2234" customFormat="false" ht="15" hidden="false" customHeight="false" outlineLevel="0" collapsed="false">
      <c r="A2234" s="2" t="s">
        <v>4736</v>
      </c>
      <c r="B2234" s="2" t="s">
        <v>4737</v>
      </c>
      <c r="C2234" s="2" t="n">
        <v>5</v>
      </c>
      <c r="D2234" s="2" t="s">
        <v>90</v>
      </c>
      <c r="E2234" s="2" t="s">
        <v>4154</v>
      </c>
      <c r="F2234" s="3" t="n">
        <v>45874.7069444444</v>
      </c>
      <c r="G2234" s="2" t="s">
        <v>4646</v>
      </c>
      <c r="H2234" s="4" t="n">
        <v>0.6249</v>
      </c>
      <c r="I2234" s="2" t="s">
        <v>23</v>
      </c>
      <c r="J2234" s="2" t="s">
        <v>37</v>
      </c>
      <c r="K2234" s="2" t="n">
        <v>1</v>
      </c>
      <c r="L2234" s="2" t="n">
        <v>0</v>
      </c>
      <c r="M2234" s="2" t="n">
        <v>0</v>
      </c>
    </row>
    <row r="2235" customFormat="false" ht="15" hidden="false" customHeight="false" outlineLevel="0" collapsed="false">
      <c r="A2235" s="2" t="s">
        <v>4738</v>
      </c>
      <c r="B2235" s="2" t="s">
        <v>4739</v>
      </c>
      <c r="C2235" s="2" t="n">
        <v>4</v>
      </c>
      <c r="D2235" s="2" t="s">
        <v>127</v>
      </c>
      <c r="E2235" s="2" t="s">
        <v>4154</v>
      </c>
      <c r="F2235" s="3" t="n">
        <v>45874.7451388889</v>
      </c>
      <c r="G2235" s="2" t="s">
        <v>4646</v>
      </c>
      <c r="H2235" s="4" t="n">
        <v>0.9359</v>
      </c>
      <c r="I2235" s="2" t="s">
        <v>23</v>
      </c>
      <c r="J2235" s="2" t="s">
        <v>37</v>
      </c>
      <c r="K2235" s="2" t="n">
        <v>1</v>
      </c>
      <c r="L2235" s="2" t="n">
        <v>0</v>
      </c>
      <c r="M2235" s="2" t="n">
        <v>0</v>
      </c>
    </row>
    <row r="2236" customFormat="false" ht="15" hidden="false" customHeight="false" outlineLevel="0" collapsed="false">
      <c r="A2236" s="2" t="s">
        <v>4740</v>
      </c>
      <c r="B2236" s="2" t="s">
        <v>4741</v>
      </c>
      <c r="C2236" s="2" t="n">
        <v>4</v>
      </c>
      <c r="D2236" s="2" t="s">
        <v>4742</v>
      </c>
      <c r="E2236" s="2" t="s">
        <v>4154</v>
      </c>
      <c r="F2236" s="3" t="n">
        <v>45874.8381944444</v>
      </c>
      <c r="G2236" s="2" t="s">
        <v>4646</v>
      </c>
      <c r="H2236" s="4" t="n">
        <v>0.9441</v>
      </c>
      <c r="I2236" s="2" t="s">
        <v>23</v>
      </c>
      <c r="J2236" s="2" t="s">
        <v>37</v>
      </c>
      <c r="K2236" s="2" t="n">
        <v>0</v>
      </c>
      <c r="L2236" s="2" t="n">
        <v>0</v>
      </c>
      <c r="M2236" s="2" t="n">
        <v>0</v>
      </c>
    </row>
    <row r="2237" customFormat="false" ht="15" hidden="false" customHeight="false" outlineLevel="0" collapsed="false">
      <c r="A2237" s="2" t="s">
        <v>4743</v>
      </c>
      <c r="B2237" s="2" t="s">
        <v>4744</v>
      </c>
      <c r="C2237" s="2" t="n">
        <v>5</v>
      </c>
      <c r="D2237" s="2" t="s">
        <v>127</v>
      </c>
      <c r="E2237" s="2" t="s">
        <v>4154</v>
      </c>
      <c r="F2237" s="3" t="n">
        <v>45875.06875</v>
      </c>
      <c r="G2237" s="2" t="s">
        <v>4646</v>
      </c>
      <c r="H2237" s="4" t="n">
        <v>0.9359</v>
      </c>
      <c r="I2237" s="2" t="s">
        <v>23</v>
      </c>
      <c r="J2237" s="2" t="s">
        <v>37</v>
      </c>
      <c r="K2237" s="2" t="n">
        <v>0</v>
      </c>
      <c r="L2237" s="2" t="n">
        <v>0</v>
      </c>
      <c r="M2237" s="2" t="n">
        <v>0</v>
      </c>
    </row>
    <row r="2238" customFormat="false" ht="15" hidden="false" customHeight="false" outlineLevel="0" collapsed="false">
      <c r="A2238" s="2" t="s">
        <v>4745</v>
      </c>
      <c r="B2238" s="2" t="s">
        <v>4746</v>
      </c>
      <c r="C2238" s="2" t="n">
        <v>4</v>
      </c>
      <c r="D2238" s="2" t="s">
        <v>40</v>
      </c>
      <c r="E2238" s="2" t="s">
        <v>4154</v>
      </c>
      <c r="F2238" s="3" t="n">
        <v>45875.1</v>
      </c>
      <c r="G2238" s="2" t="s">
        <v>4646</v>
      </c>
      <c r="H2238" s="4" t="n">
        <v>0.4019</v>
      </c>
      <c r="I2238" s="2" t="s">
        <v>23</v>
      </c>
      <c r="J2238" s="2" t="s">
        <v>33</v>
      </c>
      <c r="K2238" s="2" t="n">
        <v>1</v>
      </c>
      <c r="L2238" s="2" t="n">
        <v>0</v>
      </c>
      <c r="M2238" s="2" t="n">
        <v>0</v>
      </c>
    </row>
    <row r="2239" customFormat="false" ht="15" hidden="false" customHeight="false" outlineLevel="0" collapsed="false">
      <c r="A2239" s="2" t="s">
        <v>4747</v>
      </c>
      <c r="B2239" s="2" t="s">
        <v>4748</v>
      </c>
      <c r="C2239" s="2" t="n">
        <v>4</v>
      </c>
      <c r="D2239" s="2" t="s">
        <v>90</v>
      </c>
      <c r="E2239" s="2" t="s">
        <v>4154</v>
      </c>
      <c r="F2239" s="3" t="n">
        <v>45875.1263888889</v>
      </c>
      <c r="G2239" s="2" t="s">
        <v>4646</v>
      </c>
      <c r="H2239" s="4" t="n">
        <v>0.6249</v>
      </c>
      <c r="I2239" s="2" t="s">
        <v>23</v>
      </c>
      <c r="J2239" s="2" t="s">
        <v>37</v>
      </c>
      <c r="K2239" s="2" t="n">
        <v>4</v>
      </c>
      <c r="L2239" s="2" t="n">
        <v>0</v>
      </c>
      <c r="M2239" s="2" t="n">
        <v>0</v>
      </c>
    </row>
    <row r="2240" customFormat="false" ht="15" hidden="false" customHeight="false" outlineLevel="0" collapsed="false">
      <c r="A2240" s="2" t="s">
        <v>4749</v>
      </c>
      <c r="B2240" s="2" t="s">
        <v>4750</v>
      </c>
      <c r="C2240" s="2" t="n">
        <v>5</v>
      </c>
      <c r="D2240" s="2" t="s">
        <v>15</v>
      </c>
      <c r="E2240" s="2" t="s">
        <v>4154</v>
      </c>
      <c r="F2240" s="3" t="n">
        <v>45875.2631944444</v>
      </c>
      <c r="G2240" s="2" t="s">
        <v>4646</v>
      </c>
      <c r="H2240" s="4" t="n">
        <v>0</v>
      </c>
      <c r="I2240" s="2" t="s">
        <v>18</v>
      </c>
      <c r="J2240" s="2" t="s">
        <v>19</v>
      </c>
      <c r="K2240" s="2" t="n">
        <v>0</v>
      </c>
      <c r="L2240" s="2" t="n">
        <v>0</v>
      </c>
      <c r="M2240" s="2" t="n">
        <v>0</v>
      </c>
    </row>
    <row r="2241" customFormat="false" ht="15" hidden="false" customHeight="false" outlineLevel="0" collapsed="false">
      <c r="A2241" s="2" t="s">
        <v>4751</v>
      </c>
      <c r="B2241" s="2" t="s">
        <v>4752</v>
      </c>
      <c r="C2241" s="2" t="n">
        <v>5</v>
      </c>
      <c r="D2241" s="2" t="s">
        <v>96</v>
      </c>
      <c r="E2241" s="2" t="s">
        <v>4154</v>
      </c>
      <c r="F2241" s="3" t="n">
        <v>45875.4666666667</v>
      </c>
      <c r="G2241" s="2" t="s">
        <v>4646</v>
      </c>
      <c r="H2241" s="4" t="n">
        <v>0.6369</v>
      </c>
      <c r="I2241" s="2" t="s">
        <v>23</v>
      </c>
      <c r="J2241" s="2" t="s">
        <v>19</v>
      </c>
      <c r="K2241" s="2" t="n">
        <v>2</v>
      </c>
      <c r="L2241" s="2" t="n">
        <v>0</v>
      </c>
      <c r="M2241" s="2" t="n">
        <v>0</v>
      </c>
    </row>
    <row r="2242" customFormat="false" ht="15" hidden="false" customHeight="false" outlineLevel="0" collapsed="false">
      <c r="A2242" s="2" t="s">
        <v>4753</v>
      </c>
      <c r="B2242" s="2" t="s">
        <v>4754</v>
      </c>
      <c r="C2242" s="2" t="n">
        <v>5</v>
      </c>
      <c r="D2242" s="2" t="s">
        <v>96</v>
      </c>
      <c r="E2242" s="2" t="s">
        <v>4154</v>
      </c>
      <c r="F2242" s="3" t="n">
        <v>45875.5083333333</v>
      </c>
      <c r="G2242" s="2" t="s">
        <v>4646</v>
      </c>
      <c r="H2242" s="4" t="n">
        <v>0.6369</v>
      </c>
      <c r="I2242" s="2" t="s">
        <v>23</v>
      </c>
      <c r="J2242" s="2" t="s">
        <v>19</v>
      </c>
      <c r="K2242" s="2" t="n">
        <v>2</v>
      </c>
      <c r="L2242" s="2" t="n">
        <v>0</v>
      </c>
      <c r="M2242" s="2" t="n">
        <v>0</v>
      </c>
    </row>
    <row r="2243" customFormat="false" ht="15" hidden="false" customHeight="false" outlineLevel="0" collapsed="false">
      <c r="A2243" s="2" t="s">
        <v>4755</v>
      </c>
      <c r="B2243" s="2" t="s">
        <v>4756</v>
      </c>
      <c r="C2243" s="2" t="n">
        <v>5</v>
      </c>
      <c r="D2243" s="2" t="s">
        <v>943</v>
      </c>
      <c r="E2243" s="2" t="s">
        <v>4154</v>
      </c>
      <c r="F2243" s="3" t="n">
        <v>45875.5965277778</v>
      </c>
      <c r="G2243" s="2" t="s">
        <v>4646</v>
      </c>
      <c r="H2243" s="4" t="n">
        <v>0.7549</v>
      </c>
      <c r="I2243" s="2" t="s">
        <v>23</v>
      </c>
      <c r="J2243" s="2" t="s">
        <v>19</v>
      </c>
      <c r="K2243" s="2" t="n">
        <v>0</v>
      </c>
      <c r="L2243" s="2" t="n">
        <v>0</v>
      </c>
      <c r="M2243" s="2" t="n">
        <v>0</v>
      </c>
    </row>
    <row r="2244" customFormat="false" ht="15" hidden="false" customHeight="false" outlineLevel="0" collapsed="false">
      <c r="A2244" s="2" t="s">
        <v>4757</v>
      </c>
      <c r="B2244" s="2" t="s">
        <v>4758</v>
      </c>
      <c r="C2244" s="2" t="n">
        <v>3</v>
      </c>
      <c r="D2244" s="2" t="s">
        <v>2743</v>
      </c>
      <c r="E2244" s="2" t="s">
        <v>4154</v>
      </c>
      <c r="F2244" s="3" t="n">
        <v>45875.7256944445</v>
      </c>
      <c r="G2244" s="2" t="s">
        <v>4646</v>
      </c>
      <c r="H2244" s="4" t="n">
        <v>0.3809</v>
      </c>
      <c r="I2244" s="2" t="s">
        <v>23</v>
      </c>
      <c r="J2244" s="2" t="s">
        <v>19</v>
      </c>
      <c r="K2244" s="2" t="n">
        <v>2</v>
      </c>
      <c r="L2244" s="2" t="n">
        <v>0</v>
      </c>
      <c r="M2244" s="2" t="n">
        <v>0</v>
      </c>
    </row>
    <row r="2245" customFormat="false" ht="15" hidden="false" customHeight="false" outlineLevel="0" collapsed="false">
      <c r="A2245" s="2" t="s">
        <v>4759</v>
      </c>
      <c r="B2245" s="2" t="s">
        <v>4760</v>
      </c>
      <c r="C2245" s="2" t="n">
        <v>4</v>
      </c>
      <c r="D2245" s="2" t="s">
        <v>15</v>
      </c>
      <c r="E2245" s="2" t="s">
        <v>4154</v>
      </c>
      <c r="F2245" s="3" t="n">
        <v>45875.7368055556</v>
      </c>
      <c r="G2245" s="2" t="s">
        <v>4646</v>
      </c>
      <c r="H2245" s="4" t="n">
        <v>0</v>
      </c>
      <c r="I2245" s="2" t="s">
        <v>18</v>
      </c>
      <c r="J2245" s="2" t="s">
        <v>19</v>
      </c>
      <c r="K2245" s="2" t="n">
        <v>3</v>
      </c>
      <c r="L2245" s="2" t="n">
        <v>0</v>
      </c>
      <c r="M2245" s="2" t="n">
        <v>0</v>
      </c>
    </row>
    <row r="2246" customFormat="false" ht="15" hidden="false" customHeight="false" outlineLevel="0" collapsed="false">
      <c r="A2246" s="2" t="s">
        <v>4761</v>
      </c>
      <c r="B2246" s="2" t="s">
        <v>4762</v>
      </c>
      <c r="C2246" s="2" t="n">
        <v>4</v>
      </c>
      <c r="D2246" s="2" t="s">
        <v>96</v>
      </c>
      <c r="E2246" s="2" t="s">
        <v>4154</v>
      </c>
      <c r="F2246" s="3" t="n">
        <v>45875.7381944444</v>
      </c>
      <c r="G2246" s="2" t="s">
        <v>4646</v>
      </c>
      <c r="H2246" s="4" t="n">
        <v>0.6369</v>
      </c>
      <c r="I2246" s="2" t="s">
        <v>23</v>
      </c>
      <c r="J2246" s="2" t="s">
        <v>19</v>
      </c>
      <c r="K2246" s="2" t="n">
        <v>6</v>
      </c>
      <c r="L2246" s="2" t="n">
        <v>0</v>
      </c>
      <c r="M2246" s="2" t="n">
        <v>0</v>
      </c>
    </row>
    <row r="2247" customFormat="false" ht="15" hidden="false" customHeight="false" outlineLevel="0" collapsed="false">
      <c r="A2247" s="2" t="s">
        <v>4763</v>
      </c>
      <c r="B2247" s="2" t="s">
        <v>4764</v>
      </c>
      <c r="C2247" s="2" t="n">
        <v>5</v>
      </c>
      <c r="D2247" s="2" t="s">
        <v>392</v>
      </c>
      <c r="E2247" s="2" t="s">
        <v>4154</v>
      </c>
      <c r="F2247" s="3" t="n">
        <v>45875.8631944444</v>
      </c>
      <c r="G2247" s="2" t="s">
        <v>4646</v>
      </c>
      <c r="H2247" s="4" t="n">
        <v>0.7549</v>
      </c>
      <c r="I2247" s="2" t="s">
        <v>23</v>
      </c>
      <c r="J2247" s="2" t="s">
        <v>19</v>
      </c>
      <c r="K2247" s="2" t="n">
        <v>2</v>
      </c>
      <c r="L2247" s="2" t="n">
        <v>0</v>
      </c>
      <c r="M2247" s="2" t="n">
        <v>0</v>
      </c>
    </row>
    <row r="2248" customFormat="false" ht="15" hidden="false" customHeight="false" outlineLevel="0" collapsed="false">
      <c r="A2248" s="2" t="s">
        <v>4765</v>
      </c>
      <c r="B2248" s="2" t="s">
        <v>4766</v>
      </c>
      <c r="C2248" s="2" t="n">
        <v>4</v>
      </c>
      <c r="D2248" s="2" t="s">
        <v>62</v>
      </c>
      <c r="E2248" s="2" t="s">
        <v>4154</v>
      </c>
      <c r="F2248" s="3" t="n">
        <v>45876.0263888889</v>
      </c>
      <c r="G2248" s="2" t="s">
        <v>4646</v>
      </c>
      <c r="H2248" s="4" t="n">
        <v>0.7088</v>
      </c>
      <c r="I2248" s="2" t="s">
        <v>23</v>
      </c>
      <c r="J2248" s="2" t="s">
        <v>19</v>
      </c>
      <c r="K2248" s="2" t="n">
        <v>0</v>
      </c>
      <c r="L2248" s="2" t="n">
        <v>0</v>
      </c>
      <c r="M2248" s="2" t="n">
        <v>0</v>
      </c>
    </row>
    <row r="2249" customFormat="false" ht="15" hidden="false" customHeight="false" outlineLevel="0" collapsed="false">
      <c r="A2249" s="2" t="s">
        <v>4767</v>
      </c>
      <c r="B2249" s="2" t="s">
        <v>4768</v>
      </c>
      <c r="C2249" s="2" t="n">
        <v>4</v>
      </c>
      <c r="D2249" s="2" t="s">
        <v>47</v>
      </c>
      <c r="E2249" s="2" t="s">
        <v>4154</v>
      </c>
      <c r="F2249" s="3" t="n">
        <v>45876.0465277778</v>
      </c>
      <c r="G2249" s="2" t="s">
        <v>4646</v>
      </c>
      <c r="H2249" s="4" t="n">
        <v>0.3089</v>
      </c>
      <c r="I2249" s="2" t="s">
        <v>23</v>
      </c>
      <c r="J2249" s="2" t="s">
        <v>19</v>
      </c>
      <c r="K2249" s="2" t="n">
        <v>2</v>
      </c>
      <c r="L2249" s="2" t="n">
        <v>0</v>
      </c>
      <c r="M2249" s="2" t="n">
        <v>0</v>
      </c>
    </row>
    <row r="2250" customFormat="false" ht="15" hidden="false" customHeight="false" outlineLevel="0" collapsed="false">
      <c r="A2250" s="2" t="s">
        <v>4769</v>
      </c>
      <c r="B2250" s="2" t="s">
        <v>1001</v>
      </c>
      <c r="C2250" s="2" t="n">
        <v>3</v>
      </c>
      <c r="D2250" s="2" t="s">
        <v>301</v>
      </c>
      <c r="E2250" s="2" t="s">
        <v>4154</v>
      </c>
      <c r="F2250" s="3" t="n">
        <v>45876.0493055556</v>
      </c>
      <c r="G2250" s="2" t="s">
        <v>4646</v>
      </c>
      <c r="H2250" s="4" t="n">
        <v>0.2263</v>
      </c>
      <c r="I2250" s="2" t="s">
        <v>23</v>
      </c>
      <c r="J2250" s="2" t="s">
        <v>19</v>
      </c>
      <c r="K2250" s="2" t="n">
        <v>9</v>
      </c>
      <c r="L2250" s="2" t="n">
        <v>0</v>
      </c>
      <c r="M2250" s="2" t="n">
        <v>0</v>
      </c>
    </row>
    <row r="2251" customFormat="false" ht="15" hidden="false" customHeight="false" outlineLevel="0" collapsed="false">
      <c r="A2251" s="2" t="s">
        <v>4770</v>
      </c>
      <c r="B2251" s="2" t="s">
        <v>4771</v>
      </c>
      <c r="C2251" s="2" t="n">
        <v>5</v>
      </c>
      <c r="D2251" s="2" t="s">
        <v>15</v>
      </c>
      <c r="E2251" s="2" t="s">
        <v>4154</v>
      </c>
      <c r="F2251" s="3" t="n">
        <v>45876.0520833333</v>
      </c>
      <c r="G2251" s="2" t="s">
        <v>4646</v>
      </c>
      <c r="H2251" s="4" t="n">
        <v>0</v>
      </c>
      <c r="I2251" s="2" t="s">
        <v>18</v>
      </c>
      <c r="J2251" s="2" t="s">
        <v>19</v>
      </c>
      <c r="K2251" s="2" t="n">
        <v>2</v>
      </c>
      <c r="L2251" s="2" t="n">
        <v>1</v>
      </c>
      <c r="M2251" s="2" t="n">
        <v>0</v>
      </c>
    </row>
    <row r="2252" customFormat="false" ht="15" hidden="false" customHeight="false" outlineLevel="0" collapsed="false">
      <c r="A2252" s="2" t="s">
        <v>4772</v>
      </c>
      <c r="B2252" s="2" t="s">
        <v>4773</v>
      </c>
      <c r="C2252" s="2" t="n">
        <v>3</v>
      </c>
      <c r="D2252" s="2" t="s">
        <v>1034</v>
      </c>
      <c r="E2252" s="2" t="s">
        <v>4154</v>
      </c>
      <c r="F2252" s="3" t="n">
        <v>45876.2631944444</v>
      </c>
      <c r="G2252" s="2" t="s">
        <v>4646</v>
      </c>
      <c r="H2252" s="4" t="n">
        <v>0</v>
      </c>
      <c r="I2252" s="2" t="s">
        <v>18</v>
      </c>
      <c r="J2252" s="2" t="s">
        <v>110</v>
      </c>
      <c r="K2252" s="2" t="n">
        <v>2</v>
      </c>
      <c r="L2252" s="2" t="n">
        <v>0</v>
      </c>
      <c r="M2252" s="2" t="n">
        <v>0</v>
      </c>
    </row>
    <row r="2253" customFormat="false" ht="15" hidden="false" customHeight="false" outlineLevel="0" collapsed="false">
      <c r="A2253" s="2" t="s">
        <v>4774</v>
      </c>
      <c r="B2253" s="2" t="s">
        <v>4775</v>
      </c>
      <c r="C2253" s="2" t="n">
        <v>5</v>
      </c>
      <c r="D2253" s="2" t="s">
        <v>127</v>
      </c>
      <c r="E2253" s="2" t="s">
        <v>4154</v>
      </c>
      <c r="F2253" s="3" t="n">
        <v>45876.39375</v>
      </c>
      <c r="G2253" s="2" t="s">
        <v>4646</v>
      </c>
      <c r="H2253" s="4" t="n">
        <v>0.9359</v>
      </c>
      <c r="I2253" s="2" t="s">
        <v>23</v>
      </c>
      <c r="J2253" s="2" t="s">
        <v>37</v>
      </c>
      <c r="K2253" s="2" t="n">
        <v>3</v>
      </c>
      <c r="L2253" s="2" t="n">
        <v>0</v>
      </c>
      <c r="M2253" s="2" t="n">
        <v>0</v>
      </c>
    </row>
    <row r="2254" customFormat="false" ht="15" hidden="false" customHeight="false" outlineLevel="0" collapsed="false">
      <c r="A2254" s="2" t="s">
        <v>4776</v>
      </c>
      <c r="B2254" s="2" t="s">
        <v>4777</v>
      </c>
      <c r="C2254" s="2" t="n">
        <v>5</v>
      </c>
      <c r="D2254" s="2" t="s">
        <v>62</v>
      </c>
      <c r="E2254" s="2" t="s">
        <v>4154</v>
      </c>
      <c r="F2254" s="3" t="n">
        <v>45876.4868055556</v>
      </c>
      <c r="G2254" s="2" t="s">
        <v>4646</v>
      </c>
      <c r="H2254" s="4" t="n">
        <v>0.7088</v>
      </c>
      <c r="I2254" s="2" t="s">
        <v>23</v>
      </c>
      <c r="J2254" s="2" t="s">
        <v>19</v>
      </c>
      <c r="K2254" s="2" t="n">
        <v>1</v>
      </c>
      <c r="L2254" s="2" t="n">
        <v>0</v>
      </c>
      <c r="M2254" s="2" t="n">
        <v>0</v>
      </c>
    </row>
    <row r="2255" customFormat="false" ht="15" hidden="false" customHeight="false" outlineLevel="0" collapsed="false">
      <c r="A2255" s="2" t="s">
        <v>4778</v>
      </c>
      <c r="B2255" s="2" t="s">
        <v>4779</v>
      </c>
      <c r="C2255" s="2" t="n">
        <v>3</v>
      </c>
      <c r="D2255" s="2" t="s">
        <v>301</v>
      </c>
      <c r="E2255" s="2" t="s">
        <v>4154</v>
      </c>
      <c r="F2255" s="3" t="n">
        <v>45876.5472222222</v>
      </c>
      <c r="G2255" s="2" t="s">
        <v>4646</v>
      </c>
      <c r="H2255" s="4" t="n">
        <v>0.2263</v>
      </c>
      <c r="I2255" s="2" t="s">
        <v>23</v>
      </c>
      <c r="J2255" s="2" t="s">
        <v>19</v>
      </c>
      <c r="K2255" s="2" t="n">
        <v>1</v>
      </c>
      <c r="L2255" s="2" t="n">
        <v>0</v>
      </c>
      <c r="M2255" s="2" t="n">
        <v>0</v>
      </c>
    </row>
    <row r="2256" customFormat="false" ht="15" hidden="false" customHeight="false" outlineLevel="0" collapsed="false">
      <c r="A2256" s="2" t="s">
        <v>4780</v>
      </c>
      <c r="B2256" s="2" t="s">
        <v>4781</v>
      </c>
      <c r="C2256" s="2" t="n">
        <v>4</v>
      </c>
      <c r="D2256" s="2" t="s">
        <v>913</v>
      </c>
      <c r="E2256" s="2" t="s">
        <v>4154</v>
      </c>
      <c r="F2256" s="3" t="n">
        <v>45876.6020833333</v>
      </c>
      <c r="G2256" s="2" t="s">
        <v>4646</v>
      </c>
      <c r="H2256" s="4" t="n">
        <v>0.4404</v>
      </c>
      <c r="I2256" s="2" t="s">
        <v>23</v>
      </c>
      <c r="J2256" s="2" t="s">
        <v>37</v>
      </c>
      <c r="K2256" s="2" t="n">
        <v>0</v>
      </c>
      <c r="L2256" s="2" t="n">
        <v>0</v>
      </c>
      <c r="M2256" s="2" t="n">
        <v>0</v>
      </c>
    </row>
    <row r="2257" customFormat="false" ht="15" hidden="false" customHeight="false" outlineLevel="0" collapsed="false">
      <c r="A2257" s="2" t="s">
        <v>4782</v>
      </c>
      <c r="B2257" s="2" t="s">
        <v>4783</v>
      </c>
      <c r="C2257" s="2" t="n">
        <v>5</v>
      </c>
      <c r="D2257" s="2" t="s">
        <v>52</v>
      </c>
      <c r="E2257" s="2" t="s">
        <v>4154</v>
      </c>
      <c r="F2257" s="3" t="n">
        <v>45876.6305555556</v>
      </c>
      <c r="G2257" s="2" t="s">
        <v>4646</v>
      </c>
      <c r="H2257" s="4" t="n">
        <v>0.6369</v>
      </c>
      <c r="I2257" s="2" t="s">
        <v>23</v>
      </c>
      <c r="J2257" s="2" t="s">
        <v>19</v>
      </c>
      <c r="K2257" s="2" t="n">
        <v>5</v>
      </c>
      <c r="L2257" s="2" t="n">
        <v>0</v>
      </c>
      <c r="M2257" s="2" t="n">
        <v>0</v>
      </c>
    </row>
    <row r="2258" customFormat="false" ht="15" hidden="false" customHeight="false" outlineLevel="0" collapsed="false">
      <c r="A2258" s="2" t="s">
        <v>4784</v>
      </c>
      <c r="B2258" s="2" t="s">
        <v>4785</v>
      </c>
      <c r="C2258" s="2" t="n">
        <v>4</v>
      </c>
      <c r="D2258" s="2" t="s">
        <v>99</v>
      </c>
      <c r="E2258" s="2" t="s">
        <v>4154</v>
      </c>
      <c r="F2258" s="3" t="n">
        <v>45876.8548611111</v>
      </c>
      <c r="G2258" s="2" t="s">
        <v>4646</v>
      </c>
      <c r="H2258" s="4" t="n">
        <v>-0.3089</v>
      </c>
      <c r="I2258" s="2" t="s">
        <v>84</v>
      </c>
      <c r="J2258" s="2" t="s">
        <v>19</v>
      </c>
      <c r="K2258" s="2" t="n">
        <v>4</v>
      </c>
      <c r="L2258" s="2" t="n">
        <v>0</v>
      </c>
      <c r="M2258" s="2" t="n">
        <v>0</v>
      </c>
    </row>
    <row r="2259" customFormat="false" ht="15" hidden="false" customHeight="false" outlineLevel="0" collapsed="false">
      <c r="A2259" s="2" t="s">
        <v>4786</v>
      </c>
      <c r="B2259" s="2" t="s">
        <v>4787</v>
      </c>
      <c r="C2259" s="2" t="n">
        <v>4</v>
      </c>
      <c r="D2259" s="2" t="s">
        <v>301</v>
      </c>
      <c r="E2259" s="2" t="s">
        <v>4154</v>
      </c>
      <c r="F2259" s="3" t="n">
        <v>45877.0083333333</v>
      </c>
      <c r="G2259" s="2" t="s">
        <v>4646</v>
      </c>
      <c r="H2259" s="4" t="n">
        <v>0.2263</v>
      </c>
      <c r="I2259" s="2" t="s">
        <v>23</v>
      </c>
      <c r="J2259" s="2" t="s">
        <v>19</v>
      </c>
      <c r="K2259" s="2" t="n">
        <v>3</v>
      </c>
      <c r="L2259" s="2" t="n">
        <v>0</v>
      </c>
      <c r="M2259" s="2" t="n">
        <v>0</v>
      </c>
    </row>
    <row r="2260" customFormat="false" ht="15" hidden="false" customHeight="false" outlineLevel="0" collapsed="false">
      <c r="A2260" s="2" t="s">
        <v>4788</v>
      </c>
      <c r="B2260" s="2" t="s">
        <v>4789</v>
      </c>
      <c r="C2260" s="2" t="n">
        <v>5</v>
      </c>
      <c r="D2260" s="2" t="s">
        <v>90</v>
      </c>
      <c r="E2260" s="2" t="s">
        <v>4154</v>
      </c>
      <c r="F2260" s="3" t="n">
        <v>45877.1277777778</v>
      </c>
      <c r="G2260" s="2" t="s">
        <v>4646</v>
      </c>
      <c r="H2260" s="4" t="n">
        <v>0.6249</v>
      </c>
      <c r="I2260" s="2" t="s">
        <v>23</v>
      </c>
      <c r="J2260" s="2" t="s">
        <v>37</v>
      </c>
      <c r="K2260" s="2" t="n">
        <v>7</v>
      </c>
      <c r="L2260" s="2" t="n">
        <v>0</v>
      </c>
      <c r="M2260" s="2" t="n">
        <v>0</v>
      </c>
    </row>
    <row r="2261" customFormat="false" ht="15" hidden="false" customHeight="false" outlineLevel="0" collapsed="false">
      <c r="A2261" s="2" t="s">
        <v>4790</v>
      </c>
      <c r="B2261" s="2" t="s">
        <v>4791</v>
      </c>
      <c r="C2261" s="2" t="n">
        <v>4</v>
      </c>
      <c r="D2261" s="2" t="s">
        <v>22</v>
      </c>
      <c r="E2261" s="2" t="s">
        <v>4154</v>
      </c>
      <c r="F2261" s="3" t="n">
        <v>45877.1597222222</v>
      </c>
      <c r="G2261" s="2" t="s">
        <v>4646</v>
      </c>
      <c r="H2261" s="4" t="n">
        <v>0.2023</v>
      </c>
      <c r="I2261" s="2" t="s">
        <v>23</v>
      </c>
      <c r="J2261" s="2" t="s">
        <v>19</v>
      </c>
      <c r="K2261" s="2" t="n">
        <v>1</v>
      </c>
      <c r="L2261" s="2" t="n">
        <v>0</v>
      </c>
      <c r="M2261" s="2" t="n">
        <v>0</v>
      </c>
    </row>
    <row r="2262" customFormat="false" ht="15" hidden="false" customHeight="false" outlineLevel="0" collapsed="false">
      <c r="A2262" s="2" t="s">
        <v>4792</v>
      </c>
      <c r="B2262" s="2" t="s">
        <v>4793</v>
      </c>
      <c r="C2262" s="2" t="n">
        <v>5</v>
      </c>
      <c r="D2262" s="2" t="s">
        <v>29</v>
      </c>
      <c r="E2262" s="2" t="s">
        <v>4154</v>
      </c>
      <c r="F2262" s="3" t="n">
        <v>45877.2409722222</v>
      </c>
      <c r="G2262" s="2" t="s">
        <v>4646</v>
      </c>
      <c r="H2262" s="4" t="n">
        <v>0.6369</v>
      </c>
      <c r="I2262" s="2" t="s">
        <v>23</v>
      </c>
      <c r="J2262" s="2" t="s">
        <v>19</v>
      </c>
      <c r="K2262" s="2" t="n">
        <v>2</v>
      </c>
      <c r="L2262" s="2" t="n">
        <v>0</v>
      </c>
      <c r="M2262" s="2" t="n">
        <v>0</v>
      </c>
    </row>
    <row r="2263" customFormat="false" ht="15" hidden="false" customHeight="false" outlineLevel="0" collapsed="false">
      <c r="A2263" s="2" t="s">
        <v>4794</v>
      </c>
      <c r="B2263" s="2" t="s">
        <v>4795</v>
      </c>
      <c r="C2263" s="2" t="n">
        <v>1</v>
      </c>
      <c r="D2263" s="2" t="s">
        <v>823</v>
      </c>
      <c r="E2263" s="2" t="s">
        <v>4154</v>
      </c>
      <c r="F2263" s="3" t="n">
        <v>45877.4673611111</v>
      </c>
      <c r="G2263" s="2" t="s">
        <v>4646</v>
      </c>
      <c r="H2263" s="4" t="n">
        <v>-0.6997</v>
      </c>
      <c r="I2263" s="2" t="s">
        <v>84</v>
      </c>
      <c r="J2263" s="2" t="s">
        <v>19</v>
      </c>
      <c r="K2263" s="2" t="n">
        <v>9</v>
      </c>
      <c r="L2263" s="2" t="n">
        <v>0</v>
      </c>
      <c r="M2263" s="2" t="n">
        <v>0</v>
      </c>
    </row>
    <row r="2264" customFormat="false" ht="15" hidden="false" customHeight="false" outlineLevel="0" collapsed="false">
      <c r="A2264" s="2" t="s">
        <v>4796</v>
      </c>
      <c r="B2264" s="2" t="s">
        <v>4797</v>
      </c>
      <c r="C2264" s="2" t="n">
        <v>5</v>
      </c>
      <c r="D2264" s="2" t="s">
        <v>96</v>
      </c>
      <c r="E2264" s="2" t="s">
        <v>4154</v>
      </c>
      <c r="F2264" s="3" t="n">
        <v>45877.5861111111</v>
      </c>
      <c r="G2264" s="2" t="s">
        <v>4646</v>
      </c>
      <c r="H2264" s="4" t="n">
        <v>0.6369</v>
      </c>
      <c r="I2264" s="2" t="s">
        <v>23</v>
      </c>
      <c r="J2264" s="2" t="s">
        <v>19</v>
      </c>
      <c r="K2264" s="2" t="n">
        <v>1</v>
      </c>
      <c r="L2264" s="2" t="n">
        <v>0</v>
      </c>
      <c r="M2264" s="2" t="n">
        <v>0</v>
      </c>
    </row>
    <row r="2265" customFormat="false" ht="15" hidden="false" customHeight="false" outlineLevel="0" collapsed="false">
      <c r="A2265" s="2" t="s">
        <v>4798</v>
      </c>
      <c r="B2265" s="2" t="s">
        <v>4799</v>
      </c>
      <c r="C2265" s="2" t="n">
        <v>3</v>
      </c>
      <c r="D2265" s="2" t="s">
        <v>87</v>
      </c>
      <c r="E2265" s="2" t="s">
        <v>4154</v>
      </c>
      <c r="F2265" s="3" t="n">
        <v>45877.6027777778</v>
      </c>
      <c r="G2265" s="2" t="s">
        <v>4646</v>
      </c>
      <c r="H2265" s="4" t="n">
        <v>0</v>
      </c>
      <c r="I2265" s="2" t="s">
        <v>18</v>
      </c>
      <c r="J2265" s="2" t="s">
        <v>19</v>
      </c>
      <c r="K2265" s="2" t="n">
        <v>12</v>
      </c>
      <c r="L2265" s="2" t="n">
        <v>0</v>
      </c>
      <c r="M2265" s="2" t="n">
        <v>0</v>
      </c>
    </row>
    <row r="2266" customFormat="false" ht="15" hidden="false" customHeight="false" outlineLevel="0" collapsed="false">
      <c r="A2266" s="2" t="s">
        <v>4800</v>
      </c>
      <c r="B2266" s="2" t="s">
        <v>4801</v>
      </c>
      <c r="C2266" s="2" t="n">
        <v>4</v>
      </c>
      <c r="D2266" s="2" t="s">
        <v>96</v>
      </c>
      <c r="E2266" s="2" t="s">
        <v>4154</v>
      </c>
      <c r="F2266" s="3" t="n">
        <v>45877.91875</v>
      </c>
      <c r="G2266" s="2" t="s">
        <v>4646</v>
      </c>
      <c r="H2266" s="4" t="n">
        <v>0.6369</v>
      </c>
      <c r="I2266" s="2" t="s">
        <v>23</v>
      </c>
      <c r="J2266" s="2" t="s">
        <v>19</v>
      </c>
      <c r="K2266" s="2" t="n">
        <v>7</v>
      </c>
      <c r="L2266" s="2" t="n">
        <v>0</v>
      </c>
      <c r="M2266" s="2" t="n">
        <v>0</v>
      </c>
    </row>
    <row r="2267" customFormat="false" ht="15" hidden="false" customHeight="false" outlineLevel="0" collapsed="false">
      <c r="A2267" s="2" t="s">
        <v>4802</v>
      </c>
      <c r="B2267" s="2" t="s">
        <v>4803</v>
      </c>
      <c r="C2267" s="2" t="n">
        <v>5</v>
      </c>
      <c r="D2267" s="2" t="s">
        <v>1167</v>
      </c>
      <c r="E2267" s="2" t="s">
        <v>4154</v>
      </c>
      <c r="F2267" s="3" t="n">
        <v>45878.08125</v>
      </c>
      <c r="G2267" s="2" t="s">
        <v>4646</v>
      </c>
      <c r="H2267" s="4" t="n">
        <v>0.8519</v>
      </c>
      <c r="I2267" s="2" t="s">
        <v>23</v>
      </c>
      <c r="J2267" s="2" t="s">
        <v>37</v>
      </c>
      <c r="K2267" s="2" t="n">
        <v>12</v>
      </c>
      <c r="L2267" s="2" t="n">
        <v>0</v>
      </c>
      <c r="M2267" s="2" t="n">
        <v>0</v>
      </c>
    </row>
    <row r="2268" customFormat="false" ht="15" hidden="false" customHeight="false" outlineLevel="0" collapsed="false">
      <c r="A2268" s="2" t="s">
        <v>4804</v>
      </c>
      <c r="B2268" s="2" t="s">
        <v>4805</v>
      </c>
      <c r="C2268" s="2" t="n">
        <v>5</v>
      </c>
      <c r="D2268" s="2" t="s">
        <v>90</v>
      </c>
      <c r="E2268" s="2" t="s">
        <v>4154</v>
      </c>
      <c r="F2268" s="3" t="n">
        <v>45878.15</v>
      </c>
      <c r="G2268" s="2" t="s">
        <v>4646</v>
      </c>
      <c r="H2268" s="4" t="n">
        <v>0.6249</v>
      </c>
      <c r="I2268" s="2" t="s">
        <v>23</v>
      </c>
      <c r="J2268" s="2" t="s">
        <v>37</v>
      </c>
      <c r="K2268" s="2" t="n">
        <v>0</v>
      </c>
      <c r="L2268" s="2" t="n">
        <v>0</v>
      </c>
      <c r="M2268" s="2" t="n">
        <v>0</v>
      </c>
    </row>
    <row r="2269" customFormat="false" ht="15" hidden="false" customHeight="false" outlineLevel="0" collapsed="false">
      <c r="A2269" s="2" t="s">
        <v>4806</v>
      </c>
      <c r="B2269" s="2" t="s">
        <v>4807</v>
      </c>
      <c r="C2269" s="2" t="n">
        <v>5</v>
      </c>
      <c r="D2269" s="2" t="s">
        <v>787</v>
      </c>
      <c r="E2269" s="2" t="s">
        <v>4154</v>
      </c>
      <c r="F2269" s="3" t="n">
        <v>45878.1805555556</v>
      </c>
      <c r="G2269" s="2" t="s">
        <v>4646</v>
      </c>
      <c r="H2269" s="4" t="n">
        <v>0.7475</v>
      </c>
      <c r="I2269" s="2" t="s">
        <v>23</v>
      </c>
      <c r="J2269" s="2" t="s">
        <v>37</v>
      </c>
      <c r="K2269" s="2" t="n">
        <v>19</v>
      </c>
      <c r="L2269" s="2" t="n">
        <v>0</v>
      </c>
      <c r="M2269" s="2" t="n">
        <v>0</v>
      </c>
    </row>
    <row r="2270" customFormat="false" ht="15" hidden="false" customHeight="false" outlineLevel="0" collapsed="false">
      <c r="A2270" s="2" t="s">
        <v>4808</v>
      </c>
      <c r="B2270" s="2" t="s">
        <v>4809</v>
      </c>
      <c r="C2270" s="2" t="n">
        <v>1</v>
      </c>
      <c r="D2270" s="2" t="s">
        <v>482</v>
      </c>
      <c r="E2270" s="2" t="s">
        <v>4154</v>
      </c>
      <c r="F2270" s="3" t="n">
        <v>45878.2548611111</v>
      </c>
      <c r="G2270" s="2" t="s">
        <v>4646</v>
      </c>
      <c r="H2270" s="4" t="n">
        <v>-0.6808</v>
      </c>
      <c r="I2270" s="2" t="s">
        <v>84</v>
      </c>
      <c r="J2270" s="2" t="s">
        <v>110</v>
      </c>
      <c r="K2270" s="2" t="n">
        <v>0</v>
      </c>
      <c r="L2270" s="2" t="n">
        <v>0</v>
      </c>
      <c r="M2270" s="2" t="n">
        <v>0</v>
      </c>
    </row>
    <row r="2271" customFormat="false" ht="15" hidden="false" customHeight="false" outlineLevel="0" collapsed="false">
      <c r="A2271" s="2" t="s">
        <v>4810</v>
      </c>
      <c r="B2271" s="2" t="s">
        <v>4811</v>
      </c>
      <c r="C2271" s="2" t="n">
        <v>5</v>
      </c>
      <c r="D2271" s="2" t="s">
        <v>1222</v>
      </c>
      <c r="E2271" s="2" t="s">
        <v>4154</v>
      </c>
      <c r="F2271" s="3" t="n">
        <v>45878.3277777778</v>
      </c>
      <c r="G2271" s="2" t="s">
        <v>4646</v>
      </c>
      <c r="H2271" s="4" t="n">
        <v>0.8221</v>
      </c>
      <c r="I2271" s="2" t="s">
        <v>23</v>
      </c>
      <c r="J2271" s="2" t="s">
        <v>33</v>
      </c>
      <c r="K2271" s="2" t="n">
        <v>1</v>
      </c>
      <c r="L2271" s="2" t="n">
        <v>1</v>
      </c>
      <c r="M2271" s="2" t="n">
        <v>0</v>
      </c>
    </row>
    <row r="2272" customFormat="false" ht="15" hidden="false" customHeight="false" outlineLevel="0" collapsed="false">
      <c r="A2272" s="2" t="s">
        <v>4812</v>
      </c>
      <c r="B2272" s="2" t="s">
        <v>4813</v>
      </c>
      <c r="C2272" s="2" t="n">
        <v>5</v>
      </c>
      <c r="D2272" s="2" t="s">
        <v>1424</v>
      </c>
      <c r="E2272" s="2" t="s">
        <v>4154</v>
      </c>
      <c r="F2272" s="3" t="n">
        <v>45878.5645833333</v>
      </c>
      <c r="G2272" s="2" t="s">
        <v>4646</v>
      </c>
      <c r="H2272" s="4" t="n">
        <v>0.3089</v>
      </c>
      <c r="I2272" s="2" t="s">
        <v>23</v>
      </c>
      <c r="J2272" s="2" t="s">
        <v>19</v>
      </c>
      <c r="K2272" s="2" t="n">
        <v>1</v>
      </c>
      <c r="L2272" s="2" t="n">
        <v>0</v>
      </c>
      <c r="M2272" s="2" t="n">
        <v>0</v>
      </c>
    </row>
    <row r="2273" customFormat="false" ht="15" hidden="false" customHeight="false" outlineLevel="0" collapsed="false">
      <c r="A2273" s="2" t="s">
        <v>4814</v>
      </c>
      <c r="B2273" s="2" t="s">
        <v>4815</v>
      </c>
      <c r="C2273" s="2" t="n">
        <v>1</v>
      </c>
      <c r="D2273" s="2" t="s">
        <v>179</v>
      </c>
      <c r="E2273" s="2" t="s">
        <v>4154</v>
      </c>
      <c r="F2273" s="3" t="n">
        <v>45878.7131944444</v>
      </c>
      <c r="G2273" s="2" t="s">
        <v>4646</v>
      </c>
      <c r="H2273" s="4" t="n">
        <v>-0.0258</v>
      </c>
      <c r="I2273" s="2" t="s">
        <v>18</v>
      </c>
      <c r="J2273" s="2" t="s">
        <v>59</v>
      </c>
      <c r="K2273" s="2" t="n">
        <v>0</v>
      </c>
      <c r="L2273" s="2" t="n">
        <v>1</v>
      </c>
      <c r="M2273" s="2" t="n">
        <v>0</v>
      </c>
    </row>
    <row r="2274" customFormat="false" ht="15" hidden="false" customHeight="false" outlineLevel="0" collapsed="false">
      <c r="A2274" s="2" t="s">
        <v>4816</v>
      </c>
      <c r="B2274" s="2" t="s">
        <v>4817</v>
      </c>
      <c r="C2274" s="2" t="n">
        <v>5</v>
      </c>
      <c r="D2274" s="2" t="s">
        <v>186</v>
      </c>
      <c r="E2274" s="2" t="s">
        <v>4154</v>
      </c>
      <c r="F2274" s="3" t="n">
        <v>45878.7569444445</v>
      </c>
      <c r="G2274" s="2" t="s">
        <v>4646</v>
      </c>
      <c r="H2274" s="4" t="n">
        <v>0.8777</v>
      </c>
      <c r="I2274" s="2" t="s">
        <v>23</v>
      </c>
      <c r="J2274" s="2" t="s">
        <v>19</v>
      </c>
      <c r="K2274" s="2" t="n">
        <v>3</v>
      </c>
      <c r="L2274" s="2" t="n">
        <v>0</v>
      </c>
      <c r="M2274" s="2" t="n">
        <v>0</v>
      </c>
    </row>
    <row r="2275" customFormat="false" ht="15" hidden="false" customHeight="false" outlineLevel="0" collapsed="false">
      <c r="A2275" s="2" t="s">
        <v>4818</v>
      </c>
      <c r="B2275" s="2" t="s">
        <v>4819</v>
      </c>
      <c r="C2275" s="2" t="n">
        <v>5</v>
      </c>
      <c r="D2275" s="2" t="s">
        <v>40</v>
      </c>
      <c r="E2275" s="2" t="s">
        <v>4154</v>
      </c>
      <c r="F2275" s="3" t="n">
        <v>45878.8854166667</v>
      </c>
      <c r="G2275" s="2" t="s">
        <v>4646</v>
      </c>
      <c r="H2275" s="4" t="n">
        <v>0.4019</v>
      </c>
      <c r="I2275" s="2" t="s">
        <v>23</v>
      </c>
      <c r="J2275" s="2" t="s">
        <v>33</v>
      </c>
      <c r="K2275" s="2" t="n">
        <v>0</v>
      </c>
      <c r="L2275" s="2" t="n">
        <v>0</v>
      </c>
      <c r="M2275" s="2" t="n">
        <v>0</v>
      </c>
    </row>
    <row r="2276" customFormat="false" ht="15" hidden="false" customHeight="false" outlineLevel="0" collapsed="false">
      <c r="A2276" s="2" t="s">
        <v>4820</v>
      </c>
      <c r="B2276" s="2" t="s">
        <v>4821</v>
      </c>
      <c r="C2276" s="2" t="n">
        <v>5</v>
      </c>
      <c r="D2276" s="2" t="s">
        <v>90</v>
      </c>
      <c r="E2276" s="2" t="s">
        <v>4154</v>
      </c>
      <c r="F2276" s="3" t="n">
        <v>45878.8930555556</v>
      </c>
      <c r="G2276" s="2" t="s">
        <v>4646</v>
      </c>
      <c r="H2276" s="4" t="n">
        <v>0.6249</v>
      </c>
      <c r="I2276" s="2" t="s">
        <v>23</v>
      </c>
      <c r="J2276" s="2" t="s">
        <v>37</v>
      </c>
      <c r="K2276" s="2" t="n">
        <v>4</v>
      </c>
      <c r="L2276" s="2" t="n">
        <v>0</v>
      </c>
      <c r="M2276" s="2" t="n">
        <v>0</v>
      </c>
    </row>
    <row r="2277" customFormat="false" ht="15" hidden="false" customHeight="false" outlineLevel="0" collapsed="false">
      <c r="A2277" s="2" t="s">
        <v>4822</v>
      </c>
      <c r="B2277" s="2" t="s">
        <v>4823</v>
      </c>
      <c r="C2277" s="2" t="n">
        <v>5</v>
      </c>
      <c r="D2277" s="2" t="s">
        <v>3104</v>
      </c>
      <c r="E2277" s="2" t="s">
        <v>4154</v>
      </c>
      <c r="F2277" s="3" t="n">
        <v>45878.93125</v>
      </c>
      <c r="G2277" s="2" t="s">
        <v>4646</v>
      </c>
      <c r="H2277" s="4" t="n">
        <v>0.3089</v>
      </c>
      <c r="I2277" s="2" t="s">
        <v>23</v>
      </c>
      <c r="J2277" s="2" t="s">
        <v>19</v>
      </c>
      <c r="K2277" s="2" t="n">
        <v>5</v>
      </c>
      <c r="L2277" s="2" t="n">
        <v>0</v>
      </c>
      <c r="M2277" s="2" t="n">
        <v>0</v>
      </c>
    </row>
    <row r="2278" customFormat="false" ht="15" hidden="false" customHeight="false" outlineLevel="0" collapsed="false">
      <c r="A2278" s="2" t="s">
        <v>4824</v>
      </c>
      <c r="B2278" s="2" t="s">
        <v>4825</v>
      </c>
      <c r="C2278" s="2" t="n">
        <v>1</v>
      </c>
      <c r="D2278" s="2" t="s">
        <v>661</v>
      </c>
      <c r="E2278" s="2" t="s">
        <v>4154</v>
      </c>
      <c r="F2278" s="3" t="n">
        <v>45879.0388888889</v>
      </c>
      <c r="G2278" s="2" t="s">
        <v>4646</v>
      </c>
      <c r="H2278" s="4" t="n">
        <v>0</v>
      </c>
      <c r="I2278" s="2" t="s">
        <v>18</v>
      </c>
      <c r="J2278" s="2" t="s">
        <v>59</v>
      </c>
      <c r="K2278" s="2" t="n">
        <v>3</v>
      </c>
      <c r="L2278" s="2" t="n">
        <v>1</v>
      </c>
      <c r="M2278" s="2" t="n">
        <v>0</v>
      </c>
    </row>
    <row r="2279" customFormat="false" ht="15" hidden="false" customHeight="false" outlineLevel="0" collapsed="false">
      <c r="A2279" s="2" t="s">
        <v>4826</v>
      </c>
      <c r="B2279" s="2" t="s">
        <v>4827</v>
      </c>
      <c r="C2279" s="2" t="n">
        <v>1</v>
      </c>
      <c r="D2279" s="2" t="s">
        <v>397</v>
      </c>
      <c r="E2279" s="2" t="s">
        <v>4154</v>
      </c>
      <c r="F2279" s="3" t="n">
        <v>45879.1138888889</v>
      </c>
      <c r="G2279" s="2" t="s">
        <v>4646</v>
      </c>
      <c r="H2279" s="4" t="n">
        <v>0</v>
      </c>
      <c r="I2279" s="2" t="s">
        <v>18</v>
      </c>
      <c r="J2279" s="2" t="s">
        <v>110</v>
      </c>
      <c r="K2279" s="2" t="n">
        <v>6</v>
      </c>
      <c r="L2279" s="2" t="n">
        <v>1</v>
      </c>
      <c r="M2279" s="2" t="n">
        <v>0</v>
      </c>
    </row>
    <row r="2280" customFormat="false" ht="15" hidden="false" customHeight="false" outlineLevel="0" collapsed="false">
      <c r="A2280" s="2" t="s">
        <v>4828</v>
      </c>
      <c r="B2280" s="2" t="s">
        <v>4829</v>
      </c>
      <c r="C2280" s="2" t="n">
        <v>5</v>
      </c>
      <c r="D2280" s="2" t="s">
        <v>40</v>
      </c>
      <c r="E2280" s="2" t="s">
        <v>4154</v>
      </c>
      <c r="F2280" s="3" t="n">
        <v>45879.15</v>
      </c>
      <c r="G2280" s="2" t="s">
        <v>4646</v>
      </c>
      <c r="H2280" s="4" t="n">
        <v>0.4019</v>
      </c>
      <c r="I2280" s="2" t="s">
        <v>23</v>
      </c>
      <c r="J2280" s="2" t="s">
        <v>33</v>
      </c>
      <c r="K2280" s="2" t="n">
        <v>1</v>
      </c>
      <c r="L2280" s="2" t="n">
        <v>0</v>
      </c>
      <c r="M2280" s="2" t="n">
        <v>0</v>
      </c>
    </row>
    <row r="2281" customFormat="false" ht="15" hidden="false" customHeight="false" outlineLevel="0" collapsed="false">
      <c r="A2281" s="2" t="s">
        <v>4830</v>
      </c>
      <c r="B2281" s="2" t="s">
        <v>4831</v>
      </c>
      <c r="C2281" s="2" t="n">
        <v>4</v>
      </c>
      <c r="D2281" s="2" t="s">
        <v>52</v>
      </c>
      <c r="E2281" s="2" t="s">
        <v>4154</v>
      </c>
      <c r="F2281" s="3" t="n">
        <v>45879.2270833333</v>
      </c>
      <c r="G2281" s="2" t="s">
        <v>4646</v>
      </c>
      <c r="H2281" s="4" t="n">
        <v>0.6369</v>
      </c>
      <c r="I2281" s="2" t="s">
        <v>23</v>
      </c>
      <c r="J2281" s="2" t="s">
        <v>19</v>
      </c>
      <c r="K2281" s="2" t="n">
        <v>3</v>
      </c>
      <c r="L2281" s="2" t="n">
        <v>0</v>
      </c>
      <c r="M2281" s="2" t="n">
        <v>0</v>
      </c>
    </row>
    <row r="2282" customFormat="false" ht="15" hidden="false" customHeight="false" outlineLevel="0" collapsed="false">
      <c r="A2282" s="2" t="s">
        <v>4832</v>
      </c>
      <c r="B2282" s="2" t="s">
        <v>4833</v>
      </c>
      <c r="C2282" s="2" t="n">
        <v>3</v>
      </c>
      <c r="D2282" s="2" t="s">
        <v>4121</v>
      </c>
      <c r="E2282" s="2" t="s">
        <v>4154</v>
      </c>
      <c r="F2282" s="3" t="n">
        <v>45879.2895833333</v>
      </c>
      <c r="G2282" s="2" t="s">
        <v>4646</v>
      </c>
      <c r="H2282" s="4" t="n">
        <v>0.4404</v>
      </c>
      <c r="I2282" s="2" t="s">
        <v>23</v>
      </c>
      <c r="J2282" s="2" t="s">
        <v>165</v>
      </c>
      <c r="K2282" s="2" t="n">
        <v>1</v>
      </c>
      <c r="L2282" s="2" t="n">
        <v>0</v>
      </c>
      <c r="M2282" s="2" t="n">
        <v>0</v>
      </c>
    </row>
    <row r="2283" customFormat="false" ht="15" hidden="false" customHeight="false" outlineLevel="0" collapsed="false">
      <c r="A2283" s="2" t="s">
        <v>4834</v>
      </c>
      <c r="B2283" s="2" t="s">
        <v>4835</v>
      </c>
      <c r="C2283" s="2" t="n">
        <v>4</v>
      </c>
      <c r="D2283" s="2" t="s">
        <v>4836</v>
      </c>
      <c r="E2283" s="2" t="s">
        <v>4154</v>
      </c>
      <c r="F2283" s="3" t="n">
        <v>45879.4069444445</v>
      </c>
      <c r="G2283" s="2" t="s">
        <v>4646</v>
      </c>
      <c r="H2283" s="4" t="n">
        <v>0.5423</v>
      </c>
      <c r="I2283" s="2" t="s">
        <v>23</v>
      </c>
      <c r="J2283" s="2" t="s">
        <v>33</v>
      </c>
      <c r="K2283" s="2" t="n">
        <v>4</v>
      </c>
      <c r="L2283" s="2" t="n">
        <v>0</v>
      </c>
      <c r="M2283" s="2" t="n">
        <v>0</v>
      </c>
    </row>
    <row r="2284" customFormat="false" ht="15" hidden="false" customHeight="false" outlineLevel="0" collapsed="false">
      <c r="A2284" s="2" t="s">
        <v>4837</v>
      </c>
      <c r="B2284" s="2" t="s">
        <v>4838</v>
      </c>
      <c r="C2284" s="2" t="n">
        <v>5</v>
      </c>
      <c r="D2284" s="2" t="s">
        <v>15</v>
      </c>
      <c r="E2284" s="2" t="s">
        <v>4154</v>
      </c>
      <c r="F2284" s="3" t="n">
        <v>45879.4388888889</v>
      </c>
      <c r="G2284" s="2" t="s">
        <v>4646</v>
      </c>
      <c r="H2284" s="4" t="n">
        <v>0</v>
      </c>
      <c r="I2284" s="2" t="s">
        <v>18</v>
      </c>
      <c r="J2284" s="2" t="s">
        <v>19</v>
      </c>
      <c r="K2284" s="2" t="n">
        <v>4</v>
      </c>
      <c r="L2284" s="2" t="n">
        <v>0</v>
      </c>
      <c r="M2284" s="2" t="n">
        <v>0</v>
      </c>
    </row>
    <row r="2285" customFormat="false" ht="15" hidden="false" customHeight="false" outlineLevel="0" collapsed="false">
      <c r="A2285" s="2" t="s">
        <v>4839</v>
      </c>
      <c r="B2285" s="2" t="s">
        <v>4840</v>
      </c>
      <c r="C2285" s="2" t="n">
        <v>5</v>
      </c>
      <c r="D2285" s="2" t="s">
        <v>1279</v>
      </c>
      <c r="E2285" s="2" t="s">
        <v>4154</v>
      </c>
      <c r="F2285" s="3" t="n">
        <v>45879.4715277778</v>
      </c>
      <c r="G2285" s="2" t="s">
        <v>4646</v>
      </c>
      <c r="H2285" s="4" t="n">
        <v>0.7783</v>
      </c>
      <c r="I2285" s="2" t="s">
        <v>23</v>
      </c>
      <c r="J2285" s="2" t="s">
        <v>37</v>
      </c>
      <c r="K2285" s="2" t="n">
        <v>0</v>
      </c>
      <c r="L2285" s="2" t="n">
        <v>0</v>
      </c>
      <c r="M2285" s="2" t="n">
        <v>0</v>
      </c>
    </row>
    <row r="2286" customFormat="false" ht="15" hidden="false" customHeight="false" outlineLevel="0" collapsed="false">
      <c r="A2286" s="2" t="s">
        <v>4841</v>
      </c>
      <c r="B2286" s="2" t="s">
        <v>4842</v>
      </c>
      <c r="C2286" s="2" t="n">
        <v>3</v>
      </c>
      <c r="D2286" s="2" t="s">
        <v>591</v>
      </c>
      <c r="E2286" s="2" t="s">
        <v>4154</v>
      </c>
      <c r="F2286" s="3" t="n">
        <v>45879.8701388889</v>
      </c>
      <c r="G2286" s="2" t="s">
        <v>4646</v>
      </c>
      <c r="H2286" s="4" t="n">
        <v>0</v>
      </c>
      <c r="I2286" s="2" t="s">
        <v>18</v>
      </c>
      <c r="J2286" s="2" t="s">
        <v>37</v>
      </c>
      <c r="K2286" s="2" t="n">
        <v>3</v>
      </c>
      <c r="L2286" s="2" t="n">
        <v>0</v>
      </c>
      <c r="M2286" s="2" t="n">
        <v>0</v>
      </c>
    </row>
    <row r="2287" customFormat="false" ht="15" hidden="false" customHeight="false" outlineLevel="0" collapsed="false">
      <c r="A2287" s="2" t="s">
        <v>4843</v>
      </c>
      <c r="B2287" s="2" t="s">
        <v>4844</v>
      </c>
      <c r="C2287" s="2" t="n">
        <v>3</v>
      </c>
      <c r="D2287" s="2" t="s">
        <v>3543</v>
      </c>
      <c r="E2287" s="2" t="s">
        <v>4154</v>
      </c>
      <c r="F2287" s="3" t="n">
        <v>45880.1472222222</v>
      </c>
      <c r="G2287" s="2" t="s">
        <v>4646</v>
      </c>
      <c r="H2287" s="4" t="n">
        <v>0.2382</v>
      </c>
      <c r="I2287" s="2" t="s">
        <v>23</v>
      </c>
      <c r="J2287" s="2" t="s">
        <v>37</v>
      </c>
      <c r="K2287" s="2" t="n">
        <v>6</v>
      </c>
      <c r="L2287" s="2" t="n">
        <v>0</v>
      </c>
      <c r="M2287" s="2" t="n">
        <v>0</v>
      </c>
    </row>
    <row r="2288" customFormat="false" ht="15" hidden="false" customHeight="false" outlineLevel="0" collapsed="false">
      <c r="A2288" s="2" t="s">
        <v>4845</v>
      </c>
      <c r="B2288" s="2" t="s">
        <v>4846</v>
      </c>
      <c r="C2288" s="2" t="n">
        <v>5</v>
      </c>
      <c r="D2288" s="2" t="s">
        <v>40</v>
      </c>
      <c r="E2288" s="2" t="s">
        <v>4154</v>
      </c>
      <c r="F2288" s="3" t="n">
        <v>45880.3729166667</v>
      </c>
      <c r="G2288" s="2" t="s">
        <v>4646</v>
      </c>
      <c r="H2288" s="4" t="n">
        <v>0.4019</v>
      </c>
      <c r="I2288" s="2" t="s">
        <v>23</v>
      </c>
      <c r="J2288" s="2" t="s">
        <v>33</v>
      </c>
      <c r="K2288" s="2" t="n">
        <v>4</v>
      </c>
      <c r="L2288" s="2" t="n">
        <v>0</v>
      </c>
      <c r="M2288" s="2" t="n">
        <v>0</v>
      </c>
    </row>
    <row r="2289" customFormat="false" ht="15" hidden="false" customHeight="false" outlineLevel="0" collapsed="false">
      <c r="A2289" s="2" t="s">
        <v>4847</v>
      </c>
      <c r="B2289" s="2" t="s">
        <v>4848</v>
      </c>
      <c r="C2289" s="2" t="n">
        <v>1</v>
      </c>
      <c r="D2289" s="2" t="s">
        <v>83</v>
      </c>
      <c r="E2289" s="2" t="s">
        <v>4154</v>
      </c>
      <c r="F2289" s="3" t="n">
        <v>45880.3972222222</v>
      </c>
      <c r="G2289" s="2" t="s">
        <v>4646</v>
      </c>
      <c r="H2289" s="4" t="n">
        <v>-0.6166</v>
      </c>
      <c r="I2289" s="2" t="s">
        <v>84</v>
      </c>
      <c r="J2289" s="2" t="s">
        <v>59</v>
      </c>
      <c r="K2289" s="2" t="n">
        <v>1</v>
      </c>
      <c r="L2289" s="2" t="n">
        <v>1</v>
      </c>
      <c r="M2289" s="2" t="n">
        <v>0</v>
      </c>
    </row>
    <row r="2290" customFormat="false" ht="15" hidden="false" customHeight="false" outlineLevel="0" collapsed="false">
      <c r="A2290" s="2" t="s">
        <v>4849</v>
      </c>
      <c r="B2290" s="2" t="s">
        <v>4850</v>
      </c>
      <c r="C2290" s="2" t="n">
        <v>1</v>
      </c>
      <c r="D2290" s="2" t="s">
        <v>733</v>
      </c>
      <c r="E2290" s="2" t="s">
        <v>4154</v>
      </c>
      <c r="F2290" s="3" t="n">
        <v>45880.7715277778</v>
      </c>
      <c r="G2290" s="2" t="s">
        <v>4646</v>
      </c>
      <c r="H2290" s="4" t="n">
        <v>-0.2846</v>
      </c>
      <c r="I2290" s="2" t="s">
        <v>84</v>
      </c>
      <c r="J2290" s="2" t="s">
        <v>37</v>
      </c>
      <c r="K2290" s="2" t="n">
        <v>1</v>
      </c>
      <c r="L2290" s="2" t="n">
        <v>1</v>
      </c>
      <c r="M2290" s="2" t="n">
        <v>0</v>
      </c>
    </row>
    <row r="2291" customFormat="false" ht="15" hidden="false" customHeight="false" outlineLevel="0" collapsed="false">
      <c r="A2291" s="2" t="s">
        <v>4851</v>
      </c>
      <c r="B2291" s="2" t="s">
        <v>4852</v>
      </c>
      <c r="C2291" s="2" t="n">
        <v>5</v>
      </c>
      <c r="D2291" s="2" t="s">
        <v>40</v>
      </c>
      <c r="E2291" s="2" t="s">
        <v>4154</v>
      </c>
      <c r="F2291" s="3" t="n">
        <v>45880.8805555556</v>
      </c>
      <c r="G2291" s="2" t="s">
        <v>4646</v>
      </c>
      <c r="H2291" s="4" t="n">
        <v>0.4019</v>
      </c>
      <c r="I2291" s="2" t="s">
        <v>23</v>
      </c>
      <c r="J2291" s="2" t="s">
        <v>33</v>
      </c>
      <c r="K2291" s="2" t="n">
        <v>9</v>
      </c>
      <c r="L2291" s="2" t="n">
        <v>0</v>
      </c>
      <c r="M2291" s="2" t="n">
        <v>0</v>
      </c>
    </row>
    <row r="2292" customFormat="false" ht="15" hidden="false" customHeight="false" outlineLevel="0" collapsed="false">
      <c r="A2292" s="2" t="s">
        <v>4853</v>
      </c>
      <c r="B2292" s="2" t="s">
        <v>4854</v>
      </c>
      <c r="C2292" s="2" t="n">
        <v>5</v>
      </c>
      <c r="D2292" s="2" t="s">
        <v>90</v>
      </c>
      <c r="E2292" s="2" t="s">
        <v>4154</v>
      </c>
      <c r="F2292" s="3" t="n">
        <v>45881.1069444444</v>
      </c>
      <c r="G2292" s="2" t="s">
        <v>4646</v>
      </c>
      <c r="H2292" s="4" t="n">
        <v>0.6249</v>
      </c>
      <c r="I2292" s="2" t="s">
        <v>23</v>
      </c>
      <c r="J2292" s="2" t="s">
        <v>37</v>
      </c>
      <c r="K2292" s="2" t="n">
        <v>5</v>
      </c>
      <c r="L2292" s="2" t="n">
        <v>0</v>
      </c>
      <c r="M2292" s="2" t="n">
        <v>0</v>
      </c>
    </row>
    <row r="2293" customFormat="false" ht="15" hidden="false" customHeight="false" outlineLevel="0" collapsed="false">
      <c r="A2293" s="2" t="s">
        <v>4855</v>
      </c>
      <c r="B2293" s="2" t="s">
        <v>4856</v>
      </c>
      <c r="C2293" s="2" t="n">
        <v>4</v>
      </c>
      <c r="D2293" s="2" t="s">
        <v>875</v>
      </c>
      <c r="E2293" s="2" t="s">
        <v>4154</v>
      </c>
      <c r="F2293" s="3" t="n">
        <v>45881.3493055556</v>
      </c>
      <c r="G2293" s="2" t="s">
        <v>4646</v>
      </c>
      <c r="H2293" s="4" t="n">
        <v>0.7992</v>
      </c>
      <c r="I2293" s="2" t="s">
        <v>23</v>
      </c>
      <c r="J2293" s="2" t="s">
        <v>19</v>
      </c>
      <c r="K2293" s="2" t="n">
        <v>0</v>
      </c>
      <c r="L2293" s="2" t="n">
        <v>0</v>
      </c>
      <c r="M2293" s="2" t="n">
        <v>0</v>
      </c>
    </row>
    <row r="2294" customFormat="false" ht="15" hidden="false" customHeight="false" outlineLevel="0" collapsed="false">
      <c r="A2294" s="2" t="s">
        <v>4857</v>
      </c>
      <c r="B2294" s="2" t="s">
        <v>4858</v>
      </c>
      <c r="C2294" s="2" t="n">
        <v>1</v>
      </c>
      <c r="D2294" s="2" t="s">
        <v>591</v>
      </c>
      <c r="E2294" s="2" t="s">
        <v>4154</v>
      </c>
      <c r="F2294" s="3" t="n">
        <v>45881.8659722222</v>
      </c>
      <c r="G2294" s="2" t="s">
        <v>4646</v>
      </c>
      <c r="H2294" s="4" t="n">
        <v>0</v>
      </c>
      <c r="I2294" s="2" t="s">
        <v>18</v>
      </c>
      <c r="J2294" s="2" t="s">
        <v>37</v>
      </c>
      <c r="K2294" s="2" t="n">
        <v>0</v>
      </c>
      <c r="L2294" s="2" t="n">
        <v>1</v>
      </c>
      <c r="M2294" s="2" t="n">
        <v>0</v>
      </c>
    </row>
    <row r="2295" customFormat="false" ht="15" hidden="false" customHeight="false" outlineLevel="0" collapsed="false">
      <c r="A2295" s="2" t="s">
        <v>4859</v>
      </c>
      <c r="B2295" s="2" t="s">
        <v>4860</v>
      </c>
      <c r="C2295" s="2" t="n">
        <v>3</v>
      </c>
      <c r="D2295" s="2" t="s">
        <v>301</v>
      </c>
      <c r="E2295" s="2" t="s">
        <v>4154</v>
      </c>
      <c r="F2295" s="3" t="n">
        <v>45881.9034722222</v>
      </c>
      <c r="G2295" s="2" t="s">
        <v>4646</v>
      </c>
      <c r="H2295" s="4" t="n">
        <v>0.2263</v>
      </c>
      <c r="I2295" s="2" t="s">
        <v>23</v>
      </c>
      <c r="J2295" s="2" t="s">
        <v>19</v>
      </c>
      <c r="K2295" s="2" t="n">
        <v>3</v>
      </c>
      <c r="L2295" s="2" t="n">
        <v>0</v>
      </c>
      <c r="M2295" s="2" t="n">
        <v>0</v>
      </c>
    </row>
    <row r="2296" customFormat="false" ht="15" hidden="false" customHeight="false" outlineLevel="0" collapsed="false">
      <c r="A2296" s="2" t="s">
        <v>4861</v>
      </c>
      <c r="B2296" s="2" t="s">
        <v>4862</v>
      </c>
      <c r="C2296" s="2" t="n">
        <v>5</v>
      </c>
      <c r="D2296" s="2" t="s">
        <v>47</v>
      </c>
      <c r="E2296" s="2" t="s">
        <v>4154</v>
      </c>
      <c r="F2296" s="3" t="n">
        <v>45881.9909722222</v>
      </c>
      <c r="G2296" s="2" t="s">
        <v>4646</v>
      </c>
      <c r="H2296" s="4" t="n">
        <v>0.3089</v>
      </c>
      <c r="I2296" s="2" t="s">
        <v>23</v>
      </c>
      <c r="J2296" s="2" t="s">
        <v>19</v>
      </c>
      <c r="K2296" s="2" t="n">
        <v>3</v>
      </c>
      <c r="L2296" s="2" t="n">
        <v>0</v>
      </c>
      <c r="M2296" s="2" t="n">
        <v>0</v>
      </c>
    </row>
    <row r="2297" customFormat="false" ht="15" hidden="false" customHeight="false" outlineLevel="0" collapsed="false">
      <c r="A2297" s="2" t="s">
        <v>4863</v>
      </c>
      <c r="B2297" s="2" t="s">
        <v>4864</v>
      </c>
      <c r="C2297" s="2" t="n">
        <v>5</v>
      </c>
      <c r="D2297" s="2" t="s">
        <v>96</v>
      </c>
      <c r="E2297" s="2" t="s">
        <v>4154</v>
      </c>
      <c r="F2297" s="3" t="n">
        <v>45882.0194444444</v>
      </c>
      <c r="G2297" s="2" t="s">
        <v>4646</v>
      </c>
      <c r="H2297" s="4" t="n">
        <v>0.6369</v>
      </c>
      <c r="I2297" s="2" t="s">
        <v>23</v>
      </c>
      <c r="J2297" s="2" t="s">
        <v>19</v>
      </c>
      <c r="K2297" s="2" t="n">
        <v>8</v>
      </c>
      <c r="L2297" s="2" t="n">
        <v>0</v>
      </c>
      <c r="M2297" s="2" t="n">
        <v>0</v>
      </c>
    </row>
    <row r="2298" customFormat="false" ht="15" hidden="false" customHeight="false" outlineLevel="0" collapsed="false">
      <c r="A2298" s="2" t="s">
        <v>4865</v>
      </c>
      <c r="B2298" s="2" t="s">
        <v>4866</v>
      </c>
      <c r="C2298" s="2" t="n">
        <v>5</v>
      </c>
      <c r="D2298" s="2" t="s">
        <v>1363</v>
      </c>
      <c r="E2298" s="2" t="s">
        <v>4154</v>
      </c>
      <c r="F2298" s="3" t="n">
        <v>45882.1013888889</v>
      </c>
      <c r="G2298" s="2" t="s">
        <v>4646</v>
      </c>
      <c r="H2298" s="4" t="n">
        <v>0.6597</v>
      </c>
      <c r="I2298" s="2" t="s">
        <v>23</v>
      </c>
      <c r="J2298" s="2" t="s">
        <v>33</v>
      </c>
      <c r="K2298" s="2" t="n">
        <v>9</v>
      </c>
      <c r="L2298" s="2" t="n">
        <v>0</v>
      </c>
      <c r="M2298" s="2" t="n">
        <v>0</v>
      </c>
    </row>
    <row r="2299" customFormat="false" ht="15" hidden="false" customHeight="false" outlineLevel="0" collapsed="false">
      <c r="A2299" s="2" t="s">
        <v>4867</v>
      </c>
      <c r="B2299" s="2" t="s">
        <v>4868</v>
      </c>
      <c r="C2299" s="2" t="n">
        <v>4</v>
      </c>
      <c r="D2299" s="2" t="s">
        <v>87</v>
      </c>
      <c r="E2299" s="2" t="s">
        <v>4154</v>
      </c>
      <c r="F2299" s="3" t="n">
        <v>45882.1506944444</v>
      </c>
      <c r="G2299" s="2" t="s">
        <v>4646</v>
      </c>
      <c r="H2299" s="4" t="n">
        <v>0</v>
      </c>
      <c r="I2299" s="2" t="s">
        <v>18</v>
      </c>
      <c r="J2299" s="2" t="s">
        <v>19</v>
      </c>
      <c r="K2299" s="2" t="n">
        <v>5</v>
      </c>
      <c r="L2299" s="2" t="n">
        <v>0</v>
      </c>
      <c r="M2299" s="2" t="n">
        <v>0</v>
      </c>
    </row>
    <row r="2300" customFormat="false" ht="15" hidden="false" customHeight="false" outlineLevel="0" collapsed="false">
      <c r="A2300" s="2" t="s">
        <v>4869</v>
      </c>
      <c r="B2300" s="2" t="s">
        <v>4870</v>
      </c>
      <c r="C2300" s="2" t="n">
        <v>5</v>
      </c>
      <c r="D2300" s="2" t="s">
        <v>47</v>
      </c>
      <c r="E2300" s="2" t="s">
        <v>4154</v>
      </c>
      <c r="F2300" s="3" t="n">
        <v>45882.2243055556</v>
      </c>
      <c r="G2300" s="2" t="s">
        <v>4646</v>
      </c>
      <c r="H2300" s="4" t="n">
        <v>0.3089</v>
      </c>
      <c r="I2300" s="2" t="s">
        <v>23</v>
      </c>
      <c r="J2300" s="2" t="s">
        <v>19</v>
      </c>
      <c r="K2300" s="2" t="n">
        <v>0</v>
      </c>
      <c r="L2300" s="2" t="n">
        <v>0</v>
      </c>
      <c r="M2300" s="2" t="n">
        <v>0</v>
      </c>
    </row>
    <row r="2301" customFormat="false" ht="15" hidden="false" customHeight="false" outlineLevel="0" collapsed="false">
      <c r="A2301" s="2" t="s">
        <v>4871</v>
      </c>
      <c r="B2301" s="2" t="s">
        <v>4872</v>
      </c>
      <c r="C2301" s="2" t="n">
        <v>4</v>
      </c>
      <c r="D2301" s="2" t="s">
        <v>99</v>
      </c>
      <c r="E2301" s="2" t="s">
        <v>4154</v>
      </c>
      <c r="F2301" s="3" t="n">
        <v>45882.2361111111</v>
      </c>
      <c r="G2301" s="2" t="s">
        <v>4646</v>
      </c>
      <c r="H2301" s="4" t="n">
        <v>-0.3089</v>
      </c>
      <c r="I2301" s="2" t="s">
        <v>84</v>
      </c>
      <c r="J2301" s="2" t="s">
        <v>19</v>
      </c>
      <c r="K2301" s="2" t="n">
        <v>10</v>
      </c>
      <c r="L2301" s="2" t="n">
        <v>0</v>
      </c>
      <c r="M2301" s="2" t="n">
        <v>0</v>
      </c>
    </row>
    <row r="2302" customFormat="false" ht="15" hidden="false" customHeight="false" outlineLevel="0" collapsed="false">
      <c r="A2302" s="2" t="s">
        <v>4873</v>
      </c>
      <c r="B2302" s="2" t="s">
        <v>4874</v>
      </c>
      <c r="C2302" s="2" t="n">
        <v>5</v>
      </c>
      <c r="D2302" s="2" t="s">
        <v>67</v>
      </c>
      <c r="E2302" s="2" t="s">
        <v>4154</v>
      </c>
      <c r="F2302" s="3" t="n">
        <v>45882.3256944444</v>
      </c>
      <c r="G2302" s="2" t="s">
        <v>4646</v>
      </c>
      <c r="H2302" s="4" t="n">
        <v>0.8953</v>
      </c>
      <c r="I2302" s="2" t="s">
        <v>23</v>
      </c>
      <c r="J2302" s="2" t="s">
        <v>19</v>
      </c>
      <c r="K2302" s="2" t="n">
        <v>3</v>
      </c>
      <c r="L2302" s="2" t="n">
        <v>0</v>
      </c>
      <c r="M2302" s="2" t="n">
        <v>0</v>
      </c>
    </row>
    <row r="2303" customFormat="false" ht="15" hidden="false" customHeight="false" outlineLevel="0" collapsed="false">
      <c r="A2303" s="2" t="s">
        <v>4875</v>
      </c>
      <c r="B2303" s="2" t="s">
        <v>4876</v>
      </c>
      <c r="C2303" s="2" t="n">
        <v>1</v>
      </c>
      <c r="D2303" s="2" t="s">
        <v>823</v>
      </c>
      <c r="E2303" s="2" t="s">
        <v>4154</v>
      </c>
      <c r="F2303" s="3" t="n">
        <v>45882.3673611111</v>
      </c>
      <c r="G2303" s="2" t="s">
        <v>4646</v>
      </c>
      <c r="H2303" s="4" t="n">
        <v>-0.6997</v>
      </c>
      <c r="I2303" s="2" t="s">
        <v>84</v>
      </c>
      <c r="J2303" s="2" t="s">
        <v>19</v>
      </c>
      <c r="K2303" s="2" t="n">
        <v>5</v>
      </c>
      <c r="L2303" s="2" t="n">
        <v>1</v>
      </c>
      <c r="M2303" s="2" t="n">
        <v>0</v>
      </c>
    </row>
    <row r="2304" customFormat="false" ht="15" hidden="false" customHeight="false" outlineLevel="0" collapsed="false">
      <c r="A2304" s="2" t="s">
        <v>4877</v>
      </c>
      <c r="B2304" s="2" t="s">
        <v>4878</v>
      </c>
      <c r="C2304" s="2" t="n">
        <v>5</v>
      </c>
      <c r="D2304" s="2" t="s">
        <v>420</v>
      </c>
      <c r="E2304" s="2" t="s">
        <v>4154</v>
      </c>
      <c r="F2304" s="3" t="n">
        <v>45882.5625</v>
      </c>
      <c r="G2304" s="2" t="s">
        <v>4646</v>
      </c>
      <c r="H2304" s="4" t="n">
        <v>0.7845</v>
      </c>
      <c r="I2304" s="2" t="s">
        <v>23</v>
      </c>
      <c r="J2304" s="2" t="s">
        <v>33</v>
      </c>
      <c r="K2304" s="2" t="n">
        <v>5</v>
      </c>
      <c r="L2304" s="2" t="n">
        <v>0</v>
      </c>
      <c r="M2304" s="2" t="n">
        <v>0</v>
      </c>
    </row>
    <row r="2305" customFormat="false" ht="15" hidden="false" customHeight="false" outlineLevel="0" collapsed="false">
      <c r="A2305" s="2" t="s">
        <v>4879</v>
      </c>
      <c r="B2305" s="2" t="s">
        <v>4880</v>
      </c>
      <c r="C2305" s="2" t="n">
        <v>5</v>
      </c>
      <c r="D2305" s="2" t="s">
        <v>1212</v>
      </c>
      <c r="E2305" s="2" t="s">
        <v>4154</v>
      </c>
      <c r="F2305" s="3" t="n">
        <v>45882.8041666667</v>
      </c>
      <c r="G2305" s="2" t="s">
        <v>4646</v>
      </c>
      <c r="H2305" s="4" t="n">
        <v>0.8777</v>
      </c>
      <c r="I2305" s="2" t="s">
        <v>23</v>
      </c>
      <c r="J2305" s="2" t="s">
        <v>19</v>
      </c>
      <c r="K2305" s="2" t="n">
        <v>0</v>
      </c>
      <c r="L2305" s="2" t="n">
        <v>0</v>
      </c>
      <c r="M2305" s="2" t="n">
        <v>0</v>
      </c>
    </row>
    <row r="2306" customFormat="false" ht="15" hidden="false" customHeight="false" outlineLevel="0" collapsed="false">
      <c r="A2306" s="2" t="s">
        <v>4881</v>
      </c>
      <c r="B2306" s="2" t="s">
        <v>4882</v>
      </c>
      <c r="C2306" s="2" t="n">
        <v>4</v>
      </c>
      <c r="D2306" s="2" t="s">
        <v>96</v>
      </c>
      <c r="E2306" s="2" t="s">
        <v>4154</v>
      </c>
      <c r="F2306" s="3" t="n">
        <v>45882.8770833333</v>
      </c>
      <c r="G2306" s="2" t="s">
        <v>4646</v>
      </c>
      <c r="H2306" s="4" t="n">
        <v>0.6369</v>
      </c>
      <c r="I2306" s="2" t="s">
        <v>23</v>
      </c>
      <c r="J2306" s="2" t="s">
        <v>19</v>
      </c>
      <c r="K2306" s="2" t="n">
        <v>0</v>
      </c>
      <c r="L2306" s="2" t="n">
        <v>0</v>
      </c>
      <c r="M2306" s="2" t="n">
        <v>0</v>
      </c>
    </row>
    <row r="2307" customFormat="false" ht="15" hidden="false" customHeight="false" outlineLevel="0" collapsed="false">
      <c r="A2307" s="2" t="s">
        <v>4883</v>
      </c>
      <c r="B2307" s="2" t="s">
        <v>4884</v>
      </c>
      <c r="C2307" s="2" t="n">
        <v>5</v>
      </c>
      <c r="D2307" s="2" t="s">
        <v>90</v>
      </c>
      <c r="E2307" s="2" t="s">
        <v>4154</v>
      </c>
      <c r="F2307" s="3" t="n">
        <v>45882.9458333333</v>
      </c>
      <c r="G2307" s="2" t="s">
        <v>4646</v>
      </c>
      <c r="H2307" s="4" t="n">
        <v>0.6249</v>
      </c>
      <c r="I2307" s="2" t="s">
        <v>23</v>
      </c>
      <c r="J2307" s="2" t="s">
        <v>37</v>
      </c>
      <c r="K2307" s="2" t="n">
        <v>1</v>
      </c>
      <c r="L2307" s="2" t="n">
        <v>0</v>
      </c>
      <c r="M2307" s="2" t="n">
        <v>0</v>
      </c>
    </row>
    <row r="2308" customFormat="false" ht="15" hidden="false" customHeight="false" outlineLevel="0" collapsed="false">
      <c r="A2308" s="2" t="s">
        <v>4885</v>
      </c>
      <c r="B2308" s="2" t="s">
        <v>4886</v>
      </c>
      <c r="C2308" s="2" t="n">
        <v>4</v>
      </c>
      <c r="D2308" s="2" t="s">
        <v>435</v>
      </c>
      <c r="E2308" s="2" t="s">
        <v>4154</v>
      </c>
      <c r="F2308" s="3" t="n">
        <v>45883.3631944444</v>
      </c>
      <c r="G2308" s="2" t="s">
        <v>4646</v>
      </c>
      <c r="H2308" s="4" t="n">
        <v>0.7269</v>
      </c>
      <c r="I2308" s="2" t="s">
        <v>23</v>
      </c>
      <c r="J2308" s="2" t="s">
        <v>19</v>
      </c>
      <c r="K2308" s="2" t="n">
        <v>3</v>
      </c>
      <c r="L2308" s="2" t="n">
        <v>0</v>
      </c>
      <c r="M2308" s="2" t="n">
        <v>0</v>
      </c>
    </row>
    <row r="2309" customFormat="false" ht="15" hidden="false" customHeight="false" outlineLevel="0" collapsed="false">
      <c r="A2309" s="2" t="s">
        <v>4887</v>
      </c>
      <c r="B2309" s="2" t="s">
        <v>4888</v>
      </c>
      <c r="C2309" s="2" t="n">
        <v>5</v>
      </c>
      <c r="D2309" s="2" t="s">
        <v>407</v>
      </c>
      <c r="E2309" s="2" t="s">
        <v>4154</v>
      </c>
      <c r="F2309" s="3" t="n">
        <v>45883.6777777778</v>
      </c>
      <c r="G2309" s="2" t="s">
        <v>4646</v>
      </c>
      <c r="H2309" s="4" t="n">
        <v>0.7783</v>
      </c>
      <c r="I2309" s="2" t="s">
        <v>23</v>
      </c>
      <c r="J2309" s="2" t="s">
        <v>37</v>
      </c>
      <c r="K2309" s="2" t="n">
        <v>2</v>
      </c>
      <c r="L2309" s="2" t="n">
        <v>0</v>
      </c>
      <c r="M2309" s="2" t="n">
        <v>0</v>
      </c>
    </row>
    <row r="2310" customFormat="false" ht="15" hidden="false" customHeight="false" outlineLevel="0" collapsed="false">
      <c r="A2310" s="2" t="s">
        <v>4889</v>
      </c>
      <c r="B2310" s="2" t="s">
        <v>4890</v>
      </c>
      <c r="C2310" s="2" t="n">
        <v>4</v>
      </c>
      <c r="D2310" s="2" t="s">
        <v>475</v>
      </c>
      <c r="E2310" s="2" t="s">
        <v>4154</v>
      </c>
      <c r="F2310" s="3" t="n">
        <v>45883.7604166667</v>
      </c>
      <c r="G2310" s="2" t="s">
        <v>4646</v>
      </c>
      <c r="H2310" s="4" t="n">
        <v>0.7845</v>
      </c>
      <c r="I2310" s="2" t="s">
        <v>23</v>
      </c>
      <c r="J2310" s="2" t="s">
        <v>33</v>
      </c>
      <c r="K2310" s="2" t="n">
        <v>1</v>
      </c>
      <c r="L2310" s="2" t="n">
        <v>0</v>
      </c>
      <c r="M2310" s="2" t="n">
        <v>0</v>
      </c>
    </row>
    <row r="2311" customFormat="false" ht="15" hidden="false" customHeight="false" outlineLevel="0" collapsed="false">
      <c r="A2311" s="2" t="s">
        <v>4891</v>
      </c>
      <c r="B2311" s="2" t="s">
        <v>4892</v>
      </c>
      <c r="C2311" s="2" t="n">
        <v>5</v>
      </c>
      <c r="D2311" s="2" t="s">
        <v>52</v>
      </c>
      <c r="E2311" s="2" t="s">
        <v>4154</v>
      </c>
      <c r="F2311" s="3" t="n">
        <v>45883.8131944445</v>
      </c>
      <c r="G2311" s="2" t="s">
        <v>4646</v>
      </c>
      <c r="H2311" s="4" t="n">
        <v>0.6369</v>
      </c>
      <c r="I2311" s="2" t="s">
        <v>23</v>
      </c>
      <c r="J2311" s="2" t="s">
        <v>19</v>
      </c>
      <c r="K2311" s="2" t="n">
        <v>1</v>
      </c>
      <c r="L2311" s="2" t="n">
        <v>0</v>
      </c>
      <c r="M2311" s="2" t="n">
        <v>0</v>
      </c>
    </row>
    <row r="2312" customFormat="false" ht="15" hidden="false" customHeight="false" outlineLevel="0" collapsed="false">
      <c r="A2312" s="2" t="s">
        <v>4893</v>
      </c>
      <c r="B2312" s="2" t="s">
        <v>4894</v>
      </c>
      <c r="C2312" s="2" t="n">
        <v>5</v>
      </c>
      <c r="D2312" s="2" t="s">
        <v>90</v>
      </c>
      <c r="E2312" s="2" t="s">
        <v>4154</v>
      </c>
      <c r="F2312" s="3" t="n">
        <v>45884.1666666667</v>
      </c>
      <c r="G2312" s="2" t="s">
        <v>4646</v>
      </c>
      <c r="H2312" s="4" t="n">
        <v>0.6249</v>
      </c>
      <c r="I2312" s="2" t="s">
        <v>23</v>
      </c>
      <c r="J2312" s="2" t="s">
        <v>37</v>
      </c>
      <c r="K2312" s="2" t="n">
        <v>4</v>
      </c>
      <c r="L2312" s="2" t="n">
        <v>0</v>
      </c>
      <c r="M2312" s="2" t="n">
        <v>0</v>
      </c>
    </row>
    <row r="2313" customFormat="false" ht="15" hidden="false" customHeight="false" outlineLevel="0" collapsed="false">
      <c r="A2313" s="2" t="s">
        <v>4895</v>
      </c>
      <c r="B2313" s="2" t="s">
        <v>4896</v>
      </c>
      <c r="C2313" s="2" t="n">
        <v>5</v>
      </c>
      <c r="D2313" s="2" t="s">
        <v>15</v>
      </c>
      <c r="E2313" s="2" t="s">
        <v>4154</v>
      </c>
      <c r="F2313" s="3" t="n">
        <v>45884.2993055556</v>
      </c>
      <c r="G2313" s="2" t="s">
        <v>4646</v>
      </c>
      <c r="H2313" s="4" t="n">
        <v>0</v>
      </c>
      <c r="I2313" s="2" t="s">
        <v>18</v>
      </c>
      <c r="J2313" s="2" t="s">
        <v>19</v>
      </c>
      <c r="K2313" s="2" t="n">
        <v>6</v>
      </c>
      <c r="L2313" s="2" t="n">
        <v>0</v>
      </c>
      <c r="M2313" s="2" t="n">
        <v>0</v>
      </c>
    </row>
    <row r="2314" customFormat="false" ht="15" hidden="false" customHeight="false" outlineLevel="0" collapsed="false">
      <c r="A2314" s="2" t="s">
        <v>4897</v>
      </c>
      <c r="B2314" s="2" t="s">
        <v>4898</v>
      </c>
      <c r="C2314" s="2" t="n">
        <v>5</v>
      </c>
      <c r="D2314" s="2" t="s">
        <v>1683</v>
      </c>
      <c r="E2314" s="2" t="s">
        <v>4154</v>
      </c>
      <c r="F2314" s="3" t="n">
        <v>45884.3048611111</v>
      </c>
      <c r="G2314" s="2" t="s">
        <v>4646</v>
      </c>
      <c r="H2314" s="4" t="n">
        <v>0.6369</v>
      </c>
      <c r="I2314" s="2" t="s">
        <v>23</v>
      </c>
      <c r="J2314" s="2" t="s">
        <v>19</v>
      </c>
      <c r="K2314" s="2" t="n">
        <v>0</v>
      </c>
      <c r="L2314" s="2" t="n">
        <v>0</v>
      </c>
      <c r="M2314" s="2" t="n">
        <v>0</v>
      </c>
    </row>
    <row r="2315" customFormat="false" ht="15" hidden="false" customHeight="false" outlineLevel="0" collapsed="false">
      <c r="A2315" s="2" t="s">
        <v>4899</v>
      </c>
      <c r="B2315" s="2" t="s">
        <v>4900</v>
      </c>
      <c r="C2315" s="2" t="n">
        <v>5</v>
      </c>
      <c r="D2315" s="2" t="s">
        <v>62</v>
      </c>
      <c r="E2315" s="2" t="s">
        <v>4154</v>
      </c>
      <c r="F2315" s="3" t="n">
        <v>45884.3208333333</v>
      </c>
      <c r="G2315" s="2" t="s">
        <v>4646</v>
      </c>
      <c r="H2315" s="4" t="n">
        <v>0.7088</v>
      </c>
      <c r="I2315" s="2" t="s">
        <v>23</v>
      </c>
      <c r="J2315" s="2" t="s">
        <v>19</v>
      </c>
      <c r="K2315" s="2" t="n">
        <v>2</v>
      </c>
      <c r="L2315" s="2" t="n">
        <v>0</v>
      </c>
      <c r="M2315" s="2" t="n">
        <v>0</v>
      </c>
    </row>
    <row r="2316" customFormat="false" ht="15" hidden="false" customHeight="false" outlineLevel="0" collapsed="false">
      <c r="A2316" s="2" t="s">
        <v>4901</v>
      </c>
      <c r="B2316" s="2" t="s">
        <v>4902</v>
      </c>
      <c r="C2316" s="2" t="n">
        <v>5</v>
      </c>
      <c r="D2316" s="2" t="s">
        <v>90</v>
      </c>
      <c r="E2316" s="2" t="s">
        <v>4154</v>
      </c>
      <c r="F2316" s="3" t="n">
        <v>45884.3972222222</v>
      </c>
      <c r="G2316" s="2" t="s">
        <v>4646</v>
      </c>
      <c r="H2316" s="4" t="n">
        <v>0.6249</v>
      </c>
      <c r="I2316" s="2" t="s">
        <v>23</v>
      </c>
      <c r="J2316" s="2" t="s">
        <v>37</v>
      </c>
      <c r="K2316" s="2" t="n">
        <v>7</v>
      </c>
      <c r="L2316" s="2" t="n">
        <v>0</v>
      </c>
      <c r="M2316" s="2" t="n">
        <v>0</v>
      </c>
    </row>
    <row r="2317" customFormat="false" ht="15" hidden="false" customHeight="false" outlineLevel="0" collapsed="false">
      <c r="A2317" s="2" t="s">
        <v>4903</v>
      </c>
      <c r="B2317" s="2" t="s">
        <v>4904</v>
      </c>
      <c r="C2317" s="2" t="n">
        <v>5</v>
      </c>
      <c r="D2317" s="2" t="s">
        <v>47</v>
      </c>
      <c r="E2317" s="2" t="s">
        <v>4154</v>
      </c>
      <c r="F2317" s="3" t="n">
        <v>45884.3986111111</v>
      </c>
      <c r="G2317" s="2" t="s">
        <v>4646</v>
      </c>
      <c r="H2317" s="4" t="n">
        <v>0.3089</v>
      </c>
      <c r="I2317" s="2" t="s">
        <v>23</v>
      </c>
      <c r="J2317" s="2" t="s">
        <v>19</v>
      </c>
      <c r="K2317" s="2" t="n">
        <v>5</v>
      </c>
      <c r="L2317" s="2" t="n">
        <v>0</v>
      </c>
      <c r="M2317" s="2" t="n">
        <v>0</v>
      </c>
    </row>
    <row r="2318" customFormat="false" ht="15" hidden="false" customHeight="false" outlineLevel="0" collapsed="false">
      <c r="A2318" s="2" t="s">
        <v>4905</v>
      </c>
      <c r="B2318" s="2" t="s">
        <v>2308</v>
      </c>
      <c r="C2318" s="2" t="n">
        <v>4</v>
      </c>
      <c r="D2318" s="2" t="s">
        <v>36</v>
      </c>
      <c r="E2318" s="2" t="s">
        <v>4154</v>
      </c>
      <c r="F2318" s="3" t="n">
        <v>45884.3993055556</v>
      </c>
      <c r="G2318" s="2" t="s">
        <v>4646</v>
      </c>
      <c r="H2318" s="4" t="n">
        <v>0.4404</v>
      </c>
      <c r="I2318" s="2" t="s">
        <v>23</v>
      </c>
      <c r="J2318" s="2" t="s">
        <v>37</v>
      </c>
      <c r="K2318" s="2" t="n">
        <v>6</v>
      </c>
      <c r="L2318" s="2" t="n">
        <v>0</v>
      </c>
      <c r="M2318" s="2" t="n">
        <v>0</v>
      </c>
    </row>
    <row r="2319" customFormat="false" ht="15" hidden="false" customHeight="false" outlineLevel="0" collapsed="false">
      <c r="A2319" s="2" t="s">
        <v>4906</v>
      </c>
      <c r="B2319" s="2" t="s">
        <v>4907</v>
      </c>
      <c r="C2319" s="2" t="n">
        <v>3</v>
      </c>
      <c r="D2319" s="2" t="s">
        <v>4445</v>
      </c>
      <c r="E2319" s="2" t="s">
        <v>4154</v>
      </c>
      <c r="F2319" s="3" t="n">
        <v>45884.4638888889</v>
      </c>
      <c r="G2319" s="2" t="s">
        <v>4646</v>
      </c>
      <c r="H2319" s="4" t="n">
        <v>-0.1603</v>
      </c>
      <c r="I2319" s="2" t="s">
        <v>84</v>
      </c>
      <c r="J2319" s="2" t="s">
        <v>19</v>
      </c>
      <c r="K2319" s="2" t="n">
        <v>2</v>
      </c>
      <c r="L2319" s="2" t="n">
        <v>0</v>
      </c>
      <c r="M2319" s="2" t="n">
        <v>0</v>
      </c>
    </row>
    <row r="2320" customFormat="false" ht="15" hidden="false" customHeight="false" outlineLevel="0" collapsed="false">
      <c r="A2320" s="2" t="s">
        <v>4908</v>
      </c>
      <c r="B2320" s="2" t="s">
        <v>4909</v>
      </c>
      <c r="C2320" s="2" t="n">
        <v>1</v>
      </c>
      <c r="D2320" s="2" t="s">
        <v>357</v>
      </c>
      <c r="E2320" s="2" t="s">
        <v>4154</v>
      </c>
      <c r="F2320" s="3" t="n">
        <v>45884.5354166667</v>
      </c>
      <c r="G2320" s="2" t="s">
        <v>4646</v>
      </c>
      <c r="H2320" s="4" t="n">
        <v>0</v>
      </c>
      <c r="I2320" s="2" t="s">
        <v>18</v>
      </c>
      <c r="J2320" s="2" t="s">
        <v>165</v>
      </c>
      <c r="K2320" s="2" t="n">
        <v>1</v>
      </c>
      <c r="L2320" s="2" t="n">
        <v>1</v>
      </c>
      <c r="M2320" s="2" t="n">
        <v>0</v>
      </c>
    </row>
    <row r="2321" customFormat="false" ht="15" hidden="false" customHeight="false" outlineLevel="0" collapsed="false">
      <c r="A2321" s="2" t="s">
        <v>4910</v>
      </c>
      <c r="B2321" s="2" t="s">
        <v>4911</v>
      </c>
      <c r="C2321" s="2" t="n">
        <v>1</v>
      </c>
      <c r="D2321" s="2" t="s">
        <v>661</v>
      </c>
      <c r="E2321" s="2" t="s">
        <v>4154</v>
      </c>
      <c r="F2321" s="3" t="n">
        <v>45884.5631944445</v>
      </c>
      <c r="G2321" s="2" t="s">
        <v>4646</v>
      </c>
      <c r="H2321" s="4" t="n">
        <v>0</v>
      </c>
      <c r="I2321" s="2" t="s">
        <v>18</v>
      </c>
      <c r="J2321" s="2" t="s">
        <v>59</v>
      </c>
      <c r="K2321" s="2" t="n">
        <v>6</v>
      </c>
      <c r="L2321" s="2" t="n">
        <v>1</v>
      </c>
      <c r="M2321" s="2" t="n">
        <v>0</v>
      </c>
    </row>
    <row r="2322" customFormat="false" ht="15" hidden="false" customHeight="false" outlineLevel="0" collapsed="false">
      <c r="A2322" s="2" t="s">
        <v>4912</v>
      </c>
      <c r="B2322" s="2" t="s">
        <v>4913</v>
      </c>
      <c r="C2322" s="2" t="n">
        <v>2</v>
      </c>
      <c r="D2322" s="2" t="s">
        <v>168</v>
      </c>
      <c r="E2322" s="2" t="s">
        <v>4154</v>
      </c>
      <c r="F2322" s="3" t="n">
        <v>45884.5708333333</v>
      </c>
      <c r="G2322" s="2" t="s">
        <v>4646</v>
      </c>
      <c r="H2322" s="4" t="n">
        <v>-0.1027</v>
      </c>
      <c r="I2322" s="2" t="s">
        <v>84</v>
      </c>
      <c r="J2322" s="2" t="s">
        <v>33</v>
      </c>
      <c r="K2322" s="2" t="n">
        <v>7</v>
      </c>
      <c r="L2322" s="2" t="n">
        <v>0</v>
      </c>
      <c r="M2322" s="2" t="n">
        <v>0</v>
      </c>
    </row>
    <row r="2323" customFormat="false" ht="15" hidden="false" customHeight="false" outlineLevel="0" collapsed="false">
      <c r="A2323" s="2" t="s">
        <v>4914</v>
      </c>
      <c r="B2323" s="2" t="s">
        <v>4915</v>
      </c>
      <c r="C2323" s="2" t="n">
        <v>5</v>
      </c>
      <c r="D2323" s="2" t="s">
        <v>1949</v>
      </c>
      <c r="E2323" s="2" t="s">
        <v>4154</v>
      </c>
      <c r="F2323" s="3" t="n">
        <v>45884.6194444444</v>
      </c>
      <c r="G2323" s="2" t="s">
        <v>4646</v>
      </c>
      <c r="H2323" s="4" t="n">
        <v>0</v>
      </c>
      <c r="I2323" s="2" t="s">
        <v>18</v>
      </c>
      <c r="J2323" s="2" t="s">
        <v>19</v>
      </c>
      <c r="K2323" s="2" t="n">
        <v>1</v>
      </c>
      <c r="L2323" s="2" t="n">
        <v>0</v>
      </c>
      <c r="M2323" s="2" t="n">
        <v>0</v>
      </c>
    </row>
    <row r="2324" customFormat="false" ht="15" hidden="false" customHeight="false" outlineLevel="0" collapsed="false">
      <c r="A2324" s="2" t="s">
        <v>4916</v>
      </c>
      <c r="B2324" s="2" t="s">
        <v>1555</v>
      </c>
      <c r="C2324" s="2" t="n">
        <v>3</v>
      </c>
      <c r="D2324" s="2" t="s">
        <v>36</v>
      </c>
      <c r="E2324" s="2" t="s">
        <v>4154</v>
      </c>
      <c r="F2324" s="3" t="n">
        <v>45884.6361111111</v>
      </c>
      <c r="G2324" s="2" t="s">
        <v>4646</v>
      </c>
      <c r="H2324" s="4" t="n">
        <v>0.4404</v>
      </c>
      <c r="I2324" s="2" t="s">
        <v>23</v>
      </c>
      <c r="J2324" s="2" t="s">
        <v>37</v>
      </c>
      <c r="K2324" s="2" t="n">
        <v>2</v>
      </c>
      <c r="L2324" s="2" t="n">
        <v>0</v>
      </c>
      <c r="M2324" s="2" t="n">
        <v>0</v>
      </c>
    </row>
    <row r="2325" customFormat="false" ht="15" hidden="false" customHeight="false" outlineLevel="0" collapsed="false">
      <c r="A2325" s="2" t="s">
        <v>4917</v>
      </c>
      <c r="B2325" s="2" t="s">
        <v>4918</v>
      </c>
      <c r="C2325" s="2" t="n">
        <v>5</v>
      </c>
      <c r="D2325" s="2" t="s">
        <v>62</v>
      </c>
      <c r="E2325" s="2" t="s">
        <v>4154</v>
      </c>
      <c r="F2325" s="3" t="n">
        <v>45884.8791666667</v>
      </c>
      <c r="G2325" s="2" t="s">
        <v>4646</v>
      </c>
      <c r="H2325" s="4" t="n">
        <v>0.7088</v>
      </c>
      <c r="I2325" s="2" t="s">
        <v>23</v>
      </c>
      <c r="J2325" s="2" t="s">
        <v>19</v>
      </c>
      <c r="K2325" s="2" t="n">
        <v>6</v>
      </c>
      <c r="L2325" s="2" t="n">
        <v>0</v>
      </c>
      <c r="M2325" s="2" t="n">
        <v>0</v>
      </c>
    </row>
    <row r="2326" customFormat="false" ht="15" hidden="false" customHeight="false" outlineLevel="0" collapsed="false">
      <c r="A2326" s="2" t="s">
        <v>4919</v>
      </c>
      <c r="B2326" s="2" t="s">
        <v>4920</v>
      </c>
      <c r="C2326" s="2" t="n">
        <v>1</v>
      </c>
      <c r="D2326" s="2" t="s">
        <v>3431</v>
      </c>
      <c r="E2326" s="2" t="s">
        <v>4154</v>
      </c>
      <c r="F2326" s="3" t="n">
        <v>45884.9229166667</v>
      </c>
      <c r="G2326" s="2" t="s">
        <v>4646</v>
      </c>
      <c r="H2326" s="4" t="n">
        <v>-0.5719</v>
      </c>
      <c r="I2326" s="2" t="s">
        <v>84</v>
      </c>
      <c r="J2326" s="2" t="s">
        <v>110</v>
      </c>
      <c r="K2326" s="2" t="n">
        <v>1</v>
      </c>
      <c r="L2326" s="2" t="n">
        <v>0</v>
      </c>
      <c r="M2326" s="2" t="n">
        <v>0</v>
      </c>
    </row>
    <row r="2327" customFormat="false" ht="15" hidden="false" customHeight="false" outlineLevel="0" collapsed="false">
      <c r="A2327" s="2" t="s">
        <v>4921</v>
      </c>
      <c r="B2327" s="2" t="s">
        <v>4922</v>
      </c>
      <c r="C2327" s="2" t="n">
        <v>5</v>
      </c>
      <c r="D2327" s="2" t="s">
        <v>15</v>
      </c>
      <c r="E2327" s="2" t="s">
        <v>4154</v>
      </c>
      <c r="F2327" s="3" t="n">
        <v>45885.0201388889</v>
      </c>
      <c r="G2327" s="2" t="s">
        <v>4646</v>
      </c>
      <c r="H2327" s="4" t="n">
        <v>0</v>
      </c>
      <c r="I2327" s="2" t="s">
        <v>18</v>
      </c>
      <c r="J2327" s="2" t="s">
        <v>19</v>
      </c>
      <c r="K2327" s="2" t="n">
        <v>1</v>
      </c>
      <c r="L2327" s="2" t="n">
        <v>0</v>
      </c>
      <c r="M2327" s="2" t="n">
        <v>0</v>
      </c>
    </row>
    <row r="2328" customFormat="false" ht="15" hidden="false" customHeight="false" outlineLevel="0" collapsed="false">
      <c r="A2328" s="2" t="s">
        <v>4923</v>
      </c>
      <c r="B2328" s="2" t="s">
        <v>4924</v>
      </c>
      <c r="C2328" s="2" t="n">
        <v>5</v>
      </c>
      <c r="D2328" s="2" t="s">
        <v>90</v>
      </c>
      <c r="E2328" s="2" t="s">
        <v>4154</v>
      </c>
      <c r="F2328" s="3" t="n">
        <v>45885.0673611111</v>
      </c>
      <c r="G2328" s="2" t="s">
        <v>4646</v>
      </c>
      <c r="H2328" s="4" t="n">
        <v>0.6249</v>
      </c>
      <c r="I2328" s="2" t="s">
        <v>23</v>
      </c>
      <c r="J2328" s="2" t="s">
        <v>37</v>
      </c>
      <c r="K2328" s="2" t="n">
        <v>2</v>
      </c>
      <c r="L2328" s="2" t="n">
        <v>0</v>
      </c>
      <c r="M2328" s="2" t="n">
        <v>0</v>
      </c>
    </row>
    <row r="2329" customFormat="false" ht="15" hidden="false" customHeight="false" outlineLevel="0" collapsed="false">
      <c r="A2329" s="2" t="s">
        <v>4925</v>
      </c>
      <c r="B2329" s="2" t="s">
        <v>4926</v>
      </c>
      <c r="C2329" s="2" t="n">
        <v>5</v>
      </c>
      <c r="D2329" s="2" t="s">
        <v>90</v>
      </c>
      <c r="E2329" s="2" t="s">
        <v>4154</v>
      </c>
      <c r="F2329" s="3" t="n">
        <v>45885.1993055556</v>
      </c>
      <c r="G2329" s="2" t="s">
        <v>4646</v>
      </c>
      <c r="H2329" s="4" t="n">
        <v>0.6249</v>
      </c>
      <c r="I2329" s="2" t="s">
        <v>23</v>
      </c>
      <c r="J2329" s="2" t="s">
        <v>37</v>
      </c>
      <c r="K2329" s="2" t="n">
        <v>2</v>
      </c>
      <c r="L2329" s="2" t="n">
        <v>0</v>
      </c>
      <c r="M2329" s="2" t="n">
        <v>0</v>
      </c>
    </row>
    <row r="2330" customFormat="false" ht="15" hidden="false" customHeight="false" outlineLevel="0" collapsed="false">
      <c r="A2330" s="2" t="s">
        <v>4927</v>
      </c>
      <c r="B2330" s="2" t="s">
        <v>4928</v>
      </c>
      <c r="C2330" s="2" t="n">
        <v>5</v>
      </c>
      <c r="D2330" s="2" t="s">
        <v>47</v>
      </c>
      <c r="E2330" s="2" t="s">
        <v>4154</v>
      </c>
      <c r="F2330" s="3" t="n">
        <v>45885.5125</v>
      </c>
      <c r="G2330" s="2" t="s">
        <v>4646</v>
      </c>
      <c r="H2330" s="4" t="n">
        <v>0.3089</v>
      </c>
      <c r="I2330" s="2" t="s">
        <v>23</v>
      </c>
      <c r="J2330" s="2" t="s">
        <v>19</v>
      </c>
      <c r="K2330" s="2" t="n">
        <v>0</v>
      </c>
      <c r="L2330" s="2" t="n">
        <v>0</v>
      </c>
      <c r="M2330" s="2" t="n">
        <v>0</v>
      </c>
    </row>
    <row r="2331" customFormat="false" ht="15" hidden="false" customHeight="false" outlineLevel="0" collapsed="false">
      <c r="A2331" s="2" t="s">
        <v>4929</v>
      </c>
      <c r="B2331" s="2" t="s">
        <v>4930</v>
      </c>
      <c r="C2331" s="2" t="n">
        <v>5</v>
      </c>
      <c r="D2331" s="2" t="s">
        <v>127</v>
      </c>
      <c r="E2331" s="2" t="s">
        <v>4154</v>
      </c>
      <c r="F2331" s="3" t="n">
        <v>45885.7298611111</v>
      </c>
      <c r="G2331" s="2" t="s">
        <v>4646</v>
      </c>
      <c r="H2331" s="4" t="n">
        <v>0.9359</v>
      </c>
      <c r="I2331" s="2" t="s">
        <v>23</v>
      </c>
      <c r="J2331" s="2" t="s">
        <v>37</v>
      </c>
      <c r="K2331" s="2" t="n">
        <v>8</v>
      </c>
      <c r="L2331" s="2" t="n">
        <v>0</v>
      </c>
      <c r="M2331" s="2" t="n">
        <v>0</v>
      </c>
    </row>
    <row r="2332" customFormat="false" ht="15" hidden="false" customHeight="false" outlineLevel="0" collapsed="false">
      <c r="A2332" s="2" t="s">
        <v>4931</v>
      </c>
      <c r="B2332" s="2" t="s">
        <v>4932</v>
      </c>
      <c r="C2332" s="2" t="n">
        <v>5</v>
      </c>
      <c r="D2332" s="2" t="s">
        <v>47</v>
      </c>
      <c r="E2332" s="2" t="s">
        <v>4154</v>
      </c>
      <c r="F2332" s="3" t="n">
        <v>45885.7555555556</v>
      </c>
      <c r="G2332" s="2" t="s">
        <v>4646</v>
      </c>
      <c r="H2332" s="4" t="n">
        <v>0.3089</v>
      </c>
      <c r="I2332" s="2" t="s">
        <v>23</v>
      </c>
      <c r="J2332" s="2" t="s">
        <v>19</v>
      </c>
      <c r="K2332" s="2" t="n">
        <v>4</v>
      </c>
      <c r="L2332" s="2" t="n">
        <v>0</v>
      </c>
      <c r="M2332" s="2" t="n">
        <v>0</v>
      </c>
    </row>
    <row r="2333" customFormat="false" ht="15" hidden="false" customHeight="false" outlineLevel="0" collapsed="false">
      <c r="A2333" s="2" t="s">
        <v>4933</v>
      </c>
      <c r="B2333" s="2" t="s">
        <v>4934</v>
      </c>
      <c r="C2333" s="2" t="n">
        <v>3</v>
      </c>
      <c r="D2333" s="2" t="s">
        <v>36</v>
      </c>
      <c r="E2333" s="2" t="s">
        <v>4154</v>
      </c>
      <c r="F2333" s="3" t="n">
        <v>45885.9944444444</v>
      </c>
      <c r="G2333" s="2" t="s">
        <v>4646</v>
      </c>
      <c r="H2333" s="4" t="n">
        <v>0.4404</v>
      </c>
      <c r="I2333" s="2" t="s">
        <v>23</v>
      </c>
      <c r="J2333" s="2" t="s">
        <v>37</v>
      </c>
      <c r="K2333" s="2" t="n">
        <v>0</v>
      </c>
      <c r="L2333" s="2" t="n">
        <v>0</v>
      </c>
      <c r="M2333" s="2" t="n">
        <v>0</v>
      </c>
    </row>
    <row r="2334" customFormat="false" ht="15" hidden="false" customHeight="false" outlineLevel="0" collapsed="false">
      <c r="A2334" s="2" t="s">
        <v>4935</v>
      </c>
      <c r="B2334" s="2" t="s">
        <v>4936</v>
      </c>
      <c r="C2334" s="2" t="n">
        <v>5</v>
      </c>
      <c r="D2334" s="2" t="s">
        <v>127</v>
      </c>
      <c r="E2334" s="2" t="s">
        <v>4154</v>
      </c>
      <c r="F2334" s="3" t="n">
        <v>45886.0576388889</v>
      </c>
      <c r="G2334" s="2" t="s">
        <v>4646</v>
      </c>
      <c r="H2334" s="4" t="n">
        <v>0.9359</v>
      </c>
      <c r="I2334" s="2" t="s">
        <v>23</v>
      </c>
      <c r="J2334" s="2" t="s">
        <v>37</v>
      </c>
      <c r="K2334" s="2" t="n">
        <v>11</v>
      </c>
      <c r="L2334" s="2" t="n">
        <v>0</v>
      </c>
      <c r="M2334" s="2" t="n">
        <v>0</v>
      </c>
    </row>
    <row r="2335" customFormat="false" ht="15" hidden="false" customHeight="false" outlineLevel="0" collapsed="false">
      <c r="A2335" s="2" t="s">
        <v>4937</v>
      </c>
      <c r="B2335" s="2" t="s">
        <v>4938</v>
      </c>
      <c r="C2335" s="2" t="n">
        <v>5</v>
      </c>
      <c r="D2335" s="2" t="s">
        <v>62</v>
      </c>
      <c r="E2335" s="2" t="s">
        <v>4154</v>
      </c>
      <c r="F2335" s="3" t="n">
        <v>45886.0944444445</v>
      </c>
      <c r="G2335" s="2" t="s">
        <v>4646</v>
      </c>
      <c r="H2335" s="4" t="n">
        <v>0.7088</v>
      </c>
      <c r="I2335" s="2" t="s">
        <v>23</v>
      </c>
      <c r="J2335" s="2" t="s">
        <v>19</v>
      </c>
      <c r="K2335" s="2" t="n">
        <v>2</v>
      </c>
      <c r="L2335" s="2" t="n">
        <v>0</v>
      </c>
      <c r="M2335" s="2" t="n">
        <v>0</v>
      </c>
    </row>
    <row r="2336" customFormat="false" ht="15" hidden="false" customHeight="false" outlineLevel="0" collapsed="false">
      <c r="A2336" s="2" t="s">
        <v>4939</v>
      </c>
      <c r="B2336" s="2" t="s">
        <v>4940</v>
      </c>
      <c r="C2336" s="2" t="n">
        <v>3</v>
      </c>
      <c r="D2336" s="2" t="s">
        <v>87</v>
      </c>
      <c r="E2336" s="2" t="s">
        <v>4154</v>
      </c>
      <c r="F2336" s="3" t="n">
        <v>45886.1201388889</v>
      </c>
      <c r="G2336" s="2" t="s">
        <v>4646</v>
      </c>
      <c r="H2336" s="4" t="n">
        <v>0</v>
      </c>
      <c r="I2336" s="2" t="s">
        <v>18</v>
      </c>
      <c r="J2336" s="2" t="s">
        <v>19</v>
      </c>
      <c r="K2336" s="2" t="n">
        <v>5</v>
      </c>
      <c r="L2336" s="2" t="n">
        <v>0</v>
      </c>
      <c r="M2336" s="2" t="n">
        <v>0</v>
      </c>
    </row>
    <row r="2337" customFormat="false" ht="15" hidden="false" customHeight="false" outlineLevel="0" collapsed="false">
      <c r="A2337" s="2" t="s">
        <v>4941</v>
      </c>
      <c r="B2337" s="2" t="s">
        <v>4942</v>
      </c>
      <c r="C2337" s="2" t="n">
        <v>5</v>
      </c>
      <c r="D2337" s="2" t="s">
        <v>15</v>
      </c>
      <c r="E2337" s="2" t="s">
        <v>4154</v>
      </c>
      <c r="F2337" s="3" t="n">
        <v>45886.1388888889</v>
      </c>
      <c r="G2337" s="2" t="s">
        <v>4646</v>
      </c>
      <c r="H2337" s="4" t="n">
        <v>0</v>
      </c>
      <c r="I2337" s="2" t="s">
        <v>18</v>
      </c>
      <c r="J2337" s="2" t="s">
        <v>19</v>
      </c>
      <c r="K2337" s="2" t="n">
        <v>2</v>
      </c>
      <c r="L2337" s="2" t="n">
        <v>0</v>
      </c>
      <c r="M2337" s="2" t="n">
        <v>0</v>
      </c>
    </row>
    <row r="2338" customFormat="false" ht="15" hidden="false" customHeight="false" outlineLevel="0" collapsed="false">
      <c r="A2338" s="2" t="s">
        <v>4943</v>
      </c>
      <c r="B2338" s="2" t="s">
        <v>4944</v>
      </c>
      <c r="C2338" s="2" t="n">
        <v>5</v>
      </c>
      <c r="D2338" s="2" t="s">
        <v>52</v>
      </c>
      <c r="E2338" s="2" t="s">
        <v>4154</v>
      </c>
      <c r="F2338" s="3" t="n">
        <v>45886.41875</v>
      </c>
      <c r="G2338" s="2" t="s">
        <v>4646</v>
      </c>
      <c r="H2338" s="4" t="n">
        <v>0.6369</v>
      </c>
      <c r="I2338" s="2" t="s">
        <v>23</v>
      </c>
      <c r="J2338" s="2" t="s">
        <v>19</v>
      </c>
      <c r="K2338" s="2" t="n">
        <v>1</v>
      </c>
      <c r="L2338" s="2" t="n">
        <v>0</v>
      </c>
      <c r="M2338" s="2" t="n">
        <v>0</v>
      </c>
    </row>
    <row r="2339" customFormat="false" ht="15" hidden="false" customHeight="false" outlineLevel="0" collapsed="false">
      <c r="A2339" s="2" t="s">
        <v>4945</v>
      </c>
      <c r="B2339" s="2" t="s">
        <v>4946</v>
      </c>
      <c r="C2339" s="2" t="n">
        <v>5</v>
      </c>
      <c r="D2339" s="2" t="s">
        <v>15</v>
      </c>
      <c r="E2339" s="2" t="s">
        <v>4154</v>
      </c>
      <c r="F2339" s="3" t="n">
        <v>45886.5868055556</v>
      </c>
      <c r="G2339" s="2" t="s">
        <v>4646</v>
      </c>
      <c r="H2339" s="4" t="n">
        <v>0</v>
      </c>
      <c r="I2339" s="2" t="s">
        <v>18</v>
      </c>
      <c r="J2339" s="2" t="s">
        <v>19</v>
      </c>
      <c r="K2339" s="2" t="n">
        <v>3</v>
      </c>
      <c r="L2339" s="2" t="n">
        <v>0</v>
      </c>
      <c r="M2339" s="2" t="n">
        <v>0</v>
      </c>
    </row>
    <row r="2340" customFormat="false" ht="15" hidden="false" customHeight="false" outlineLevel="0" collapsed="false">
      <c r="A2340" s="2" t="s">
        <v>4947</v>
      </c>
      <c r="B2340" s="2" t="s">
        <v>4948</v>
      </c>
      <c r="C2340" s="2" t="n">
        <v>5</v>
      </c>
      <c r="D2340" s="2" t="s">
        <v>40</v>
      </c>
      <c r="E2340" s="2" t="s">
        <v>4154</v>
      </c>
      <c r="F2340" s="3" t="n">
        <v>45886.9118055556</v>
      </c>
      <c r="G2340" s="2" t="s">
        <v>4646</v>
      </c>
      <c r="H2340" s="4" t="n">
        <v>0.4019</v>
      </c>
      <c r="I2340" s="2" t="s">
        <v>23</v>
      </c>
      <c r="J2340" s="2" t="s">
        <v>33</v>
      </c>
      <c r="K2340" s="2" t="n">
        <v>0</v>
      </c>
      <c r="L2340" s="2" t="n">
        <v>0</v>
      </c>
      <c r="M2340" s="2" t="n">
        <v>0</v>
      </c>
    </row>
    <row r="2341" customFormat="false" ht="15" hidden="false" customHeight="false" outlineLevel="0" collapsed="false">
      <c r="A2341" s="2" t="s">
        <v>4949</v>
      </c>
      <c r="B2341" s="2" t="s">
        <v>4950</v>
      </c>
      <c r="C2341" s="2" t="n">
        <v>4</v>
      </c>
      <c r="D2341" s="2" t="s">
        <v>62</v>
      </c>
      <c r="E2341" s="2" t="s">
        <v>4951</v>
      </c>
      <c r="F2341" s="3" t="n">
        <v>45887.0263888889</v>
      </c>
      <c r="G2341" s="2" t="s">
        <v>4646</v>
      </c>
      <c r="H2341" s="4" t="n">
        <v>0.7088</v>
      </c>
      <c r="I2341" s="2" t="s">
        <v>23</v>
      </c>
      <c r="J2341" s="2" t="s">
        <v>19</v>
      </c>
      <c r="K2341" s="2" t="n">
        <v>2</v>
      </c>
      <c r="L2341" s="2" t="n">
        <v>0</v>
      </c>
      <c r="M2341" s="2" t="n">
        <v>1</v>
      </c>
    </row>
    <row r="2342" customFormat="false" ht="15" hidden="false" customHeight="false" outlineLevel="0" collapsed="false">
      <c r="A2342" s="2" t="s">
        <v>4952</v>
      </c>
      <c r="B2342" s="2" t="s">
        <v>4953</v>
      </c>
      <c r="C2342" s="2" t="n">
        <v>2</v>
      </c>
      <c r="D2342" s="2" t="s">
        <v>4954</v>
      </c>
      <c r="E2342" s="2" t="s">
        <v>4951</v>
      </c>
      <c r="F2342" s="3" t="n">
        <v>45887.1173611111</v>
      </c>
      <c r="G2342" s="2" t="s">
        <v>4646</v>
      </c>
      <c r="H2342" s="4" t="n">
        <v>0</v>
      </c>
      <c r="I2342" s="2" t="s">
        <v>18</v>
      </c>
      <c r="J2342" s="2" t="s">
        <v>165</v>
      </c>
      <c r="K2342" s="2" t="n">
        <v>7</v>
      </c>
      <c r="L2342" s="2" t="n">
        <v>0</v>
      </c>
      <c r="M2342" s="2" t="n">
        <v>1</v>
      </c>
    </row>
    <row r="2343" customFormat="false" ht="15" hidden="false" customHeight="false" outlineLevel="0" collapsed="false">
      <c r="A2343" s="2" t="s">
        <v>4955</v>
      </c>
      <c r="B2343" s="2" t="s">
        <v>4956</v>
      </c>
      <c r="C2343" s="2" t="n">
        <v>5</v>
      </c>
      <c r="D2343" s="2" t="s">
        <v>62</v>
      </c>
      <c r="E2343" s="2" t="s">
        <v>4951</v>
      </c>
      <c r="F2343" s="3" t="n">
        <v>45887.2513888889</v>
      </c>
      <c r="G2343" s="2" t="s">
        <v>4646</v>
      </c>
      <c r="H2343" s="4" t="n">
        <v>0.7088</v>
      </c>
      <c r="I2343" s="2" t="s">
        <v>23</v>
      </c>
      <c r="J2343" s="2" t="s">
        <v>19</v>
      </c>
      <c r="K2343" s="2" t="n">
        <v>0</v>
      </c>
      <c r="L2343" s="2" t="n">
        <v>0</v>
      </c>
      <c r="M2343" s="2" t="n">
        <v>1</v>
      </c>
    </row>
    <row r="2344" customFormat="false" ht="15" hidden="false" customHeight="false" outlineLevel="0" collapsed="false">
      <c r="A2344" s="2" t="s">
        <v>4957</v>
      </c>
      <c r="B2344" s="2" t="s">
        <v>4958</v>
      </c>
      <c r="C2344" s="2" t="n">
        <v>4</v>
      </c>
      <c r="D2344" s="2" t="s">
        <v>62</v>
      </c>
      <c r="E2344" s="2" t="s">
        <v>4951</v>
      </c>
      <c r="F2344" s="3" t="n">
        <v>45887.3423611111</v>
      </c>
      <c r="G2344" s="2" t="s">
        <v>4646</v>
      </c>
      <c r="H2344" s="4" t="n">
        <v>0.7088</v>
      </c>
      <c r="I2344" s="2" t="s">
        <v>23</v>
      </c>
      <c r="J2344" s="2" t="s">
        <v>19</v>
      </c>
      <c r="K2344" s="2" t="n">
        <v>4</v>
      </c>
      <c r="L2344" s="2" t="n">
        <v>0</v>
      </c>
      <c r="M2344" s="2" t="n">
        <v>1</v>
      </c>
    </row>
    <row r="2345" customFormat="false" ht="15" hidden="false" customHeight="false" outlineLevel="0" collapsed="false">
      <c r="A2345" s="2" t="s">
        <v>4959</v>
      </c>
      <c r="B2345" s="2" t="s">
        <v>4960</v>
      </c>
      <c r="C2345" s="2" t="n">
        <v>3</v>
      </c>
      <c r="D2345" s="2" t="s">
        <v>863</v>
      </c>
      <c r="E2345" s="2" t="s">
        <v>4951</v>
      </c>
      <c r="F2345" s="3" t="n">
        <v>45887.5354166667</v>
      </c>
      <c r="G2345" s="2" t="s">
        <v>4646</v>
      </c>
      <c r="H2345" s="4" t="n">
        <v>-0.092</v>
      </c>
      <c r="I2345" s="2" t="s">
        <v>84</v>
      </c>
      <c r="J2345" s="2" t="s">
        <v>19</v>
      </c>
      <c r="K2345" s="2" t="n">
        <v>0</v>
      </c>
      <c r="L2345" s="2" t="n">
        <v>0</v>
      </c>
      <c r="M2345" s="2" t="n">
        <v>1</v>
      </c>
    </row>
    <row r="2346" customFormat="false" ht="15" hidden="false" customHeight="false" outlineLevel="0" collapsed="false">
      <c r="A2346" s="2" t="s">
        <v>4961</v>
      </c>
      <c r="B2346" s="2" t="s">
        <v>4962</v>
      </c>
      <c r="C2346" s="2" t="n">
        <v>5</v>
      </c>
      <c r="D2346" s="2" t="s">
        <v>392</v>
      </c>
      <c r="E2346" s="2" t="s">
        <v>4951</v>
      </c>
      <c r="F2346" s="3" t="n">
        <v>45887.5444444444</v>
      </c>
      <c r="G2346" s="2" t="s">
        <v>4646</v>
      </c>
      <c r="H2346" s="4" t="n">
        <v>0.7549</v>
      </c>
      <c r="I2346" s="2" t="s">
        <v>23</v>
      </c>
      <c r="J2346" s="2" t="s">
        <v>19</v>
      </c>
      <c r="K2346" s="2" t="n">
        <v>0</v>
      </c>
      <c r="L2346" s="2" t="n">
        <v>0</v>
      </c>
      <c r="M2346" s="2" t="n">
        <v>1</v>
      </c>
    </row>
    <row r="2347" customFormat="false" ht="15" hidden="false" customHeight="false" outlineLevel="0" collapsed="false">
      <c r="A2347" s="2" t="s">
        <v>4963</v>
      </c>
      <c r="B2347" s="2" t="s">
        <v>4964</v>
      </c>
      <c r="C2347" s="2" t="n">
        <v>4</v>
      </c>
      <c r="D2347" s="2" t="s">
        <v>40</v>
      </c>
      <c r="E2347" s="2" t="s">
        <v>4951</v>
      </c>
      <c r="F2347" s="3" t="n">
        <v>45887.6159722222</v>
      </c>
      <c r="G2347" s="2" t="s">
        <v>4646</v>
      </c>
      <c r="H2347" s="4" t="n">
        <v>0.4019</v>
      </c>
      <c r="I2347" s="2" t="s">
        <v>23</v>
      </c>
      <c r="J2347" s="2" t="s">
        <v>33</v>
      </c>
      <c r="K2347" s="2" t="n">
        <v>5</v>
      </c>
      <c r="L2347" s="2" t="n">
        <v>0</v>
      </c>
      <c r="M2347" s="2" t="n">
        <v>1</v>
      </c>
    </row>
    <row r="2348" customFormat="false" ht="15" hidden="false" customHeight="false" outlineLevel="0" collapsed="false">
      <c r="A2348" s="2" t="s">
        <v>4965</v>
      </c>
      <c r="B2348" s="2" t="s">
        <v>4966</v>
      </c>
      <c r="C2348" s="2" t="n">
        <v>1</v>
      </c>
      <c r="D2348" s="2" t="s">
        <v>498</v>
      </c>
      <c r="E2348" s="2" t="s">
        <v>4951</v>
      </c>
      <c r="F2348" s="3" t="n">
        <v>45887.6479166667</v>
      </c>
      <c r="G2348" s="2" t="s">
        <v>4646</v>
      </c>
      <c r="H2348" s="4" t="n">
        <v>0</v>
      </c>
      <c r="I2348" s="2" t="s">
        <v>18</v>
      </c>
      <c r="J2348" s="2" t="s">
        <v>165</v>
      </c>
      <c r="K2348" s="2" t="n">
        <v>6</v>
      </c>
      <c r="L2348" s="2" t="n">
        <v>0</v>
      </c>
      <c r="M2348" s="2" t="n">
        <v>1</v>
      </c>
    </row>
    <row r="2349" customFormat="false" ht="15" hidden="false" customHeight="false" outlineLevel="0" collapsed="false">
      <c r="A2349" s="2" t="s">
        <v>4967</v>
      </c>
      <c r="B2349" s="2" t="s">
        <v>4968</v>
      </c>
      <c r="C2349" s="2" t="n">
        <v>5</v>
      </c>
      <c r="D2349" s="2" t="s">
        <v>40</v>
      </c>
      <c r="E2349" s="2" t="s">
        <v>4951</v>
      </c>
      <c r="F2349" s="3" t="n">
        <v>45887.7784722222</v>
      </c>
      <c r="G2349" s="2" t="s">
        <v>4646</v>
      </c>
      <c r="H2349" s="4" t="n">
        <v>0.4019</v>
      </c>
      <c r="I2349" s="2" t="s">
        <v>23</v>
      </c>
      <c r="J2349" s="2" t="s">
        <v>33</v>
      </c>
      <c r="K2349" s="2" t="n">
        <v>4</v>
      </c>
      <c r="L2349" s="2" t="n">
        <v>0</v>
      </c>
      <c r="M2349" s="2" t="n">
        <v>1</v>
      </c>
    </row>
    <row r="2350" customFormat="false" ht="15" hidden="false" customHeight="false" outlineLevel="0" collapsed="false">
      <c r="A2350" s="2" t="s">
        <v>4969</v>
      </c>
      <c r="B2350" s="2" t="s">
        <v>4970</v>
      </c>
      <c r="C2350" s="2" t="n">
        <v>5</v>
      </c>
      <c r="D2350" s="2" t="s">
        <v>1698</v>
      </c>
      <c r="E2350" s="2" t="s">
        <v>4951</v>
      </c>
      <c r="F2350" s="3" t="n">
        <v>45887.8229166667</v>
      </c>
      <c r="G2350" s="2" t="s">
        <v>4646</v>
      </c>
      <c r="H2350" s="4" t="n">
        <v>0.7845</v>
      </c>
      <c r="I2350" s="2" t="s">
        <v>23</v>
      </c>
      <c r="J2350" s="2" t="s">
        <v>33</v>
      </c>
      <c r="K2350" s="2" t="n">
        <v>1</v>
      </c>
      <c r="L2350" s="2" t="n">
        <v>0</v>
      </c>
      <c r="M2350" s="2" t="n">
        <v>1</v>
      </c>
    </row>
    <row r="2351" customFormat="false" ht="15" hidden="false" customHeight="false" outlineLevel="0" collapsed="false">
      <c r="A2351" s="2" t="s">
        <v>4971</v>
      </c>
      <c r="B2351" s="2" t="s">
        <v>4972</v>
      </c>
      <c r="C2351" s="2" t="n">
        <v>4</v>
      </c>
      <c r="D2351" s="2" t="s">
        <v>47</v>
      </c>
      <c r="E2351" s="2" t="s">
        <v>4951</v>
      </c>
      <c r="F2351" s="3" t="n">
        <v>45888.1152777778</v>
      </c>
      <c r="G2351" s="2" t="s">
        <v>4646</v>
      </c>
      <c r="H2351" s="4" t="n">
        <v>0.3089</v>
      </c>
      <c r="I2351" s="2" t="s">
        <v>23</v>
      </c>
      <c r="J2351" s="2" t="s">
        <v>19</v>
      </c>
      <c r="K2351" s="2" t="n">
        <v>2</v>
      </c>
      <c r="L2351" s="2" t="n">
        <v>0</v>
      </c>
      <c r="M2351" s="2" t="n">
        <v>1</v>
      </c>
    </row>
    <row r="2352" customFormat="false" ht="15" hidden="false" customHeight="false" outlineLevel="0" collapsed="false">
      <c r="A2352" s="2" t="s">
        <v>4973</v>
      </c>
      <c r="B2352" s="2" t="s">
        <v>4974</v>
      </c>
      <c r="C2352" s="2" t="n">
        <v>3</v>
      </c>
      <c r="D2352" s="2" t="s">
        <v>22</v>
      </c>
      <c r="E2352" s="2" t="s">
        <v>4951</v>
      </c>
      <c r="F2352" s="3" t="n">
        <v>45888.1201388889</v>
      </c>
      <c r="G2352" s="2" t="s">
        <v>4646</v>
      </c>
      <c r="H2352" s="4" t="n">
        <v>0.2023</v>
      </c>
      <c r="I2352" s="2" t="s">
        <v>23</v>
      </c>
      <c r="J2352" s="2" t="s">
        <v>19</v>
      </c>
      <c r="K2352" s="2" t="n">
        <v>6</v>
      </c>
      <c r="L2352" s="2" t="n">
        <v>0</v>
      </c>
      <c r="M2352" s="2" t="n">
        <v>1</v>
      </c>
    </row>
    <row r="2353" customFormat="false" ht="15" hidden="false" customHeight="false" outlineLevel="0" collapsed="false">
      <c r="A2353" s="2" t="s">
        <v>4975</v>
      </c>
      <c r="B2353" s="2" t="s">
        <v>4976</v>
      </c>
      <c r="C2353" s="2" t="n">
        <v>4</v>
      </c>
      <c r="D2353" s="2" t="s">
        <v>1018</v>
      </c>
      <c r="E2353" s="2" t="s">
        <v>4951</v>
      </c>
      <c r="F2353" s="3" t="n">
        <v>45888.1604166667</v>
      </c>
      <c r="G2353" s="2" t="s">
        <v>4646</v>
      </c>
      <c r="H2353" s="4" t="n">
        <v>0.803</v>
      </c>
      <c r="I2353" s="2" t="s">
        <v>23</v>
      </c>
      <c r="J2353" s="2" t="s">
        <v>19</v>
      </c>
      <c r="K2353" s="2" t="n">
        <v>1</v>
      </c>
      <c r="L2353" s="2" t="n">
        <v>0</v>
      </c>
      <c r="M2353" s="2" t="n">
        <v>1</v>
      </c>
    </row>
    <row r="2354" customFormat="false" ht="15" hidden="false" customHeight="false" outlineLevel="0" collapsed="false">
      <c r="A2354" s="2" t="s">
        <v>4977</v>
      </c>
      <c r="B2354" s="2" t="s">
        <v>4978</v>
      </c>
      <c r="C2354" s="2" t="n">
        <v>3</v>
      </c>
      <c r="D2354" s="2" t="s">
        <v>36</v>
      </c>
      <c r="E2354" s="2" t="s">
        <v>4951</v>
      </c>
      <c r="F2354" s="3" t="n">
        <v>45888.24375</v>
      </c>
      <c r="G2354" s="2" t="s">
        <v>4646</v>
      </c>
      <c r="H2354" s="4" t="n">
        <v>0.4404</v>
      </c>
      <c r="I2354" s="2" t="s">
        <v>23</v>
      </c>
      <c r="J2354" s="2" t="s">
        <v>37</v>
      </c>
      <c r="K2354" s="2" t="n">
        <v>0</v>
      </c>
      <c r="L2354" s="2" t="n">
        <v>0</v>
      </c>
      <c r="M2354" s="2" t="n">
        <v>1</v>
      </c>
    </row>
    <row r="2355" customFormat="false" ht="15" hidden="false" customHeight="false" outlineLevel="0" collapsed="false">
      <c r="A2355" s="2" t="s">
        <v>4979</v>
      </c>
      <c r="B2355" s="2" t="s">
        <v>4980</v>
      </c>
      <c r="C2355" s="2" t="n">
        <v>5</v>
      </c>
      <c r="D2355" s="2" t="s">
        <v>47</v>
      </c>
      <c r="E2355" s="2" t="s">
        <v>4951</v>
      </c>
      <c r="F2355" s="3" t="n">
        <v>45888.3083333333</v>
      </c>
      <c r="G2355" s="2" t="s">
        <v>4646</v>
      </c>
      <c r="H2355" s="4" t="n">
        <v>0.3089</v>
      </c>
      <c r="I2355" s="2" t="s">
        <v>23</v>
      </c>
      <c r="J2355" s="2" t="s">
        <v>19</v>
      </c>
      <c r="K2355" s="2" t="n">
        <v>3</v>
      </c>
      <c r="L2355" s="2" t="n">
        <v>0</v>
      </c>
      <c r="M2355" s="2" t="n">
        <v>1</v>
      </c>
    </row>
    <row r="2356" customFormat="false" ht="15" hidden="false" customHeight="false" outlineLevel="0" collapsed="false">
      <c r="A2356" s="2" t="s">
        <v>4981</v>
      </c>
      <c r="B2356" s="2" t="s">
        <v>4982</v>
      </c>
      <c r="C2356" s="2" t="n">
        <v>5</v>
      </c>
      <c r="D2356" s="2" t="s">
        <v>90</v>
      </c>
      <c r="E2356" s="2" t="s">
        <v>4951</v>
      </c>
      <c r="F2356" s="3" t="n">
        <v>45888.4541666667</v>
      </c>
      <c r="G2356" s="2" t="s">
        <v>4646</v>
      </c>
      <c r="H2356" s="4" t="n">
        <v>0.6249</v>
      </c>
      <c r="I2356" s="2" t="s">
        <v>23</v>
      </c>
      <c r="J2356" s="2" t="s">
        <v>37</v>
      </c>
      <c r="K2356" s="2" t="n">
        <v>1</v>
      </c>
      <c r="L2356" s="2" t="n">
        <v>0</v>
      </c>
      <c r="M2356" s="2" t="n">
        <v>1</v>
      </c>
    </row>
    <row r="2357" customFormat="false" ht="15" hidden="false" customHeight="false" outlineLevel="0" collapsed="false">
      <c r="A2357" s="2" t="s">
        <v>4983</v>
      </c>
      <c r="B2357" s="2" t="s">
        <v>4984</v>
      </c>
      <c r="C2357" s="2" t="n">
        <v>5</v>
      </c>
      <c r="D2357" s="2" t="s">
        <v>52</v>
      </c>
      <c r="E2357" s="2" t="s">
        <v>4951</v>
      </c>
      <c r="F2357" s="3" t="n">
        <v>45888.4659722222</v>
      </c>
      <c r="G2357" s="2" t="s">
        <v>4646</v>
      </c>
      <c r="H2357" s="4" t="n">
        <v>0.6369</v>
      </c>
      <c r="I2357" s="2" t="s">
        <v>23</v>
      </c>
      <c r="J2357" s="2" t="s">
        <v>19</v>
      </c>
      <c r="K2357" s="2" t="n">
        <v>4</v>
      </c>
      <c r="L2357" s="2" t="n">
        <v>0</v>
      </c>
      <c r="M2357" s="2" t="n">
        <v>1</v>
      </c>
    </row>
    <row r="2358" customFormat="false" ht="15" hidden="false" customHeight="false" outlineLevel="0" collapsed="false">
      <c r="A2358" s="2" t="s">
        <v>4985</v>
      </c>
      <c r="B2358" s="2" t="s">
        <v>4645</v>
      </c>
      <c r="C2358" s="2" t="n">
        <v>5</v>
      </c>
      <c r="D2358" s="2" t="s">
        <v>3104</v>
      </c>
      <c r="E2358" s="2" t="s">
        <v>4951</v>
      </c>
      <c r="F2358" s="3" t="n">
        <v>45888.4888888889</v>
      </c>
      <c r="G2358" s="2" t="s">
        <v>4646</v>
      </c>
      <c r="H2358" s="4" t="n">
        <v>0.3089</v>
      </c>
      <c r="I2358" s="2" t="s">
        <v>23</v>
      </c>
      <c r="J2358" s="2" t="s">
        <v>19</v>
      </c>
      <c r="K2358" s="2" t="n">
        <v>8</v>
      </c>
      <c r="L2358" s="2" t="n">
        <v>0</v>
      </c>
      <c r="M2358" s="2" t="n">
        <v>1</v>
      </c>
    </row>
    <row r="2359" customFormat="false" ht="15" hidden="false" customHeight="false" outlineLevel="0" collapsed="false">
      <c r="A2359" s="2" t="s">
        <v>4986</v>
      </c>
      <c r="B2359" s="2" t="s">
        <v>4987</v>
      </c>
      <c r="C2359" s="2" t="n">
        <v>5</v>
      </c>
      <c r="D2359" s="2" t="s">
        <v>47</v>
      </c>
      <c r="E2359" s="2" t="s">
        <v>4951</v>
      </c>
      <c r="F2359" s="3" t="n">
        <v>45888.6145833333</v>
      </c>
      <c r="G2359" s="2" t="s">
        <v>4646</v>
      </c>
      <c r="H2359" s="4" t="n">
        <v>0.3089</v>
      </c>
      <c r="I2359" s="2" t="s">
        <v>23</v>
      </c>
      <c r="J2359" s="2" t="s">
        <v>19</v>
      </c>
      <c r="K2359" s="2" t="n">
        <v>4</v>
      </c>
      <c r="L2359" s="2" t="n">
        <v>0</v>
      </c>
      <c r="M2359" s="2" t="n">
        <v>1</v>
      </c>
    </row>
    <row r="2360" customFormat="false" ht="15" hidden="false" customHeight="false" outlineLevel="0" collapsed="false">
      <c r="A2360" s="2" t="s">
        <v>4988</v>
      </c>
      <c r="B2360" s="2" t="s">
        <v>4989</v>
      </c>
      <c r="C2360" s="2" t="n">
        <v>5</v>
      </c>
      <c r="D2360" s="2" t="s">
        <v>40</v>
      </c>
      <c r="E2360" s="2" t="s">
        <v>4951</v>
      </c>
      <c r="F2360" s="3" t="n">
        <v>45888.6347222222</v>
      </c>
      <c r="G2360" s="2" t="s">
        <v>4646</v>
      </c>
      <c r="H2360" s="4" t="n">
        <v>0.4019</v>
      </c>
      <c r="I2360" s="2" t="s">
        <v>23</v>
      </c>
      <c r="J2360" s="2" t="s">
        <v>33</v>
      </c>
      <c r="K2360" s="2" t="n">
        <v>2</v>
      </c>
      <c r="L2360" s="2" t="n">
        <v>0</v>
      </c>
      <c r="M2360" s="2" t="n">
        <v>1</v>
      </c>
    </row>
    <row r="2361" customFormat="false" ht="15" hidden="false" customHeight="false" outlineLevel="0" collapsed="false">
      <c r="A2361" s="2" t="s">
        <v>4990</v>
      </c>
      <c r="B2361" s="2" t="s">
        <v>4991</v>
      </c>
      <c r="C2361" s="2" t="n">
        <v>4</v>
      </c>
      <c r="D2361" s="2" t="s">
        <v>36</v>
      </c>
      <c r="E2361" s="2" t="s">
        <v>4951</v>
      </c>
      <c r="F2361" s="3" t="n">
        <v>45888.7451388889</v>
      </c>
      <c r="G2361" s="2" t="s">
        <v>4646</v>
      </c>
      <c r="H2361" s="4" t="n">
        <v>0.4404</v>
      </c>
      <c r="I2361" s="2" t="s">
        <v>23</v>
      </c>
      <c r="J2361" s="2" t="s">
        <v>37</v>
      </c>
      <c r="K2361" s="2" t="n">
        <v>0</v>
      </c>
      <c r="L2361" s="2" t="n">
        <v>0</v>
      </c>
      <c r="M2361" s="2" t="n">
        <v>1</v>
      </c>
    </row>
    <row r="2362" customFormat="false" ht="15" hidden="false" customHeight="false" outlineLevel="0" collapsed="false">
      <c r="A2362" s="2" t="s">
        <v>4992</v>
      </c>
      <c r="B2362" s="2" t="s">
        <v>4993</v>
      </c>
      <c r="C2362" s="2" t="n">
        <v>4</v>
      </c>
      <c r="D2362" s="2" t="s">
        <v>15</v>
      </c>
      <c r="E2362" s="2" t="s">
        <v>4951</v>
      </c>
      <c r="F2362" s="3" t="n">
        <v>45888.8180555556</v>
      </c>
      <c r="G2362" s="2" t="s">
        <v>4646</v>
      </c>
      <c r="H2362" s="4" t="n">
        <v>0</v>
      </c>
      <c r="I2362" s="2" t="s">
        <v>18</v>
      </c>
      <c r="J2362" s="2" t="s">
        <v>19</v>
      </c>
      <c r="K2362" s="2" t="n">
        <v>4</v>
      </c>
      <c r="L2362" s="2" t="n">
        <v>0</v>
      </c>
      <c r="M2362" s="2" t="n">
        <v>1</v>
      </c>
    </row>
    <row r="2363" customFormat="false" ht="15" hidden="false" customHeight="false" outlineLevel="0" collapsed="false">
      <c r="A2363" s="2" t="s">
        <v>4994</v>
      </c>
      <c r="B2363" s="2" t="s">
        <v>4995</v>
      </c>
      <c r="C2363" s="2" t="n">
        <v>5</v>
      </c>
      <c r="D2363" s="2" t="s">
        <v>692</v>
      </c>
      <c r="E2363" s="2" t="s">
        <v>4951</v>
      </c>
      <c r="F2363" s="3" t="n">
        <v>45888.8611111111</v>
      </c>
      <c r="G2363" s="2" t="s">
        <v>4646</v>
      </c>
      <c r="H2363" s="4" t="n">
        <v>0.9516</v>
      </c>
      <c r="I2363" s="2" t="s">
        <v>23</v>
      </c>
      <c r="J2363" s="2" t="s">
        <v>37</v>
      </c>
      <c r="K2363" s="2" t="n">
        <v>0</v>
      </c>
      <c r="L2363" s="2" t="n">
        <v>0</v>
      </c>
      <c r="M2363" s="2" t="n">
        <v>1</v>
      </c>
    </row>
    <row r="2364" customFormat="false" ht="15" hidden="false" customHeight="false" outlineLevel="0" collapsed="false">
      <c r="A2364" s="2" t="s">
        <v>4996</v>
      </c>
      <c r="B2364" s="2" t="s">
        <v>4997</v>
      </c>
      <c r="C2364" s="2" t="n">
        <v>5</v>
      </c>
      <c r="D2364" s="2" t="s">
        <v>15</v>
      </c>
      <c r="E2364" s="2" t="s">
        <v>4951</v>
      </c>
      <c r="F2364" s="3" t="n">
        <v>45888.9055555556</v>
      </c>
      <c r="G2364" s="2" t="s">
        <v>4646</v>
      </c>
      <c r="H2364" s="4" t="n">
        <v>0</v>
      </c>
      <c r="I2364" s="2" t="s">
        <v>18</v>
      </c>
      <c r="J2364" s="2" t="s">
        <v>19</v>
      </c>
      <c r="K2364" s="2" t="n">
        <v>6</v>
      </c>
      <c r="L2364" s="2" t="n">
        <v>1</v>
      </c>
      <c r="M2364" s="2" t="n">
        <v>1</v>
      </c>
    </row>
    <row r="2365" customFormat="false" ht="15" hidden="false" customHeight="false" outlineLevel="0" collapsed="false">
      <c r="A2365" s="2" t="s">
        <v>4998</v>
      </c>
      <c r="B2365" s="2" t="s">
        <v>4999</v>
      </c>
      <c r="C2365" s="2" t="n">
        <v>3</v>
      </c>
      <c r="D2365" s="2" t="s">
        <v>87</v>
      </c>
      <c r="E2365" s="2" t="s">
        <v>4951</v>
      </c>
      <c r="F2365" s="3" t="n">
        <v>45889.0243055556</v>
      </c>
      <c r="G2365" s="2" t="s">
        <v>4646</v>
      </c>
      <c r="H2365" s="4" t="n">
        <v>0</v>
      </c>
      <c r="I2365" s="2" t="s">
        <v>18</v>
      </c>
      <c r="J2365" s="2" t="s">
        <v>19</v>
      </c>
      <c r="K2365" s="2" t="n">
        <v>1</v>
      </c>
      <c r="L2365" s="2" t="n">
        <v>0</v>
      </c>
      <c r="M2365" s="2" t="n">
        <v>1</v>
      </c>
    </row>
    <row r="2366" customFormat="false" ht="15" hidden="false" customHeight="false" outlineLevel="0" collapsed="false">
      <c r="A2366" s="2" t="s">
        <v>5000</v>
      </c>
      <c r="B2366" s="2" t="s">
        <v>5001</v>
      </c>
      <c r="C2366" s="2" t="n">
        <v>5</v>
      </c>
      <c r="D2366" s="2" t="s">
        <v>127</v>
      </c>
      <c r="E2366" s="2" t="s">
        <v>4951</v>
      </c>
      <c r="F2366" s="3" t="n">
        <v>45889.1986111111</v>
      </c>
      <c r="G2366" s="2" t="s">
        <v>4646</v>
      </c>
      <c r="H2366" s="4" t="n">
        <v>0.9359</v>
      </c>
      <c r="I2366" s="2" t="s">
        <v>23</v>
      </c>
      <c r="J2366" s="2" t="s">
        <v>37</v>
      </c>
      <c r="K2366" s="2" t="n">
        <v>0</v>
      </c>
      <c r="L2366" s="2" t="n">
        <v>0</v>
      </c>
      <c r="M2366" s="2" t="n">
        <v>1</v>
      </c>
    </row>
    <row r="2367" customFormat="false" ht="15" hidden="false" customHeight="false" outlineLevel="0" collapsed="false">
      <c r="A2367" s="2" t="s">
        <v>5002</v>
      </c>
      <c r="B2367" s="2" t="s">
        <v>5003</v>
      </c>
      <c r="C2367" s="2" t="n">
        <v>5</v>
      </c>
      <c r="D2367" s="2" t="s">
        <v>127</v>
      </c>
      <c r="E2367" s="2" t="s">
        <v>4951</v>
      </c>
      <c r="F2367" s="3" t="n">
        <v>45889.2020833333</v>
      </c>
      <c r="G2367" s="2" t="s">
        <v>4646</v>
      </c>
      <c r="H2367" s="4" t="n">
        <v>0.9359</v>
      </c>
      <c r="I2367" s="2" t="s">
        <v>23</v>
      </c>
      <c r="J2367" s="2" t="s">
        <v>37</v>
      </c>
      <c r="K2367" s="2" t="n">
        <v>1</v>
      </c>
      <c r="L2367" s="2" t="n">
        <v>0</v>
      </c>
      <c r="M2367" s="2" t="n">
        <v>1</v>
      </c>
    </row>
    <row r="2368" customFormat="false" ht="15" hidden="false" customHeight="false" outlineLevel="0" collapsed="false">
      <c r="A2368" s="2" t="s">
        <v>5004</v>
      </c>
      <c r="B2368" s="2" t="s">
        <v>5005</v>
      </c>
      <c r="C2368" s="2" t="n">
        <v>5</v>
      </c>
      <c r="D2368" s="2" t="s">
        <v>40</v>
      </c>
      <c r="E2368" s="2" t="s">
        <v>4951</v>
      </c>
      <c r="F2368" s="3" t="n">
        <v>45889.41875</v>
      </c>
      <c r="G2368" s="2" t="s">
        <v>4646</v>
      </c>
      <c r="H2368" s="4" t="n">
        <v>0.4019</v>
      </c>
      <c r="I2368" s="2" t="s">
        <v>23</v>
      </c>
      <c r="J2368" s="2" t="s">
        <v>33</v>
      </c>
      <c r="K2368" s="2" t="n">
        <v>14</v>
      </c>
      <c r="L2368" s="2" t="n">
        <v>0</v>
      </c>
      <c r="M2368" s="2" t="n">
        <v>1</v>
      </c>
    </row>
    <row r="2369" customFormat="false" ht="15" hidden="false" customHeight="false" outlineLevel="0" collapsed="false">
      <c r="A2369" s="2" t="s">
        <v>5006</v>
      </c>
      <c r="B2369" s="2" t="s">
        <v>5007</v>
      </c>
      <c r="C2369" s="2" t="n">
        <v>1</v>
      </c>
      <c r="D2369" s="2" t="s">
        <v>823</v>
      </c>
      <c r="E2369" s="2" t="s">
        <v>4951</v>
      </c>
      <c r="F2369" s="3" t="n">
        <v>45889.5986111111</v>
      </c>
      <c r="G2369" s="2" t="s">
        <v>4646</v>
      </c>
      <c r="H2369" s="4" t="n">
        <v>-0.6997</v>
      </c>
      <c r="I2369" s="2" t="s">
        <v>84</v>
      </c>
      <c r="J2369" s="2" t="s">
        <v>19</v>
      </c>
      <c r="K2369" s="2" t="n">
        <v>2</v>
      </c>
      <c r="L2369" s="2" t="n">
        <v>0</v>
      </c>
      <c r="M2369" s="2" t="n">
        <v>1</v>
      </c>
    </row>
    <row r="2370" customFormat="false" ht="15" hidden="false" customHeight="false" outlineLevel="0" collapsed="false">
      <c r="A2370" s="2" t="s">
        <v>5008</v>
      </c>
      <c r="B2370" s="2" t="s">
        <v>5009</v>
      </c>
      <c r="C2370" s="2" t="n">
        <v>1</v>
      </c>
      <c r="D2370" s="2" t="s">
        <v>701</v>
      </c>
      <c r="E2370" s="2" t="s">
        <v>4951</v>
      </c>
      <c r="F2370" s="3" t="n">
        <v>45889.9305555556</v>
      </c>
      <c r="G2370" s="2" t="s">
        <v>4646</v>
      </c>
      <c r="H2370" s="4" t="n">
        <v>-0.7184</v>
      </c>
      <c r="I2370" s="2" t="s">
        <v>84</v>
      </c>
      <c r="J2370" s="2" t="s">
        <v>37</v>
      </c>
      <c r="K2370" s="2" t="n">
        <v>0</v>
      </c>
      <c r="L2370" s="2" t="n">
        <v>0</v>
      </c>
      <c r="M2370" s="2" t="n">
        <v>1</v>
      </c>
    </row>
    <row r="2371" customFormat="false" ht="15" hidden="false" customHeight="false" outlineLevel="0" collapsed="false">
      <c r="A2371" s="2" t="s">
        <v>5010</v>
      </c>
      <c r="B2371" s="2" t="s">
        <v>5011</v>
      </c>
      <c r="C2371" s="2" t="n">
        <v>4</v>
      </c>
      <c r="D2371" s="2" t="s">
        <v>1949</v>
      </c>
      <c r="E2371" s="2" t="s">
        <v>4951</v>
      </c>
      <c r="F2371" s="3" t="n">
        <v>45889.9493055556</v>
      </c>
      <c r="G2371" s="2" t="s">
        <v>4646</v>
      </c>
      <c r="H2371" s="4" t="n">
        <v>0</v>
      </c>
      <c r="I2371" s="2" t="s">
        <v>18</v>
      </c>
      <c r="J2371" s="2" t="s">
        <v>19</v>
      </c>
      <c r="K2371" s="2" t="n">
        <v>3</v>
      </c>
      <c r="L2371" s="2" t="n">
        <v>0</v>
      </c>
      <c r="M2371" s="2" t="n">
        <v>1</v>
      </c>
    </row>
    <row r="2372" customFormat="false" ht="15" hidden="false" customHeight="false" outlineLevel="0" collapsed="false">
      <c r="A2372" s="2" t="s">
        <v>5012</v>
      </c>
      <c r="B2372" s="2" t="s">
        <v>5013</v>
      </c>
      <c r="C2372" s="2" t="n">
        <v>4</v>
      </c>
      <c r="D2372" s="2" t="s">
        <v>99</v>
      </c>
      <c r="E2372" s="2" t="s">
        <v>4951</v>
      </c>
      <c r="F2372" s="3" t="n">
        <v>45890.0513888889</v>
      </c>
      <c r="G2372" s="2" t="s">
        <v>4646</v>
      </c>
      <c r="H2372" s="4" t="n">
        <v>-0.3089</v>
      </c>
      <c r="I2372" s="2" t="s">
        <v>84</v>
      </c>
      <c r="J2372" s="2" t="s">
        <v>19</v>
      </c>
      <c r="K2372" s="2" t="n">
        <v>2</v>
      </c>
      <c r="L2372" s="2" t="n">
        <v>0</v>
      </c>
      <c r="M2372" s="2" t="n">
        <v>1</v>
      </c>
    </row>
    <row r="2373" customFormat="false" ht="15" hidden="false" customHeight="false" outlineLevel="0" collapsed="false">
      <c r="A2373" s="2" t="s">
        <v>5014</v>
      </c>
      <c r="B2373" s="2" t="s">
        <v>5015</v>
      </c>
      <c r="C2373" s="2" t="n">
        <v>4</v>
      </c>
      <c r="D2373" s="2" t="s">
        <v>5016</v>
      </c>
      <c r="E2373" s="2" t="s">
        <v>4951</v>
      </c>
      <c r="F2373" s="3" t="n">
        <v>45890.2881944445</v>
      </c>
      <c r="G2373" s="2" t="s">
        <v>4646</v>
      </c>
      <c r="H2373" s="4" t="n">
        <v>0.8437</v>
      </c>
      <c r="I2373" s="2" t="s">
        <v>23</v>
      </c>
      <c r="J2373" s="2" t="s">
        <v>19</v>
      </c>
      <c r="K2373" s="2" t="n">
        <v>1</v>
      </c>
      <c r="L2373" s="2" t="n">
        <v>0</v>
      </c>
      <c r="M2373" s="2" t="n">
        <v>1</v>
      </c>
    </row>
    <row r="2374" customFormat="false" ht="15" hidden="false" customHeight="false" outlineLevel="0" collapsed="false">
      <c r="A2374" s="2" t="s">
        <v>5017</v>
      </c>
      <c r="B2374" s="2" t="s">
        <v>5018</v>
      </c>
      <c r="C2374" s="2" t="n">
        <v>5</v>
      </c>
      <c r="D2374" s="2" t="s">
        <v>52</v>
      </c>
      <c r="E2374" s="2" t="s">
        <v>4951</v>
      </c>
      <c r="F2374" s="3" t="n">
        <v>45890.3409722222</v>
      </c>
      <c r="G2374" s="2" t="s">
        <v>4646</v>
      </c>
      <c r="H2374" s="4" t="n">
        <v>0.6369</v>
      </c>
      <c r="I2374" s="2" t="s">
        <v>23</v>
      </c>
      <c r="J2374" s="2" t="s">
        <v>19</v>
      </c>
      <c r="K2374" s="2" t="n">
        <v>0</v>
      </c>
      <c r="L2374" s="2" t="n">
        <v>0</v>
      </c>
      <c r="M2374" s="2" t="n">
        <v>1</v>
      </c>
    </row>
    <row r="2375" customFormat="false" ht="15" hidden="false" customHeight="false" outlineLevel="0" collapsed="false">
      <c r="A2375" s="2" t="s">
        <v>5019</v>
      </c>
      <c r="B2375" s="2" t="s">
        <v>5020</v>
      </c>
      <c r="C2375" s="2" t="n">
        <v>5</v>
      </c>
      <c r="D2375" s="2" t="s">
        <v>62</v>
      </c>
      <c r="E2375" s="2" t="s">
        <v>4951</v>
      </c>
      <c r="F2375" s="3" t="n">
        <v>45890.3569444444</v>
      </c>
      <c r="G2375" s="2" t="s">
        <v>4646</v>
      </c>
      <c r="H2375" s="4" t="n">
        <v>0.7088</v>
      </c>
      <c r="I2375" s="2" t="s">
        <v>23</v>
      </c>
      <c r="J2375" s="2" t="s">
        <v>19</v>
      </c>
      <c r="K2375" s="2" t="n">
        <v>0</v>
      </c>
      <c r="L2375" s="2" t="n">
        <v>0</v>
      </c>
      <c r="M2375" s="2" t="n">
        <v>1</v>
      </c>
    </row>
    <row r="2376" customFormat="false" ht="15" hidden="false" customHeight="false" outlineLevel="0" collapsed="false">
      <c r="A2376" s="2" t="s">
        <v>5021</v>
      </c>
      <c r="B2376" s="2" t="s">
        <v>5022</v>
      </c>
      <c r="C2376" s="2" t="n">
        <v>5</v>
      </c>
      <c r="D2376" s="2" t="s">
        <v>15</v>
      </c>
      <c r="E2376" s="2" t="s">
        <v>4951</v>
      </c>
      <c r="F2376" s="3" t="n">
        <v>45890.3611111111</v>
      </c>
      <c r="G2376" s="2" t="s">
        <v>4646</v>
      </c>
      <c r="H2376" s="4" t="n">
        <v>0</v>
      </c>
      <c r="I2376" s="2" t="s">
        <v>18</v>
      </c>
      <c r="J2376" s="2" t="s">
        <v>19</v>
      </c>
      <c r="K2376" s="2" t="n">
        <v>2</v>
      </c>
      <c r="L2376" s="2" t="n">
        <v>0</v>
      </c>
      <c r="M2376" s="2" t="n">
        <v>1</v>
      </c>
    </row>
    <row r="2377" customFormat="false" ht="15" hidden="false" customHeight="false" outlineLevel="0" collapsed="false">
      <c r="A2377" s="2" t="s">
        <v>5023</v>
      </c>
      <c r="B2377" s="2" t="s">
        <v>5024</v>
      </c>
      <c r="C2377" s="2" t="n">
        <v>5</v>
      </c>
      <c r="D2377" s="2" t="s">
        <v>96</v>
      </c>
      <c r="E2377" s="2" t="s">
        <v>4951</v>
      </c>
      <c r="F2377" s="3" t="n">
        <v>45890.4368055556</v>
      </c>
      <c r="G2377" s="2" t="s">
        <v>4646</v>
      </c>
      <c r="H2377" s="4" t="n">
        <v>0.6369</v>
      </c>
      <c r="I2377" s="2" t="s">
        <v>23</v>
      </c>
      <c r="J2377" s="2" t="s">
        <v>19</v>
      </c>
      <c r="K2377" s="2" t="n">
        <v>2</v>
      </c>
      <c r="L2377" s="2" t="n">
        <v>0</v>
      </c>
      <c r="M2377" s="2" t="n">
        <v>1</v>
      </c>
    </row>
    <row r="2378" customFormat="false" ht="15" hidden="false" customHeight="false" outlineLevel="0" collapsed="false">
      <c r="A2378" s="2" t="s">
        <v>5025</v>
      </c>
      <c r="B2378" s="2" t="s">
        <v>5026</v>
      </c>
      <c r="C2378" s="2" t="n">
        <v>4</v>
      </c>
      <c r="D2378" s="2" t="s">
        <v>62</v>
      </c>
      <c r="E2378" s="2" t="s">
        <v>4951</v>
      </c>
      <c r="F2378" s="3" t="n">
        <v>45890.5659722222</v>
      </c>
      <c r="G2378" s="2" t="s">
        <v>4646</v>
      </c>
      <c r="H2378" s="4" t="n">
        <v>0.7088</v>
      </c>
      <c r="I2378" s="2" t="s">
        <v>23</v>
      </c>
      <c r="J2378" s="2" t="s">
        <v>19</v>
      </c>
      <c r="K2378" s="2" t="n">
        <v>8</v>
      </c>
      <c r="L2378" s="2" t="n">
        <v>0</v>
      </c>
      <c r="M2378" s="2" t="n">
        <v>1</v>
      </c>
    </row>
    <row r="2379" customFormat="false" ht="15" hidden="false" customHeight="false" outlineLevel="0" collapsed="false">
      <c r="A2379" s="2" t="s">
        <v>5027</v>
      </c>
      <c r="B2379" s="2" t="s">
        <v>5028</v>
      </c>
      <c r="C2379" s="2" t="n">
        <v>1</v>
      </c>
      <c r="D2379" s="2" t="s">
        <v>1274</v>
      </c>
      <c r="E2379" s="2" t="s">
        <v>4951</v>
      </c>
      <c r="F2379" s="3" t="n">
        <v>45890.61875</v>
      </c>
      <c r="G2379" s="2" t="s">
        <v>4646</v>
      </c>
      <c r="H2379" s="4" t="n">
        <v>-0.6171</v>
      </c>
      <c r="I2379" s="2" t="s">
        <v>84</v>
      </c>
      <c r="J2379" s="2" t="s">
        <v>37</v>
      </c>
      <c r="K2379" s="2" t="n">
        <v>3</v>
      </c>
      <c r="L2379" s="2" t="n">
        <v>1</v>
      </c>
      <c r="M2379" s="2" t="n">
        <v>1</v>
      </c>
    </row>
    <row r="2380" customFormat="false" ht="15" hidden="false" customHeight="false" outlineLevel="0" collapsed="false">
      <c r="A2380" s="2" t="s">
        <v>5029</v>
      </c>
      <c r="B2380" s="2" t="s">
        <v>5030</v>
      </c>
      <c r="C2380" s="2" t="n">
        <v>4</v>
      </c>
      <c r="D2380" s="2" t="s">
        <v>40</v>
      </c>
      <c r="E2380" s="2" t="s">
        <v>4951</v>
      </c>
      <c r="F2380" s="3" t="n">
        <v>45890.7680555556</v>
      </c>
      <c r="G2380" s="2" t="s">
        <v>4646</v>
      </c>
      <c r="H2380" s="4" t="n">
        <v>0.4019</v>
      </c>
      <c r="I2380" s="2" t="s">
        <v>23</v>
      </c>
      <c r="J2380" s="2" t="s">
        <v>33</v>
      </c>
      <c r="K2380" s="2" t="n">
        <v>3</v>
      </c>
      <c r="L2380" s="2" t="n">
        <v>0</v>
      </c>
      <c r="M2380" s="2" t="n">
        <v>1</v>
      </c>
    </row>
    <row r="2381" customFormat="false" ht="15" hidden="false" customHeight="false" outlineLevel="0" collapsed="false">
      <c r="A2381" s="2" t="s">
        <v>5031</v>
      </c>
      <c r="B2381" s="2" t="s">
        <v>5032</v>
      </c>
      <c r="C2381" s="2" t="n">
        <v>5</v>
      </c>
      <c r="D2381" s="2" t="s">
        <v>90</v>
      </c>
      <c r="E2381" s="2" t="s">
        <v>4951</v>
      </c>
      <c r="F2381" s="3" t="n">
        <v>45890.8298611111</v>
      </c>
      <c r="G2381" s="2" t="s">
        <v>4646</v>
      </c>
      <c r="H2381" s="4" t="n">
        <v>0.6249</v>
      </c>
      <c r="I2381" s="2" t="s">
        <v>23</v>
      </c>
      <c r="J2381" s="2" t="s">
        <v>37</v>
      </c>
      <c r="K2381" s="2" t="n">
        <v>3</v>
      </c>
      <c r="L2381" s="2" t="n">
        <v>0</v>
      </c>
      <c r="M2381" s="2" t="n">
        <v>1</v>
      </c>
    </row>
    <row r="2382" customFormat="false" ht="15" hidden="false" customHeight="false" outlineLevel="0" collapsed="false">
      <c r="A2382" s="2" t="s">
        <v>5033</v>
      </c>
      <c r="B2382" s="2" t="s">
        <v>5034</v>
      </c>
      <c r="C2382" s="2" t="n">
        <v>5</v>
      </c>
      <c r="D2382" s="2" t="s">
        <v>62</v>
      </c>
      <c r="E2382" s="2" t="s">
        <v>4951</v>
      </c>
      <c r="F2382" s="3" t="n">
        <v>45890.8541666667</v>
      </c>
      <c r="G2382" s="2" t="s">
        <v>4646</v>
      </c>
      <c r="H2382" s="4" t="n">
        <v>0.7088</v>
      </c>
      <c r="I2382" s="2" t="s">
        <v>23</v>
      </c>
      <c r="J2382" s="2" t="s">
        <v>19</v>
      </c>
      <c r="K2382" s="2" t="n">
        <v>0</v>
      </c>
      <c r="L2382" s="2" t="n">
        <v>0</v>
      </c>
      <c r="M2382" s="2" t="n">
        <v>1</v>
      </c>
    </row>
    <row r="2383" customFormat="false" ht="15" hidden="false" customHeight="false" outlineLevel="0" collapsed="false">
      <c r="A2383" s="2" t="s">
        <v>5035</v>
      </c>
      <c r="B2383" s="2" t="s">
        <v>5036</v>
      </c>
      <c r="C2383" s="2" t="n">
        <v>4</v>
      </c>
      <c r="D2383" s="2" t="s">
        <v>99</v>
      </c>
      <c r="E2383" s="2" t="s">
        <v>4951</v>
      </c>
      <c r="F2383" s="3" t="n">
        <v>45890.9145833333</v>
      </c>
      <c r="G2383" s="2" t="s">
        <v>4646</v>
      </c>
      <c r="H2383" s="4" t="n">
        <v>-0.3089</v>
      </c>
      <c r="I2383" s="2" t="s">
        <v>84</v>
      </c>
      <c r="J2383" s="2" t="s">
        <v>19</v>
      </c>
      <c r="K2383" s="2" t="n">
        <v>5</v>
      </c>
      <c r="L2383" s="2" t="n">
        <v>0</v>
      </c>
      <c r="M2383" s="2" t="n">
        <v>1</v>
      </c>
    </row>
    <row r="2384" customFormat="false" ht="15" hidden="false" customHeight="false" outlineLevel="0" collapsed="false">
      <c r="A2384" s="2" t="s">
        <v>5037</v>
      </c>
      <c r="B2384" s="2" t="s">
        <v>5038</v>
      </c>
      <c r="C2384" s="2" t="n">
        <v>4</v>
      </c>
      <c r="D2384" s="2" t="s">
        <v>96</v>
      </c>
      <c r="E2384" s="2" t="s">
        <v>4951</v>
      </c>
      <c r="F2384" s="3" t="n">
        <v>45891.00625</v>
      </c>
      <c r="G2384" s="2" t="s">
        <v>4646</v>
      </c>
      <c r="H2384" s="4" t="n">
        <v>0.6369</v>
      </c>
      <c r="I2384" s="2" t="s">
        <v>23</v>
      </c>
      <c r="J2384" s="2" t="s">
        <v>19</v>
      </c>
      <c r="K2384" s="2" t="n">
        <v>1</v>
      </c>
      <c r="L2384" s="2" t="n">
        <v>0</v>
      </c>
      <c r="M2384" s="2" t="n">
        <v>1</v>
      </c>
    </row>
    <row r="2385" customFormat="false" ht="15" hidden="false" customHeight="false" outlineLevel="0" collapsed="false">
      <c r="A2385" s="2" t="s">
        <v>5039</v>
      </c>
      <c r="B2385" s="2" t="s">
        <v>5040</v>
      </c>
      <c r="C2385" s="2" t="n">
        <v>4</v>
      </c>
      <c r="D2385" s="2" t="s">
        <v>99</v>
      </c>
      <c r="E2385" s="2" t="s">
        <v>4951</v>
      </c>
      <c r="F2385" s="3" t="n">
        <v>45891.0534722222</v>
      </c>
      <c r="G2385" s="2" t="s">
        <v>4646</v>
      </c>
      <c r="H2385" s="4" t="n">
        <v>-0.3089</v>
      </c>
      <c r="I2385" s="2" t="s">
        <v>84</v>
      </c>
      <c r="J2385" s="2" t="s">
        <v>19</v>
      </c>
      <c r="K2385" s="2" t="n">
        <v>2</v>
      </c>
      <c r="L2385" s="2" t="n">
        <v>0</v>
      </c>
      <c r="M2385" s="2" t="n">
        <v>1</v>
      </c>
    </row>
    <row r="2386" customFormat="false" ht="15" hidden="false" customHeight="false" outlineLevel="0" collapsed="false">
      <c r="A2386" s="2" t="s">
        <v>5041</v>
      </c>
      <c r="B2386" s="2" t="s">
        <v>5042</v>
      </c>
      <c r="C2386" s="2" t="n">
        <v>5</v>
      </c>
      <c r="D2386" s="2" t="s">
        <v>52</v>
      </c>
      <c r="E2386" s="2" t="s">
        <v>4951</v>
      </c>
      <c r="F2386" s="3" t="n">
        <v>45891.0701388889</v>
      </c>
      <c r="G2386" s="2" t="s">
        <v>4646</v>
      </c>
      <c r="H2386" s="4" t="n">
        <v>0.6369</v>
      </c>
      <c r="I2386" s="2" t="s">
        <v>23</v>
      </c>
      <c r="J2386" s="2" t="s">
        <v>19</v>
      </c>
      <c r="K2386" s="2" t="n">
        <v>5</v>
      </c>
      <c r="L2386" s="2" t="n">
        <v>0</v>
      </c>
      <c r="M2386" s="2" t="n">
        <v>1</v>
      </c>
    </row>
    <row r="2387" customFormat="false" ht="15" hidden="false" customHeight="false" outlineLevel="0" collapsed="false">
      <c r="A2387" s="2" t="s">
        <v>5043</v>
      </c>
      <c r="B2387" s="2" t="s">
        <v>5044</v>
      </c>
      <c r="C2387" s="2" t="n">
        <v>4</v>
      </c>
      <c r="D2387" s="2" t="s">
        <v>52</v>
      </c>
      <c r="E2387" s="2" t="s">
        <v>4951</v>
      </c>
      <c r="F2387" s="3" t="n">
        <v>45891.0756944444</v>
      </c>
      <c r="G2387" s="2" t="s">
        <v>4646</v>
      </c>
      <c r="H2387" s="4" t="n">
        <v>0.6369</v>
      </c>
      <c r="I2387" s="2" t="s">
        <v>23</v>
      </c>
      <c r="J2387" s="2" t="s">
        <v>19</v>
      </c>
      <c r="K2387" s="2" t="n">
        <v>3</v>
      </c>
      <c r="L2387" s="2" t="n">
        <v>0</v>
      </c>
      <c r="M2387" s="2" t="n">
        <v>1</v>
      </c>
    </row>
    <row r="2388" customFormat="false" ht="15" hidden="false" customHeight="false" outlineLevel="0" collapsed="false">
      <c r="A2388" s="2" t="s">
        <v>5045</v>
      </c>
      <c r="B2388" s="2" t="s">
        <v>5046</v>
      </c>
      <c r="C2388" s="2" t="n">
        <v>3</v>
      </c>
      <c r="D2388" s="2" t="s">
        <v>591</v>
      </c>
      <c r="E2388" s="2" t="s">
        <v>4951</v>
      </c>
      <c r="F2388" s="3" t="n">
        <v>45891.4090277778</v>
      </c>
      <c r="G2388" s="2" t="s">
        <v>4646</v>
      </c>
      <c r="H2388" s="4" t="n">
        <v>0</v>
      </c>
      <c r="I2388" s="2" t="s">
        <v>18</v>
      </c>
      <c r="J2388" s="2" t="s">
        <v>37</v>
      </c>
      <c r="K2388" s="2" t="n">
        <v>0</v>
      </c>
      <c r="L2388" s="2" t="n">
        <v>0</v>
      </c>
      <c r="M2388" s="2" t="n">
        <v>1</v>
      </c>
    </row>
    <row r="2389" customFormat="false" ht="15" hidden="false" customHeight="false" outlineLevel="0" collapsed="false">
      <c r="A2389" s="2" t="s">
        <v>5047</v>
      </c>
      <c r="B2389" s="2" t="s">
        <v>5048</v>
      </c>
      <c r="C2389" s="2" t="n">
        <v>2</v>
      </c>
      <c r="D2389" s="2" t="s">
        <v>5049</v>
      </c>
      <c r="E2389" s="2" t="s">
        <v>4951</v>
      </c>
      <c r="F2389" s="3" t="n">
        <v>45891.4854166667</v>
      </c>
      <c r="G2389" s="2" t="s">
        <v>4646</v>
      </c>
      <c r="H2389" s="4" t="n">
        <v>0.2023</v>
      </c>
      <c r="I2389" s="2" t="s">
        <v>23</v>
      </c>
      <c r="J2389" s="2" t="s">
        <v>37</v>
      </c>
      <c r="K2389" s="2" t="n">
        <v>0</v>
      </c>
      <c r="L2389" s="2" t="n">
        <v>1</v>
      </c>
      <c r="M2389" s="2" t="n">
        <v>1</v>
      </c>
    </row>
    <row r="2390" customFormat="false" ht="15" hidden="false" customHeight="false" outlineLevel="0" collapsed="false">
      <c r="A2390" s="2" t="s">
        <v>5050</v>
      </c>
      <c r="B2390" s="2" t="s">
        <v>5051</v>
      </c>
      <c r="C2390" s="2" t="n">
        <v>4</v>
      </c>
      <c r="D2390" s="2" t="s">
        <v>47</v>
      </c>
      <c r="E2390" s="2" t="s">
        <v>4951</v>
      </c>
      <c r="F2390" s="3" t="n">
        <v>45891.4875</v>
      </c>
      <c r="G2390" s="2" t="s">
        <v>4646</v>
      </c>
      <c r="H2390" s="4" t="n">
        <v>0.3089</v>
      </c>
      <c r="I2390" s="2" t="s">
        <v>23</v>
      </c>
      <c r="J2390" s="2" t="s">
        <v>19</v>
      </c>
      <c r="K2390" s="2" t="n">
        <v>0</v>
      </c>
      <c r="L2390" s="2" t="n">
        <v>0</v>
      </c>
      <c r="M2390" s="2" t="n">
        <v>1</v>
      </c>
    </row>
    <row r="2391" customFormat="false" ht="15" hidden="false" customHeight="false" outlineLevel="0" collapsed="false">
      <c r="A2391" s="2" t="s">
        <v>5052</v>
      </c>
      <c r="B2391" s="2" t="s">
        <v>5053</v>
      </c>
      <c r="C2391" s="2" t="n">
        <v>4</v>
      </c>
      <c r="D2391" s="2" t="s">
        <v>47</v>
      </c>
      <c r="E2391" s="2" t="s">
        <v>4951</v>
      </c>
      <c r="F2391" s="3" t="n">
        <v>45891.59375</v>
      </c>
      <c r="G2391" s="2" t="s">
        <v>4646</v>
      </c>
      <c r="H2391" s="4" t="n">
        <v>0.3089</v>
      </c>
      <c r="I2391" s="2" t="s">
        <v>23</v>
      </c>
      <c r="J2391" s="2" t="s">
        <v>19</v>
      </c>
      <c r="K2391" s="2" t="n">
        <v>9</v>
      </c>
      <c r="L2391" s="2" t="n">
        <v>0</v>
      </c>
      <c r="M2391" s="2" t="n">
        <v>1</v>
      </c>
    </row>
    <row r="2392" customFormat="false" ht="15" hidden="false" customHeight="false" outlineLevel="0" collapsed="false">
      <c r="A2392" s="2" t="s">
        <v>5054</v>
      </c>
      <c r="B2392" s="2" t="s">
        <v>5055</v>
      </c>
      <c r="C2392" s="2" t="n">
        <v>5</v>
      </c>
      <c r="D2392" s="2" t="s">
        <v>47</v>
      </c>
      <c r="E2392" s="2" t="s">
        <v>4951</v>
      </c>
      <c r="F2392" s="3" t="n">
        <v>45891.7326388889</v>
      </c>
      <c r="G2392" s="2" t="s">
        <v>4646</v>
      </c>
      <c r="H2392" s="4" t="n">
        <v>0.3089</v>
      </c>
      <c r="I2392" s="2" t="s">
        <v>23</v>
      </c>
      <c r="J2392" s="2" t="s">
        <v>19</v>
      </c>
      <c r="K2392" s="2" t="n">
        <v>2</v>
      </c>
      <c r="L2392" s="2" t="n">
        <v>0</v>
      </c>
      <c r="M2392" s="2" t="n">
        <v>1</v>
      </c>
    </row>
    <row r="2393" customFormat="false" ht="15" hidden="false" customHeight="false" outlineLevel="0" collapsed="false">
      <c r="A2393" s="2" t="s">
        <v>5056</v>
      </c>
      <c r="B2393" s="2" t="s">
        <v>5057</v>
      </c>
      <c r="C2393" s="2" t="n">
        <v>3</v>
      </c>
      <c r="D2393" s="2" t="s">
        <v>36</v>
      </c>
      <c r="E2393" s="2" t="s">
        <v>4951</v>
      </c>
      <c r="F2393" s="3" t="n">
        <v>45891.8027777778</v>
      </c>
      <c r="G2393" s="2" t="s">
        <v>4646</v>
      </c>
      <c r="H2393" s="4" t="n">
        <v>0.4404</v>
      </c>
      <c r="I2393" s="2" t="s">
        <v>23</v>
      </c>
      <c r="J2393" s="2" t="s">
        <v>37</v>
      </c>
      <c r="K2393" s="2" t="n">
        <v>7</v>
      </c>
      <c r="L2393" s="2" t="n">
        <v>0</v>
      </c>
      <c r="M2393" s="2" t="n">
        <v>1</v>
      </c>
    </row>
    <row r="2394" customFormat="false" ht="15" hidden="false" customHeight="false" outlineLevel="0" collapsed="false">
      <c r="A2394" s="2" t="s">
        <v>5058</v>
      </c>
      <c r="B2394" s="2" t="s">
        <v>5059</v>
      </c>
      <c r="C2394" s="2" t="n">
        <v>5</v>
      </c>
      <c r="D2394" s="2" t="s">
        <v>127</v>
      </c>
      <c r="E2394" s="2" t="s">
        <v>4951</v>
      </c>
      <c r="F2394" s="3" t="n">
        <v>45891.8118055556</v>
      </c>
      <c r="G2394" s="2" t="s">
        <v>4646</v>
      </c>
      <c r="H2394" s="4" t="n">
        <v>0.9359</v>
      </c>
      <c r="I2394" s="2" t="s">
        <v>23</v>
      </c>
      <c r="J2394" s="2" t="s">
        <v>37</v>
      </c>
      <c r="K2394" s="2" t="n">
        <v>0</v>
      </c>
      <c r="L2394" s="2" t="n">
        <v>0</v>
      </c>
      <c r="M2394" s="2" t="n">
        <v>1</v>
      </c>
    </row>
    <row r="2395" customFormat="false" ht="15" hidden="false" customHeight="false" outlineLevel="0" collapsed="false">
      <c r="A2395" s="2" t="s">
        <v>5060</v>
      </c>
      <c r="B2395" s="2" t="s">
        <v>5061</v>
      </c>
      <c r="C2395" s="2" t="n">
        <v>5</v>
      </c>
      <c r="D2395" s="2" t="s">
        <v>15</v>
      </c>
      <c r="E2395" s="2" t="s">
        <v>4951</v>
      </c>
      <c r="F2395" s="3" t="n">
        <v>45891.9965277778</v>
      </c>
      <c r="G2395" s="2" t="s">
        <v>4646</v>
      </c>
      <c r="H2395" s="4" t="n">
        <v>0</v>
      </c>
      <c r="I2395" s="2" t="s">
        <v>18</v>
      </c>
      <c r="J2395" s="2" t="s">
        <v>19</v>
      </c>
      <c r="K2395" s="2" t="n">
        <v>3</v>
      </c>
      <c r="L2395" s="2" t="n">
        <v>0</v>
      </c>
      <c r="M2395" s="2" t="n">
        <v>1</v>
      </c>
    </row>
    <row r="2396" customFormat="false" ht="15" hidden="false" customHeight="false" outlineLevel="0" collapsed="false">
      <c r="A2396" s="2" t="s">
        <v>5062</v>
      </c>
      <c r="B2396" s="2" t="s">
        <v>5063</v>
      </c>
      <c r="C2396" s="2" t="n">
        <v>4</v>
      </c>
      <c r="D2396" s="2" t="s">
        <v>40</v>
      </c>
      <c r="E2396" s="2" t="s">
        <v>4951</v>
      </c>
      <c r="F2396" s="3" t="n">
        <v>45892.1791666667</v>
      </c>
      <c r="G2396" s="2" t="s">
        <v>4646</v>
      </c>
      <c r="H2396" s="4" t="n">
        <v>0.4019</v>
      </c>
      <c r="I2396" s="2" t="s">
        <v>23</v>
      </c>
      <c r="J2396" s="2" t="s">
        <v>33</v>
      </c>
      <c r="K2396" s="2" t="n">
        <v>3</v>
      </c>
      <c r="L2396" s="2" t="n">
        <v>0</v>
      </c>
      <c r="M2396" s="2" t="n">
        <v>1</v>
      </c>
    </row>
    <row r="2397" customFormat="false" ht="15" hidden="false" customHeight="false" outlineLevel="0" collapsed="false">
      <c r="A2397" s="2" t="s">
        <v>5064</v>
      </c>
      <c r="B2397" s="2" t="s">
        <v>5065</v>
      </c>
      <c r="C2397" s="2" t="n">
        <v>3</v>
      </c>
      <c r="D2397" s="2" t="s">
        <v>22</v>
      </c>
      <c r="E2397" s="2" t="s">
        <v>4951</v>
      </c>
      <c r="F2397" s="3" t="n">
        <v>45892.2152777778</v>
      </c>
      <c r="G2397" s="2" t="s">
        <v>4646</v>
      </c>
      <c r="H2397" s="4" t="n">
        <v>0.2023</v>
      </c>
      <c r="I2397" s="2" t="s">
        <v>23</v>
      </c>
      <c r="J2397" s="2" t="s">
        <v>19</v>
      </c>
      <c r="K2397" s="2" t="n">
        <v>6</v>
      </c>
      <c r="L2397" s="2" t="n">
        <v>0</v>
      </c>
      <c r="M2397" s="2" t="n">
        <v>1</v>
      </c>
    </row>
    <row r="2398" customFormat="false" ht="15" hidden="false" customHeight="false" outlineLevel="0" collapsed="false">
      <c r="A2398" s="2" t="s">
        <v>5066</v>
      </c>
      <c r="B2398" s="2" t="s">
        <v>5067</v>
      </c>
      <c r="C2398" s="2" t="n">
        <v>3</v>
      </c>
      <c r="D2398" s="2" t="s">
        <v>36</v>
      </c>
      <c r="E2398" s="2" t="s">
        <v>4951</v>
      </c>
      <c r="F2398" s="3" t="n">
        <v>45892.2208333333</v>
      </c>
      <c r="G2398" s="2" t="s">
        <v>4646</v>
      </c>
      <c r="H2398" s="4" t="n">
        <v>0.4404</v>
      </c>
      <c r="I2398" s="2" t="s">
        <v>23</v>
      </c>
      <c r="J2398" s="2" t="s">
        <v>37</v>
      </c>
      <c r="K2398" s="2" t="n">
        <v>6</v>
      </c>
      <c r="L2398" s="2" t="n">
        <v>0</v>
      </c>
      <c r="M2398" s="2" t="n">
        <v>1</v>
      </c>
    </row>
    <row r="2399" customFormat="false" ht="15" hidden="false" customHeight="false" outlineLevel="0" collapsed="false">
      <c r="A2399" s="2" t="s">
        <v>5068</v>
      </c>
      <c r="B2399" s="2" t="s">
        <v>5069</v>
      </c>
      <c r="C2399" s="2" t="n">
        <v>4</v>
      </c>
      <c r="D2399" s="2" t="s">
        <v>96</v>
      </c>
      <c r="E2399" s="2" t="s">
        <v>4951</v>
      </c>
      <c r="F2399" s="3" t="n">
        <v>45892.2645833333</v>
      </c>
      <c r="G2399" s="2" t="s">
        <v>4646</v>
      </c>
      <c r="H2399" s="4" t="n">
        <v>0.6369</v>
      </c>
      <c r="I2399" s="2" t="s">
        <v>23</v>
      </c>
      <c r="J2399" s="2" t="s">
        <v>19</v>
      </c>
      <c r="K2399" s="2" t="n">
        <v>2</v>
      </c>
      <c r="L2399" s="2" t="n">
        <v>0</v>
      </c>
      <c r="M2399" s="2" t="n">
        <v>1</v>
      </c>
    </row>
    <row r="2400" customFormat="false" ht="15" hidden="false" customHeight="false" outlineLevel="0" collapsed="false">
      <c r="A2400" s="2" t="s">
        <v>5070</v>
      </c>
      <c r="B2400" s="2" t="s">
        <v>5071</v>
      </c>
      <c r="C2400" s="2" t="n">
        <v>5</v>
      </c>
      <c r="D2400" s="2" t="s">
        <v>47</v>
      </c>
      <c r="E2400" s="2" t="s">
        <v>4951</v>
      </c>
      <c r="F2400" s="3" t="n">
        <v>45892.3597222222</v>
      </c>
      <c r="G2400" s="2" t="s">
        <v>4646</v>
      </c>
      <c r="H2400" s="4" t="n">
        <v>0.3089</v>
      </c>
      <c r="I2400" s="2" t="s">
        <v>23</v>
      </c>
      <c r="J2400" s="2" t="s">
        <v>19</v>
      </c>
      <c r="K2400" s="2" t="n">
        <v>2</v>
      </c>
      <c r="L2400" s="2" t="n">
        <v>0</v>
      </c>
      <c r="M2400" s="2" t="n">
        <v>1</v>
      </c>
    </row>
    <row r="2401" customFormat="false" ht="15" hidden="false" customHeight="false" outlineLevel="0" collapsed="false">
      <c r="A2401" s="2" t="s">
        <v>5072</v>
      </c>
      <c r="B2401" s="2" t="s">
        <v>5073</v>
      </c>
      <c r="C2401" s="2" t="n">
        <v>5</v>
      </c>
      <c r="D2401" s="2" t="s">
        <v>52</v>
      </c>
      <c r="E2401" s="2" t="s">
        <v>4951</v>
      </c>
      <c r="F2401" s="3" t="n">
        <v>45892.6340277778</v>
      </c>
      <c r="G2401" s="2" t="s">
        <v>4646</v>
      </c>
      <c r="H2401" s="4" t="n">
        <v>0.6369</v>
      </c>
      <c r="I2401" s="2" t="s">
        <v>23</v>
      </c>
      <c r="J2401" s="2" t="s">
        <v>19</v>
      </c>
      <c r="K2401" s="2" t="n">
        <v>1</v>
      </c>
      <c r="L2401" s="2" t="n">
        <v>0</v>
      </c>
      <c r="M2401" s="2" t="n">
        <v>1</v>
      </c>
    </row>
    <row r="2402" customFormat="false" ht="15" hidden="false" customHeight="false" outlineLevel="0" collapsed="false">
      <c r="A2402" s="2" t="s">
        <v>5074</v>
      </c>
      <c r="B2402" s="2" t="s">
        <v>5075</v>
      </c>
      <c r="C2402" s="2" t="n">
        <v>2</v>
      </c>
      <c r="D2402" s="2" t="s">
        <v>109</v>
      </c>
      <c r="E2402" s="2" t="s">
        <v>4951</v>
      </c>
      <c r="F2402" s="3" t="n">
        <v>45892.7083333333</v>
      </c>
      <c r="G2402" s="2" t="s">
        <v>4646</v>
      </c>
      <c r="H2402" s="4" t="n">
        <v>0</v>
      </c>
      <c r="I2402" s="2" t="s">
        <v>18</v>
      </c>
      <c r="J2402" s="2" t="s">
        <v>110</v>
      </c>
      <c r="K2402" s="2" t="n">
        <v>0</v>
      </c>
      <c r="L2402" s="2" t="n">
        <v>0</v>
      </c>
      <c r="M2402" s="2" t="n">
        <v>1</v>
      </c>
    </row>
    <row r="2403" customFormat="false" ht="15" hidden="false" customHeight="false" outlineLevel="0" collapsed="false">
      <c r="A2403" s="2" t="s">
        <v>5076</v>
      </c>
      <c r="B2403" s="2" t="s">
        <v>5077</v>
      </c>
      <c r="C2403" s="2" t="n">
        <v>4</v>
      </c>
      <c r="D2403" s="2" t="s">
        <v>90</v>
      </c>
      <c r="E2403" s="2" t="s">
        <v>4951</v>
      </c>
      <c r="F2403" s="3" t="n">
        <v>45892.7465277778</v>
      </c>
      <c r="G2403" s="2" t="s">
        <v>4646</v>
      </c>
      <c r="H2403" s="4" t="n">
        <v>0.6249</v>
      </c>
      <c r="I2403" s="2" t="s">
        <v>23</v>
      </c>
      <c r="J2403" s="2" t="s">
        <v>37</v>
      </c>
      <c r="K2403" s="2" t="n">
        <v>0</v>
      </c>
      <c r="L2403" s="2" t="n">
        <v>0</v>
      </c>
      <c r="M2403" s="2" t="n">
        <v>1</v>
      </c>
    </row>
    <row r="2404" customFormat="false" ht="15" hidden="false" customHeight="false" outlineLevel="0" collapsed="false">
      <c r="A2404" s="2" t="s">
        <v>5078</v>
      </c>
      <c r="B2404" s="2" t="s">
        <v>5079</v>
      </c>
      <c r="C2404" s="2" t="n">
        <v>5</v>
      </c>
      <c r="D2404" s="2" t="s">
        <v>96</v>
      </c>
      <c r="E2404" s="2" t="s">
        <v>4951</v>
      </c>
      <c r="F2404" s="3" t="n">
        <v>45892.8361111111</v>
      </c>
      <c r="G2404" s="2" t="s">
        <v>4646</v>
      </c>
      <c r="H2404" s="4" t="n">
        <v>0.6369</v>
      </c>
      <c r="I2404" s="2" t="s">
        <v>23</v>
      </c>
      <c r="J2404" s="2" t="s">
        <v>19</v>
      </c>
      <c r="K2404" s="2" t="n">
        <v>4</v>
      </c>
      <c r="L2404" s="2" t="n">
        <v>0</v>
      </c>
      <c r="M2404" s="2" t="n">
        <v>1</v>
      </c>
    </row>
    <row r="2405" customFormat="false" ht="15" hidden="false" customHeight="false" outlineLevel="0" collapsed="false">
      <c r="A2405" s="2" t="s">
        <v>5080</v>
      </c>
      <c r="B2405" s="2" t="s">
        <v>5081</v>
      </c>
      <c r="C2405" s="2" t="n">
        <v>5</v>
      </c>
      <c r="D2405" s="2" t="s">
        <v>96</v>
      </c>
      <c r="E2405" s="2" t="s">
        <v>4951</v>
      </c>
      <c r="F2405" s="3" t="n">
        <v>45892.9131944445</v>
      </c>
      <c r="G2405" s="2" t="s">
        <v>4646</v>
      </c>
      <c r="H2405" s="4" t="n">
        <v>0.6369</v>
      </c>
      <c r="I2405" s="2" t="s">
        <v>23</v>
      </c>
      <c r="J2405" s="2" t="s">
        <v>19</v>
      </c>
      <c r="K2405" s="2" t="n">
        <v>3</v>
      </c>
      <c r="L2405" s="2" t="n">
        <v>0</v>
      </c>
      <c r="M2405" s="2" t="n">
        <v>1</v>
      </c>
    </row>
    <row r="2406" customFormat="false" ht="15" hidden="false" customHeight="false" outlineLevel="0" collapsed="false">
      <c r="A2406" s="2" t="s">
        <v>5082</v>
      </c>
      <c r="B2406" s="2" t="s">
        <v>5083</v>
      </c>
      <c r="C2406" s="2" t="n">
        <v>3</v>
      </c>
      <c r="D2406" s="2" t="s">
        <v>99</v>
      </c>
      <c r="E2406" s="2" t="s">
        <v>4951</v>
      </c>
      <c r="F2406" s="3" t="n">
        <v>45892.9236111111</v>
      </c>
      <c r="G2406" s="2" t="s">
        <v>4646</v>
      </c>
      <c r="H2406" s="4" t="n">
        <v>-0.3089</v>
      </c>
      <c r="I2406" s="2" t="s">
        <v>84</v>
      </c>
      <c r="J2406" s="2" t="s">
        <v>19</v>
      </c>
      <c r="K2406" s="2" t="n">
        <v>6</v>
      </c>
      <c r="L2406" s="2" t="n">
        <v>0</v>
      </c>
      <c r="M2406" s="2" t="n">
        <v>1</v>
      </c>
    </row>
    <row r="2407" customFormat="false" ht="15" hidden="false" customHeight="false" outlineLevel="0" collapsed="false">
      <c r="A2407" s="2" t="s">
        <v>5084</v>
      </c>
      <c r="B2407" s="2" t="s">
        <v>5085</v>
      </c>
      <c r="C2407" s="2" t="n">
        <v>4</v>
      </c>
      <c r="D2407" s="2" t="s">
        <v>1820</v>
      </c>
      <c r="E2407" s="2" t="s">
        <v>4951</v>
      </c>
      <c r="F2407" s="3" t="n">
        <v>45892.9819444444</v>
      </c>
      <c r="G2407" s="2" t="s">
        <v>4646</v>
      </c>
      <c r="H2407" s="4" t="n">
        <v>0.7269</v>
      </c>
      <c r="I2407" s="2" t="s">
        <v>23</v>
      </c>
      <c r="J2407" s="2" t="s">
        <v>19</v>
      </c>
      <c r="K2407" s="2" t="n">
        <v>1</v>
      </c>
      <c r="L2407" s="2" t="n">
        <v>1</v>
      </c>
      <c r="M2407" s="2" t="n">
        <v>1</v>
      </c>
    </row>
    <row r="2408" customFormat="false" ht="15" hidden="false" customHeight="false" outlineLevel="0" collapsed="false">
      <c r="A2408" s="2" t="s">
        <v>5086</v>
      </c>
      <c r="B2408" s="2" t="s">
        <v>5087</v>
      </c>
      <c r="C2408" s="2" t="n">
        <v>4</v>
      </c>
      <c r="D2408" s="2" t="s">
        <v>47</v>
      </c>
      <c r="E2408" s="2" t="s">
        <v>4951</v>
      </c>
      <c r="F2408" s="3" t="n">
        <v>45892.9868055556</v>
      </c>
      <c r="G2408" s="2" t="s">
        <v>4646</v>
      </c>
      <c r="H2408" s="4" t="n">
        <v>0.3089</v>
      </c>
      <c r="I2408" s="2" t="s">
        <v>23</v>
      </c>
      <c r="J2408" s="2" t="s">
        <v>19</v>
      </c>
      <c r="K2408" s="2" t="n">
        <v>2</v>
      </c>
      <c r="L2408" s="2" t="n">
        <v>0</v>
      </c>
      <c r="M2408" s="2" t="n">
        <v>1</v>
      </c>
    </row>
    <row r="2409" customFormat="false" ht="15" hidden="false" customHeight="false" outlineLevel="0" collapsed="false">
      <c r="A2409" s="2" t="s">
        <v>5088</v>
      </c>
      <c r="B2409" s="2" t="s">
        <v>5089</v>
      </c>
      <c r="C2409" s="2" t="n">
        <v>2</v>
      </c>
      <c r="D2409" s="2" t="s">
        <v>2395</v>
      </c>
      <c r="E2409" s="2" t="s">
        <v>4951</v>
      </c>
      <c r="F2409" s="3" t="n">
        <v>45893.2277777778</v>
      </c>
      <c r="G2409" s="2" t="s">
        <v>4646</v>
      </c>
      <c r="H2409" s="4" t="n">
        <v>-0.6115</v>
      </c>
      <c r="I2409" s="2" t="s">
        <v>84</v>
      </c>
      <c r="J2409" s="2" t="s">
        <v>19</v>
      </c>
      <c r="K2409" s="2" t="n">
        <v>2</v>
      </c>
      <c r="L2409" s="2" t="n">
        <v>1</v>
      </c>
      <c r="M2409" s="2" t="n">
        <v>1</v>
      </c>
    </row>
    <row r="2410" customFormat="false" ht="15" hidden="false" customHeight="false" outlineLevel="0" collapsed="false">
      <c r="A2410" s="2" t="s">
        <v>5090</v>
      </c>
      <c r="B2410" s="2" t="s">
        <v>5091</v>
      </c>
      <c r="C2410" s="2" t="n">
        <v>3</v>
      </c>
      <c r="D2410" s="2" t="s">
        <v>2879</v>
      </c>
      <c r="E2410" s="2" t="s">
        <v>4951</v>
      </c>
      <c r="F2410" s="3" t="n">
        <v>45893.2479166667</v>
      </c>
      <c r="G2410" s="2" t="s">
        <v>4646</v>
      </c>
      <c r="H2410" s="4" t="n">
        <v>0.2263</v>
      </c>
      <c r="I2410" s="2" t="s">
        <v>23</v>
      </c>
      <c r="J2410" s="2" t="s">
        <v>110</v>
      </c>
      <c r="K2410" s="2" t="n">
        <v>0</v>
      </c>
      <c r="L2410" s="2" t="n">
        <v>0</v>
      </c>
      <c r="M2410" s="2" t="n">
        <v>1</v>
      </c>
    </row>
    <row r="2411" customFormat="false" ht="15" hidden="false" customHeight="false" outlineLevel="0" collapsed="false">
      <c r="A2411" s="2" t="s">
        <v>5092</v>
      </c>
      <c r="B2411" s="2" t="s">
        <v>5093</v>
      </c>
      <c r="C2411" s="2" t="n">
        <v>5</v>
      </c>
      <c r="D2411" s="2" t="s">
        <v>90</v>
      </c>
      <c r="E2411" s="2" t="s">
        <v>4951</v>
      </c>
      <c r="F2411" s="3" t="n">
        <v>45893.3111111111</v>
      </c>
      <c r="G2411" s="2" t="s">
        <v>4646</v>
      </c>
      <c r="H2411" s="4" t="n">
        <v>0.6249</v>
      </c>
      <c r="I2411" s="2" t="s">
        <v>23</v>
      </c>
      <c r="J2411" s="2" t="s">
        <v>37</v>
      </c>
      <c r="K2411" s="2" t="n">
        <v>0</v>
      </c>
      <c r="L2411" s="2" t="n">
        <v>0</v>
      </c>
      <c r="M2411" s="2" t="n">
        <v>1</v>
      </c>
    </row>
    <row r="2412" customFormat="false" ht="15" hidden="false" customHeight="false" outlineLevel="0" collapsed="false">
      <c r="A2412" s="2" t="s">
        <v>5094</v>
      </c>
      <c r="B2412" s="2" t="s">
        <v>5095</v>
      </c>
      <c r="C2412" s="2" t="n">
        <v>5</v>
      </c>
      <c r="D2412" s="2" t="s">
        <v>40</v>
      </c>
      <c r="E2412" s="2" t="s">
        <v>4951</v>
      </c>
      <c r="F2412" s="3" t="n">
        <v>45893.4375</v>
      </c>
      <c r="G2412" s="2" t="s">
        <v>4646</v>
      </c>
      <c r="H2412" s="4" t="n">
        <v>0.4019</v>
      </c>
      <c r="I2412" s="2" t="s">
        <v>23</v>
      </c>
      <c r="J2412" s="2" t="s">
        <v>33</v>
      </c>
      <c r="K2412" s="2" t="n">
        <v>0</v>
      </c>
      <c r="L2412" s="2" t="n">
        <v>0</v>
      </c>
      <c r="M2412" s="2" t="n">
        <v>1</v>
      </c>
    </row>
    <row r="2413" customFormat="false" ht="15" hidden="false" customHeight="false" outlineLevel="0" collapsed="false">
      <c r="A2413" s="2" t="s">
        <v>5096</v>
      </c>
      <c r="B2413" s="2" t="s">
        <v>5097</v>
      </c>
      <c r="C2413" s="2" t="n">
        <v>1</v>
      </c>
      <c r="D2413" s="2" t="s">
        <v>5098</v>
      </c>
      <c r="E2413" s="2" t="s">
        <v>4951</v>
      </c>
      <c r="F2413" s="3" t="n">
        <v>45893.6194444444</v>
      </c>
      <c r="G2413" s="2" t="s">
        <v>4646</v>
      </c>
      <c r="H2413" s="4" t="n">
        <v>0</v>
      </c>
      <c r="I2413" s="2" t="s">
        <v>18</v>
      </c>
      <c r="J2413" s="2" t="s">
        <v>165</v>
      </c>
      <c r="K2413" s="2" t="n">
        <v>1</v>
      </c>
      <c r="L2413" s="2" t="n">
        <v>0</v>
      </c>
      <c r="M2413" s="2" t="n">
        <v>1</v>
      </c>
    </row>
    <row r="2414" customFormat="false" ht="15" hidden="false" customHeight="false" outlineLevel="0" collapsed="false">
      <c r="A2414" s="2" t="s">
        <v>5099</v>
      </c>
      <c r="B2414" s="2" t="s">
        <v>5100</v>
      </c>
      <c r="C2414" s="2" t="n">
        <v>4</v>
      </c>
      <c r="D2414" s="2" t="s">
        <v>127</v>
      </c>
      <c r="E2414" s="2" t="s">
        <v>4951</v>
      </c>
      <c r="F2414" s="3" t="n">
        <v>45893.6527777778</v>
      </c>
      <c r="G2414" s="2" t="s">
        <v>4646</v>
      </c>
      <c r="H2414" s="4" t="n">
        <v>0.9359</v>
      </c>
      <c r="I2414" s="2" t="s">
        <v>23</v>
      </c>
      <c r="J2414" s="2" t="s">
        <v>37</v>
      </c>
      <c r="K2414" s="2" t="n">
        <v>1</v>
      </c>
      <c r="L2414" s="2" t="n">
        <v>0</v>
      </c>
      <c r="M2414" s="2" t="n">
        <v>1</v>
      </c>
    </row>
    <row r="2415" customFormat="false" ht="15" hidden="false" customHeight="false" outlineLevel="0" collapsed="false">
      <c r="A2415" s="2" t="s">
        <v>5101</v>
      </c>
      <c r="B2415" s="2" t="s">
        <v>5102</v>
      </c>
      <c r="C2415" s="2" t="n">
        <v>5</v>
      </c>
      <c r="D2415" s="2" t="s">
        <v>47</v>
      </c>
      <c r="E2415" s="2" t="s">
        <v>4951</v>
      </c>
      <c r="F2415" s="3" t="n">
        <v>45893.7111111111</v>
      </c>
      <c r="G2415" s="2" t="s">
        <v>4646</v>
      </c>
      <c r="H2415" s="4" t="n">
        <v>0.3089</v>
      </c>
      <c r="I2415" s="2" t="s">
        <v>23</v>
      </c>
      <c r="J2415" s="2" t="s">
        <v>19</v>
      </c>
      <c r="K2415" s="2" t="n">
        <v>0</v>
      </c>
      <c r="L2415" s="2" t="n">
        <v>1</v>
      </c>
      <c r="M2415" s="2" t="n">
        <v>1</v>
      </c>
    </row>
    <row r="2416" customFormat="false" ht="15" hidden="false" customHeight="false" outlineLevel="0" collapsed="false">
      <c r="A2416" s="2" t="s">
        <v>5103</v>
      </c>
      <c r="B2416" s="2" t="s">
        <v>5104</v>
      </c>
      <c r="C2416" s="2" t="n">
        <v>5</v>
      </c>
      <c r="D2416" s="2" t="s">
        <v>555</v>
      </c>
      <c r="E2416" s="2" t="s">
        <v>4951</v>
      </c>
      <c r="F2416" s="3" t="n">
        <v>45893.7680555556</v>
      </c>
      <c r="G2416" s="2" t="s">
        <v>4646</v>
      </c>
      <c r="H2416" s="4" t="n">
        <v>0.8221</v>
      </c>
      <c r="I2416" s="2" t="s">
        <v>23</v>
      </c>
      <c r="J2416" s="2" t="s">
        <v>33</v>
      </c>
      <c r="K2416" s="2" t="n">
        <v>1</v>
      </c>
      <c r="L2416" s="2" t="n">
        <v>0</v>
      </c>
      <c r="M2416" s="2" t="n">
        <v>1</v>
      </c>
    </row>
    <row r="2417" customFormat="false" ht="15" hidden="false" customHeight="false" outlineLevel="0" collapsed="false">
      <c r="A2417" s="2" t="s">
        <v>5105</v>
      </c>
      <c r="B2417" s="2" t="s">
        <v>5106</v>
      </c>
      <c r="C2417" s="2" t="n">
        <v>5</v>
      </c>
      <c r="D2417" s="2" t="s">
        <v>47</v>
      </c>
      <c r="E2417" s="2" t="s">
        <v>4951</v>
      </c>
      <c r="F2417" s="3" t="n">
        <v>45893.7979166667</v>
      </c>
      <c r="G2417" s="2" t="s">
        <v>4646</v>
      </c>
      <c r="H2417" s="4" t="n">
        <v>0.3089</v>
      </c>
      <c r="I2417" s="2" t="s">
        <v>23</v>
      </c>
      <c r="J2417" s="2" t="s">
        <v>19</v>
      </c>
      <c r="K2417" s="2" t="n">
        <v>1</v>
      </c>
      <c r="L2417" s="2" t="n">
        <v>0</v>
      </c>
      <c r="M2417" s="2" t="n">
        <v>1</v>
      </c>
    </row>
    <row r="2418" customFormat="false" ht="15" hidden="false" customHeight="false" outlineLevel="0" collapsed="false">
      <c r="A2418" s="2" t="s">
        <v>5107</v>
      </c>
      <c r="B2418" s="2" t="s">
        <v>5108</v>
      </c>
      <c r="C2418" s="2" t="n">
        <v>2</v>
      </c>
      <c r="D2418" s="2" t="s">
        <v>168</v>
      </c>
      <c r="E2418" s="2" t="s">
        <v>4951</v>
      </c>
      <c r="F2418" s="3" t="n">
        <v>45894.0506944444</v>
      </c>
      <c r="G2418" s="2" t="s">
        <v>4646</v>
      </c>
      <c r="H2418" s="4" t="n">
        <v>-0.1027</v>
      </c>
      <c r="I2418" s="2" t="s">
        <v>84</v>
      </c>
      <c r="J2418" s="2" t="s">
        <v>33</v>
      </c>
      <c r="K2418" s="2" t="n">
        <v>0</v>
      </c>
      <c r="L2418" s="2" t="n">
        <v>1</v>
      </c>
      <c r="M2418" s="2" t="n">
        <v>1</v>
      </c>
    </row>
    <row r="2419" customFormat="false" ht="15" hidden="false" customHeight="false" outlineLevel="0" collapsed="false">
      <c r="A2419" s="2" t="s">
        <v>5109</v>
      </c>
      <c r="B2419" s="2" t="s">
        <v>5110</v>
      </c>
      <c r="C2419" s="2" t="n">
        <v>4</v>
      </c>
      <c r="D2419" s="2" t="s">
        <v>96</v>
      </c>
      <c r="E2419" s="2" t="s">
        <v>4951</v>
      </c>
      <c r="F2419" s="3" t="n">
        <v>45894.3034722222</v>
      </c>
      <c r="G2419" s="2" t="s">
        <v>4646</v>
      </c>
      <c r="H2419" s="4" t="n">
        <v>0.6369</v>
      </c>
      <c r="I2419" s="2" t="s">
        <v>23</v>
      </c>
      <c r="J2419" s="2" t="s">
        <v>19</v>
      </c>
      <c r="K2419" s="2" t="n">
        <v>0</v>
      </c>
      <c r="L2419" s="2" t="n">
        <v>0</v>
      </c>
      <c r="M2419" s="2" t="n">
        <v>1</v>
      </c>
    </row>
    <row r="2420" customFormat="false" ht="15" hidden="false" customHeight="false" outlineLevel="0" collapsed="false">
      <c r="A2420" s="2" t="s">
        <v>5111</v>
      </c>
      <c r="B2420" s="2" t="s">
        <v>5112</v>
      </c>
      <c r="C2420" s="2" t="n">
        <v>3</v>
      </c>
      <c r="D2420" s="2" t="s">
        <v>99</v>
      </c>
      <c r="E2420" s="2" t="s">
        <v>4951</v>
      </c>
      <c r="F2420" s="3" t="n">
        <v>45894.30625</v>
      </c>
      <c r="G2420" s="2" t="s">
        <v>4646</v>
      </c>
      <c r="H2420" s="4" t="n">
        <v>-0.3089</v>
      </c>
      <c r="I2420" s="2" t="s">
        <v>84</v>
      </c>
      <c r="J2420" s="2" t="s">
        <v>19</v>
      </c>
      <c r="K2420" s="2" t="n">
        <v>0</v>
      </c>
      <c r="L2420" s="2" t="n">
        <v>0</v>
      </c>
      <c r="M2420" s="2" t="n">
        <v>1</v>
      </c>
    </row>
    <row r="2421" customFormat="false" ht="15" hidden="false" customHeight="false" outlineLevel="0" collapsed="false">
      <c r="A2421" s="2" t="s">
        <v>5113</v>
      </c>
      <c r="B2421" s="2" t="s">
        <v>4286</v>
      </c>
      <c r="C2421" s="2" t="n">
        <v>4</v>
      </c>
      <c r="D2421" s="2" t="s">
        <v>40</v>
      </c>
      <c r="E2421" s="2" t="s">
        <v>4951</v>
      </c>
      <c r="F2421" s="3" t="n">
        <v>45894.3291666667</v>
      </c>
      <c r="G2421" s="2" t="s">
        <v>4646</v>
      </c>
      <c r="H2421" s="4" t="n">
        <v>0.4019</v>
      </c>
      <c r="I2421" s="2" t="s">
        <v>23</v>
      </c>
      <c r="J2421" s="2" t="s">
        <v>33</v>
      </c>
      <c r="K2421" s="2" t="n">
        <v>0</v>
      </c>
      <c r="L2421" s="2" t="n">
        <v>0</v>
      </c>
      <c r="M2421" s="2" t="n">
        <v>1</v>
      </c>
    </row>
    <row r="2422" customFormat="false" ht="15" hidden="false" customHeight="false" outlineLevel="0" collapsed="false">
      <c r="A2422" s="2" t="s">
        <v>5114</v>
      </c>
      <c r="B2422" s="2" t="s">
        <v>5115</v>
      </c>
      <c r="C2422" s="2" t="n">
        <v>3</v>
      </c>
      <c r="D2422" s="2" t="s">
        <v>701</v>
      </c>
      <c r="E2422" s="2" t="s">
        <v>4951</v>
      </c>
      <c r="F2422" s="3" t="n">
        <v>45894.3333333333</v>
      </c>
      <c r="G2422" s="2" t="s">
        <v>4646</v>
      </c>
      <c r="H2422" s="4" t="n">
        <v>-0.7184</v>
      </c>
      <c r="I2422" s="2" t="s">
        <v>84</v>
      </c>
      <c r="J2422" s="2" t="s">
        <v>37</v>
      </c>
      <c r="K2422" s="2" t="n">
        <v>8</v>
      </c>
      <c r="L2422" s="2" t="n">
        <v>0</v>
      </c>
      <c r="M2422" s="2" t="n">
        <v>1</v>
      </c>
    </row>
    <row r="2423" customFormat="false" ht="15" hidden="false" customHeight="false" outlineLevel="0" collapsed="false">
      <c r="A2423" s="2" t="s">
        <v>5116</v>
      </c>
      <c r="B2423" s="2" t="s">
        <v>5117</v>
      </c>
      <c r="C2423" s="2" t="n">
        <v>4</v>
      </c>
      <c r="D2423" s="2" t="s">
        <v>90</v>
      </c>
      <c r="E2423" s="2" t="s">
        <v>4951</v>
      </c>
      <c r="F2423" s="3" t="n">
        <v>45894.3597222222</v>
      </c>
      <c r="G2423" s="2" t="s">
        <v>4646</v>
      </c>
      <c r="H2423" s="4" t="n">
        <v>0.6249</v>
      </c>
      <c r="I2423" s="2" t="s">
        <v>23</v>
      </c>
      <c r="J2423" s="2" t="s">
        <v>37</v>
      </c>
      <c r="K2423" s="2" t="n">
        <v>14</v>
      </c>
      <c r="L2423" s="2" t="n">
        <v>0</v>
      </c>
      <c r="M2423" s="2" t="n">
        <v>1</v>
      </c>
    </row>
    <row r="2424" customFormat="false" ht="15" hidden="false" customHeight="false" outlineLevel="0" collapsed="false">
      <c r="A2424" s="2" t="s">
        <v>5118</v>
      </c>
      <c r="B2424" s="2" t="s">
        <v>5119</v>
      </c>
      <c r="C2424" s="2" t="n">
        <v>5</v>
      </c>
      <c r="D2424" s="2" t="s">
        <v>2587</v>
      </c>
      <c r="E2424" s="2" t="s">
        <v>4951</v>
      </c>
      <c r="F2424" s="3" t="n">
        <v>45894.6513888889</v>
      </c>
      <c r="G2424" s="2" t="s">
        <v>4646</v>
      </c>
      <c r="H2424" s="4" t="n">
        <v>0.9828</v>
      </c>
      <c r="I2424" s="2" t="s">
        <v>23</v>
      </c>
      <c r="J2424" s="2" t="s">
        <v>37</v>
      </c>
      <c r="K2424" s="2" t="n">
        <v>4</v>
      </c>
      <c r="L2424" s="2" t="n">
        <v>0</v>
      </c>
      <c r="M2424" s="2" t="n">
        <v>1</v>
      </c>
    </row>
    <row r="2425" customFormat="false" ht="15" hidden="false" customHeight="false" outlineLevel="0" collapsed="false">
      <c r="A2425" s="2" t="s">
        <v>5120</v>
      </c>
      <c r="B2425" s="2" t="s">
        <v>5121</v>
      </c>
      <c r="C2425" s="2" t="n">
        <v>5</v>
      </c>
      <c r="D2425" s="2" t="s">
        <v>96</v>
      </c>
      <c r="E2425" s="2" t="s">
        <v>4951</v>
      </c>
      <c r="F2425" s="3" t="n">
        <v>45894.6604166667</v>
      </c>
      <c r="G2425" s="2" t="s">
        <v>4646</v>
      </c>
      <c r="H2425" s="4" t="n">
        <v>0.6369</v>
      </c>
      <c r="I2425" s="2" t="s">
        <v>23</v>
      </c>
      <c r="J2425" s="2" t="s">
        <v>19</v>
      </c>
      <c r="K2425" s="2" t="n">
        <v>2</v>
      </c>
      <c r="L2425" s="2" t="n">
        <v>0</v>
      </c>
      <c r="M2425" s="2" t="n">
        <v>1</v>
      </c>
    </row>
    <row r="2426" customFormat="false" ht="15" hidden="false" customHeight="false" outlineLevel="0" collapsed="false">
      <c r="A2426" s="2" t="s">
        <v>5122</v>
      </c>
      <c r="B2426" s="2" t="s">
        <v>5123</v>
      </c>
      <c r="C2426" s="2" t="n">
        <v>5</v>
      </c>
      <c r="D2426" s="2" t="s">
        <v>40</v>
      </c>
      <c r="E2426" s="2" t="s">
        <v>4951</v>
      </c>
      <c r="F2426" s="3" t="n">
        <v>45894.8243055556</v>
      </c>
      <c r="G2426" s="2" t="s">
        <v>4646</v>
      </c>
      <c r="H2426" s="4" t="n">
        <v>0.4019</v>
      </c>
      <c r="I2426" s="2" t="s">
        <v>23</v>
      </c>
      <c r="J2426" s="2" t="s">
        <v>33</v>
      </c>
      <c r="K2426" s="2" t="n">
        <v>1</v>
      </c>
      <c r="L2426" s="2" t="n">
        <v>0</v>
      </c>
      <c r="M2426" s="2" t="n">
        <v>1</v>
      </c>
    </row>
    <row r="2427" customFormat="false" ht="15" hidden="false" customHeight="false" outlineLevel="0" collapsed="false">
      <c r="A2427" s="2" t="s">
        <v>5124</v>
      </c>
      <c r="B2427" s="2" t="s">
        <v>5125</v>
      </c>
      <c r="C2427" s="2" t="n">
        <v>4</v>
      </c>
      <c r="D2427" s="2" t="s">
        <v>40</v>
      </c>
      <c r="E2427" s="2" t="s">
        <v>4951</v>
      </c>
      <c r="F2427" s="3" t="n">
        <v>45894.95</v>
      </c>
      <c r="G2427" s="2" t="s">
        <v>4646</v>
      </c>
      <c r="H2427" s="4" t="n">
        <v>0.4019</v>
      </c>
      <c r="I2427" s="2" t="s">
        <v>23</v>
      </c>
      <c r="J2427" s="2" t="s">
        <v>33</v>
      </c>
      <c r="K2427" s="2" t="n">
        <v>6</v>
      </c>
      <c r="L2427" s="2" t="n">
        <v>0</v>
      </c>
      <c r="M2427" s="2" t="n">
        <v>1</v>
      </c>
    </row>
    <row r="2428" customFormat="false" ht="15" hidden="false" customHeight="false" outlineLevel="0" collapsed="false">
      <c r="A2428" s="2" t="s">
        <v>5126</v>
      </c>
      <c r="B2428" s="2" t="s">
        <v>5127</v>
      </c>
      <c r="C2428" s="2" t="n">
        <v>5</v>
      </c>
      <c r="D2428" s="2" t="s">
        <v>325</v>
      </c>
      <c r="E2428" s="2" t="s">
        <v>4951</v>
      </c>
      <c r="F2428" s="3" t="n">
        <v>45895.0020833333</v>
      </c>
      <c r="G2428" s="2" t="s">
        <v>4646</v>
      </c>
      <c r="H2428" s="4" t="n">
        <v>0.9612</v>
      </c>
      <c r="I2428" s="2" t="s">
        <v>23</v>
      </c>
      <c r="J2428" s="2" t="s">
        <v>37</v>
      </c>
      <c r="K2428" s="2" t="n">
        <v>2</v>
      </c>
      <c r="L2428" s="2" t="n">
        <v>0</v>
      </c>
      <c r="M2428" s="2" t="n">
        <v>1</v>
      </c>
    </row>
    <row r="2429" customFormat="false" ht="15" hidden="false" customHeight="false" outlineLevel="0" collapsed="false">
      <c r="A2429" s="2" t="s">
        <v>5128</v>
      </c>
      <c r="B2429" s="2" t="s">
        <v>5129</v>
      </c>
      <c r="C2429" s="2" t="n">
        <v>5</v>
      </c>
      <c r="D2429" s="2" t="s">
        <v>1013</v>
      </c>
      <c r="E2429" s="2" t="s">
        <v>4951</v>
      </c>
      <c r="F2429" s="3" t="n">
        <v>45895.0194444444</v>
      </c>
      <c r="G2429" s="2" t="s">
        <v>4646</v>
      </c>
      <c r="H2429" s="4" t="n">
        <v>0.9606</v>
      </c>
      <c r="I2429" s="2" t="s">
        <v>23</v>
      </c>
      <c r="J2429" s="2" t="s">
        <v>37</v>
      </c>
      <c r="K2429" s="2" t="n">
        <v>7</v>
      </c>
      <c r="L2429" s="2" t="n">
        <v>0</v>
      </c>
      <c r="M2429" s="2" t="n">
        <v>1</v>
      </c>
    </row>
    <row r="2430" customFormat="false" ht="15" hidden="false" customHeight="false" outlineLevel="0" collapsed="false">
      <c r="A2430" s="2" t="s">
        <v>5130</v>
      </c>
      <c r="B2430" s="2" t="s">
        <v>5131</v>
      </c>
      <c r="C2430" s="2" t="n">
        <v>2</v>
      </c>
      <c r="D2430" s="2" t="s">
        <v>231</v>
      </c>
      <c r="E2430" s="2" t="s">
        <v>4951</v>
      </c>
      <c r="F2430" s="3" t="n">
        <v>45895.1277777778</v>
      </c>
      <c r="G2430" s="2" t="s">
        <v>4646</v>
      </c>
      <c r="H2430" s="4" t="n">
        <v>-0.3593</v>
      </c>
      <c r="I2430" s="2" t="s">
        <v>84</v>
      </c>
      <c r="J2430" s="2" t="s">
        <v>33</v>
      </c>
      <c r="K2430" s="2" t="n">
        <v>7</v>
      </c>
      <c r="L2430" s="2" t="n">
        <v>1</v>
      </c>
      <c r="M2430" s="2" t="n">
        <v>1</v>
      </c>
    </row>
    <row r="2431" customFormat="false" ht="15" hidden="false" customHeight="false" outlineLevel="0" collapsed="false">
      <c r="A2431" s="2" t="s">
        <v>5132</v>
      </c>
      <c r="B2431" s="2" t="s">
        <v>5133</v>
      </c>
      <c r="C2431" s="2" t="n">
        <v>5</v>
      </c>
      <c r="D2431" s="2" t="s">
        <v>62</v>
      </c>
      <c r="E2431" s="2" t="s">
        <v>4951</v>
      </c>
      <c r="F2431" s="3" t="n">
        <v>45895.29375</v>
      </c>
      <c r="G2431" s="2" t="s">
        <v>4646</v>
      </c>
      <c r="H2431" s="4" t="n">
        <v>0.7088</v>
      </c>
      <c r="I2431" s="2" t="s">
        <v>23</v>
      </c>
      <c r="J2431" s="2" t="s">
        <v>19</v>
      </c>
      <c r="K2431" s="2" t="n">
        <v>1</v>
      </c>
      <c r="L2431" s="2" t="n">
        <v>0</v>
      </c>
      <c r="M2431" s="2" t="n">
        <v>1</v>
      </c>
    </row>
    <row r="2432" customFormat="false" ht="15" hidden="false" customHeight="false" outlineLevel="0" collapsed="false">
      <c r="A2432" s="2" t="s">
        <v>5134</v>
      </c>
      <c r="B2432" s="2" t="s">
        <v>5135</v>
      </c>
      <c r="C2432" s="2" t="n">
        <v>4</v>
      </c>
      <c r="D2432" s="2" t="s">
        <v>47</v>
      </c>
      <c r="E2432" s="2" t="s">
        <v>4951</v>
      </c>
      <c r="F2432" s="3" t="n">
        <v>45895.3965277778</v>
      </c>
      <c r="G2432" s="2" t="s">
        <v>4646</v>
      </c>
      <c r="H2432" s="4" t="n">
        <v>0.3089</v>
      </c>
      <c r="I2432" s="2" t="s">
        <v>23</v>
      </c>
      <c r="J2432" s="2" t="s">
        <v>19</v>
      </c>
      <c r="K2432" s="2" t="n">
        <v>3</v>
      </c>
      <c r="L2432" s="2" t="n">
        <v>0</v>
      </c>
      <c r="M2432" s="2" t="n">
        <v>1</v>
      </c>
    </row>
    <row r="2433" customFormat="false" ht="15" hidden="false" customHeight="false" outlineLevel="0" collapsed="false">
      <c r="A2433" s="2" t="s">
        <v>5136</v>
      </c>
      <c r="B2433" s="2" t="s">
        <v>5137</v>
      </c>
      <c r="C2433" s="2" t="n">
        <v>3</v>
      </c>
      <c r="D2433" s="2" t="s">
        <v>36</v>
      </c>
      <c r="E2433" s="2" t="s">
        <v>4951</v>
      </c>
      <c r="F2433" s="3" t="n">
        <v>45895.4388888889</v>
      </c>
      <c r="G2433" s="2" t="s">
        <v>4646</v>
      </c>
      <c r="H2433" s="4" t="n">
        <v>0.4404</v>
      </c>
      <c r="I2433" s="2" t="s">
        <v>23</v>
      </c>
      <c r="J2433" s="2" t="s">
        <v>37</v>
      </c>
      <c r="K2433" s="2" t="n">
        <v>5</v>
      </c>
      <c r="L2433" s="2" t="n">
        <v>0</v>
      </c>
      <c r="M2433" s="2" t="n">
        <v>1</v>
      </c>
    </row>
    <row r="2434" customFormat="false" ht="15" hidden="false" customHeight="false" outlineLevel="0" collapsed="false">
      <c r="A2434" s="2" t="s">
        <v>5138</v>
      </c>
      <c r="B2434" s="2" t="s">
        <v>5139</v>
      </c>
      <c r="C2434" s="2" t="n">
        <v>3</v>
      </c>
      <c r="D2434" s="2" t="s">
        <v>87</v>
      </c>
      <c r="E2434" s="2" t="s">
        <v>4951</v>
      </c>
      <c r="F2434" s="3" t="n">
        <v>45895.4861111111</v>
      </c>
      <c r="G2434" s="2" t="s">
        <v>4646</v>
      </c>
      <c r="H2434" s="4" t="n">
        <v>0</v>
      </c>
      <c r="I2434" s="2" t="s">
        <v>18</v>
      </c>
      <c r="J2434" s="2" t="s">
        <v>19</v>
      </c>
      <c r="K2434" s="2" t="n">
        <v>1</v>
      </c>
      <c r="L2434" s="2" t="n">
        <v>0</v>
      </c>
      <c r="M2434" s="2" t="n">
        <v>1</v>
      </c>
    </row>
    <row r="2435" customFormat="false" ht="15" hidden="false" customHeight="false" outlineLevel="0" collapsed="false">
      <c r="A2435" s="2" t="s">
        <v>5140</v>
      </c>
      <c r="B2435" s="2" t="s">
        <v>5141</v>
      </c>
      <c r="C2435" s="2" t="n">
        <v>5</v>
      </c>
      <c r="D2435" s="2" t="s">
        <v>1878</v>
      </c>
      <c r="E2435" s="2" t="s">
        <v>4951</v>
      </c>
      <c r="F2435" s="3" t="n">
        <v>45895.70625</v>
      </c>
      <c r="G2435" s="2" t="s">
        <v>4646</v>
      </c>
      <c r="H2435" s="4" t="n">
        <v>0.9516</v>
      </c>
      <c r="I2435" s="2" t="s">
        <v>23</v>
      </c>
      <c r="J2435" s="2" t="s">
        <v>37</v>
      </c>
      <c r="K2435" s="2" t="n">
        <v>1</v>
      </c>
      <c r="L2435" s="2" t="n">
        <v>0</v>
      </c>
      <c r="M2435" s="2" t="n">
        <v>1</v>
      </c>
    </row>
    <row r="2436" customFormat="false" ht="15" hidden="false" customHeight="false" outlineLevel="0" collapsed="false">
      <c r="A2436" s="2" t="s">
        <v>5142</v>
      </c>
      <c r="B2436" s="2" t="s">
        <v>5143</v>
      </c>
      <c r="C2436" s="2" t="n">
        <v>5</v>
      </c>
      <c r="D2436" s="2" t="s">
        <v>40</v>
      </c>
      <c r="E2436" s="2" t="s">
        <v>4951</v>
      </c>
      <c r="F2436" s="3" t="n">
        <v>45895.8395833333</v>
      </c>
      <c r="G2436" s="2" t="s">
        <v>4646</v>
      </c>
      <c r="H2436" s="4" t="n">
        <v>0.4019</v>
      </c>
      <c r="I2436" s="2" t="s">
        <v>23</v>
      </c>
      <c r="J2436" s="2" t="s">
        <v>33</v>
      </c>
      <c r="K2436" s="2" t="n">
        <v>0</v>
      </c>
      <c r="L2436" s="2" t="n">
        <v>0</v>
      </c>
      <c r="M2436" s="2" t="n">
        <v>1</v>
      </c>
    </row>
    <row r="2437" customFormat="false" ht="15" hidden="false" customHeight="false" outlineLevel="0" collapsed="false">
      <c r="A2437" s="2" t="s">
        <v>5144</v>
      </c>
      <c r="B2437" s="2" t="s">
        <v>5145</v>
      </c>
      <c r="C2437" s="2" t="n">
        <v>4</v>
      </c>
      <c r="D2437" s="2" t="s">
        <v>40</v>
      </c>
      <c r="E2437" s="2" t="s">
        <v>4951</v>
      </c>
      <c r="F2437" s="3" t="n">
        <v>45895.8680555556</v>
      </c>
      <c r="G2437" s="2" t="s">
        <v>4646</v>
      </c>
      <c r="H2437" s="4" t="n">
        <v>0.4019</v>
      </c>
      <c r="I2437" s="2" t="s">
        <v>23</v>
      </c>
      <c r="J2437" s="2" t="s">
        <v>33</v>
      </c>
      <c r="K2437" s="2" t="n">
        <v>1</v>
      </c>
      <c r="L2437" s="2" t="n">
        <v>0</v>
      </c>
      <c r="M2437" s="2" t="n">
        <v>1</v>
      </c>
    </row>
    <row r="2438" customFormat="false" ht="15" hidden="false" customHeight="false" outlineLevel="0" collapsed="false">
      <c r="A2438" s="2" t="s">
        <v>5146</v>
      </c>
      <c r="B2438" s="2" t="s">
        <v>5147</v>
      </c>
      <c r="C2438" s="2" t="n">
        <v>4</v>
      </c>
      <c r="D2438" s="2" t="s">
        <v>52</v>
      </c>
      <c r="E2438" s="2" t="s">
        <v>4951</v>
      </c>
      <c r="F2438" s="3" t="n">
        <v>45895.9451388889</v>
      </c>
      <c r="G2438" s="2" t="s">
        <v>4646</v>
      </c>
      <c r="H2438" s="4" t="n">
        <v>0.6369</v>
      </c>
      <c r="I2438" s="2" t="s">
        <v>23</v>
      </c>
      <c r="J2438" s="2" t="s">
        <v>19</v>
      </c>
      <c r="K2438" s="2" t="n">
        <v>1</v>
      </c>
      <c r="L2438" s="2" t="n">
        <v>0</v>
      </c>
      <c r="M2438" s="2" t="n">
        <v>1</v>
      </c>
    </row>
    <row r="2439" customFormat="false" ht="15" hidden="false" customHeight="false" outlineLevel="0" collapsed="false">
      <c r="A2439" s="2" t="s">
        <v>5148</v>
      </c>
      <c r="B2439" s="2" t="s">
        <v>5149</v>
      </c>
      <c r="C2439" s="2" t="n">
        <v>3</v>
      </c>
      <c r="D2439" s="2" t="s">
        <v>591</v>
      </c>
      <c r="E2439" s="2" t="s">
        <v>4951</v>
      </c>
      <c r="F2439" s="3" t="n">
        <v>45896.0819444444</v>
      </c>
      <c r="G2439" s="2" t="s">
        <v>4646</v>
      </c>
      <c r="H2439" s="4" t="n">
        <v>0</v>
      </c>
      <c r="I2439" s="2" t="s">
        <v>18</v>
      </c>
      <c r="J2439" s="2" t="s">
        <v>37</v>
      </c>
      <c r="K2439" s="2" t="n">
        <v>0</v>
      </c>
      <c r="L2439" s="2" t="n">
        <v>0</v>
      </c>
      <c r="M2439" s="2" t="n">
        <v>1</v>
      </c>
    </row>
    <row r="2440" customFormat="false" ht="15" hidden="false" customHeight="false" outlineLevel="0" collapsed="false">
      <c r="A2440" s="2" t="s">
        <v>5150</v>
      </c>
      <c r="B2440" s="2" t="s">
        <v>5151</v>
      </c>
      <c r="C2440" s="2" t="n">
        <v>5</v>
      </c>
      <c r="D2440" s="2" t="s">
        <v>325</v>
      </c>
      <c r="E2440" s="2" t="s">
        <v>4951</v>
      </c>
      <c r="F2440" s="3" t="n">
        <v>45896.1006944445</v>
      </c>
      <c r="G2440" s="2" t="s">
        <v>4646</v>
      </c>
      <c r="H2440" s="4" t="n">
        <v>0.9612</v>
      </c>
      <c r="I2440" s="2" t="s">
        <v>23</v>
      </c>
      <c r="J2440" s="2" t="s">
        <v>37</v>
      </c>
      <c r="K2440" s="2" t="n">
        <v>4</v>
      </c>
      <c r="L2440" s="2" t="n">
        <v>0</v>
      </c>
      <c r="M2440" s="2" t="n">
        <v>1</v>
      </c>
    </row>
    <row r="2441" customFormat="false" ht="15" hidden="false" customHeight="false" outlineLevel="0" collapsed="false">
      <c r="A2441" s="2" t="s">
        <v>5152</v>
      </c>
      <c r="B2441" s="2" t="s">
        <v>5153</v>
      </c>
      <c r="C2441" s="2" t="n">
        <v>5</v>
      </c>
      <c r="D2441" s="2" t="s">
        <v>47</v>
      </c>
      <c r="E2441" s="2" t="s">
        <v>4951</v>
      </c>
      <c r="F2441" s="3" t="n">
        <v>45896.1305555556</v>
      </c>
      <c r="G2441" s="2" t="s">
        <v>4646</v>
      </c>
      <c r="H2441" s="4" t="n">
        <v>0.3089</v>
      </c>
      <c r="I2441" s="2" t="s">
        <v>23</v>
      </c>
      <c r="J2441" s="2" t="s">
        <v>19</v>
      </c>
      <c r="K2441" s="2" t="n">
        <v>3</v>
      </c>
      <c r="L2441" s="2" t="n">
        <v>0</v>
      </c>
      <c r="M2441" s="2" t="n">
        <v>1</v>
      </c>
    </row>
    <row r="2442" customFormat="false" ht="15" hidden="false" customHeight="false" outlineLevel="0" collapsed="false">
      <c r="A2442" s="2" t="s">
        <v>5154</v>
      </c>
      <c r="B2442" s="2" t="s">
        <v>5155</v>
      </c>
      <c r="C2442" s="2" t="n">
        <v>5</v>
      </c>
      <c r="D2442" s="2" t="s">
        <v>40</v>
      </c>
      <c r="E2442" s="2" t="s">
        <v>4951</v>
      </c>
      <c r="F2442" s="3" t="n">
        <v>45896.2256944445</v>
      </c>
      <c r="G2442" s="2" t="s">
        <v>4646</v>
      </c>
      <c r="H2442" s="4" t="n">
        <v>0.4019</v>
      </c>
      <c r="I2442" s="2" t="s">
        <v>23</v>
      </c>
      <c r="J2442" s="2" t="s">
        <v>33</v>
      </c>
      <c r="K2442" s="2" t="n">
        <v>2</v>
      </c>
      <c r="L2442" s="2" t="n">
        <v>0</v>
      </c>
      <c r="M2442" s="2" t="n">
        <v>1</v>
      </c>
    </row>
    <row r="2443" customFormat="false" ht="15" hidden="false" customHeight="false" outlineLevel="0" collapsed="false">
      <c r="A2443" s="2" t="s">
        <v>5156</v>
      </c>
      <c r="B2443" s="2" t="s">
        <v>5157</v>
      </c>
      <c r="C2443" s="2" t="n">
        <v>5</v>
      </c>
      <c r="D2443" s="2" t="s">
        <v>121</v>
      </c>
      <c r="E2443" s="2" t="s">
        <v>4951</v>
      </c>
      <c r="F2443" s="3" t="n">
        <v>45896.2513888889</v>
      </c>
      <c r="G2443" s="2" t="s">
        <v>4646</v>
      </c>
      <c r="H2443" s="4" t="n">
        <v>0.607</v>
      </c>
      <c r="I2443" s="2" t="s">
        <v>23</v>
      </c>
      <c r="J2443" s="2" t="s">
        <v>33</v>
      </c>
      <c r="K2443" s="2" t="n">
        <v>1</v>
      </c>
      <c r="L2443" s="2" t="n">
        <v>0</v>
      </c>
      <c r="M2443" s="2" t="n">
        <v>1</v>
      </c>
    </row>
    <row r="2444" customFormat="false" ht="15" hidden="false" customHeight="false" outlineLevel="0" collapsed="false">
      <c r="A2444" s="2" t="s">
        <v>5158</v>
      </c>
      <c r="B2444" s="2" t="s">
        <v>5159</v>
      </c>
      <c r="C2444" s="2" t="n">
        <v>4</v>
      </c>
      <c r="D2444" s="2" t="s">
        <v>87</v>
      </c>
      <c r="E2444" s="2" t="s">
        <v>4951</v>
      </c>
      <c r="F2444" s="3" t="n">
        <v>45896.29375</v>
      </c>
      <c r="G2444" s="2" t="s">
        <v>4646</v>
      </c>
      <c r="H2444" s="4" t="n">
        <v>0</v>
      </c>
      <c r="I2444" s="2" t="s">
        <v>18</v>
      </c>
      <c r="J2444" s="2" t="s">
        <v>19</v>
      </c>
      <c r="K2444" s="2" t="n">
        <v>4</v>
      </c>
      <c r="L2444" s="2" t="n">
        <v>0</v>
      </c>
      <c r="M2444" s="2" t="n">
        <v>1</v>
      </c>
    </row>
    <row r="2445" customFormat="false" ht="15" hidden="false" customHeight="false" outlineLevel="0" collapsed="false">
      <c r="A2445" s="2" t="s">
        <v>5160</v>
      </c>
      <c r="B2445" s="2" t="s">
        <v>5161</v>
      </c>
      <c r="C2445" s="2" t="n">
        <v>5</v>
      </c>
      <c r="D2445" s="2" t="s">
        <v>52</v>
      </c>
      <c r="E2445" s="2" t="s">
        <v>4951</v>
      </c>
      <c r="F2445" s="3" t="n">
        <v>45896.4326388889</v>
      </c>
      <c r="G2445" s="2" t="s">
        <v>4646</v>
      </c>
      <c r="H2445" s="4" t="n">
        <v>0.6369</v>
      </c>
      <c r="I2445" s="2" t="s">
        <v>23</v>
      </c>
      <c r="J2445" s="2" t="s">
        <v>19</v>
      </c>
      <c r="K2445" s="2" t="n">
        <v>0</v>
      </c>
      <c r="L2445" s="2" t="n">
        <v>0</v>
      </c>
      <c r="M2445" s="2" t="n">
        <v>1</v>
      </c>
    </row>
    <row r="2446" customFormat="false" ht="15" hidden="false" customHeight="false" outlineLevel="0" collapsed="false">
      <c r="A2446" s="2" t="s">
        <v>5162</v>
      </c>
      <c r="B2446" s="2" t="s">
        <v>5163</v>
      </c>
      <c r="C2446" s="2" t="n">
        <v>5</v>
      </c>
      <c r="D2446" s="2" t="s">
        <v>96</v>
      </c>
      <c r="E2446" s="2" t="s">
        <v>4951</v>
      </c>
      <c r="F2446" s="3" t="n">
        <v>45896.4347222222</v>
      </c>
      <c r="G2446" s="2" t="s">
        <v>4646</v>
      </c>
      <c r="H2446" s="4" t="n">
        <v>0.6369</v>
      </c>
      <c r="I2446" s="2" t="s">
        <v>23</v>
      </c>
      <c r="J2446" s="2" t="s">
        <v>19</v>
      </c>
      <c r="K2446" s="2" t="n">
        <v>6</v>
      </c>
      <c r="L2446" s="2" t="n">
        <v>0</v>
      </c>
      <c r="M2446" s="2" t="n">
        <v>1</v>
      </c>
    </row>
    <row r="2447" customFormat="false" ht="15" hidden="false" customHeight="false" outlineLevel="0" collapsed="false">
      <c r="A2447" s="2" t="s">
        <v>5164</v>
      </c>
      <c r="B2447" s="2" t="s">
        <v>5165</v>
      </c>
      <c r="C2447" s="2" t="n">
        <v>3</v>
      </c>
      <c r="D2447" s="2" t="s">
        <v>87</v>
      </c>
      <c r="E2447" s="2" t="s">
        <v>4951</v>
      </c>
      <c r="F2447" s="3" t="n">
        <v>45896.4958333333</v>
      </c>
      <c r="G2447" s="2" t="s">
        <v>4646</v>
      </c>
      <c r="H2447" s="4" t="n">
        <v>0</v>
      </c>
      <c r="I2447" s="2" t="s">
        <v>18</v>
      </c>
      <c r="J2447" s="2" t="s">
        <v>19</v>
      </c>
      <c r="K2447" s="2" t="n">
        <v>2</v>
      </c>
      <c r="L2447" s="2" t="n">
        <v>0</v>
      </c>
      <c r="M2447" s="2" t="n">
        <v>1</v>
      </c>
    </row>
    <row r="2448" customFormat="false" ht="15" hidden="false" customHeight="false" outlineLevel="0" collapsed="false">
      <c r="A2448" s="2" t="s">
        <v>5166</v>
      </c>
      <c r="B2448" s="2" t="s">
        <v>5167</v>
      </c>
      <c r="C2448" s="2" t="n">
        <v>2</v>
      </c>
      <c r="D2448" s="2" t="s">
        <v>109</v>
      </c>
      <c r="E2448" s="2" t="s">
        <v>4951</v>
      </c>
      <c r="F2448" s="3" t="n">
        <v>45896.5631944445</v>
      </c>
      <c r="G2448" s="2" t="s">
        <v>4646</v>
      </c>
      <c r="H2448" s="4" t="n">
        <v>0</v>
      </c>
      <c r="I2448" s="2" t="s">
        <v>18</v>
      </c>
      <c r="J2448" s="2" t="s">
        <v>110</v>
      </c>
      <c r="K2448" s="2" t="n">
        <v>0</v>
      </c>
      <c r="L2448" s="2" t="n">
        <v>0</v>
      </c>
      <c r="M2448" s="2" t="n">
        <v>1</v>
      </c>
    </row>
    <row r="2449" customFormat="false" ht="15" hidden="false" customHeight="false" outlineLevel="0" collapsed="false">
      <c r="A2449" s="2" t="s">
        <v>5168</v>
      </c>
      <c r="B2449" s="2" t="s">
        <v>5169</v>
      </c>
      <c r="C2449" s="2" t="n">
        <v>5</v>
      </c>
      <c r="D2449" s="2" t="s">
        <v>52</v>
      </c>
      <c r="E2449" s="2" t="s">
        <v>4951</v>
      </c>
      <c r="F2449" s="3" t="n">
        <v>45896.6708333333</v>
      </c>
      <c r="G2449" s="2" t="s">
        <v>4646</v>
      </c>
      <c r="H2449" s="4" t="n">
        <v>0.6369</v>
      </c>
      <c r="I2449" s="2" t="s">
        <v>23</v>
      </c>
      <c r="J2449" s="2" t="s">
        <v>19</v>
      </c>
      <c r="K2449" s="2" t="n">
        <v>0</v>
      </c>
      <c r="L2449" s="2" t="n">
        <v>0</v>
      </c>
      <c r="M2449" s="2" t="n">
        <v>1</v>
      </c>
    </row>
    <row r="2450" customFormat="false" ht="15" hidden="false" customHeight="false" outlineLevel="0" collapsed="false">
      <c r="A2450" s="2" t="s">
        <v>5170</v>
      </c>
      <c r="B2450" s="2" t="s">
        <v>5171</v>
      </c>
      <c r="C2450" s="2" t="n">
        <v>1</v>
      </c>
      <c r="D2450" s="2" t="s">
        <v>2874</v>
      </c>
      <c r="E2450" s="2" t="s">
        <v>4951</v>
      </c>
      <c r="F2450" s="3" t="n">
        <v>45896.6888888889</v>
      </c>
      <c r="G2450" s="2" t="s">
        <v>4646</v>
      </c>
      <c r="H2450" s="4" t="n">
        <v>0.2023</v>
      </c>
      <c r="I2450" s="2" t="s">
        <v>23</v>
      </c>
      <c r="J2450" s="2" t="s">
        <v>110</v>
      </c>
      <c r="K2450" s="2" t="n">
        <v>3</v>
      </c>
      <c r="L2450" s="2" t="n">
        <v>0</v>
      </c>
      <c r="M2450" s="2" t="n">
        <v>1</v>
      </c>
    </row>
    <row r="2451" customFormat="false" ht="15" hidden="false" customHeight="false" outlineLevel="0" collapsed="false">
      <c r="A2451" s="2" t="s">
        <v>5172</v>
      </c>
      <c r="B2451" s="2" t="s">
        <v>5173</v>
      </c>
      <c r="C2451" s="2" t="n">
        <v>5</v>
      </c>
      <c r="D2451" s="2" t="s">
        <v>47</v>
      </c>
      <c r="E2451" s="2" t="s">
        <v>4951</v>
      </c>
      <c r="F2451" s="3" t="n">
        <v>45896.7576388889</v>
      </c>
      <c r="G2451" s="2" t="s">
        <v>4646</v>
      </c>
      <c r="H2451" s="4" t="n">
        <v>0.3089</v>
      </c>
      <c r="I2451" s="2" t="s">
        <v>23</v>
      </c>
      <c r="J2451" s="2" t="s">
        <v>19</v>
      </c>
      <c r="K2451" s="2" t="n">
        <v>0</v>
      </c>
      <c r="L2451" s="2" t="n">
        <v>0</v>
      </c>
      <c r="M2451" s="2" t="n">
        <v>1</v>
      </c>
    </row>
    <row r="2452" customFormat="false" ht="15" hidden="false" customHeight="false" outlineLevel="0" collapsed="false">
      <c r="A2452" s="2" t="s">
        <v>5174</v>
      </c>
      <c r="B2452" s="2" t="s">
        <v>5175</v>
      </c>
      <c r="C2452" s="2" t="n">
        <v>4</v>
      </c>
      <c r="D2452" s="2" t="s">
        <v>96</v>
      </c>
      <c r="E2452" s="2" t="s">
        <v>4951</v>
      </c>
      <c r="F2452" s="3" t="n">
        <v>45896.9666666667</v>
      </c>
      <c r="G2452" s="2" t="s">
        <v>4646</v>
      </c>
      <c r="H2452" s="4" t="n">
        <v>0.6369</v>
      </c>
      <c r="I2452" s="2" t="s">
        <v>23</v>
      </c>
      <c r="J2452" s="2" t="s">
        <v>19</v>
      </c>
      <c r="K2452" s="2" t="n">
        <v>1</v>
      </c>
      <c r="L2452" s="2" t="n">
        <v>0</v>
      </c>
      <c r="M2452" s="2" t="n">
        <v>1</v>
      </c>
    </row>
    <row r="2453" customFormat="false" ht="15" hidden="false" customHeight="false" outlineLevel="0" collapsed="false">
      <c r="A2453" s="2" t="s">
        <v>5176</v>
      </c>
      <c r="B2453" s="2" t="s">
        <v>5177</v>
      </c>
      <c r="C2453" s="2" t="n">
        <v>4</v>
      </c>
      <c r="D2453" s="2" t="s">
        <v>282</v>
      </c>
      <c r="E2453" s="2" t="s">
        <v>4951</v>
      </c>
      <c r="F2453" s="3" t="n">
        <v>45897.0111111111</v>
      </c>
      <c r="G2453" s="2" t="s">
        <v>4646</v>
      </c>
      <c r="H2453" s="4" t="n">
        <v>0.7992</v>
      </c>
      <c r="I2453" s="2" t="s">
        <v>23</v>
      </c>
      <c r="J2453" s="2" t="s">
        <v>19</v>
      </c>
      <c r="K2453" s="2" t="n">
        <v>0</v>
      </c>
      <c r="L2453" s="2" t="n">
        <v>0</v>
      </c>
      <c r="M2453" s="2" t="n">
        <v>1</v>
      </c>
    </row>
    <row r="2454" customFormat="false" ht="15" hidden="false" customHeight="false" outlineLevel="0" collapsed="false">
      <c r="A2454" s="2" t="s">
        <v>5178</v>
      </c>
      <c r="B2454" s="2" t="s">
        <v>5179</v>
      </c>
      <c r="C2454" s="2" t="n">
        <v>5</v>
      </c>
      <c r="D2454" s="2" t="s">
        <v>93</v>
      </c>
      <c r="E2454" s="2" t="s">
        <v>4951</v>
      </c>
      <c r="F2454" s="3" t="n">
        <v>45897.1034722222</v>
      </c>
      <c r="G2454" s="2" t="s">
        <v>4646</v>
      </c>
      <c r="H2454" s="4" t="n">
        <v>0.8008</v>
      </c>
      <c r="I2454" s="2" t="s">
        <v>23</v>
      </c>
      <c r="J2454" s="2" t="s">
        <v>33</v>
      </c>
      <c r="K2454" s="2" t="n">
        <v>0</v>
      </c>
      <c r="L2454" s="2" t="n">
        <v>0</v>
      </c>
      <c r="M2454" s="2" t="n">
        <v>1</v>
      </c>
    </row>
    <row r="2455" customFormat="false" ht="15" hidden="false" customHeight="false" outlineLevel="0" collapsed="false">
      <c r="A2455" s="2" t="s">
        <v>5180</v>
      </c>
      <c r="B2455" s="2" t="s">
        <v>5181</v>
      </c>
      <c r="C2455" s="2" t="n">
        <v>5</v>
      </c>
      <c r="D2455" s="2" t="s">
        <v>52</v>
      </c>
      <c r="E2455" s="2" t="s">
        <v>4951</v>
      </c>
      <c r="F2455" s="3" t="n">
        <v>45897.2708333333</v>
      </c>
      <c r="G2455" s="2" t="s">
        <v>4646</v>
      </c>
      <c r="H2455" s="4" t="n">
        <v>0.6369</v>
      </c>
      <c r="I2455" s="2" t="s">
        <v>23</v>
      </c>
      <c r="J2455" s="2" t="s">
        <v>19</v>
      </c>
      <c r="K2455" s="2" t="n">
        <v>2</v>
      </c>
      <c r="L2455" s="2" t="n">
        <v>0</v>
      </c>
      <c r="M2455" s="2" t="n">
        <v>1</v>
      </c>
    </row>
    <row r="2456" customFormat="false" ht="15" hidden="false" customHeight="false" outlineLevel="0" collapsed="false">
      <c r="A2456" s="2" t="s">
        <v>5182</v>
      </c>
      <c r="B2456" s="2" t="s">
        <v>5183</v>
      </c>
      <c r="C2456" s="2" t="n">
        <v>1</v>
      </c>
      <c r="D2456" s="2" t="s">
        <v>3968</v>
      </c>
      <c r="E2456" s="2" t="s">
        <v>4951</v>
      </c>
      <c r="F2456" s="3" t="n">
        <v>45897.2819444445</v>
      </c>
      <c r="G2456" s="2" t="s">
        <v>4646</v>
      </c>
      <c r="H2456" s="4" t="n">
        <v>0.4404</v>
      </c>
      <c r="I2456" s="2" t="s">
        <v>23</v>
      </c>
      <c r="J2456" s="2" t="s">
        <v>59</v>
      </c>
      <c r="K2456" s="2" t="n">
        <v>7</v>
      </c>
      <c r="L2456" s="2" t="n">
        <v>1</v>
      </c>
      <c r="M2456" s="2" t="n">
        <v>1</v>
      </c>
    </row>
    <row r="2457" customFormat="false" ht="15" hidden="false" customHeight="false" outlineLevel="0" collapsed="false">
      <c r="A2457" s="2" t="s">
        <v>5184</v>
      </c>
      <c r="B2457" s="2" t="s">
        <v>5185</v>
      </c>
      <c r="C2457" s="2" t="n">
        <v>4</v>
      </c>
      <c r="D2457" s="2" t="s">
        <v>99</v>
      </c>
      <c r="E2457" s="2" t="s">
        <v>4951</v>
      </c>
      <c r="F2457" s="3" t="n">
        <v>45897.4027777778</v>
      </c>
      <c r="G2457" s="2" t="s">
        <v>4646</v>
      </c>
      <c r="H2457" s="4" t="n">
        <v>-0.3089</v>
      </c>
      <c r="I2457" s="2" t="s">
        <v>84</v>
      </c>
      <c r="J2457" s="2" t="s">
        <v>19</v>
      </c>
      <c r="K2457" s="2" t="n">
        <v>5</v>
      </c>
      <c r="L2457" s="2" t="n">
        <v>0</v>
      </c>
      <c r="M2457" s="2" t="n">
        <v>1</v>
      </c>
    </row>
    <row r="2458" customFormat="false" ht="15" hidden="false" customHeight="false" outlineLevel="0" collapsed="false">
      <c r="A2458" s="2" t="s">
        <v>5186</v>
      </c>
      <c r="B2458" s="2" t="s">
        <v>5187</v>
      </c>
      <c r="C2458" s="2" t="n">
        <v>5</v>
      </c>
      <c r="D2458" s="2" t="s">
        <v>40</v>
      </c>
      <c r="E2458" s="2" t="s">
        <v>4951</v>
      </c>
      <c r="F2458" s="3" t="n">
        <v>45897.9159722222</v>
      </c>
      <c r="G2458" s="2" t="s">
        <v>4646</v>
      </c>
      <c r="H2458" s="4" t="n">
        <v>0.4019</v>
      </c>
      <c r="I2458" s="2" t="s">
        <v>23</v>
      </c>
      <c r="J2458" s="2" t="s">
        <v>33</v>
      </c>
      <c r="K2458" s="2" t="n">
        <v>3</v>
      </c>
      <c r="L2458" s="2" t="n">
        <v>0</v>
      </c>
      <c r="M2458" s="2" t="n">
        <v>1</v>
      </c>
    </row>
    <row r="2459" customFormat="false" ht="15" hidden="false" customHeight="false" outlineLevel="0" collapsed="false">
      <c r="A2459" s="2" t="s">
        <v>5188</v>
      </c>
      <c r="B2459" s="2" t="s">
        <v>5189</v>
      </c>
      <c r="C2459" s="2" t="n">
        <v>5</v>
      </c>
      <c r="D2459" s="2" t="s">
        <v>15</v>
      </c>
      <c r="E2459" s="2" t="s">
        <v>4951</v>
      </c>
      <c r="F2459" s="3" t="n">
        <v>45898.3076388889</v>
      </c>
      <c r="G2459" s="2" t="s">
        <v>4646</v>
      </c>
      <c r="H2459" s="4" t="n">
        <v>0</v>
      </c>
      <c r="I2459" s="2" t="s">
        <v>18</v>
      </c>
      <c r="J2459" s="2" t="s">
        <v>19</v>
      </c>
      <c r="K2459" s="2" t="n">
        <v>1</v>
      </c>
      <c r="L2459" s="2" t="n">
        <v>0</v>
      </c>
      <c r="M2459" s="2" t="n">
        <v>1</v>
      </c>
    </row>
    <row r="2460" customFormat="false" ht="15" hidden="false" customHeight="false" outlineLevel="0" collapsed="false">
      <c r="A2460" s="2" t="s">
        <v>5190</v>
      </c>
      <c r="B2460" s="2" t="s">
        <v>5191</v>
      </c>
      <c r="C2460" s="2" t="n">
        <v>3</v>
      </c>
      <c r="D2460" s="2" t="s">
        <v>36</v>
      </c>
      <c r="E2460" s="2" t="s">
        <v>4951</v>
      </c>
      <c r="F2460" s="3" t="n">
        <v>45898.35</v>
      </c>
      <c r="G2460" s="2" t="s">
        <v>4646</v>
      </c>
      <c r="H2460" s="4" t="n">
        <v>0.4404</v>
      </c>
      <c r="I2460" s="2" t="s">
        <v>23</v>
      </c>
      <c r="J2460" s="2" t="s">
        <v>37</v>
      </c>
      <c r="K2460" s="2" t="n">
        <v>3</v>
      </c>
      <c r="L2460" s="2" t="n">
        <v>0</v>
      </c>
      <c r="M2460" s="2" t="n">
        <v>1</v>
      </c>
    </row>
    <row r="2461" customFormat="false" ht="15" hidden="false" customHeight="false" outlineLevel="0" collapsed="false">
      <c r="A2461" s="2" t="s">
        <v>5192</v>
      </c>
      <c r="B2461" s="2" t="s">
        <v>5193</v>
      </c>
      <c r="C2461" s="2" t="n">
        <v>1</v>
      </c>
      <c r="D2461" s="2" t="s">
        <v>661</v>
      </c>
      <c r="E2461" s="2" t="s">
        <v>4951</v>
      </c>
      <c r="F2461" s="3" t="n">
        <v>45898.4319444444</v>
      </c>
      <c r="G2461" s="2" t="s">
        <v>4646</v>
      </c>
      <c r="H2461" s="4" t="n">
        <v>0</v>
      </c>
      <c r="I2461" s="2" t="s">
        <v>18</v>
      </c>
      <c r="J2461" s="2" t="s">
        <v>59</v>
      </c>
      <c r="K2461" s="2" t="n">
        <v>0</v>
      </c>
      <c r="L2461" s="2" t="n">
        <v>1</v>
      </c>
      <c r="M2461" s="2" t="n">
        <v>1</v>
      </c>
    </row>
    <row r="2462" customFormat="false" ht="15" hidden="false" customHeight="false" outlineLevel="0" collapsed="false">
      <c r="A2462" s="2" t="s">
        <v>5194</v>
      </c>
      <c r="B2462" s="2" t="s">
        <v>5195</v>
      </c>
      <c r="C2462" s="2" t="n">
        <v>1</v>
      </c>
      <c r="D2462" s="2" t="s">
        <v>498</v>
      </c>
      <c r="E2462" s="2" t="s">
        <v>4951</v>
      </c>
      <c r="F2462" s="3" t="n">
        <v>45898.4805555556</v>
      </c>
      <c r="G2462" s="2" t="s">
        <v>4646</v>
      </c>
      <c r="H2462" s="4" t="n">
        <v>0</v>
      </c>
      <c r="I2462" s="2" t="s">
        <v>18</v>
      </c>
      <c r="J2462" s="2" t="s">
        <v>165</v>
      </c>
      <c r="K2462" s="2" t="n">
        <v>3</v>
      </c>
      <c r="L2462" s="2" t="n">
        <v>1</v>
      </c>
      <c r="M2462" s="2" t="n">
        <v>1</v>
      </c>
    </row>
    <row r="2463" customFormat="false" ht="15" hidden="false" customHeight="false" outlineLevel="0" collapsed="false">
      <c r="A2463" s="2" t="s">
        <v>5196</v>
      </c>
      <c r="B2463" s="2" t="s">
        <v>5197</v>
      </c>
      <c r="C2463" s="2" t="n">
        <v>5</v>
      </c>
      <c r="D2463" s="2" t="s">
        <v>15</v>
      </c>
      <c r="E2463" s="2" t="s">
        <v>4951</v>
      </c>
      <c r="F2463" s="3" t="n">
        <v>45898.4965277778</v>
      </c>
      <c r="G2463" s="2" t="s">
        <v>4646</v>
      </c>
      <c r="H2463" s="4" t="n">
        <v>0</v>
      </c>
      <c r="I2463" s="2" t="s">
        <v>18</v>
      </c>
      <c r="J2463" s="2" t="s">
        <v>19</v>
      </c>
      <c r="K2463" s="2" t="n">
        <v>0</v>
      </c>
      <c r="L2463" s="2" t="n">
        <v>0</v>
      </c>
      <c r="M2463" s="2" t="n">
        <v>1</v>
      </c>
    </row>
    <row r="2464" customFormat="false" ht="15" hidden="false" customHeight="false" outlineLevel="0" collapsed="false">
      <c r="A2464" s="2" t="s">
        <v>5198</v>
      </c>
      <c r="B2464" s="2" t="s">
        <v>5199</v>
      </c>
      <c r="C2464" s="2" t="n">
        <v>5</v>
      </c>
      <c r="D2464" s="2" t="s">
        <v>62</v>
      </c>
      <c r="E2464" s="2" t="s">
        <v>4951</v>
      </c>
      <c r="F2464" s="3" t="n">
        <v>45898.5034722222</v>
      </c>
      <c r="G2464" s="2" t="s">
        <v>4646</v>
      </c>
      <c r="H2464" s="4" t="n">
        <v>0.7088</v>
      </c>
      <c r="I2464" s="2" t="s">
        <v>23</v>
      </c>
      <c r="J2464" s="2" t="s">
        <v>19</v>
      </c>
      <c r="K2464" s="2" t="n">
        <v>0</v>
      </c>
      <c r="L2464" s="2" t="n">
        <v>0</v>
      </c>
      <c r="M2464" s="2" t="n">
        <v>1</v>
      </c>
    </row>
    <row r="2465" customFormat="false" ht="15" hidden="false" customHeight="false" outlineLevel="0" collapsed="false">
      <c r="A2465" s="2" t="s">
        <v>5200</v>
      </c>
      <c r="B2465" s="2" t="s">
        <v>5201</v>
      </c>
      <c r="C2465" s="2" t="n">
        <v>3</v>
      </c>
      <c r="D2465" s="2" t="s">
        <v>22</v>
      </c>
      <c r="E2465" s="2" t="s">
        <v>4951</v>
      </c>
      <c r="F2465" s="3" t="n">
        <v>45898.7041666667</v>
      </c>
      <c r="G2465" s="2" t="s">
        <v>4646</v>
      </c>
      <c r="H2465" s="4" t="n">
        <v>0.2023</v>
      </c>
      <c r="I2465" s="2" t="s">
        <v>23</v>
      </c>
      <c r="J2465" s="2" t="s">
        <v>19</v>
      </c>
      <c r="K2465" s="2" t="n">
        <v>1</v>
      </c>
      <c r="L2465" s="2" t="n">
        <v>0</v>
      </c>
      <c r="M2465" s="2" t="n">
        <v>1</v>
      </c>
    </row>
    <row r="2466" customFormat="false" ht="15" hidden="false" customHeight="false" outlineLevel="0" collapsed="false">
      <c r="A2466" s="2" t="s">
        <v>5202</v>
      </c>
      <c r="B2466" s="2" t="s">
        <v>5203</v>
      </c>
      <c r="C2466" s="2" t="n">
        <v>5</v>
      </c>
      <c r="D2466" s="2" t="s">
        <v>40</v>
      </c>
      <c r="E2466" s="2" t="s">
        <v>4951</v>
      </c>
      <c r="F2466" s="3" t="n">
        <v>45898.7638888889</v>
      </c>
      <c r="G2466" s="2" t="s">
        <v>4646</v>
      </c>
      <c r="H2466" s="4" t="n">
        <v>0.4019</v>
      </c>
      <c r="I2466" s="2" t="s">
        <v>23</v>
      </c>
      <c r="J2466" s="2" t="s">
        <v>33</v>
      </c>
      <c r="K2466" s="2" t="n">
        <v>2</v>
      </c>
      <c r="L2466" s="2" t="n">
        <v>0</v>
      </c>
      <c r="M2466" s="2" t="n">
        <v>1</v>
      </c>
    </row>
    <row r="2467" customFormat="false" ht="15" hidden="false" customHeight="false" outlineLevel="0" collapsed="false">
      <c r="A2467" s="2" t="s">
        <v>5204</v>
      </c>
      <c r="B2467" s="2" t="s">
        <v>1702</v>
      </c>
      <c r="C2467" s="2" t="n">
        <v>5</v>
      </c>
      <c r="D2467" s="2" t="s">
        <v>90</v>
      </c>
      <c r="E2467" s="2" t="s">
        <v>4951</v>
      </c>
      <c r="F2467" s="3" t="n">
        <v>45898.7965277778</v>
      </c>
      <c r="G2467" s="2" t="s">
        <v>4646</v>
      </c>
      <c r="H2467" s="4" t="n">
        <v>0.6249</v>
      </c>
      <c r="I2467" s="2" t="s">
        <v>23</v>
      </c>
      <c r="J2467" s="2" t="s">
        <v>37</v>
      </c>
      <c r="K2467" s="2" t="n">
        <v>7</v>
      </c>
      <c r="L2467" s="2" t="n">
        <v>0</v>
      </c>
      <c r="M2467" s="2" t="n">
        <v>1</v>
      </c>
    </row>
    <row r="2468" customFormat="false" ht="15" hidden="false" customHeight="false" outlineLevel="0" collapsed="false">
      <c r="A2468" s="2" t="s">
        <v>5205</v>
      </c>
      <c r="B2468" s="2" t="s">
        <v>5206</v>
      </c>
      <c r="C2468" s="2" t="n">
        <v>4</v>
      </c>
      <c r="D2468" s="2" t="s">
        <v>2109</v>
      </c>
      <c r="E2468" s="2" t="s">
        <v>4951</v>
      </c>
      <c r="F2468" s="3" t="n">
        <v>45898.9020833333</v>
      </c>
      <c r="G2468" s="2" t="s">
        <v>4646</v>
      </c>
      <c r="H2468" s="4" t="n">
        <v>0</v>
      </c>
      <c r="I2468" s="2" t="s">
        <v>18</v>
      </c>
      <c r="J2468" s="2" t="s">
        <v>19</v>
      </c>
      <c r="K2468" s="2" t="n">
        <v>3</v>
      </c>
      <c r="L2468" s="2" t="n">
        <v>0</v>
      </c>
      <c r="M2468" s="2" t="n">
        <v>1</v>
      </c>
    </row>
    <row r="2469" customFormat="false" ht="15" hidden="false" customHeight="false" outlineLevel="0" collapsed="false">
      <c r="A2469" s="2" t="s">
        <v>5207</v>
      </c>
      <c r="B2469" s="2" t="s">
        <v>5208</v>
      </c>
      <c r="C2469" s="2" t="n">
        <v>5</v>
      </c>
      <c r="D2469" s="2" t="s">
        <v>47</v>
      </c>
      <c r="E2469" s="2" t="s">
        <v>4951</v>
      </c>
      <c r="F2469" s="3" t="n">
        <v>45898.9118055556</v>
      </c>
      <c r="G2469" s="2" t="s">
        <v>4646</v>
      </c>
      <c r="H2469" s="4" t="n">
        <v>0.3089</v>
      </c>
      <c r="I2469" s="2" t="s">
        <v>23</v>
      </c>
      <c r="J2469" s="2" t="s">
        <v>19</v>
      </c>
      <c r="K2469" s="2" t="n">
        <v>0</v>
      </c>
      <c r="L2469" s="2" t="n">
        <v>0</v>
      </c>
      <c r="M2469" s="2" t="n">
        <v>1</v>
      </c>
    </row>
    <row r="2470" customFormat="false" ht="15" hidden="false" customHeight="false" outlineLevel="0" collapsed="false">
      <c r="A2470" s="2" t="s">
        <v>5209</v>
      </c>
      <c r="B2470" s="2" t="s">
        <v>5210</v>
      </c>
      <c r="C2470" s="2" t="n">
        <v>5</v>
      </c>
      <c r="D2470" s="2" t="s">
        <v>15</v>
      </c>
      <c r="E2470" s="2" t="s">
        <v>4951</v>
      </c>
      <c r="F2470" s="3" t="n">
        <v>45898.9569444444</v>
      </c>
      <c r="G2470" s="2" t="s">
        <v>4646</v>
      </c>
      <c r="H2470" s="4" t="n">
        <v>0</v>
      </c>
      <c r="I2470" s="2" t="s">
        <v>18</v>
      </c>
      <c r="J2470" s="2" t="s">
        <v>19</v>
      </c>
      <c r="K2470" s="2" t="n">
        <v>4</v>
      </c>
      <c r="L2470" s="2" t="n">
        <v>0</v>
      </c>
      <c r="M2470" s="2" t="n">
        <v>1</v>
      </c>
    </row>
    <row r="2471" customFormat="false" ht="15" hidden="false" customHeight="false" outlineLevel="0" collapsed="false">
      <c r="A2471" s="2" t="s">
        <v>5211</v>
      </c>
      <c r="B2471" s="2" t="s">
        <v>5212</v>
      </c>
      <c r="C2471" s="2" t="n">
        <v>4</v>
      </c>
      <c r="D2471" s="2" t="s">
        <v>62</v>
      </c>
      <c r="E2471" s="2" t="s">
        <v>4951</v>
      </c>
      <c r="F2471" s="3" t="n">
        <v>45899.0006944445</v>
      </c>
      <c r="G2471" s="2" t="s">
        <v>4646</v>
      </c>
      <c r="H2471" s="4" t="n">
        <v>0.7088</v>
      </c>
      <c r="I2471" s="2" t="s">
        <v>23</v>
      </c>
      <c r="J2471" s="2" t="s">
        <v>19</v>
      </c>
      <c r="K2471" s="2" t="n">
        <v>14</v>
      </c>
      <c r="L2471" s="2" t="n">
        <v>0</v>
      </c>
      <c r="M2471" s="2" t="n">
        <v>1</v>
      </c>
    </row>
    <row r="2472" customFormat="false" ht="15" hidden="false" customHeight="false" outlineLevel="0" collapsed="false">
      <c r="A2472" s="2" t="s">
        <v>5213</v>
      </c>
      <c r="B2472" s="2" t="s">
        <v>2376</v>
      </c>
      <c r="C2472" s="2" t="n">
        <v>4</v>
      </c>
      <c r="D2472" s="2" t="s">
        <v>96</v>
      </c>
      <c r="E2472" s="2" t="s">
        <v>4951</v>
      </c>
      <c r="F2472" s="3" t="n">
        <v>45899.0638888889</v>
      </c>
      <c r="G2472" s="2" t="s">
        <v>4646</v>
      </c>
      <c r="H2472" s="4" t="n">
        <v>0.6369</v>
      </c>
      <c r="I2472" s="2" t="s">
        <v>23</v>
      </c>
      <c r="J2472" s="2" t="s">
        <v>19</v>
      </c>
      <c r="K2472" s="2" t="n">
        <v>2</v>
      </c>
      <c r="L2472" s="2" t="n">
        <v>0</v>
      </c>
      <c r="M2472" s="2" t="n">
        <v>1</v>
      </c>
    </row>
    <row r="2473" customFormat="false" ht="15" hidden="false" customHeight="false" outlineLevel="0" collapsed="false">
      <c r="A2473" s="2" t="s">
        <v>5214</v>
      </c>
      <c r="B2473" s="2" t="s">
        <v>5215</v>
      </c>
      <c r="C2473" s="2" t="n">
        <v>4</v>
      </c>
      <c r="D2473" s="2" t="s">
        <v>4742</v>
      </c>
      <c r="E2473" s="2" t="s">
        <v>4951</v>
      </c>
      <c r="F2473" s="3" t="n">
        <v>45899.1305555556</v>
      </c>
      <c r="G2473" s="2" t="s">
        <v>4646</v>
      </c>
      <c r="H2473" s="4" t="n">
        <v>0.9441</v>
      </c>
      <c r="I2473" s="2" t="s">
        <v>23</v>
      </c>
      <c r="J2473" s="2" t="s">
        <v>37</v>
      </c>
      <c r="K2473" s="2" t="n">
        <v>2</v>
      </c>
      <c r="L2473" s="2" t="n">
        <v>0</v>
      </c>
      <c r="M2473" s="2" t="n">
        <v>1</v>
      </c>
    </row>
    <row r="2474" customFormat="false" ht="15" hidden="false" customHeight="false" outlineLevel="0" collapsed="false">
      <c r="A2474" s="2" t="s">
        <v>5216</v>
      </c>
      <c r="B2474" s="2" t="s">
        <v>5217</v>
      </c>
      <c r="C2474" s="2" t="n">
        <v>4</v>
      </c>
      <c r="D2474" s="2" t="s">
        <v>87</v>
      </c>
      <c r="E2474" s="2" t="s">
        <v>4951</v>
      </c>
      <c r="F2474" s="3" t="n">
        <v>45899.2368055556</v>
      </c>
      <c r="G2474" s="2" t="s">
        <v>4646</v>
      </c>
      <c r="H2474" s="4" t="n">
        <v>0</v>
      </c>
      <c r="I2474" s="2" t="s">
        <v>18</v>
      </c>
      <c r="J2474" s="2" t="s">
        <v>19</v>
      </c>
      <c r="K2474" s="2" t="n">
        <v>1</v>
      </c>
      <c r="L2474" s="2" t="n">
        <v>0</v>
      </c>
      <c r="M2474" s="2" t="n">
        <v>1</v>
      </c>
    </row>
    <row r="2475" customFormat="false" ht="15" hidden="false" customHeight="false" outlineLevel="0" collapsed="false">
      <c r="A2475" s="2" t="s">
        <v>5218</v>
      </c>
      <c r="B2475" s="2" t="s">
        <v>5219</v>
      </c>
      <c r="C2475" s="2" t="n">
        <v>3</v>
      </c>
      <c r="D2475" s="2" t="s">
        <v>99</v>
      </c>
      <c r="E2475" s="2" t="s">
        <v>4951</v>
      </c>
      <c r="F2475" s="3" t="n">
        <v>45899.3034722222</v>
      </c>
      <c r="G2475" s="2" t="s">
        <v>4646</v>
      </c>
      <c r="H2475" s="4" t="n">
        <v>-0.3089</v>
      </c>
      <c r="I2475" s="2" t="s">
        <v>84</v>
      </c>
      <c r="J2475" s="2" t="s">
        <v>19</v>
      </c>
      <c r="K2475" s="2" t="n">
        <v>3</v>
      </c>
      <c r="L2475" s="2" t="n">
        <v>0</v>
      </c>
      <c r="M2475" s="2" t="n">
        <v>1</v>
      </c>
    </row>
    <row r="2476" customFormat="false" ht="15" hidden="false" customHeight="false" outlineLevel="0" collapsed="false">
      <c r="A2476" s="2" t="s">
        <v>5220</v>
      </c>
      <c r="B2476" s="2" t="s">
        <v>5221</v>
      </c>
      <c r="C2476" s="2" t="n">
        <v>3</v>
      </c>
      <c r="D2476" s="2" t="s">
        <v>99</v>
      </c>
      <c r="E2476" s="2" t="s">
        <v>4951</v>
      </c>
      <c r="F2476" s="3" t="n">
        <v>45899.6097222222</v>
      </c>
      <c r="G2476" s="2" t="s">
        <v>4646</v>
      </c>
      <c r="H2476" s="4" t="n">
        <v>-0.3089</v>
      </c>
      <c r="I2476" s="2" t="s">
        <v>84</v>
      </c>
      <c r="J2476" s="2" t="s">
        <v>19</v>
      </c>
      <c r="K2476" s="2" t="n">
        <v>4</v>
      </c>
      <c r="L2476" s="2" t="n">
        <v>0</v>
      </c>
      <c r="M2476" s="2" t="n">
        <v>1</v>
      </c>
    </row>
    <row r="2477" customFormat="false" ht="15" hidden="false" customHeight="false" outlineLevel="0" collapsed="false">
      <c r="A2477" s="2" t="s">
        <v>5222</v>
      </c>
      <c r="B2477" s="2" t="s">
        <v>5223</v>
      </c>
      <c r="C2477" s="2" t="n">
        <v>2</v>
      </c>
      <c r="D2477" s="2" t="s">
        <v>5224</v>
      </c>
      <c r="E2477" s="2" t="s">
        <v>4951</v>
      </c>
      <c r="F2477" s="3" t="n">
        <v>45899.7131944444</v>
      </c>
      <c r="G2477" s="2" t="s">
        <v>4646</v>
      </c>
      <c r="H2477" s="4" t="n">
        <v>-0.0516</v>
      </c>
      <c r="I2477" s="2" t="s">
        <v>84</v>
      </c>
      <c r="J2477" s="2" t="s">
        <v>37</v>
      </c>
      <c r="K2477" s="2" t="n">
        <v>1</v>
      </c>
      <c r="L2477" s="2" t="n">
        <v>0</v>
      </c>
      <c r="M2477" s="2" t="n">
        <v>1</v>
      </c>
    </row>
    <row r="2478" customFormat="false" ht="15" hidden="false" customHeight="false" outlineLevel="0" collapsed="false">
      <c r="A2478" s="2" t="s">
        <v>5225</v>
      </c>
      <c r="B2478" s="2" t="s">
        <v>5226</v>
      </c>
      <c r="C2478" s="2" t="n">
        <v>3</v>
      </c>
      <c r="D2478" s="2" t="s">
        <v>22</v>
      </c>
      <c r="E2478" s="2" t="s">
        <v>4951</v>
      </c>
      <c r="F2478" s="3" t="n">
        <v>45899.7534722222</v>
      </c>
      <c r="G2478" s="2" t="s">
        <v>4646</v>
      </c>
      <c r="H2478" s="4" t="n">
        <v>0.2023</v>
      </c>
      <c r="I2478" s="2" t="s">
        <v>23</v>
      </c>
      <c r="J2478" s="2" t="s">
        <v>19</v>
      </c>
      <c r="K2478" s="2" t="n">
        <v>3</v>
      </c>
      <c r="L2478" s="2" t="n">
        <v>0</v>
      </c>
      <c r="M2478" s="2" t="n">
        <v>1</v>
      </c>
    </row>
    <row r="2479" customFormat="false" ht="15" hidden="false" customHeight="false" outlineLevel="0" collapsed="false">
      <c r="A2479" s="2" t="s">
        <v>5227</v>
      </c>
      <c r="B2479" s="2" t="s">
        <v>5228</v>
      </c>
      <c r="C2479" s="2" t="n">
        <v>3</v>
      </c>
      <c r="D2479" s="2" t="s">
        <v>22</v>
      </c>
      <c r="E2479" s="2" t="s">
        <v>4951</v>
      </c>
      <c r="F2479" s="3" t="n">
        <v>45899.7618055556</v>
      </c>
      <c r="G2479" s="2" t="s">
        <v>4646</v>
      </c>
      <c r="H2479" s="4" t="n">
        <v>0.2023</v>
      </c>
      <c r="I2479" s="2" t="s">
        <v>23</v>
      </c>
      <c r="J2479" s="2" t="s">
        <v>19</v>
      </c>
      <c r="K2479" s="2" t="n">
        <v>12</v>
      </c>
      <c r="L2479" s="2" t="n">
        <v>0</v>
      </c>
      <c r="M2479" s="2" t="n">
        <v>1</v>
      </c>
    </row>
    <row r="2480" customFormat="false" ht="15" hidden="false" customHeight="false" outlineLevel="0" collapsed="false">
      <c r="A2480" s="2" t="s">
        <v>5229</v>
      </c>
      <c r="B2480" s="2" t="s">
        <v>5230</v>
      </c>
      <c r="C2480" s="2" t="n">
        <v>4</v>
      </c>
      <c r="D2480" s="2" t="s">
        <v>1683</v>
      </c>
      <c r="E2480" s="2" t="s">
        <v>4951</v>
      </c>
      <c r="F2480" s="3" t="n">
        <v>45899.9243055556</v>
      </c>
      <c r="G2480" s="2" t="s">
        <v>4646</v>
      </c>
      <c r="H2480" s="4" t="n">
        <v>0.6369</v>
      </c>
      <c r="I2480" s="2" t="s">
        <v>23</v>
      </c>
      <c r="J2480" s="2" t="s">
        <v>19</v>
      </c>
      <c r="K2480" s="2" t="n">
        <v>5</v>
      </c>
      <c r="L2480" s="2" t="n">
        <v>0</v>
      </c>
      <c r="M2480" s="2" t="n">
        <v>1</v>
      </c>
    </row>
    <row r="2481" customFormat="false" ht="15" hidden="false" customHeight="false" outlineLevel="0" collapsed="false">
      <c r="A2481" s="2" t="s">
        <v>5231</v>
      </c>
      <c r="B2481" s="2" t="s">
        <v>5232</v>
      </c>
      <c r="C2481" s="2" t="n">
        <v>4</v>
      </c>
      <c r="D2481" s="2" t="s">
        <v>799</v>
      </c>
      <c r="E2481" s="2" t="s">
        <v>4951</v>
      </c>
      <c r="F2481" s="3" t="n">
        <v>45899.9840277778</v>
      </c>
      <c r="G2481" s="2" t="s">
        <v>4646</v>
      </c>
      <c r="H2481" s="4" t="n">
        <v>0.9606</v>
      </c>
      <c r="I2481" s="2" t="s">
        <v>23</v>
      </c>
      <c r="J2481" s="2" t="s">
        <v>37</v>
      </c>
      <c r="K2481" s="2" t="n">
        <v>7</v>
      </c>
      <c r="L2481" s="2" t="n">
        <v>0</v>
      </c>
      <c r="M2481" s="2" t="n">
        <v>1</v>
      </c>
    </row>
    <row r="2482" customFormat="false" ht="15" hidden="false" customHeight="false" outlineLevel="0" collapsed="false">
      <c r="A2482" s="2" t="s">
        <v>5233</v>
      </c>
      <c r="B2482" s="2" t="s">
        <v>5234</v>
      </c>
      <c r="C2482" s="2" t="n">
        <v>4</v>
      </c>
      <c r="D2482" s="2" t="s">
        <v>3210</v>
      </c>
      <c r="E2482" s="2" t="s">
        <v>4951</v>
      </c>
      <c r="F2482" s="3" t="n">
        <v>45899.9881944444</v>
      </c>
      <c r="G2482" s="2" t="s">
        <v>4646</v>
      </c>
      <c r="H2482" s="4" t="n">
        <v>0.4692</v>
      </c>
      <c r="I2482" s="2" t="s">
        <v>23</v>
      </c>
      <c r="J2482" s="2" t="s">
        <v>19</v>
      </c>
      <c r="K2482" s="2" t="n">
        <v>4</v>
      </c>
      <c r="L2482" s="2" t="n">
        <v>0</v>
      </c>
      <c r="M2482" s="2" t="n">
        <v>1</v>
      </c>
    </row>
    <row r="2483" customFormat="false" ht="15" hidden="false" customHeight="false" outlineLevel="0" collapsed="false">
      <c r="A2483" s="2" t="s">
        <v>5235</v>
      </c>
      <c r="B2483" s="2" t="s">
        <v>5236</v>
      </c>
      <c r="C2483" s="2" t="n">
        <v>4</v>
      </c>
      <c r="D2483" s="2" t="s">
        <v>99</v>
      </c>
      <c r="E2483" s="2" t="s">
        <v>4951</v>
      </c>
      <c r="F2483" s="3" t="n">
        <v>45900.0590277778</v>
      </c>
      <c r="G2483" s="2" t="s">
        <v>4646</v>
      </c>
      <c r="H2483" s="4" t="n">
        <v>-0.3089</v>
      </c>
      <c r="I2483" s="2" t="s">
        <v>84</v>
      </c>
      <c r="J2483" s="2" t="s">
        <v>19</v>
      </c>
      <c r="K2483" s="2" t="n">
        <v>0</v>
      </c>
      <c r="L2483" s="2" t="n">
        <v>0</v>
      </c>
      <c r="M2483" s="2" t="n">
        <v>1</v>
      </c>
    </row>
    <row r="2484" customFormat="false" ht="15" hidden="false" customHeight="false" outlineLevel="0" collapsed="false">
      <c r="A2484" s="2" t="s">
        <v>5237</v>
      </c>
      <c r="B2484" s="2" t="s">
        <v>5238</v>
      </c>
      <c r="C2484" s="2" t="n">
        <v>2</v>
      </c>
      <c r="D2484" s="2" t="s">
        <v>1942</v>
      </c>
      <c r="E2484" s="2" t="s">
        <v>4951</v>
      </c>
      <c r="F2484" s="3" t="n">
        <v>45900.1104166667</v>
      </c>
      <c r="G2484" s="2" t="s">
        <v>4646</v>
      </c>
      <c r="H2484" s="4" t="n">
        <v>0</v>
      </c>
      <c r="I2484" s="2" t="s">
        <v>18</v>
      </c>
      <c r="J2484" s="2" t="s">
        <v>165</v>
      </c>
      <c r="K2484" s="2" t="n">
        <v>1</v>
      </c>
      <c r="L2484" s="2" t="n">
        <v>0</v>
      </c>
      <c r="M2484" s="2" t="n">
        <v>1</v>
      </c>
    </row>
    <row r="2485" customFormat="false" ht="15" hidden="false" customHeight="false" outlineLevel="0" collapsed="false">
      <c r="A2485" s="2" t="s">
        <v>5239</v>
      </c>
      <c r="B2485" s="2" t="s">
        <v>5240</v>
      </c>
      <c r="C2485" s="2" t="n">
        <v>4</v>
      </c>
      <c r="D2485" s="2" t="s">
        <v>52</v>
      </c>
      <c r="E2485" s="2" t="s">
        <v>4951</v>
      </c>
      <c r="F2485" s="3" t="n">
        <v>45900.2854166667</v>
      </c>
      <c r="G2485" s="2" t="s">
        <v>4646</v>
      </c>
      <c r="H2485" s="4" t="n">
        <v>0.6369</v>
      </c>
      <c r="I2485" s="2" t="s">
        <v>23</v>
      </c>
      <c r="J2485" s="2" t="s">
        <v>19</v>
      </c>
      <c r="K2485" s="2" t="n">
        <v>3</v>
      </c>
      <c r="L2485" s="2" t="n">
        <v>0</v>
      </c>
      <c r="M2485" s="2" t="n">
        <v>1</v>
      </c>
    </row>
    <row r="2486" customFormat="false" ht="15" hidden="false" customHeight="false" outlineLevel="0" collapsed="false">
      <c r="A2486" s="2" t="s">
        <v>5241</v>
      </c>
      <c r="B2486" s="2" t="s">
        <v>5242</v>
      </c>
      <c r="C2486" s="2" t="n">
        <v>5</v>
      </c>
      <c r="D2486" s="2" t="s">
        <v>96</v>
      </c>
      <c r="E2486" s="2" t="s">
        <v>4951</v>
      </c>
      <c r="F2486" s="3" t="n">
        <v>45900.4770833333</v>
      </c>
      <c r="G2486" s="2" t="s">
        <v>4646</v>
      </c>
      <c r="H2486" s="4" t="n">
        <v>0.6369</v>
      </c>
      <c r="I2486" s="2" t="s">
        <v>23</v>
      </c>
      <c r="J2486" s="2" t="s">
        <v>19</v>
      </c>
      <c r="K2486" s="2" t="n">
        <v>0</v>
      </c>
      <c r="L2486" s="2" t="n">
        <v>0</v>
      </c>
      <c r="M2486" s="2" t="n">
        <v>1</v>
      </c>
    </row>
    <row r="2487" customFormat="false" ht="15" hidden="false" customHeight="false" outlineLevel="0" collapsed="false">
      <c r="A2487" s="2" t="s">
        <v>5243</v>
      </c>
      <c r="B2487" s="2" t="s">
        <v>5244</v>
      </c>
      <c r="C2487" s="2" t="n">
        <v>5</v>
      </c>
      <c r="D2487" s="2" t="s">
        <v>40</v>
      </c>
      <c r="E2487" s="2" t="s">
        <v>4951</v>
      </c>
      <c r="F2487" s="3" t="n">
        <v>45900.7465277778</v>
      </c>
      <c r="G2487" s="2" t="s">
        <v>4646</v>
      </c>
      <c r="H2487" s="4" t="n">
        <v>0.4019</v>
      </c>
      <c r="I2487" s="2" t="s">
        <v>23</v>
      </c>
      <c r="J2487" s="2" t="s">
        <v>33</v>
      </c>
      <c r="K2487" s="2" t="n">
        <v>0</v>
      </c>
      <c r="L2487" s="2" t="n">
        <v>0</v>
      </c>
      <c r="M2487" s="2" t="n">
        <v>1</v>
      </c>
    </row>
    <row r="2488" customFormat="false" ht="15" hidden="false" customHeight="false" outlineLevel="0" collapsed="false">
      <c r="A2488" s="2" t="s">
        <v>5245</v>
      </c>
      <c r="B2488" s="2" t="s">
        <v>5246</v>
      </c>
      <c r="C2488" s="2" t="n">
        <v>3</v>
      </c>
      <c r="D2488" s="2" t="s">
        <v>1400</v>
      </c>
      <c r="E2488" s="2" t="s">
        <v>4951</v>
      </c>
      <c r="F2488" s="3" t="n">
        <v>45900.7777777778</v>
      </c>
      <c r="G2488" s="2" t="s">
        <v>4646</v>
      </c>
      <c r="H2488" s="4" t="n">
        <v>0.4019</v>
      </c>
      <c r="I2488" s="2" t="s">
        <v>23</v>
      </c>
      <c r="J2488" s="2" t="s">
        <v>19</v>
      </c>
      <c r="K2488" s="2" t="n">
        <v>1</v>
      </c>
      <c r="L2488" s="2" t="n">
        <v>0</v>
      </c>
      <c r="M2488" s="2" t="n">
        <v>1</v>
      </c>
    </row>
    <row r="2489" customFormat="false" ht="15" hidden="false" customHeight="false" outlineLevel="0" collapsed="false">
      <c r="A2489" s="2" t="s">
        <v>5247</v>
      </c>
      <c r="B2489" s="2" t="s">
        <v>5248</v>
      </c>
      <c r="C2489" s="2" t="n">
        <v>1</v>
      </c>
      <c r="D2489" s="2" t="s">
        <v>168</v>
      </c>
      <c r="E2489" s="2" t="s">
        <v>4951</v>
      </c>
      <c r="F2489" s="3" t="n">
        <v>45900.9756944445</v>
      </c>
      <c r="G2489" s="2" t="s">
        <v>4646</v>
      </c>
      <c r="H2489" s="4" t="n">
        <v>-0.1027</v>
      </c>
      <c r="I2489" s="2" t="s">
        <v>84</v>
      </c>
      <c r="J2489" s="2" t="s">
        <v>33</v>
      </c>
      <c r="K2489" s="2" t="n">
        <v>6</v>
      </c>
      <c r="L2489" s="2" t="n">
        <v>1</v>
      </c>
      <c r="M2489" s="2" t="n">
        <v>1</v>
      </c>
    </row>
    <row r="2490" customFormat="false" ht="15" hidden="false" customHeight="false" outlineLevel="0" collapsed="false">
      <c r="A2490" s="2" t="s">
        <v>5249</v>
      </c>
      <c r="B2490" s="2" t="s">
        <v>5250</v>
      </c>
      <c r="C2490" s="2" t="n">
        <v>5</v>
      </c>
      <c r="D2490" s="2" t="s">
        <v>40</v>
      </c>
      <c r="E2490" s="2" t="s">
        <v>4951</v>
      </c>
      <c r="F2490" s="3" t="n">
        <v>45901.0270833333</v>
      </c>
      <c r="G2490" s="2" t="s">
        <v>5251</v>
      </c>
      <c r="H2490" s="4" t="n">
        <v>0.4019</v>
      </c>
      <c r="I2490" s="2" t="s">
        <v>23</v>
      </c>
      <c r="J2490" s="2" t="s">
        <v>33</v>
      </c>
      <c r="K2490" s="2" t="n">
        <v>5</v>
      </c>
      <c r="L2490" s="2" t="n">
        <v>0</v>
      </c>
      <c r="M2490" s="2" t="n">
        <v>1</v>
      </c>
    </row>
    <row r="2491" customFormat="false" ht="15" hidden="false" customHeight="false" outlineLevel="0" collapsed="false">
      <c r="A2491" s="2" t="s">
        <v>5252</v>
      </c>
      <c r="B2491" s="2" t="s">
        <v>5253</v>
      </c>
      <c r="C2491" s="2" t="n">
        <v>5</v>
      </c>
      <c r="D2491" s="2" t="s">
        <v>127</v>
      </c>
      <c r="E2491" s="2" t="s">
        <v>4951</v>
      </c>
      <c r="F2491" s="3" t="n">
        <v>45901.0847222222</v>
      </c>
      <c r="G2491" s="2" t="s">
        <v>5251</v>
      </c>
      <c r="H2491" s="4" t="n">
        <v>0.9359</v>
      </c>
      <c r="I2491" s="2" t="s">
        <v>23</v>
      </c>
      <c r="J2491" s="2" t="s">
        <v>37</v>
      </c>
      <c r="K2491" s="2" t="n">
        <v>0</v>
      </c>
      <c r="L2491" s="2" t="n">
        <v>0</v>
      </c>
      <c r="M2491" s="2" t="n">
        <v>1</v>
      </c>
    </row>
    <row r="2492" customFormat="false" ht="15" hidden="false" customHeight="false" outlineLevel="0" collapsed="false">
      <c r="A2492" s="2" t="s">
        <v>5254</v>
      </c>
      <c r="B2492" s="2" t="s">
        <v>5255</v>
      </c>
      <c r="C2492" s="2" t="n">
        <v>5</v>
      </c>
      <c r="D2492" s="2" t="s">
        <v>90</v>
      </c>
      <c r="E2492" s="2" t="s">
        <v>4951</v>
      </c>
      <c r="F2492" s="3" t="n">
        <v>45901.2666666667</v>
      </c>
      <c r="G2492" s="2" t="s">
        <v>5251</v>
      </c>
      <c r="H2492" s="4" t="n">
        <v>0.6249</v>
      </c>
      <c r="I2492" s="2" t="s">
        <v>23</v>
      </c>
      <c r="J2492" s="2" t="s">
        <v>37</v>
      </c>
      <c r="K2492" s="2" t="n">
        <v>0</v>
      </c>
      <c r="L2492" s="2" t="n">
        <v>0</v>
      </c>
      <c r="M2492" s="2" t="n">
        <v>1</v>
      </c>
    </row>
    <row r="2493" customFormat="false" ht="15" hidden="false" customHeight="false" outlineLevel="0" collapsed="false">
      <c r="A2493" s="2" t="s">
        <v>5256</v>
      </c>
      <c r="B2493" s="2" t="s">
        <v>5257</v>
      </c>
      <c r="C2493" s="2" t="n">
        <v>5</v>
      </c>
      <c r="D2493" s="2" t="s">
        <v>807</v>
      </c>
      <c r="E2493" s="2" t="s">
        <v>4951</v>
      </c>
      <c r="F2493" s="3" t="n">
        <v>45901.325</v>
      </c>
      <c r="G2493" s="2" t="s">
        <v>5251</v>
      </c>
      <c r="H2493" s="4" t="n">
        <v>0.6369</v>
      </c>
      <c r="I2493" s="2" t="s">
        <v>23</v>
      </c>
      <c r="J2493" s="2" t="s">
        <v>19</v>
      </c>
      <c r="K2493" s="2" t="n">
        <v>1</v>
      </c>
      <c r="L2493" s="2" t="n">
        <v>0</v>
      </c>
      <c r="M2493" s="2" t="n">
        <v>1</v>
      </c>
    </row>
    <row r="2494" customFormat="false" ht="15" hidden="false" customHeight="false" outlineLevel="0" collapsed="false">
      <c r="A2494" s="2" t="s">
        <v>5258</v>
      </c>
      <c r="B2494" s="2" t="s">
        <v>5259</v>
      </c>
      <c r="C2494" s="2" t="n">
        <v>5</v>
      </c>
      <c r="D2494" s="2" t="s">
        <v>420</v>
      </c>
      <c r="E2494" s="2" t="s">
        <v>4951</v>
      </c>
      <c r="F2494" s="3" t="n">
        <v>45901.36875</v>
      </c>
      <c r="G2494" s="2" t="s">
        <v>5251</v>
      </c>
      <c r="H2494" s="4" t="n">
        <v>0.7845</v>
      </c>
      <c r="I2494" s="2" t="s">
        <v>23</v>
      </c>
      <c r="J2494" s="2" t="s">
        <v>33</v>
      </c>
      <c r="K2494" s="2" t="n">
        <v>2</v>
      </c>
      <c r="L2494" s="2" t="n">
        <v>0</v>
      </c>
      <c r="M2494" s="2" t="n">
        <v>1</v>
      </c>
    </row>
    <row r="2495" customFormat="false" ht="15" hidden="false" customHeight="false" outlineLevel="0" collapsed="false">
      <c r="A2495" s="2" t="s">
        <v>5260</v>
      </c>
      <c r="B2495" s="2" t="s">
        <v>5261</v>
      </c>
      <c r="C2495" s="2" t="n">
        <v>5</v>
      </c>
      <c r="D2495" s="2" t="s">
        <v>1797</v>
      </c>
      <c r="E2495" s="2" t="s">
        <v>4951</v>
      </c>
      <c r="F2495" s="3" t="n">
        <v>45901.4256944444</v>
      </c>
      <c r="G2495" s="2" t="s">
        <v>5251</v>
      </c>
      <c r="H2495" s="4" t="n">
        <v>0.4019</v>
      </c>
      <c r="I2495" s="2" t="s">
        <v>23</v>
      </c>
      <c r="J2495" s="2" t="s">
        <v>33</v>
      </c>
      <c r="K2495" s="2" t="n">
        <v>0</v>
      </c>
      <c r="L2495" s="2" t="n">
        <v>0</v>
      </c>
      <c r="M2495" s="2" t="n">
        <v>1</v>
      </c>
    </row>
    <row r="2496" customFormat="false" ht="15" hidden="false" customHeight="false" outlineLevel="0" collapsed="false">
      <c r="A2496" s="2" t="s">
        <v>5262</v>
      </c>
      <c r="B2496" s="2" t="s">
        <v>5263</v>
      </c>
      <c r="C2496" s="2" t="n">
        <v>2</v>
      </c>
      <c r="D2496" s="2" t="s">
        <v>721</v>
      </c>
      <c r="E2496" s="2" t="s">
        <v>4951</v>
      </c>
      <c r="F2496" s="3" t="n">
        <v>45901.6118055556</v>
      </c>
      <c r="G2496" s="2" t="s">
        <v>5251</v>
      </c>
      <c r="H2496" s="4" t="n">
        <v>-0.4588</v>
      </c>
      <c r="I2496" s="2" t="s">
        <v>84</v>
      </c>
      <c r="J2496" s="2" t="s">
        <v>37</v>
      </c>
      <c r="K2496" s="2" t="n">
        <v>3</v>
      </c>
      <c r="L2496" s="2" t="n">
        <v>1</v>
      </c>
      <c r="M2496" s="2" t="n">
        <v>1</v>
      </c>
    </row>
    <row r="2497" customFormat="false" ht="15" hidden="false" customHeight="false" outlineLevel="0" collapsed="false">
      <c r="A2497" s="2" t="s">
        <v>5264</v>
      </c>
      <c r="B2497" s="2" t="s">
        <v>5265</v>
      </c>
      <c r="C2497" s="2" t="n">
        <v>5</v>
      </c>
      <c r="D2497" s="2" t="s">
        <v>62</v>
      </c>
      <c r="E2497" s="2" t="s">
        <v>4951</v>
      </c>
      <c r="F2497" s="3" t="n">
        <v>45901.7263888889</v>
      </c>
      <c r="G2497" s="2" t="s">
        <v>5251</v>
      </c>
      <c r="H2497" s="4" t="n">
        <v>0.7088</v>
      </c>
      <c r="I2497" s="2" t="s">
        <v>23</v>
      </c>
      <c r="J2497" s="2" t="s">
        <v>19</v>
      </c>
      <c r="K2497" s="2" t="n">
        <v>5</v>
      </c>
      <c r="L2497" s="2" t="n">
        <v>0</v>
      </c>
      <c r="M2497" s="2" t="n">
        <v>1</v>
      </c>
    </row>
    <row r="2498" customFormat="false" ht="15" hidden="false" customHeight="false" outlineLevel="0" collapsed="false">
      <c r="A2498" s="2" t="s">
        <v>5266</v>
      </c>
      <c r="B2498" s="2" t="s">
        <v>5267</v>
      </c>
      <c r="C2498" s="2" t="n">
        <v>5</v>
      </c>
      <c r="D2498" s="2" t="s">
        <v>40</v>
      </c>
      <c r="E2498" s="2" t="s">
        <v>4951</v>
      </c>
      <c r="F2498" s="3" t="n">
        <v>45901.9041666667</v>
      </c>
      <c r="G2498" s="2" t="s">
        <v>5251</v>
      </c>
      <c r="H2498" s="4" t="n">
        <v>0.4019</v>
      </c>
      <c r="I2498" s="2" t="s">
        <v>23</v>
      </c>
      <c r="J2498" s="2" t="s">
        <v>33</v>
      </c>
      <c r="K2498" s="2" t="n">
        <v>2</v>
      </c>
      <c r="L2498" s="2" t="n">
        <v>0</v>
      </c>
      <c r="M2498" s="2" t="n">
        <v>1</v>
      </c>
    </row>
    <row r="2499" customFormat="false" ht="15" hidden="false" customHeight="false" outlineLevel="0" collapsed="false">
      <c r="A2499" s="2" t="s">
        <v>5268</v>
      </c>
      <c r="B2499" s="2" t="s">
        <v>5269</v>
      </c>
      <c r="C2499" s="2" t="n">
        <v>5</v>
      </c>
      <c r="D2499" s="2" t="s">
        <v>90</v>
      </c>
      <c r="E2499" s="2" t="s">
        <v>4951</v>
      </c>
      <c r="F2499" s="3" t="n">
        <v>45902.0118055556</v>
      </c>
      <c r="G2499" s="2" t="s">
        <v>5251</v>
      </c>
      <c r="H2499" s="4" t="n">
        <v>0.6249</v>
      </c>
      <c r="I2499" s="2" t="s">
        <v>23</v>
      </c>
      <c r="J2499" s="2" t="s">
        <v>37</v>
      </c>
      <c r="K2499" s="2" t="n">
        <v>0</v>
      </c>
      <c r="L2499" s="2" t="n">
        <v>0</v>
      </c>
      <c r="M2499" s="2" t="n">
        <v>0</v>
      </c>
    </row>
    <row r="2500" customFormat="false" ht="15" hidden="false" customHeight="false" outlineLevel="0" collapsed="false">
      <c r="A2500" s="2" t="s">
        <v>5270</v>
      </c>
      <c r="B2500" s="2" t="s">
        <v>5271</v>
      </c>
      <c r="C2500" s="2" t="n">
        <v>4</v>
      </c>
      <c r="D2500" s="2" t="s">
        <v>304</v>
      </c>
      <c r="E2500" s="2" t="s">
        <v>4951</v>
      </c>
      <c r="F2500" s="3" t="n">
        <v>45902.0381944445</v>
      </c>
      <c r="G2500" s="2" t="s">
        <v>5251</v>
      </c>
      <c r="H2500" s="4" t="n">
        <v>0.6249</v>
      </c>
      <c r="I2500" s="2" t="s">
        <v>23</v>
      </c>
      <c r="J2500" s="2" t="s">
        <v>37</v>
      </c>
      <c r="K2500" s="2" t="n">
        <v>2</v>
      </c>
      <c r="L2500" s="2" t="n">
        <v>0</v>
      </c>
      <c r="M2500" s="2" t="n">
        <v>0</v>
      </c>
    </row>
    <row r="2501" customFormat="false" ht="15" hidden="false" customHeight="false" outlineLevel="0" collapsed="false">
      <c r="A2501" s="2" t="s">
        <v>5272</v>
      </c>
      <c r="B2501" s="2" t="s">
        <v>5273</v>
      </c>
      <c r="C2501" s="2" t="n">
        <v>3</v>
      </c>
      <c r="D2501" s="2" t="s">
        <v>301</v>
      </c>
      <c r="E2501" s="2" t="s">
        <v>4951</v>
      </c>
      <c r="F2501" s="3" t="n">
        <v>45902.0944444445</v>
      </c>
      <c r="G2501" s="2" t="s">
        <v>5251</v>
      </c>
      <c r="H2501" s="4" t="n">
        <v>0.2263</v>
      </c>
      <c r="I2501" s="2" t="s">
        <v>23</v>
      </c>
      <c r="J2501" s="2" t="s">
        <v>19</v>
      </c>
      <c r="K2501" s="2" t="n">
        <v>4</v>
      </c>
      <c r="L2501" s="2" t="n">
        <v>0</v>
      </c>
      <c r="M2501" s="2" t="n">
        <v>0</v>
      </c>
    </row>
    <row r="2502" customFormat="false" ht="15" hidden="false" customHeight="false" outlineLevel="0" collapsed="false">
      <c r="A2502" s="2" t="s">
        <v>5274</v>
      </c>
      <c r="B2502" s="2" t="s">
        <v>5275</v>
      </c>
      <c r="C2502" s="2" t="n">
        <v>4</v>
      </c>
      <c r="D2502" s="2" t="s">
        <v>96</v>
      </c>
      <c r="E2502" s="2" t="s">
        <v>4951</v>
      </c>
      <c r="F2502" s="3" t="n">
        <v>45902.3208333333</v>
      </c>
      <c r="G2502" s="2" t="s">
        <v>5251</v>
      </c>
      <c r="H2502" s="4" t="n">
        <v>0.6369</v>
      </c>
      <c r="I2502" s="2" t="s">
        <v>23</v>
      </c>
      <c r="J2502" s="2" t="s">
        <v>19</v>
      </c>
      <c r="K2502" s="2" t="n">
        <v>1</v>
      </c>
      <c r="L2502" s="2" t="n">
        <v>0</v>
      </c>
      <c r="M2502" s="2" t="n">
        <v>0</v>
      </c>
    </row>
    <row r="2503" customFormat="false" ht="15" hidden="false" customHeight="false" outlineLevel="0" collapsed="false">
      <c r="A2503" s="2" t="s">
        <v>5276</v>
      </c>
      <c r="B2503" s="2" t="s">
        <v>5277</v>
      </c>
      <c r="C2503" s="2" t="n">
        <v>4</v>
      </c>
      <c r="D2503" s="2" t="s">
        <v>36</v>
      </c>
      <c r="E2503" s="2" t="s">
        <v>4951</v>
      </c>
      <c r="F2503" s="3" t="n">
        <v>45902.4034722222</v>
      </c>
      <c r="G2503" s="2" t="s">
        <v>5251</v>
      </c>
      <c r="H2503" s="4" t="n">
        <v>0.4404</v>
      </c>
      <c r="I2503" s="2" t="s">
        <v>23</v>
      </c>
      <c r="J2503" s="2" t="s">
        <v>37</v>
      </c>
      <c r="K2503" s="2" t="n">
        <v>7</v>
      </c>
      <c r="L2503" s="2" t="n">
        <v>0</v>
      </c>
      <c r="M2503" s="2" t="n">
        <v>0</v>
      </c>
    </row>
    <row r="2504" customFormat="false" ht="15" hidden="false" customHeight="false" outlineLevel="0" collapsed="false">
      <c r="A2504" s="2" t="s">
        <v>5278</v>
      </c>
      <c r="B2504" s="2" t="s">
        <v>5279</v>
      </c>
      <c r="C2504" s="2" t="n">
        <v>5</v>
      </c>
      <c r="D2504" s="2" t="s">
        <v>15</v>
      </c>
      <c r="E2504" s="2" t="s">
        <v>4951</v>
      </c>
      <c r="F2504" s="3" t="n">
        <v>45902.7152777778</v>
      </c>
      <c r="G2504" s="2" t="s">
        <v>5251</v>
      </c>
      <c r="H2504" s="4" t="n">
        <v>0</v>
      </c>
      <c r="I2504" s="2" t="s">
        <v>18</v>
      </c>
      <c r="J2504" s="2" t="s">
        <v>19</v>
      </c>
      <c r="K2504" s="2" t="n">
        <v>3</v>
      </c>
      <c r="L2504" s="2" t="n">
        <v>0</v>
      </c>
      <c r="M2504" s="2" t="n">
        <v>0</v>
      </c>
    </row>
    <row r="2505" customFormat="false" ht="15" hidden="false" customHeight="false" outlineLevel="0" collapsed="false">
      <c r="A2505" s="2" t="s">
        <v>5280</v>
      </c>
      <c r="B2505" s="2" t="s">
        <v>5281</v>
      </c>
      <c r="C2505" s="2" t="n">
        <v>2</v>
      </c>
      <c r="D2505" s="2" t="s">
        <v>58</v>
      </c>
      <c r="E2505" s="2" t="s">
        <v>4951</v>
      </c>
      <c r="F2505" s="3" t="n">
        <v>45902.8527777778</v>
      </c>
      <c r="G2505" s="2" t="s">
        <v>5251</v>
      </c>
      <c r="H2505" s="4" t="n">
        <v>0</v>
      </c>
      <c r="I2505" s="2" t="s">
        <v>18</v>
      </c>
      <c r="J2505" s="2" t="s">
        <v>59</v>
      </c>
      <c r="K2505" s="2" t="n">
        <v>12</v>
      </c>
      <c r="L2505" s="2" t="n">
        <v>0</v>
      </c>
      <c r="M2505" s="2" t="n">
        <v>0</v>
      </c>
    </row>
    <row r="2506" customFormat="false" ht="15" hidden="false" customHeight="false" outlineLevel="0" collapsed="false">
      <c r="A2506" s="2" t="s">
        <v>5282</v>
      </c>
      <c r="B2506" s="2" t="s">
        <v>5283</v>
      </c>
      <c r="C2506" s="2" t="n">
        <v>1</v>
      </c>
      <c r="D2506" s="2" t="s">
        <v>455</v>
      </c>
      <c r="E2506" s="2" t="s">
        <v>4951</v>
      </c>
      <c r="F2506" s="3" t="n">
        <v>45902.8680555556</v>
      </c>
      <c r="G2506" s="2" t="s">
        <v>5251</v>
      </c>
      <c r="H2506" s="4" t="n">
        <v>-0.2263</v>
      </c>
      <c r="I2506" s="2" t="s">
        <v>84</v>
      </c>
      <c r="J2506" s="2" t="s">
        <v>165</v>
      </c>
      <c r="K2506" s="2" t="n">
        <v>3</v>
      </c>
      <c r="L2506" s="2" t="n">
        <v>1</v>
      </c>
      <c r="M2506" s="2" t="n">
        <v>0</v>
      </c>
    </row>
    <row r="2507" customFormat="false" ht="15" hidden="false" customHeight="false" outlineLevel="0" collapsed="false">
      <c r="A2507" s="2" t="s">
        <v>5284</v>
      </c>
      <c r="B2507" s="2" t="s">
        <v>5285</v>
      </c>
      <c r="C2507" s="2" t="n">
        <v>2</v>
      </c>
      <c r="D2507" s="2" t="s">
        <v>5286</v>
      </c>
      <c r="E2507" s="2" t="s">
        <v>4951</v>
      </c>
      <c r="F2507" s="3" t="n">
        <v>45902.9444444445</v>
      </c>
      <c r="G2507" s="2" t="s">
        <v>5251</v>
      </c>
      <c r="H2507" s="4" t="n">
        <v>0</v>
      </c>
      <c r="I2507" s="2" t="s">
        <v>18</v>
      </c>
      <c r="J2507" s="2" t="s">
        <v>165</v>
      </c>
      <c r="K2507" s="2" t="n">
        <v>5</v>
      </c>
      <c r="L2507" s="2" t="n">
        <v>1</v>
      </c>
      <c r="M2507" s="2" t="n">
        <v>0</v>
      </c>
    </row>
    <row r="2508" customFormat="false" ht="15" hidden="false" customHeight="false" outlineLevel="0" collapsed="false">
      <c r="A2508" s="2" t="s">
        <v>5287</v>
      </c>
      <c r="B2508" s="2" t="s">
        <v>5288</v>
      </c>
      <c r="C2508" s="2" t="n">
        <v>5</v>
      </c>
      <c r="D2508" s="2" t="s">
        <v>389</v>
      </c>
      <c r="E2508" s="2" t="s">
        <v>4951</v>
      </c>
      <c r="F2508" s="3" t="n">
        <v>45903</v>
      </c>
      <c r="G2508" s="2" t="s">
        <v>5251</v>
      </c>
      <c r="H2508" s="4" t="n">
        <v>0.8519</v>
      </c>
      <c r="I2508" s="2" t="s">
        <v>23</v>
      </c>
      <c r="J2508" s="2" t="s">
        <v>37</v>
      </c>
      <c r="K2508" s="2" t="n">
        <v>0</v>
      </c>
      <c r="L2508" s="2" t="n">
        <v>0</v>
      </c>
      <c r="M2508" s="2" t="n">
        <v>0</v>
      </c>
    </row>
    <row r="2509" customFormat="false" ht="15" hidden="false" customHeight="false" outlineLevel="0" collapsed="false">
      <c r="A2509" s="2" t="s">
        <v>5289</v>
      </c>
      <c r="B2509" s="2" t="s">
        <v>5290</v>
      </c>
      <c r="C2509" s="2" t="n">
        <v>5</v>
      </c>
      <c r="D2509" s="2" t="s">
        <v>5291</v>
      </c>
      <c r="E2509" s="2" t="s">
        <v>4951</v>
      </c>
      <c r="F2509" s="3" t="n">
        <v>45903.0701388889</v>
      </c>
      <c r="G2509" s="2" t="s">
        <v>5251</v>
      </c>
      <c r="H2509" s="4" t="n">
        <v>0.5448</v>
      </c>
      <c r="I2509" s="2" t="s">
        <v>23</v>
      </c>
      <c r="J2509" s="2" t="s">
        <v>19</v>
      </c>
      <c r="K2509" s="2" t="n">
        <v>0</v>
      </c>
      <c r="L2509" s="2" t="n">
        <v>0</v>
      </c>
      <c r="M2509" s="2" t="n">
        <v>0</v>
      </c>
    </row>
    <row r="2510" customFormat="false" ht="15" hidden="false" customHeight="false" outlineLevel="0" collapsed="false">
      <c r="A2510" s="2" t="s">
        <v>5292</v>
      </c>
      <c r="B2510" s="2" t="s">
        <v>5293</v>
      </c>
      <c r="C2510" s="2" t="n">
        <v>5</v>
      </c>
      <c r="D2510" s="2" t="s">
        <v>96</v>
      </c>
      <c r="E2510" s="2" t="s">
        <v>4951</v>
      </c>
      <c r="F2510" s="3" t="n">
        <v>45903.1034722222</v>
      </c>
      <c r="G2510" s="2" t="s">
        <v>5251</v>
      </c>
      <c r="H2510" s="4" t="n">
        <v>0.6369</v>
      </c>
      <c r="I2510" s="2" t="s">
        <v>23</v>
      </c>
      <c r="J2510" s="2" t="s">
        <v>19</v>
      </c>
      <c r="K2510" s="2" t="n">
        <v>0</v>
      </c>
      <c r="L2510" s="2" t="n">
        <v>0</v>
      </c>
      <c r="M2510" s="2" t="n">
        <v>0</v>
      </c>
    </row>
    <row r="2511" customFormat="false" ht="15" hidden="false" customHeight="false" outlineLevel="0" collapsed="false">
      <c r="A2511" s="2" t="s">
        <v>5294</v>
      </c>
      <c r="B2511" s="2" t="s">
        <v>5295</v>
      </c>
      <c r="C2511" s="2" t="n">
        <v>1</v>
      </c>
      <c r="D2511" s="2" t="s">
        <v>721</v>
      </c>
      <c r="E2511" s="2" t="s">
        <v>4951</v>
      </c>
      <c r="F2511" s="3" t="n">
        <v>45903.1194444444</v>
      </c>
      <c r="G2511" s="2" t="s">
        <v>5251</v>
      </c>
      <c r="H2511" s="4" t="n">
        <v>-0.4588</v>
      </c>
      <c r="I2511" s="2" t="s">
        <v>84</v>
      </c>
      <c r="J2511" s="2" t="s">
        <v>37</v>
      </c>
      <c r="K2511" s="2" t="n">
        <v>0</v>
      </c>
      <c r="L2511" s="2" t="n">
        <v>0</v>
      </c>
      <c r="M2511" s="2" t="n">
        <v>0</v>
      </c>
    </row>
    <row r="2512" customFormat="false" ht="15" hidden="false" customHeight="false" outlineLevel="0" collapsed="false">
      <c r="A2512" s="2" t="s">
        <v>5296</v>
      </c>
      <c r="B2512" s="2" t="s">
        <v>5297</v>
      </c>
      <c r="C2512" s="2" t="n">
        <v>4</v>
      </c>
      <c r="D2512" s="2" t="s">
        <v>90</v>
      </c>
      <c r="E2512" s="2" t="s">
        <v>4951</v>
      </c>
      <c r="F2512" s="3" t="n">
        <v>45903.19375</v>
      </c>
      <c r="G2512" s="2" t="s">
        <v>5251</v>
      </c>
      <c r="H2512" s="4" t="n">
        <v>0.6249</v>
      </c>
      <c r="I2512" s="2" t="s">
        <v>23</v>
      </c>
      <c r="J2512" s="2" t="s">
        <v>37</v>
      </c>
      <c r="K2512" s="2" t="n">
        <v>1</v>
      </c>
      <c r="L2512" s="2" t="n">
        <v>0</v>
      </c>
      <c r="M2512" s="2" t="n">
        <v>0</v>
      </c>
    </row>
    <row r="2513" customFormat="false" ht="15" hidden="false" customHeight="false" outlineLevel="0" collapsed="false">
      <c r="A2513" s="2" t="s">
        <v>5298</v>
      </c>
      <c r="B2513" s="2" t="s">
        <v>5299</v>
      </c>
      <c r="C2513" s="2" t="n">
        <v>4</v>
      </c>
      <c r="D2513" s="2" t="s">
        <v>52</v>
      </c>
      <c r="E2513" s="2" t="s">
        <v>4951</v>
      </c>
      <c r="F2513" s="3" t="n">
        <v>45903.3333333333</v>
      </c>
      <c r="G2513" s="2" t="s">
        <v>5251</v>
      </c>
      <c r="H2513" s="4" t="n">
        <v>0.6369</v>
      </c>
      <c r="I2513" s="2" t="s">
        <v>23</v>
      </c>
      <c r="J2513" s="2" t="s">
        <v>19</v>
      </c>
      <c r="K2513" s="2" t="n">
        <v>8</v>
      </c>
      <c r="L2513" s="2" t="n">
        <v>0</v>
      </c>
      <c r="M2513" s="2" t="n">
        <v>0</v>
      </c>
    </row>
    <row r="2514" customFormat="false" ht="15" hidden="false" customHeight="false" outlineLevel="0" collapsed="false">
      <c r="A2514" s="2" t="s">
        <v>5300</v>
      </c>
      <c r="B2514" s="2" t="s">
        <v>5301</v>
      </c>
      <c r="C2514" s="2" t="n">
        <v>5</v>
      </c>
      <c r="D2514" s="2" t="s">
        <v>52</v>
      </c>
      <c r="E2514" s="2" t="s">
        <v>4951</v>
      </c>
      <c r="F2514" s="3" t="n">
        <v>45903.4402777778</v>
      </c>
      <c r="G2514" s="2" t="s">
        <v>5251</v>
      </c>
      <c r="H2514" s="4" t="n">
        <v>0.6369</v>
      </c>
      <c r="I2514" s="2" t="s">
        <v>23</v>
      </c>
      <c r="J2514" s="2" t="s">
        <v>19</v>
      </c>
      <c r="K2514" s="2" t="n">
        <v>7</v>
      </c>
      <c r="L2514" s="2" t="n">
        <v>0</v>
      </c>
      <c r="M2514" s="2" t="n">
        <v>0</v>
      </c>
    </row>
    <row r="2515" customFormat="false" ht="15" hidden="false" customHeight="false" outlineLevel="0" collapsed="false">
      <c r="A2515" s="2" t="s">
        <v>5302</v>
      </c>
      <c r="B2515" s="2" t="s">
        <v>5303</v>
      </c>
      <c r="C2515" s="2" t="n">
        <v>1</v>
      </c>
      <c r="D2515" s="2" t="s">
        <v>624</v>
      </c>
      <c r="E2515" s="2" t="s">
        <v>4951</v>
      </c>
      <c r="F2515" s="3" t="n">
        <v>45903.4625</v>
      </c>
      <c r="G2515" s="2" t="s">
        <v>5251</v>
      </c>
      <c r="H2515" s="4" t="n">
        <v>-0.25</v>
      </c>
      <c r="I2515" s="2" t="s">
        <v>84</v>
      </c>
      <c r="J2515" s="2" t="s">
        <v>37</v>
      </c>
      <c r="K2515" s="2" t="n">
        <v>4</v>
      </c>
      <c r="L2515" s="2" t="n">
        <v>1</v>
      </c>
      <c r="M2515" s="2" t="n">
        <v>0</v>
      </c>
    </row>
    <row r="2516" customFormat="false" ht="15" hidden="false" customHeight="false" outlineLevel="0" collapsed="false">
      <c r="A2516" s="2" t="s">
        <v>5304</v>
      </c>
      <c r="B2516" s="2" t="s">
        <v>5305</v>
      </c>
      <c r="C2516" s="2" t="n">
        <v>5</v>
      </c>
      <c r="D2516" s="2" t="s">
        <v>1004</v>
      </c>
      <c r="E2516" s="2" t="s">
        <v>4951</v>
      </c>
      <c r="F2516" s="3" t="n">
        <v>45903.4965277778</v>
      </c>
      <c r="G2516" s="2" t="s">
        <v>5251</v>
      </c>
      <c r="H2516" s="4" t="n">
        <v>0.6249</v>
      </c>
      <c r="I2516" s="2" t="s">
        <v>23</v>
      </c>
      <c r="J2516" s="2" t="s">
        <v>37</v>
      </c>
      <c r="K2516" s="2" t="n">
        <v>1</v>
      </c>
      <c r="L2516" s="2" t="n">
        <v>0</v>
      </c>
      <c r="M2516" s="2" t="n">
        <v>0</v>
      </c>
    </row>
    <row r="2517" customFormat="false" ht="15" hidden="false" customHeight="false" outlineLevel="0" collapsed="false">
      <c r="A2517" s="2" t="s">
        <v>5306</v>
      </c>
      <c r="B2517" s="2" t="s">
        <v>5307</v>
      </c>
      <c r="C2517" s="2" t="n">
        <v>4</v>
      </c>
      <c r="D2517" s="2" t="s">
        <v>96</v>
      </c>
      <c r="E2517" s="2" t="s">
        <v>4951</v>
      </c>
      <c r="F2517" s="3" t="n">
        <v>45903.5555555556</v>
      </c>
      <c r="G2517" s="2" t="s">
        <v>5251</v>
      </c>
      <c r="H2517" s="4" t="n">
        <v>0.6369</v>
      </c>
      <c r="I2517" s="2" t="s">
        <v>23</v>
      </c>
      <c r="J2517" s="2" t="s">
        <v>19</v>
      </c>
      <c r="K2517" s="2" t="n">
        <v>1</v>
      </c>
      <c r="L2517" s="2" t="n">
        <v>0</v>
      </c>
      <c r="M2517" s="2" t="n">
        <v>0</v>
      </c>
    </row>
    <row r="2518" customFormat="false" ht="15" hidden="false" customHeight="false" outlineLevel="0" collapsed="false">
      <c r="A2518" s="2" t="s">
        <v>5308</v>
      </c>
      <c r="B2518" s="2" t="s">
        <v>5309</v>
      </c>
      <c r="C2518" s="2" t="n">
        <v>5</v>
      </c>
      <c r="D2518" s="2" t="s">
        <v>269</v>
      </c>
      <c r="E2518" s="2" t="s">
        <v>4951</v>
      </c>
      <c r="F2518" s="3" t="n">
        <v>45903.5631944445</v>
      </c>
      <c r="G2518" s="2" t="s">
        <v>5251</v>
      </c>
      <c r="H2518" s="4" t="n">
        <v>0.8748</v>
      </c>
      <c r="I2518" s="2" t="s">
        <v>23</v>
      </c>
      <c r="J2518" s="2" t="s">
        <v>37</v>
      </c>
      <c r="K2518" s="2" t="n">
        <v>1</v>
      </c>
      <c r="L2518" s="2" t="n">
        <v>0</v>
      </c>
      <c r="M2518" s="2" t="n">
        <v>0</v>
      </c>
    </row>
    <row r="2519" customFormat="false" ht="15" hidden="false" customHeight="false" outlineLevel="0" collapsed="false">
      <c r="A2519" s="2" t="s">
        <v>5310</v>
      </c>
      <c r="B2519" s="2" t="s">
        <v>5311</v>
      </c>
      <c r="C2519" s="2" t="n">
        <v>1</v>
      </c>
      <c r="D2519" s="2" t="s">
        <v>482</v>
      </c>
      <c r="E2519" s="2" t="s">
        <v>4951</v>
      </c>
      <c r="F2519" s="3" t="n">
        <v>45903.625</v>
      </c>
      <c r="G2519" s="2" t="s">
        <v>5251</v>
      </c>
      <c r="H2519" s="4" t="n">
        <v>-0.6808</v>
      </c>
      <c r="I2519" s="2" t="s">
        <v>84</v>
      </c>
      <c r="J2519" s="2" t="s">
        <v>110</v>
      </c>
      <c r="K2519" s="2" t="n">
        <v>2</v>
      </c>
      <c r="L2519" s="2" t="n">
        <v>1</v>
      </c>
      <c r="M2519" s="2" t="n">
        <v>0</v>
      </c>
    </row>
    <row r="2520" customFormat="false" ht="15" hidden="false" customHeight="false" outlineLevel="0" collapsed="false">
      <c r="A2520" s="2" t="s">
        <v>5312</v>
      </c>
      <c r="B2520" s="2" t="s">
        <v>5313</v>
      </c>
      <c r="C2520" s="2" t="n">
        <v>5</v>
      </c>
      <c r="D2520" s="2" t="s">
        <v>96</v>
      </c>
      <c r="E2520" s="2" t="s">
        <v>4951</v>
      </c>
      <c r="F2520" s="3" t="n">
        <v>45903.7194444445</v>
      </c>
      <c r="G2520" s="2" t="s">
        <v>5251</v>
      </c>
      <c r="H2520" s="4" t="n">
        <v>0.6369</v>
      </c>
      <c r="I2520" s="2" t="s">
        <v>23</v>
      </c>
      <c r="J2520" s="2" t="s">
        <v>19</v>
      </c>
      <c r="K2520" s="2" t="n">
        <v>1</v>
      </c>
      <c r="L2520" s="2" t="n">
        <v>0</v>
      </c>
      <c r="M2520" s="2" t="n">
        <v>0</v>
      </c>
    </row>
    <row r="2521" customFormat="false" ht="15" hidden="false" customHeight="false" outlineLevel="0" collapsed="false">
      <c r="A2521" s="2" t="s">
        <v>5314</v>
      </c>
      <c r="B2521" s="2" t="s">
        <v>5315</v>
      </c>
      <c r="C2521" s="2" t="n">
        <v>5</v>
      </c>
      <c r="D2521" s="2" t="s">
        <v>47</v>
      </c>
      <c r="E2521" s="2" t="s">
        <v>4951</v>
      </c>
      <c r="F2521" s="3" t="n">
        <v>45903.8652777778</v>
      </c>
      <c r="G2521" s="2" t="s">
        <v>5251</v>
      </c>
      <c r="H2521" s="4" t="n">
        <v>0.3089</v>
      </c>
      <c r="I2521" s="2" t="s">
        <v>23</v>
      </c>
      <c r="J2521" s="2" t="s">
        <v>19</v>
      </c>
      <c r="K2521" s="2" t="n">
        <v>0</v>
      </c>
      <c r="L2521" s="2" t="n">
        <v>0</v>
      </c>
      <c r="M2521" s="2" t="n">
        <v>0</v>
      </c>
    </row>
    <row r="2522" customFormat="false" ht="15" hidden="false" customHeight="false" outlineLevel="0" collapsed="false">
      <c r="A2522" s="2" t="s">
        <v>5316</v>
      </c>
      <c r="B2522" s="2" t="s">
        <v>5317</v>
      </c>
      <c r="C2522" s="2" t="n">
        <v>5</v>
      </c>
      <c r="D2522" s="2" t="s">
        <v>104</v>
      </c>
      <c r="E2522" s="2" t="s">
        <v>4951</v>
      </c>
      <c r="F2522" s="3" t="n">
        <v>45904.2375</v>
      </c>
      <c r="G2522" s="2" t="s">
        <v>5251</v>
      </c>
      <c r="H2522" s="4" t="n">
        <v>0.8481</v>
      </c>
      <c r="I2522" s="2" t="s">
        <v>23</v>
      </c>
      <c r="J2522" s="2" t="s">
        <v>37</v>
      </c>
      <c r="K2522" s="2" t="n">
        <v>0</v>
      </c>
      <c r="L2522" s="2" t="n">
        <v>0</v>
      </c>
      <c r="M2522" s="2" t="n">
        <v>0</v>
      </c>
    </row>
    <row r="2523" customFormat="false" ht="15" hidden="false" customHeight="false" outlineLevel="0" collapsed="false">
      <c r="A2523" s="2" t="s">
        <v>5318</v>
      </c>
      <c r="B2523" s="2" t="s">
        <v>5319</v>
      </c>
      <c r="C2523" s="2" t="n">
        <v>4</v>
      </c>
      <c r="D2523" s="2" t="s">
        <v>96</v>
      </c>
      <c r="E2523" s="2" t="s">
        <v>4951</v>
      </c>
      <c r="F2523" s="3" t="n">
        <v>45904.3166666667</v>
      </c>
      <c r="G2523" s="2" t="s">
        <v>5251</v>
      </c>
      <c r="H2523" s="4" t="n">
        <v>0.6369</v>
      </c>
      <c r="I2523" s="2" t="s">
        <v>23</v>
      </c>
      <c r="J2523" s="2" t="s">
        <v>19</v>
      </c>
      <c r="K2523" s="2" t="n">
        <v>3</v>
      </c>
      <c r="L2523" s="2" t="n">
        <v>0</v>
      </c>
      <c r="M2523" s="2" t="n">
        <v>0</v>
      </c>
    </row>
    <row r="2524" customFormat="false" ht="15" hidden="false" customHeight="false" outlineLevel="0" collapsed="false">
      <c r="A2524" s="2" t="s">
        <v>5320</v>
      </c>
      <c r="B2524" s="2" t="s">
        <v>5321</v>
      </c>
      <c r="C2524" s="2" t="n">
        <v>5</v>
      </c>
      <c r="D2524" s="2" t="s">
        <v>127</v>
      </c>
      <c r="E2524" s="2" t="s">
        <v>4951</v>
      </c>
      <c r="F2524" s="3" t="n">
        <v>45904.3826388889</v>
      </c>
      <c r="G2524" s="2" t="s">
        <v>5251</v>
      </c>
      <c r="H2524" s="4" t="n">
        <v>0.9359</v>
      </c>
      <c r="I2524" s="2" t="s">
        <v>23</v>
      </c>
      <c r="J2524" s="2" t="s">
        <v>37</v>
      </c>
      <c r="K2524" s="2" t="n">
        <v>8</v>
      </c>
      <c r="L2524" s="2" t="n">
        <v>0</v>
      </c>
      <c r="M2524" s="2" t="n">
        <v>0</v>
      </c>
    </row>
    <row r="2525" customFormat="false" ht="15" hidden="false" customHeight="false" outlineLevel="0" collapsed="false">
      <c r="A2525" s="2" t="s">
        <v>5322</v>
      </c>
      <c r="B2525" s="2" t="s">
        <v>5323</v>
      </c>
      <c r="C2525" s="2" t="n">
        <v>3</v>
      </c>
      <c r="D2525" s="2" t="s">
        <v>99</v>
      </c>
      <c r="E2525" s="2" t="s">
        <v>4951</v>
      </c>
      <c r="F2525" s="3" t="n">
        <v>45904.3840277778</v>
      </c>
      <c r="G2525" s="2" t="s">
        <v>5251</v>
      </c>
      <c r="H2525" s="4" t="n">
        <v>-0.3089</v>
      </c>
      <c r="I2525" s="2" t="s">
        <v>84</v>
      </c>
      <c r="J2525" s="2" t="s">
        <v>19</v>
      </c>
      <c r="K2525" s="2" t="n">
        <v>0</v>
      </c>
      <c r="L2525" s="2" t="n">
        <v>0</v>
      </c>
      <c r="M2525" s="2" t="n">
        <v>0</v>
      </c>
    </row>
    <row r="2526" customFormat="false" ht="15" hidden="false" customHeight="false" outlineLevel="0" collapsed="false">
      <c r="A2526" s="2" t="s">
        <v>5324</v>
      </c>
      <c r="B2526" s="2" t="s">
        <v>5325</v>
      </c>
      <c r="C2526" s="2" t="n">
        <v>5</v>
      </c>
      <c r="D2526" s="2" t="s">
        <v>52</v>
      </c>
      <c r="E2526" s="2" t="s">
        <v>4951</v>
      </c>
      <c r="F2526" s="3" t="n">
        <v>45904.4611111111</v>
      </c>
      <c r="G2526" s="2" t="s">
        <v>5251</v>
      </c>
      <c r="H2526" s="4" t="n">
        <v>0.6369</v>
      </c>
      <c r="I2526" s="2" t="s">
        <v>23</v>
      </c>
      <c r="J2526" s="2" t="s">
        <v>19</v>
      </c>
      <c r="K2526" s="2" t="n">
        <v>7</v>
      </c>
      <c r="L2526" s="2" t="n">
        <v>0</v>
      </c>
      <c r="M2526" s="2" t="n">
        <v>0</v>
      </c>
    </row>
    <row r="2527" customFormat="false" ht="15" hidden="false" customHeight="false" outlineLevel="0" collapsed="false">
      <c r="A2527" s="2" t="s">
        <v>5326</v>
      </c>
      <c r="B2527" s="2" t="s">
        <v>5327</v>
      </c>
      <c r="C2527" s="2" t="n">
        <v>5</v>
      </c>
      <c r="D2527" s="2" t="s">
        <v>269</v>
      </c>
      <c r="E2527" s="2" t="s">
        <v>4951</v>
      </c>
      <c r="F2527" s="3" t="n">
        <v>45904.4645833333</v>
      </c>
      <c r="G2527" s="2" t="s">
        <v>5251</v>
      </c>
      <c r="H2527" s="4" t="n">
        <v>0.8748</v>
      </c>
      <c r="I2527" s="2" t="s">
        <v>23</v>
      </c>
      <c r="J2527" s="2" t="s">
        <v>37</v>
      </c>
      <c r="K2527" s="2" t="n">
        <v>1</v>
      </c>
      <c r="L2527" s="2" t="n">
        <v>0</v>
      </c>
      <c r="M2527" s="2" t="n">
        <v>0</v>
      </c>
    </row>
    <row r="2528" customFormat="false" ht="15" hidden="false" customHeight="false" outlineLevel="0" collapsed="false">
      <c r="A2528" s="2" t="s">
        <v>5328</v>
      </c>
      <c r="B2528" s="2" t="s">
        <v>5329</v>
      </c>
      <c r="C2528" s="2" t="n">
        <v>5</v>
      </c>
      <c r="D2528" s="2" t="s">
        <v>15</v>
      </c>
      <c r="E2528" s="2" t="s">
        <v>4951</v>
      </c>
      <c r="F2528" s="3" t="n">
        <v>45904.4763888889</v>
      </c>
      <c r="G2528" s="2" t="s">
        <v>5251</v>
      </c>
      <c r="H2528" s="4" t="n">
        <v>0</v>
      </c>
      <c r="I2528" s="2" t="s">
        <v>18</v>
      </c>
      <c r="J2528" s="2" t="s">
        <v>19</v>
      </c>
      <c r="K2528" s="2" t="n">
        <v>1</v>
      </c>
      <c r="L2528" s="2" t="n">
        <v>0</v>
      </c>
      <c r="M2528" s="2" t="n">
        <v>0</v>
      </c>
    </row>
    <row r="2529" customFormat="false" ht="15" hidden="false" customHeight="false" outlineLevel="0" collapsed="false">
      <c r="A2529" s="2" t="s">
        <v>5330</v>
      </c>
      <c r="B2529" s="2" t="s">
        <v>5331</v>
      </c>
      <c r="C2529" s="2" t="n">
        <v>1</v>
      </c>
      <c r="D2529" s="2" t="s">
        <v>231</v>
      </c>
      <c r="E2529" s="2" t="s">
        <v>4951</v>
      </c>
      <c r="F2529" s="3" t="n">
        <v>45904.5104166667</v>
      </c>
      <c r="G2529" s="2" t="s">
        <v>5251</v>
      </c>
      <c r="H2529" s="4" t="n">
        <v>-0.3593</v>
      </c>
      <c r="I2529" s="2" t="s">
        <v>84</v>
      </c>
      <c r="J2529" s="2" t="s">
        <v>33</v>
      </c>
      <c r="K2529" s="2" t="n">
        <v>3</v>
      </c>
      <c r="L2529" s="2" t="n">
        <v>1</v>
      </c>
      <c r="M2529" s="2" t="n">
        <v>0</v>
      </c>
    </row>
    <row r="2530" customFormat="false" ht="15" hidden="false" customHeight="false" outlineLevel="0" collapsed="false">
      <c r="A2530" s="2" t="s">
        <v>5332</v>
      </c>
      <c r="B2530" s="2" t="s">
        <v>5333</v>
      </c>
      <c r="C2530" s="2" t="n">
        <v>4</v>
      </c>
      <c r="D2530" s="2" t="s">
        <v>127</v>
      </c>
      <c r="E2530" s="2" t="s">
        <v>4951</v>
      </c>
      <c r="F2530" s="3" t="n">
        <v>45904.5229166667</v>
      </c>
      <c r="G2530" s="2" t="s">
        <v>5251</v>
      </c>
      <c r="H2530" s="4" t="n">
        <v>0.9359</v>
      </c>
      <c r="I2530" s="2" t="s">
        <v>23</v>
      </c>
      <c r="J2530" s="2" t="s">
        <v>37</v>
      </c>
      <c r="K2530" s="2" t="n">
        <v>0</v>
      </c>
      <c r="L2530" s="2" t="n">
        <v>0</v>
      </c>
      <c r="M2530" s="2" t="n">
        <v>0</v>
      </c>
    </row>
    <row r="2531" customFormat="false" ht="15" hidden="false" customHeight="false" outlineLevel="0" collapsed="false">
      <c r="A2531" s="2" t="s">
        <v>5334</v>
      </c>
      <c r="B2531" s="2" t="s">
        <v>5335</v>
      </c>
      <c r="C2531" s="2" t="n">
        <v>1</v>
      </c>
      <c r="D2531" s="2" t="s">
        <v>109</v>
      </c>
      <c r="E2531" s="2" t="s">
        <v>4951</v>
      </c>
      <c r="F2531" s="3" t="n">
        <v>45904.5506944444</v>
      </c>
      <c r="G2531" s="2" t="s">
        <v>5251</v>
      </c>
      <c r="H2531" s="4" t="n">
        <v>0</v>
      </c>
      <c r="I2531" s="2" t="s">
        <v>18</v>
      </c>
      <c r="J2531" s="2" t="s">
        <v>110</v>
      </c>
      <c r="K2531" s="2" t="n">
        <v>4</v>
      </c>
      <c r="L2531" s="2" t="n">
        <v>1</v>
      </c>
      <c r="M2531" s="2" t="n">
        <v>0</v>
      </c>
    </row>
    <row r="2532" customFormat="false" ht="15" hidden="false" customHeight="false" outlineLevel="0" collapsed="false">
      <c r="A2532" s="2" t="s">
        <v>5336</v>
      </c>
      <c r="B2532" s="2" t="s">
        <v>5337</v>
      </c>
      <c r="C2532" s="2" t="n">
        <v>5</v>
      </c>
      <c r="D2532" s="2" t="s">
        <v>304</v>
      </c>
      <c r="E2532" s="2" t="s">
        <v>4951</v>
      </c>
      <c r="F2532" s="3" t="n">
        <v>45904.6166666667</v>
      </c>
      <c r="G2532" s="2" t="s">
        <v>5251</v>
      </c>
      <c r="H2532" s="4" t="n">
        <v>0.6249</v>
      </c>
      <c r="I2532" s="2" t="s">
        <v>23</v>
      </c>
      <c r="J2532" s="2" t="s">
        <v>37</v>
      </c>
      <c r="K2532" s="2" t="n">
        <v>6</v>
      </c>
      <c r="L2532" s="2" t="n">
        <v>0</v>
      </c>
      <c r="M2532" s="2" t="n">
        <v>0</v>
      </c>
    </row>
    <row r="2533" customFormat="false" ht="15" hidden="false" customHeight="false" outlineLevel="0" collapsed="false">
      <c r="A2533" s="2" t="s">
        <v>5338</v>
      </c>
      <c r="B2533" s="2" t="s">
        <v>5339</v>
      </c>
      <c r="C2533" s="2" t="n">
        <v>3</v>
      </c>
      <c r="D2533" s="2" t="s">
        <v>710</v>
      </c>
      <c r="E2533" s="2" t="s">
        <v>4951</v>
      </c>
      <c r="F2533" s="3" t="n">
        <v>45904.6486111111</v>
      </c>
      <c r="G2533" s="2" t="s">
        <v>5251</v>
      </c>
      <c r="H2533" s="4" t="n">
        <v>0.5719</v>
      </c>
      <c r="I2533" s="2" t="s">
        <v>23</v>
      </c>
      <c r="J2533" s="2" t="s">
        <v>37</v>
      </c>
      <c r="K2533" s="2" t="n">
        <v>0</v>
      </c>
      <c r="L2533" s="2" t="n">
        <v>0</v>
      </c>
      <c r="M2533" s="2" t="n">
        <v>0</v>
      </c>
    </row>
    <row r="2534" customFormat="false" ht="15" hidden="false" customHeight="false" outlineLevel="0" collapsed="false">
      <c r="A2534" s="2" t="s">
        <v>5340</v>
      </c>
      <c r="B2534" s="2" t="s">
        <v>5341</v>
      </c>
      <c r="C2534" s="2" t="n">
        <v>2</v>
      </c>
      <c r="D2534" s="2" t="s">
        <v>482</v>
      </c>
      <c r="E2534" s="2" t="s">
        <v>4951</v>
      </c>
      <c r="F2534" s="3" t="n">
        <v>45904.6902777778</v>
      </c>
      <c r="G2534" s="2" t="s">
        <v>5251</v>
      </c>
      <c r="H2534" s="4" t="n">
        <v>-0.6808</v>
      </c>
      <c r="I2534" s="2" t="s">
        <v>84</v>
      </c>
      <c r="J2534" s="2" t="s">
        <v>110</v>
      </c>
      <c r="K2534" s="2" t="n">
        <v>4</v>
      </c>
      <c r="L2534" s="2" t="n">
        <v>0</v>
      </c>
      <c r="M2534" s="2" t="n">
        <v>0</v>
      </c>
    </row>
    <row r="2535" customFormat="false" ht="15" hidden="false" customHeight="false" outlineLevel="0" collapsed="false">
      <c r="A2535" s="2" t="s">
        <v>5342</v>
      </c>
      <c r="B2535" s="2" t="s">
        <v>5343</v>
      </c>
      <c r="C2535" s="2" t="n">
        <v>5</v>
      </c>
      <c r="D2535" s="2" t="s">
        <v>2578</v>
      </c>
      <c r="E2535" s="2" t="s">
        <v>4951</v>
      </c>
      <c r="F2535" s="3" t="n">
        <v>45904.7243055556</v>
      </c>
      <c r="G2535" s="2" t="s">
        <v>5251</v>
      </c>
      <c r="H2535" s="4" t="n">
        <v>0.9626</v>
      </c>
      <c r="I2535" s="2" t="s">
        <v>23</v>
      </c>
      <c r="J2535" s="2" t="s">
        <v>37</v>
      </c>
      <c r="K2535" s="2" t="n">
        <v>0</v>
      </c>
      <c r="L2535" s="2" t="n">
        <v>0</v>
      </c>
      <c r="M2535" s="2" t="n">
        <v>0</v>
      </c>
    </row>
    <row r="2536" customFormat="false" ht="15" hidden="false" customHeight="false" outlineLevel="0" collapsed="false">
      <c r="A2536" s="2" t="s">
        <v>5344</v>
      </c>
      <c r="B2536" s="2" t="s">
        <v>5345</v>
      </c>
      <c r="C2536" s="2" t="n">
        <v>5</v>
      </c>
      <c r="D2536" s="2" t="s">
        <v>90</v>
      </c>
      <c r="E2536" s="2" t="s">
        <v>4951</v>
      </c>
      <c r="F2536" s="3" t="n">
        <v>45904.7326388889</v>
      </c>
      <c r="G2536" s="2" t="s">
        <v>5251</v>
      </c>
      <c r="H2536" s="4" t="n">
        <v>0.6249</v>
      </c>
      <c r="I2536" s="2" t="s">
        <v>23</v>
      </c>
      <c r="J2536" s="2" t="s">
        <v>37</v>
      </c>
      <c r="K2536" s="2" t="n">
        <v>0</v>
      </c>
      <c r="L2536" s="2" t="n">
        <v>0</v>
      </c>
      <c r="M2536" s="2" t="n">
        <v>0</v>
      </c>
    </row>
    <row r="2537" customFormat="false" ht="15" hidden="false" customHeight="false" outlineLevel="0" collapsed="false">
      <c r="A2537" s="2" t="s">
        <v>5346</v>
      </c>
      <c r="B2537" s="2" t="s">
        <v>5347</v>
      </c>
      <c r="C2537" s="2" t="n">
        <v>5</v>
      </c>
      <c r="D2537" s="2" t="s">
        <v>96</v>
      </c>
      <c r="E2537" s="2" t="s">
        <v>4951</v>
      </c>
      <c r="F2537" s="3" t="n">
        <v>45904.7326388889</v>
      </c>
      <c r="G2537" s="2" t="s">
        <v>5251</v>
      </c>
      <c r="H2537" s="4" t="n">
        <v>0.6369</v>
      </c>
      <c r="I2537" s="2" t="s">
        <v>23</v>
      </c>
      <c r="J2537" s="2" t="s">
        <v>19</v>
      </c>
      <c r="K2537" s="2" t="n">
        <v>3</v>
      </c>
      <c r="L2537" s="2" t="n">
        <v>0</v>
      </c>
      <c r="M2537" s="2" t="n">
        <v>0</v>
      </c>
    </row>
    <row r="2538" customFormat="false" ht="15" hidden="false" customHeight="false" outlineLevel="0" collapsed="false">
      <c r="A2538" s="2" t="s">
        <v>5348</v>
      </c>
      <c r="B2538" s="2" t="s">
        <v>5349</v>
      </c>
      <c r="C2538" s="2" t="n">
        <v>5</v>
      </c>
      <c r="D2538" s="2" t="s">
        <v>47</v>
      </c>
      <c r="E2538" s="2" t="s">
        <v>4951</v>
      </c>
      <c r="F2538" s="3" t="n">
        <v>45904.8166666667</v>
      </c>
      <c r="G2538" s="2" t="s">
        <v>5251</v>
      </c>
      <c r="H2538" s="4" t="n">
        <v>0.3089</v>
      </c>
      <c r="I2538" s="2" t="s">
        <v>23</v>
      </c>
      <c r="J2538" s="2" t="s">
        <v>19</v>
      </c>
      <c r="K2538" s="2" t="n">
        <v>6</v>
      </c>
      <c r="L2538" s="2" t="n">
        <v>0</v>
      </c>
      <c r="M2538" s="2" t="n">
        <v>0</v>
      </c>
    </row>
    <row r="2539" customFormat="false" ht="15" hidden="false" customHeight="false" outlineLevel="0" collapsed="false">
      <c r="A2539" s="2" t="s">
        <v>5350</v>
      </c>
      <c r="B2539" s="2" t="s">
        <v>5351</v>
      </c>
      <c r="C2539" s="2" t="n">
        <v>4</v>
      </c>
      <c r="D2539" s="2" t="s">
        <v>40</v>
      </c>
      <c r="E2539" s="2" t="s">
        <v>4951</v>
      </c>
      <c r="F2539" s="3" t="n">
        <v>45904.8916666667</v>
      </c>
      <c r="G2539" s="2" t="s">
        <v>5251</v>
      </c>
      <c r="H2539" s="4" t="n">
        <v>0.4019</v>
      </c>
      <c r="I2539" s="2" t="s">
        <v>23</v>
      </c>
      <c r="J2539" s="2" t="s">
        <v>33</v>
      </c>
      <c r="K2539" s="2" t="n">
        <v>4</v>
      </c>
      <c r="L2539" s="2" t="n">
        <v>0</v>
      </c>
      <c r="M2539" s="2" t="n">
        <v>0</v>
      </c>
    </row>
    <row r="2540" customFormat="false" ht="15" hidden="false" customHeight="false" outlineLevel="0" collapsed="false">
      <c r="A2540" s="2" t="s">
        <v>5352</v>
      </c>
      <c r="B2540" s="2" t="s">
        <v>5353</v>
      </c>
      <c r="C2540" s="2" t="n">
        <v>3</v>
      </c>
      <c r="D2540" s="2" t="s">
        <v>22</v>
      </c>
      <c r="E2540" s="2" t="s">
        <v>4951</v>
      </c>
      <c r="F2540" s="3" t="n">
        <v>45905.00625</v>
      </c>
      <c r="G2540" s="2" t="s">
        <v>5251</v>
      </c>
      <c r="H2540" s="4" t="n">
        <v>0.2023</v>
      </c>
      <c r="I2540" s="2" t="s">
        <v>23</v>
      </c>
      <c r="J2540" s="2" t="s">
        <v>19</v>
      </c>
      <c r="K2540" s="2" t="n">
        <v>0</v>
      </c>
      <c r="L2540" s="2" t="n">
        <v>1</v>
      </c>
      <c r="M2540" s="2" t="n">
        <v>0</v>
      </c>
    </row>
    <row r="2541" customFormat="false" ht="15" hidden="false" customHeight="false" outlineLevel="0" collapsed="false">
      <c r="A2541" s="2" t="s">
        <v>5354</v>
      </c>
      <c r="B2541" s="2" t="s">
        <v>5355</v>
      </c>
      <c r="C2541" s="2" t="n">
        <v>4</v>
      </c>
      <c r="D2541" s="2" t="s">
        <v>99</v>
      </c>
      <c r="E2541" s="2" t="s">
        <v>4951</v>
      </c>
      <c r="F2541" s="3" t="n">
        <v>45905.1645833333</v>
      </c>
      <c r="G2541" s="2" t="s">
        <v>5251</v>
      </c>
      <c r="H2541" s="4" t="n">
        <v>-0.3089</v>
      </c>
      <c r="I2541" s="2" t="s">
        <v>84</v>
      </c>
      <c r="J2541" s="2" t="s">
        <v>19</v>
      </c>
      <c r="K2541" s="2" t="n">
        <v>0</v>
      </c>
      <c r="L2541" s="2" t="n">
        <v>0</v>
      </c>
      <c r="M2541" s="2" t="n">
        <v>0</v>
      </c>
    </row>
    <row r="2542" customFormat="false" ht="15" hidden="false" customHeight="false" outlineLevel="0" collapsed="false">
      <c r="A2542" s="2" t="s">
        <v>5356</v>
      </c>
      <c r="B2542" s="2" t="s">
        <v>5357</v>
      </c>
      <c r="C2542" s="2" t="n">
        <v>1</v>
      </c>
      <c r="D2542" s="2" t="s">
        <v>402</v>
      </c>
      <c r="E2542" s="2" t="s">
        <v>4951</v>
      </c>
      <c r="F2542" s="3" t="n">
        <v>45905.3416666667</v>
      </c>
      <c r="G2542" s="2" t="s">
        <v>5251</v>
      </c>
      <c r="H2542" s="4" t="n">
        <v>0</v>
      </c>
      <c r="I2542" s="2" t="s">
        <v>18</v>
      </c>
      <c r="J2542" s="2" t="s">
        <v>59</v>
      </c>
      <c r="K2542" s="2" t="n">
        <v>5</v>
      </c>
      <c r="L2542" s="2" t="n">
        <v>0</v>
      </c>
      <c r="M2542" s="2" t="n">
        <v>0</v>
      </c>
    </row>
    <row r="2543" customFormat="false" ht="15" hidden="false" customHeight="false" outlineLevel="0" collapsed="false">
      <c r="A2543" s="2" t="s">
        <v>5358</v>
      </c>
      <c r="B2543" s="2" t="s">
        <v>5359</v>
      </c>
      <c r="C2543" s="2" t="n">
        <v>5</v>
      </c>
      <c r="D2543" s="2" t="s">
        <v>96</v>
      </c>
      <c r="E2543" s="2" t="s">
        <v>4951</v>
      </c>
      <c r="F2543" s="3" t="n">
        <v>45905.3534722222</v>
      </c>
      <c r="G2543" s="2" t="s">
        <v>5251</v>
      </c>
      <c r="H2543" s="4" t="n">
        <v>0.6369</v>
      </c>
      <c r="I2543" s="2" t="s">
        <v>23</v>
      </c>
      <c r="J2543" s="2" t="s">
        <v>19</v>
      </c>
      <c r="K2543" s="2" t="n">
        <v>0</v>
      </c>
      <c r="L2543" s="2" t="n">
        <v>0</v>
      </c>
      <c r="M2543" s="2" t="n">
        <v>0</v>
      </c>
    </row>
    <row r="2544" customFormat="false" ht="15" hidden="false" customHeight="false" outlineLevel="0" collapsed="false">
      <c r="A2544" s="2" t="s">
        <v>5360</v>
      </c>
      <c r="B2544" s="2" t="s">
        <v>5361</v>
      </c>
      <c r="C2544" s="2" t="n">
        <v>4</v>
      </c>
      <c r="D2544" s="2" t="s">
        <v>62</v>
      </c>
      <c r="E2544" s="2" t="s">
        <v>4951</v>
      </c>
      <c r="F2544" s="3" t="n">
        <v>45905.4486111111</v>
      </c>
      <c r="G2544" s="2" t="s">
        <v>5251</v>
      </c>
      <c r="H2544" s="4" t="n">
        <v>0.7088</v>
      </c>
      <c r="I2544" s="2" t="s">
        <v>23</v>
      </c>
      <c r="J2544" s="2" t="s">
        <v>19</v>
      </c>
      <c r="K2544" s="2" t="n">
        <v>9</v>
      </c>
      <c r="L2544" s="2" t="n">
        <v>0</v>
      </c>
      <c r="M2544" s="2" t="n">
        <v>0</v>
      </c>
    </row>
    <row r="2545" customFormat="false" ht="15" hidden="false" customHeight="false" outlineLevel="0" collapsed="false">
      <c r="A2545" s="2" t="s">
        <v>5362</v>
      </c>
      <c r="B2545" s="2" t="s">
        <v>5363</v>
      </c>
      <c r="C2545" s="2" t="n">
        <v>1</v>
      </c>
      <c r="D2545" s="2" t="s">
        <v>823</v>
      </c>
      <c r="E2545" s="2" t="s">
        <v>4951</v>
      </c>
      <c r="F2545" s="3" t="n">
        <v>45905.5208333333</v>
      </c>
      <c r="G2545" s="2" t="s">
        <v>5251</v>
      </c>
      <c r="H2545" s="4" t="n">
        <v>-0.6997</v>
      </c>
      <c r="I2545" s="2" t="s">
        <v>84</v>
      </c>
      <c r="J2545" s="2" t="s">
        <v>19</v>
      </c>
      <c r="K2545" s="2" t="n">
        <v>5</v>
      </c>
      <c r="L2545" s="2" t="n">
        <v>0</v>
      </c>
      <c r="M2545" s="2" t="n">
        <v>0</v>
      </c>
    </row>
    <row r="2546" customFormat="false" ht="15" hidden="false" customHeight="false" outlineLevel="0" collapsed="false">
      <c r="A2546" s="2" t="s">
        <v>5364</v>
      </c>
      <c r="B2546" s="2" t="s">
        <v>5365</v>
      </c>
      <c r="C2546" s="2" t="n">
        <v>5</v>
      </c>
      <c r="D2546" s="2" t="s">
        <v>96</v>
      </c>
      <c r="E2546" s="2" t="s">
        <v>4951</v>
      </c>
      <c r="F2546" s="3" t="n">
        <v>45905.6472222222</v>
      </c>
      <c r="G2546" s="2" t="s">
        <v>5251</v>
      </c>
      <c r="H2546" s="4" t="n">
        <v>0.6369</v>
      </c>
      <c r="I2546" s="2" t="s">
        <v>23</v>
      </c>
      <c r="J2546" s="2" t="s">
        <v>19</v>
      </c>
      <c r="K2546" s="2" t="n">
        <v>4</v>
      </c>
      <c r="L2546" s="2" t="n">
        <v>0</v>
      </c>
      <c r="M2546" s="2" t="n">
        <v>0</v>
      </c>
    </row>
    <row r="2547" customFormat="false" ht="15" hidden="false" customHeight="false" outlineLevel="0" collapsed="false">
      <c r="A2547" s="2" t="s">
        <v>5366</v>
      </c>
      <c r="B2547" s="2" t="s">
        <v>5367</v>
      </c>
      <c r="C2547" s="2" t="n">
        <v>5</v>
      </c>
      <c r="D2547" s="2" t="s">
        <v>251</v>
      </c>
      <c r="E2547" s="2" t="s">
        <v>4951</v>
      </c>
      <c r="F2547" s="3" t="n">
        <v>45905.6652777778</v>
      </c>
      <c r="G2547" s="2" t="s">
        <v>5251</v>
      </c>
      <c r="H2547" s="4" t="n">
        <v>0.8651</v>
      </c>
      <c r="I2547" s="2" t="s">
        <v>23</v>
      </c>
      <c r="J2547" s="2" t="s">
        <v>19</v>
      </c>
      <c r="K2547" s="2" t="n">
        <v>0</v>
      </c>
      <c r="L2547" s="2" t="n">
        <v>0</v>
      </c>
      <c r="M2547" s="2" t="n">
        <v>0</v>
      </c>
    </row>
    <row r="2548" customFormat="false" ht="15" hidden="false" customHeight="false" outlineLevel="0" collapsed="false">
      <c r="A2548" s="2" t="s">
        <v>5368</v>
      </c>
      <c r="B2548" s="2" t="s">
        <v>5369</v>
      </c>
      <c r="C2548" s="2" t="n">
        <v>5</v>
      </c>
      <c r="D2548" s="2" t="s">
        <v>15</v>
      </c>
      <c r="E2548" s="2" t="s">
        <v>4951</v>
      </c>
      <c r="F2548" s="3" t="n">
        <v>45905.7520833333</v>
      </c>
      <c r="G2548" s="2" t="s">
        <v>5251</v>
      </c>
      <c r="H2548" s="4" t="n">
        <v>0</v>
      </c>
      <c r="I2548" s="2" t="s">
        <v>18</v>
      </c>
      <c r="J2548" s="2" t="s">
        <v>19</v>
      </c>
      <c r="K2548" s="2" t="n">
        <v>5</v>
      </c>
      <c r="L2548" s="2" t="n">
        <v>0</v>
      </c>
      <c r="M2548" s="2" t="n">
        <v>0</v>
      </c>
    </row>
    <row r="2549" customFormat="false" ht="15" hidden="false" customHeight="false" outlineLevel="0" collapsed="false">
      <c r="A2549" s="2" t="s">
        <v>5370</v>
      </c>
      <c r="B2549" s="2" t="s">
        <v>5371</v>
      </c>
      <c r="C2549" s="2" t="n">
        <v>5</v>
      </c>
      <c r="D2549" s="2" t="s">
        <v>40</v>
      </c>
      <c r="E2549" s="2" t="s">
        <v>4951</v>
      </c>
      <c r="F2549" s="3" t="n">
        <v>45905.8340277778</v>
      </c>
      <c r="G2549" s="2" t="s">
        <v>5251</v>
      </c>
      <c r="H2549" s="4" t="n">
        <v>0.4019</v>
      </c>
      <c r="I2549" s="2" t="s">
        <v>23</v>
      </c>
      <c r="J2549" s="2" t="s">
        <v>33</v>
      </c>
      <c r="K2549" s="2" t="n">
        <v>2</v>
      </c>
      <c r="L2549" s="2" t="n">
        <v>0</v>
      </c>
      <c r="M2549" s="2" t="n">
        <v>0</v>
      </c>
    </row>
    <row r="2550" customFormat="false" ht="15" hidden="false" customHeight="false" outlineLevel="0" collapsed="false">
      <c r="A2550" s="2" t="s">
        <v>5372</v>
      </c>
      <c r="B2550" s="2" t="s">
        <v>5373</v>
      </c>
      <c r="C2550" s="2" t="n">
        <v>5</v>
      </c>
      <c r="D2550" s="2" t="s">
        <v>40</v>
      </c>
      <c r="E2550" s="2" t="s">
        <v>4951</v>
      </c>
      <c r="F2550" s="3" t="n">
        <v>45905.8993055556</v>
      </c>
      <c r="G2550" s="2" t="s">
        <v>5251</v>
      </c>
      <c r="H2550" s="4" t="n">
        <v>0.4019</v>
      </c>
      <c r="I2550" s="2" t="s">
        <v>23</v>
      </c>
      <c r="J2550" s="2" t="s">
        <v>33</v>
      </c>
      <c r="K2550" s="2" t="n">
        <v>2</v>
      </c>
      <c r="L2550" s="2" t="n">
        <v>0</v>
      </c>
      <c r="M2550" s="2" t="n">
        <v>0</v>
      </c>
    </row>
    <row r="2551" customFormat="false" ht="15" hidden="false" customHeight="false" outlineLevel="0" collapsed="false">
      <c r="A2551" s="2" t="s">
        <v>5374</v>
      </c>
      <c r="B2551" s="2" t="s">
        <v>5375</v>
      </c>
      <c r="C2551" s="2" t="n">
        <v>5</v>
      </c>
      <c r="D2551" s="2" t="s">
        <v>116</v>
      </c>
      <c r="E2551" s="2" t="s">
        <v>4951</v>
      </c>
      <c r="F2551" s="3" t="n">
        <v>45905.9388888889</v>
      </c>
      <c r="G2551" s="2" t="s">
        <v>5251</v>
      </c>
      <c r="H2551" s="4" t="n">
        <v>0.9359</v>
      </c>
      <c r="I2551" s="2" t="s">
        <v>23</v>
      </c>
      <c r="J2551" s="2" t="s">
        <v>37</v>
      </c>
      <c r="K2551" s="2" t="n">
        <v>3</v>
      </c>
      <c r="L2551" s="2" t="n">
        <v>0</v>
      </c>
      <c r="M2551" s="2" t="n">
        <v>0</v>
      </c>
    </row>
    <row r="2552" customFormat="false" ht="15" hidden="false" customHeight="false" outlineLevel="0" collapsed="false">
      <c r="A2552" s="2" t="s">
        <v>5376</v>
      </c>
      <c r="B2552" s="2" t="s">
        <v>5377</v>
      </c>
      <c r="C2552" s="2" t="n">
        <v>5</v>
      </c>
      <c r="D2552" s="2" t="s">
        <v>127</v>
      </c>
      <c r="E2552" s="2" t="s">
        <v>4951</v>
      </c>
      <c r="F2552" s="3" t="n">
        <v>45906.0138888889</v>
      </c>
      <c r="G2552" s="2" t="s">
        <v>5251</v>
      </c>
      <c r="H2552" s="4" t="n">
        <v>0.9359</v>
      </c>
      <c r="I2552" s="2" t="s">
        <v>23</v>
      </c>
      <c r="J2552" s="2" t="s">
        <v>37</v>
      </c>
      <c r="K2552" s="2" t="n">
        <v>8</v>
      </c>
      <c r="L2552" s="2" t="n">
        <v>0</v>
      </c>
      <c r="M2552" s="2" t="n">
        <v>0</v>
      </c>
    </row>
    <row r="2553" customFormat="false" ht="15" hidden="false" customHeight="false" outlineLevel="0" collapsed="false">
      <c r="A2553" s="2" t="s">
        <v>5378</v>
      </c>
      <c r="B2553" s="2" t="s">
        <v>5379</v>
      </c>
      <c r="C2553" s="2" t="n">
        <v>5</v>
      </c>
      <c r="D2553" s="2" t="s">
        <v>834</v>
      </c>
      <c r="E2553" s="2" t="s">
        <v>4951</v>
      </c>
      <c r="F2553" s="3" t="n">
        <v>45906.0138888889</v>
      </c>
      <c r="G2553" s="2" t="s">
        <v>5251</v>
      </c>
      <c r="H2553" s="4" t="n">
        <v>0.9481</v>
      </c>
      <c r="I2553" s="2" t="s">
        <v>23</v>
      </c>
      <c r="J2553" s="2" t="s">
        <v>37</v>
      </c>
      <c r="K2553" s="2" t="n">
        <v>3</v>
      </c>
      <c r="L2553" s="2" t="n">
        <v>0</v>
      </c>
      <c r="M2553" s="2" t="n">
        <v>0</v>
      </c>
    </row>
    <row r="2554" customFormat="false" ht="15" hidden="false" customHeight="false" outlineLevel="0" collapsed="false">
      <c r="A2554" s="2" t="s">
        <v>5380</v>
      </c>
      <c r="B2554" s="2" t="s">
        <v>5381</v>
      </c>
      <c r="C2554" s="2" t="n">
        <v>4</v>
      </c>
      <c r="D2554" s="2" t="s">
        <v>62</v>
      </c>
      <c r="E2554" s="2" t="s">
        <v>4951</v>
      </c>
      <c r="F2554" s="3" t="n">
        <v>45906.0256944444</v>
      </c>
      <c r="G2554" s="2" t="s">
        <v>5251</v>
      </c>
      <c r="H2554" s="4" t="n">
        <v>0.7088</v>
      </c>
      <c r="I2554" s="2" t="s">
        <v>23</v>
      </c>
      <c r="J2554" s="2" t="s">
        <v>19</v>
      </c>
      <c r="K2554" s="2" t="n">
        <v>5</v>
      </c>
      <c r="L2554" s="2" t="n">
        <v>0</v>
      </c>
      <c r="M2554" s="2" t="n">
        <v>0</v>
      </c>
    </row>
    <row r="2555" customFormat="false" ht="15" hidden="false" customHeight="false" outlineLevel="0" collapsed="false">
      <c r="A2555" s="2" t="s">
        <v>5382</v>
      </c>
      <c r="B2555" s="2" t="s">
        <v>5383</v>
      </c>
      <c r="C2555" s="2" t="n">
        <v>4</v>
      </c>
      <c r="D2555" s="2" t="s">
        <v>22</v>
      </c>
      <c r="E2555" s="2" t="s">
        <v>4951</v>
      </c>
      <c r="F2555" s="3" t="n">
        <v>45906.1201388889</v>
      </c>
      <c r="G2555" s="2" t="s">
        <v>5251</v>
      </c>
      <c r="H2555" s="4" t="n">
        <v>0.2023</v>
      </c>
      <c r="I2555" s="2" t="s">
        <v>23</v>
      </c>
      <c r="J2555" s="2" t="s">
        <v>19</v>
      </c>
      <c r="K2555" s="2" t="n">
        <v>5</v>
      </c>
      <c r="L2555" s="2" t="n">
        <v>0</v>
      </c>
      <c r="M2555" s="2" t="n">
        <v>0</v>
      </c>
    </row>
    <row r="2556" customFormat="false" ht="15" hidden="false" customHeight="false" outlineLevel="0" collapsed="false">
      <c r="A2556" s="2" t="s">
        <v>5384</v>
      </c>
      <c r="B2556" s="2" t="s">
        <v>5385</v>
      </c>
      <c r="C2556" s="2" t="n">
        <v>4</v>
      </c>
      <c r="D2556" s="2" t="s">
        <v>36</v>
      </c>
      <c r="E2556" s="2" t="s">
        <v>4951</v>
      </c>
      <c r="F2556" s="3" t="n">
        <v>45906.2652777778</v>
      </c>
      <c r="G2556" s="2" t="s">
        <v>5251</v>
      </c>
      <c r="H2556" s="4" t="n">
        <v>0.4404</v>
      </c>
      <c r="I2556" s="2" t="s">
        <v>23</v>
      </c>
      <c r="J2556" s="2" t="s">
        <v>37</v>
      </c>
      <c r="K2556" s="2" t="n">
        <v>3</v>
      </c>
      <c r="L2556" s="2" t="n">
        <v>0</v>
      </c>
      <c r="M2556" s="2" t="n">
        <v>0</v>
      </c>
    </row>
    <row r="2557" customFormat="false" ht="15" hidden="false" customHeight="false" outlineLevel="0" collapsed="false">
      <c r="A2557" s="2" t="s">
        <v>5386</v>
      </c>
      <c r="B2557" s="2" t="s">
        <v>5387</v>
      </c>
      <c r="C2557" s="2" t="n">
        <v>5</v>
      </c>
      <c r="D2557" s="2" t="s">
        <v>15</v>
      </c>
      <c r="E2557" s="2" t="s">
        <v>4951</v>
      </c>
      <c r="F2557" s="3" t="n">
        <v>45906.4604166667</v>
      </c>
      <c r="G2557" s="2" t="s">
        <v>5251</v>
      </c>
      <c r="H2557" s="4" t="n">
        <v>0</v>
      </c>
      <c r="I2557" s="2" t="s">
        <v>18</v>
      </c>
      <c r="J2557" s="2" t="s">
        <v>19</v>
      </c>
      <c r="K2557" s="2" t="n">
        <v>8</v>
      </c>
      <c r="L2557" s="2" t="n">
        <v>0</v>
      </c>
      <c r="M2557" s="2" t="n">
        <v>0</v>
      </c>
    </row>
    <row r="2558" customFormat="false" ht="15" hidden="false" customHeight="false" outlineLevel="0" collapsed="false">
      <c r="A2558" s="2" t="s">
        <v>5388</v>
      </c>
      <c r="B2558" s="2" t="s">
        <v>5389</v>
      </c>
      <c r="C2558" s="2" t="n">
        <v>3</v>
      </c>
      <c r="D2558" s="2" t="s">
        <v>133</v>
      </c>
      <c r="E2558" s="2" t="s">
        <v>4951</v>
      </c>
      <c r="F2558" s="3" t="n">
        <v>45906.5020833333</v>
      </c>
      <c r="G2558" s="2" t="s">
        <v>5251</v>
      </c>
      <c r="H2558" s="4" t="n">
        <v>-0.5719</v>
      </c>
      <c r="I2558" s="2" t="s">
        <v>84</v>
      </c>
      <c r="J2558" s="2" t="s">
        <v>33</v>
      </c>
      <c r="K2558" s="2" t="n">
        <v>3</v>
      </c>
      <c r="L2558" s="2" t="n">
        <v>0</v>
      </c>
      <c r="M2558" s="2" t="n">
        <v>0</v>
      </c>
    </row>
    <row r="2559" customFormat="false" ht="15" hidden="false" customHeight="false" outlineLevel="0" collapsed="false">
      <c r="A2559" s="2" t="s">
        <v>5390</v>
      </c>
      <c r="B2559" s="2" t="s">
        <v>5391</v>
      </c>
      <c r="C2559" s="2" t="n">
        <v>5</v>
      </c>
      <c r="D2559" s="2" t="s">
        <v>1878</v>
      </c>
      <c r="E2559" s="2" t="s">
        <v>4951</v>
      </c>
      <c r="F2559" s="3" t="n">
        <v>45906.7472222222</v>
      </c>
      <c r="G2559" s="2" t="s">
        <v>5251</v>
      </c>
      <c r="H2559" s="4" t="n">
        <v>0.9516</v>
      </c>
      <c r="I2559" s="2" t="s">
        <v>23</v>
      </c>
      <c r="J2559" s="2" t="s">
        <v>37</v>
      </c>
      <c r="K2559" s="2" t="n">
        <v>2</v>
      </c>
      <c r="L2559" s="2" t="n">
        <v>0</v>
      </c>
      <c r="M2559" s="2" t="n">
        <v>0</v>
      </c>
    </row>
    <row r="2560" customFormat="false" ht="15" hidden="false" customHeight="false" outlineLevel="0" collapsed="false">
      <c r="A2560" s="2" t="s">
        <v>5392</v>
      </c>
      <c r="B2560" s="2" t="s">
        <v>5393</v>
      </c>
      <c r="C2560" s="2" t="n">
        <v>4</v>
      </c>
      <c r="D2560" s="2" t="s">
        <v>127</v>
      </c>
      <c r="E2560" s="2" t="s">
        <v>4951</v>
      </c>
      <c r="F2560" s="3" t="n">
        <v>45906.7673611111</v>
      </c>
      <c r="G2560" s="2" t="s">
        <v>5251</v>
      </c>
      <c r="H2560" s="4" t="n">
        <v>0.9359</v>
      </c>
      <c r="I2560" s="2" t="s">
        <v>23</v>
      </c>
      <c r="J2560" s="2" t="s">
        <v>37</v>
      </c>
      <c r="K2560" s="2" t="n">
        <v>0</v>
      </c>
      <c r="L2560" s="2" t="n">
        <v>0</v>
      </c>
      <c r="M2560" s="2" t="n">
        <v>0</v>
      </c>
    </row>
    <row r="2561" customFormat="false" ht="15" hidden="false" customHeight="false" outlineLevel="0" collapsed="false">
      <c r="A2561" s="2" t="s">
        <v>5394</v>
      </c>
      <c r="B2561" s="2" t="s">
        <v>5395</v>
      </c>
      <c r="C2561" s="2" t="n">
        <v>3</v>
      </c>
      <c r="D2561" s="2" t="s">
        <v>99</v>
      </c>
      <c r="E2561" s="2" t="s">
        <v>4951</v>
      </c>
      <c r="F2561" s="3" t="n">
        <v>45906.9256944444</v>
      </c>
      <c r="G2561" s="2" t="s">
        <v>5251</v>
      </c>
      <c r="H2561" s="4" t="n">
        <v>-0.3089</v>
      </c>
      <c r="I2561" s="2" t="s">
        <v>84</v>
      </c>
      <c r="J2561" s="2" t="s">
        <v>19</v>
      </c>
      <c r="K2561" s="2" t="n">
        <v>0</v>
      </c>
      <c r="L2561" s="2" t="n">
        <v>0</v>
      </c>
      <c r="M2561" s="2" t="n">
        <v>0</v>
      </c>
    </row>
    <row r="2562" customFormat="false" ht="15" hidden="false" customHeight="false" outlineLevel="0" collapsed="false">
      <c r="A2562" s="2" t="s">
        <v>5396</v>
      </c>
      <c r="B2562" s="2" t="s">
        <v>5397</v>
      </c>
      <c r="C2562" s="2" t="n">
        <v>1</v>
      </c>
      <c r="D2562" s="2" t="s">
        <v>4504</v>
      </c>
      <c r="E2562" s="2" t="s">
        <v>4951</v>
      </c>
      <c r="F2562" s="3" t="n">
        <v>45907.2104166667</v>
      </c>
      <c r="G2562" s="2" t="s">
        <v>5251</v>
      </c>
      <c r="H2562" s="4" t="n">
        <v>-0.4767</v>
      </c>
      <c r="I2562" s="2" t="s">
        <v>84</v>
      </c>
      <c r="J2562" s="2" t="s">
        <v>37</v>
      </c>
      <c r="K2562" s="2" t="n">
        <v>3</v>
      </c>
      <c r="L2562" s="2" t="n">
        <v>1</v>
      </c>
      <c r="M2562" s="2" t="n">
        <v>0</v>
      </c>
    </row>
    <row r="2563" customFormat="false" ht="15" hidden="false" customHeight="false" outlineLevel="0" collapsed="false">
      <c r="A2563" s="2" t="s">
        <v>5398</v>
      </c>
      <c r="B2563" s="2" t="s">
        <v>2434</v>
      </c>
      <c r="C2563" s="2" t="n">
        <v>1</v>
      </c>
      <c r="D2563" s="2" t="s">
        <v>83</v>
      </c>
      <c r="E2563" s="2" t="s">
        <v>4951</v>
      </c>
      <c r="F2563" s="3" t="n">
        <v>45907.3277777778</v>
      </c>
      <c r="G2563" s="2" t="s">
        <v>5251</v>
      </c>
      <c r="H2563" s="4" t="n">
        <v>-0.6166</v>
      </c>
      <c r="I2563" s="2" t="s">
        <v>84</v>
      </c>
      <c r="J2563" s="2" t="s">
        <v>59</v>
      </c>
      <c r="K2563" s="2" t="n">
        <v>2</v>
      </c>
      <c r="L2563" s="2" t="n">
        <v>0</v>
      </c>
      <c r="M2563" s="2" t="n">
        <v>0</v>
      </c>
    </row>
    <row r="2564" customFormat="false" ht="15" hidden="false" customHeight="false" outlineLevel="0" collapsed="false">
      <c r="A2564" s="2" t="s">
        <v>5399</v>
      </c>
      <c r="B2564" s="2" t="s">
        <v>5400</v>
      </c>
      <c r="C2564" s="2" t="n">
        <v>5</v>
      </c>
      <c r="D2564" s="2" t="s">
        <v>389</v>
      </c>
      <c r="E2564" s="2" t="s">
        <v>4951</v>
      </c>
      <c r="F2564" s="3" t="n">
        <v>45907.3423611111</v>
      </c>
      <c r="G2564" s="2" t="s">
        <v>5251</v>
      </c>
      <c r="H2564" s="4" t="n">
        <v>0.8519</v>
      </c>
      <c r="I2564" s="2" t="s">
        <v>23</v>
      </c>
      <c r="J2564" s="2" t="s">
        <v>37</v>
      </c>
      <c r="K2564" s="2" t="n">
        <v>7</v>
      </c>
      <c r="L2564" s="2" t="n">
        <v>0</v>
      </c>
      <c r="M2564" s="2" t="n">
        <v>0</v>
      </c>
    </row>
    <row r="2565" customFormat="false" ht="15" hidden="false" customHeight="false" outlineLevel="0" collapsed="false">
      <c r="A2565" s="2" t="s">
        <v>5401</v>
      </c>
      <c r="B2565" s="2" t="s">
        <v>5402</v>
      </c>
      <c r="C2565" s="2" t="n">
        <v>1</v>
      </c>
      <c r="D2565" s="2" t="s">
        <v>823</v>
      </c>
      <c r="E2565" s="2" t="s">
        <v>4951</v>
      </c>
      <c r="F2565" s="3" t="n">
        <v>45907.3527777778</v>
      </c>
      <c r="G2565" s="2" t="s">
        <v>5251</v>
      </c>
      <c r="H2565" s="4" t="n">
        <v>-0.6997</v>
      </c>
      <c r="I2565" s="2" t="s">
        <v>84</v>
      </c>
      <c r="J2565" s="2" t="s">
        <v>19</v>
      </c>
      <c r="K2565" s="2" t="n">
        <v>2</v>
      </c>
      <c r="L2565" s="2" t="n">
        <v>0</v>
      </c>
      <c r="M2565" s="2" t="n">
        <v>0</v>
      </c>
    </row>
    <row r="2566" customFormat="false" ht="15" hidden="false" customHeight="false" outlineLevel="0" collapsed="false">
      <c r="A2566" s="2" t="s">
        <v>5403</v>
      </c>
      <c r="B2566" s="2" t="s">
        <v>5404</v>
      </c>
      <c r="C2566" s="2" t="n">
        <v>2</v>
      </c>
      <c r="D2566" s="2" t="s">
        <v>2463</v>
      </c>
      <c r="E2566" s="2" t="s">
        <v>4951</v>
      </c>
      <c r="F2566" s="3" t="n">
        <v>45907.4111111111</v>
      </c>
      <c r="G2566" s="2" t="s">
        <v>5251</v>
      </c>
      <c r="H2566" s="4" t="n">
        <v>-0.189</v>
      </c>
      <c r="I2566" s="2" t="s">
        <v>84</v>
      </c>
      <c r="J2566" s="2" t="s">
        <v>33</v>
      </c>
      <c r="K2566" s="2" t="n">
        <v>0</v>
      </c>
      <c r="L2566" s="2" t="n">
        <v>0</v>
      </c>
      <c r="M2566" s="2" t="n">
        <v>0</v>
      </c>
    </row>
    <row r="2567" customFormat="false" ht="15" hidden="false" customHeight="false" outlineLevel="0" collapsed="false">
      <c r="A2567" s="2" t="s">
        <v>5405</v>
      </c>
      <c r="B2567" s="2" t="s">
        <v>5406</v>
      </c>
      <c r="C2567" s="2" t="n">
        <v>5</v>
      </c>
      <c r="D2567" s="2" t="s">
        <v>96</v>
      </c>
      <c r="E2567" s="2" t="s">
        <v>4951</v>
      </c>
      <c r="F2567" s="3" t="n">
        <v>45907.4215277778</v>
      </c>
      <c r="G2567" s="2" t="s">
        <v>5251</v>
      </c>
      <c r="H2567" s="4" t="n">
        <v>0.6369</v>
      </c>
      <c r="I2567" s="2" t="s">
        <v>23</v>
      </c>
      <c r="J2567" s="2" t="s">
        <v>19</v>
      </c>
      <c r="K2567" s="2" t="n">
        <v>2</v>
      </c>
      <c r="L2567" s="2" t="n">
        <v>0</v>
      </c>
      <c r="M2567" s="2" t="n">
        <v>0</v>
      </c>
    </row>
    <row r="2568" customFormat="false" ht="15" hidden="false" customHeight="false" outlineLevel="0" collapsed="false">
      <c r="A2568" s="2" t="s">
        <v>5407</v>
      </c>
      <c r="B2568" s="2" t="s">
        <v>5408</v>
      </c>
      <c r="C2568" s="2" t="n">
        <v>5</v>
      </c>
      <c r="D2568" s="2" t="s">
        <v>787</v>
      </c>
      <c r="E2568" s="2" t="s">
        <v>4951</v>
      </c>
      <c r="F2568" s="3" t="n">
        <v>45907.4256944444</v>
      </c>
      <c r="G2568" s="2" t="s">
        <v>5251</v>
      </c>
      <c r="H2568" s="4" t="n">
        <v>0.7475</v>
      </c>
      <c r="I2568" s="2" t="s">
        <v>23</v>
      </c>
      <c r="J2568" s="2" t="s">
        <v>37</v>
      </c>
      <c r="K2568" s="2" t="n">
        <v>2</v>
      </c>
      <c r="L2568" s="2" t="n">
        <v>0</v>
      </c>
      <c r="M2568" s="2" t="n">
        <v>0</v>
      </c>
    </row>
    <row r="2569" customFormat="false" ht="15" hidden="false" customHeight="false" outlineLevel="0" collapsed="false">
      <c r="A2569" s="2" t="s">
        <v>5409</v>
      </c>
      <c r="B2569" s="2" t="s">
        <v>5410</v>
      </c>
      <c r="C2569" s="2" t="n">
        <v>3</v>
      </c>
      <c r="D2569" s="2" t="s">
        <v>2590</v>
      </c>
      <c r="E2569" s="2" t="s">
        <v>4951</v>
      </c>
      <c r="F2569" s="3" t="n">
        <v>45907.4486111111</v>
      </c>
      <c r="G2569" s="2" t="s">
        <v>5251</v>
      </c>
      <c r="H2569" s="4" t="n">
        <v>-0.3089</v>
      </c>
      <c r="I2569" s="2" t="s">
        <v>84</v>
      </c>
      <c r="J2569" s="2" t="s">
        <v>165</v>
      </c>
      <c r="K2569" s="2" t="n">
        <v>0</v>
      </c>
      <c r="L2569" s="2" t="n">
        <v>0</v>
      </c>
      <c r="M2569" s="2" t="n">
        <v>0</v>
      </c>
    </row>
    <row r="2570" customFormat="false" ht="15" hidden="false" customHeight="false" outlineLevel="0" collapsed="false">
      <c r="A2570" s="2" t="s">
        <v>5411</v>
      </c>
      <c r="B2570" s="2" t="s">
        <v>5412</v>
      </c>
      <c r="C2570" s="2" t="n">
        <v>5</v>
      </c>
      <c r="D2570" s="2" t="s">
        <v>62</v>
      </c>
      <c r="E2570" s="2" t="s">
        <v>4951</v>
      </c>
      <c r="F2570" s="3" t="n">
        <v>45907.7083333333</v>
      </c>
      <c r="G2570" s="2" t="s">
        <v>5251</v>
      </c>
      <c r="H2570" s="4" t="n">
        <v>0.7088</v>
      </c>
      <c r="I2570" s="2" t="s">
        <v>23</v>
      </c>
      <c r="J2570" s="2" t="s">
        <v>19</v>
      </c>
      <c r="K2570" s="2" t="n">
        <v>13</v>
      </c>
      <c r="L2570" s="2" t="n">
        <v>0</v>
      </c>
      <c r="M2570" s="2" t="n">
        <v>0</v>
      </c>
    </row>
    <row r="2571" customFormat="false" ht="15" hidden="false" customHeight="false" outlineLevel="0" collapsed="false">
      <c r="A2571" s="2" t="s">
        <v>5413</v>
      </c>
      <c r="B2571" s="2" t="s">
        <v>5414</v>
      </c>
      <c r="C2571" s="2" t="n">
        <v>1</v>
      </c>
      <c r="D2571" s="2" t="s">
        <v>32</v>
      </c>
      <c r="E2571" s="2" t="s">
        <v>4951</v>
      </c>
      <c r="F2571" s="3" t="n">
        <v>45907.9888888889</v>
      </c>
      <c r="G2571" s="2" t="s">
        <v>5251</v>
      </c>
      <c r="H2571" s="4" t="n">
        <v>0.2023</v>
      </c>
      <c r="I2571" s="2" t="s">
        <v>23</v>
      </c>
      <c r="J2571" s="2" t="s">
        <v>33</v>
      </c>
      <c r="K2571" s="2" t="n">
        <v>5</v>
      </c>
      <c r="L2571" s="2" t="n">
        <v>0</v>
      </c>
      <c r="M2571" s="2" t="n">
        <v>0</v>
      </c>
    </row>
    <row r="2572" customFormat="false" ht="15" hidden="false" customHeight="false" outlineLevel="0" collapsed="false">
      <c r="A2572" s="2" t="s">
        <v>5415</v>
      </c>
      <c r="B2572" s="2" t="s">
        <v>5416</v>
      </c>
      <c r="C2572" s="2" t="n">
        <v>3</v>
      </c>
      <c r="D2572" s="2" t="s">
        <v>87</v>
      </c>
      <c r="E2572" s="2" t="s">
        <v>4951</v>
      </c>
      <c r="F2572" s="3" t="n">
        <v>45908.0201388889</v>
      </c>
      <c r="G2572" s="2" t="s">
        <v>5251</v>
      </c>
      <c r="H2572" s="4" t="n">
        <v>0</v>
      </c>
      <c r="I2572" s="2" t="s">
        <v>18</v>
      </c>
      <c r="J2572" s="2" t="s">
        <v>19</v>
      </c>
      <c r="K2572" s="2" t="n">
        <v>2</v>
      </c>
      <c r="L2572" s="2" t="n">
        <v>0</v>
      </c>
      <c r="M2572" s="2" t="n">
        <v>0</v>
      </c>
    </row>
    <row r="2573" customFormat="false" ht="15" hidden="false" customHeight="false" outlineLevel="0" collapsed="false">
      <c r="A2573" s="2" t="s">
        <v>5417</v>
      </c>
      <c r="B2573" s="2" t="s">
        <v>5418</v>
      </c>
      <c r="C2573" s="2" t="n">
        <v>4</v>
      </c>
      <c r="D2573" s="2" t="s">
        <v>47</v>
      </c>
      <c r="E2573" s="2" t="s">
        <v>4951</v>
      </c>
      <c r="F2573" s="3" t="n">
        <v>45908.0902777778</v>
      </c>
      <c r="G2573" s="2" t="s">
        <v>5251</v>
      </c>
      <c r="H2573" s="4" t="n">
        <v>0.3089</v>
      </c>
      <c r="I2573" s="2" t="s">
        <v>23</v>
      </c>
      <c r="J2573" s="2" t="s">
        <v>19</v>
      </c>
      <c r="K2573" s="2" t="n">
        <v>18</v>
      </c>
      <c r="L2573" s="2" t="n">
        <v>0</v>
      </c>
      <c r="M2573" s="2" t="n">
        <v>0</v>
      </c>
    </row>
    <row r="2574" customFormat="false" ht="15" hidden="false" customHeight="false" outlineLevel="0" collapsed="false">
      <c r="A2574" s="2" t="s">
        <v>5419</v>
      </c>
      <c r="B2574" s="2" t="s">
        <v>5420</v>
      </c>
      <c r="C2574" s="2" t="n">
        <v>4</v>
      </c>
      <c r="D2574" s="2" t="s">
        <v>555</v>
      </c>
      <c r="E2574" s="2" t="s">
        <v>4951</v>
      </c>
      <c r="F2574" s="3" t="n">
        <v>45908.2736111111</v>
      </c>
      <c r="G2574" s="2" t="s">
        <v>5251</v>
      </c>
      <c r="H2574" s="4" t="n">
        <v>0.8221</v>
      </c>
      <c r="I2574" s="2" t="s">
        <v>23</v>
      </c>
      <c r="J2574" s="2" t="s">
        <v>33</v>
      </c>
      <c r="K2574" s="2" t="n">
        <v>12</v>
      </c>
      <c r="L2574" s="2" t="n">
        <v>0</v>
      </c>
      <c r="M2574" s="2" t="n">
        <v>0</v>
      </c>
    </row>
    <row r="2575" customFormat="false" ht="15" hidden="false" customHeight="false" outlineLevel="0" collapsed="false">
      <c r="A2575" s="2" t="s">
        <v>5421</v>
      </c>
      <c r="B2575" s="2" t="s">
        <v>5422</v>
      </c>
      <c r="C2575" s="2" t="n">
        <v>4</v>
      </c>
      <c r="D2575" s="2" t="s">
        <v>325</v>
      </c>
      <c r="E2575" s="2" t="s">
        <v>4951</v>
      </c>
      <c r="F2575" s="3" t="n">
        <v>45908.3708333333</v>
      </c>
      <c r="G2575" s="2" t="s">
        <v>5251</v>
      </c>
      <c r="H2575" s="4" t="n">
        <v>0.9612</v>
      </c>
      <c r="I2575" s="2" t="s">
        <v>23</v>
      </c>
      <c r="J2575" s="2" t="s">
        <v>37</v>
      </c>
      <c r="K2575" s="2" t="n">
        <v>2</v>
      </c>
      <c r="L2575" s="2" t="n">
        <v>0</v>
      </c>
      <c r="M2575" s="2" t="n">
        <v>0</v>
      </c>
    </row>
    <row r="2576" customFormat="false" ht="15" hidden="false" customHeight="false" outlineLevel="0" collapsed="false">
      <c r="A2576" s="2" t="s">
        <v>5423</v>
      </c>
      <c r="B2576" s="2" t="s">
        <v>5424</v>
      </c>
      <c r="C2576" s="2" t="n">
        <v>5</v>
      </c>
      <c r="D2576" s="2" t="s">
        <v>96</v>
      </c>
      <c r="E2576" s="2" t="s">
        <v>4951</v>
      </c>
      <c r="F2576" s="3" t="n">
        <v>45908.6097222222</v>
      </c>
      <c r="G2576" s="2" t="s">
        <v>5251</v>
      </c>
      <c r="H2576" s="4" t="n">
        <v>0.6369</v>
      </c>
      <c r="I2576" s="2" t="s">
        <v>23</v>
      </c>
      <c r="J2576" s="2" t="s">
        <v>19</v>
      </c>
      <c r="K2576" s="2" t="n">
        <v>2</v>
      </c>
      <c r="L2576" s="2" t="n">
        <v>0</v>
      </c>
      <c r="M2576" s="2" t="n">
        <v>0</v>
      </c>
    </row>
    <row r="2577" customFormat="false" ht="15" hidden="false" customHeight="false" outlineLevel="0" collapsed="false">
      <c r="A2577" s="2" t="s">
        <v>5425</v>
      </c>
      <c r="B2577" s="2" t="s">
        <v>5426</v>
      </c>
      <c r="C2577" s="2" t="n">
        <v>5</v>
      </c>
      <c r="D2577" s="2" t="s">
        <v>47</v>
      </c>
      <c r="E2577" s="2" t="s">
        <v>4951</v>
      </c>
      <c r="F2577" s="3" t="n">
        <v>45908.7</v>
      </c>
      <c r="G2577" s="2" t="s">
        <v>5251</v>
      </c>
      <c r="H2577" s="4" t="n">
        <v>0.3089</v>
      </c>
      <c r="I2577" s="2" t="s">
        <v>23</v>
      </c>
      <c r="J2577" s="2" t="s">
        <v>19</v>
      </c>
      <c r="K2577" s="2" t="n">
        <v>1</v>
      </c>
      <c r="L2577" s="2" t="n">
        <v>0</v>
      </c>
      <c r="M2577" s="2" t="n">
        <v>0</v>
      </c>
    </row>
    <row r="2578" customFormat="false" ht="15" hidden="false" customHeight="false" outlineLevel="0" collapsed="false">
      <c r="A2578" s="2" t="s">
        <v>5427</v>
      </c>
      <c r="B2578" s="2" t="s">
        <v>5428</v>
      </c>
      <c r="C2578" s="2" t="n">
        <v>5</v>
      </c>
      <c r="D2578" s="2" t="s">
        <v>15</v>
      </c>
      <c r="E2578" s="2" t="s">
        <v>4951</v>
      </c>
      <c r="F2578" s="3" t="n">
        <v>45908.7222222222</v>
      </c>
      <c r="G2578" s="2" t="s">
        <v>5251</v>
      </c>
      <c r="H2578" s="4" t="n">
        <v>0</v>
      </c>
      <c r="I2578" s="2" t="s">
        <v>18</v>
      </c>
      <c r="J2578" s="2" t="s">
        <v>19</v>
      </c>
      <c r="K2578" s="2" t="n">
        <v>11</v>
      </c>
      <c r="L2578" s="2" t="n">
        <v>0</v>
      </c>
      <c r="M2578" s="2" t="n">
        <v>0</v>
      </c>
    </row>
    <row r="2579" customFormat="false" ht="15" hidden="false" customHeight="false" outlineLevel="0" collapsed="false">
      <c r="A2579" s="2" t="s">
        <v>5429</v>
      </c>
      <c r="B2579" s="2" t="s">
        <v>5430</v>
      </c>
      <c r="C2579" s="2" t="n">
        <v>4</v>
      </c>
      <c r="D2579" s="2" t="s">
        <v>152</v>
      </c>
      <c r="E2579" s="2" t="s">
        <v>4951</v>
      </c>
      <c r="F2579" s="3" t="n">
        <v>45908.8180555556</v>
      </c>
      <c r="G2579" s="2" t="s">
        <v>5251</v>
      </c>
      <c r="H2579" s="4" t="n">
        <v>0.8313</v>
      </c>
      <c r="I2579" s="2" t="s">
        <v>23</v>
      </c>
      <c r="J2579" s="2" t="s">
        <v>37</v>
      </c>
      <c r="K2579" s="2" t="n">
        <v>5</v>
      </c>
      <c r="L2579" s="2" t="n">
        <v>0</v>
      </c>
      <c r="M2579" s="2" t="n">
        <v>0</v>
      </c>
    </row>
    <row r="2580" customFormat="false" ht="15" hidden="false" customHeight="false" outlineLevel="0" collapsed="false">
      <c r="A2580" s="2" t="s">
        <v>5431</v>
      </c>
      <c r="B2580" s="2" t="s">
        <v>5432</v>
      </c>
      <c r="C2580" s="2" t="n">
        <v>3</v>
      </c>
      <c r="D2580" s="2" t="s">
        <v>36</v>
      </c>
      <c r="E2580" s="2" t="s">
        <v>4951</v>
      </c>
      <c r="F2580" s="3" t="n">
        <v>45909.1618055556</v>
      </c>
      <c r="G2580" s="2" t="s">
        <v>5251</v>
      </c>
      <c r="H2580" s="4" t="n">
        <v>0.4404</v>
      </c>
      <c r="I2580" s="2" t="s">
        <v>23</v>
      </c>
      <c r="J2580" s="2" t="s">
        <v>37</v>
      </c>
      <c r="K2580" s="2" t="n">
        <v>9</v>
      </c>
      <c r="L2580" s="2" t="n">
        <v>1</v>
      </c>
      <c r="M2580" s="2" t="n">
        <v>0</v>
      </c>
    </row>
    <row r="2581" customFormat="false" ht="15" hidden="false" customHeight="false" outlineLevel="0" collapsed="false">
      <c r="A2581" s="2" t="s">
        <v>5433</v>
      </c>
      <c r="B2581" s="2" t="s">
        <v>5434</v>
      </c>
      <c r="C2581" s="2" t="n">
        <v>5</v>
      </c>
      <c r="D2581" s="2" t="s">
        <v>90</v>
      </c>
      <c r="E2581" s="2" t="s">
        <v>4951</v>
      </c>
      <c r="F2581" s="3" t="n">
        <v>45909.2305555556</v>
      </c>
      <c r="G2581" s="2" t="s">
        <v>5251</v>
      </c>
      <c r="H2581" s="4" t="n">
        <v>0.6249</v>
      </c>
      <c r="I2581" s="2" t="s">
        <v>23</v>
      </c>
      <c r="J2581" s="2" t="s">
        <v>37</v>
      </c>
      <c r="K2581" s="2" t="n">
        <v>0</v>
      </c>
      <c r="L2581" s="2" t="n">
        <v>0</v>
      </c>
      <c r="M2581" s="2" t="n">
        <v>0</v>
      </c>
    </row>
    <row r="2582" customFormat="false" ht="15" hidden="false" customHeight="false" outlineLevel="0" collapsed="false">
      <c r="A2582" s="2" t="s">
        <v>5435</v>
      </c>
      <c r="B2582" s="2" t="s">
        <v>5436</v>
      </c>
      <c r="C2582" s="2" t="n">
        <v>4</v>
      </c>
      <c r="D2582" s="2" t="s">
        <v>127</v>
      </c>
      <c r="E2582" s="2" t="s">
        <v>4951</v>
      </c>
      <c r="F2582" s="3" t="n">
        <v>45909.5708333333</v>
      </c>
      <c r="G2582" s="2" t="s">
        <v>5251</v>
      </c>
      <c r="H2582" s="4" t="n">
        <v>0.9359</v>
      </c>
      <c r="I2582" s="2" t="s">
        <v>23</v>
      </c>
      <c r="J2582" s="2" t="s">
        <v>37</v>
      </c>
      <c r="K2582" s="2" t="n">
        <v>2</v>
      </c>
      <c r="L2582" s="2" t="n">
        <v>0</v>
      </c>
      <c r="M2582" s="2" t="n">
        <v>0</v>
      </c>
    </row>
    <row r="2583" customFormat="false" ht="15" hidden="false" customHeight="false" outlineLevel="0" collapsed="false">
      <c r="A2583" s="2" t="s">
        <v>5437</v>
      </c>
      <c r="B2583" s="2" t="s">
        <v>5438</v>
      </c>
      <c r="C2583" s="2" t="n">
        <v>5</v>
      </c>
      <c r="D2583" s="2" t="s">
        <v>47</v>
      </c>
      <c r="E2583" s="2" t="s">
        <v>4951</v>
      </c>
      <c r="F2583" s="3" t="n">
        <v>45909.6666666667</v>
      </c>
      <c r="G2583" s="2" t="s">
        <v>5251</v>
      </c>
      <c r="H2583" s="4" t="n">
        <v>0.3089</v>
      </c>
      <c r="I2583" s="2" t="s">
        <v>23</v>
      </c>
      <c r="J2583" s="2" t="s">
        <v>19</v>
      </c>
      <c r="K2583" s="2" t="n">
        <v>0</v>
      </c>
      <c r="L2583" s="2" t="n">
        <v>0</v>
      </c>
      <c r="M2583" s="2" t="n">
        <v>0</v>
      </c>
    </row>
    <row r="2584" customFormat="false" ht="15" hidden="false" customHeight="false" outlineLevel="0" collapsed="false">
      <c r="A2584" s="2" t="s">
        <v>5439</v>
      </c>
      <c r="B2584" s="2" t="s">
        <v>5440</v>
      </c>
      <c r="C2584" s="2" t="n">
        <v>4</v>
      </c>
      <c r="D2584" s="2" t="s">
        <v>99</v>
      </c>
      <c r="E2584" s="2" t="s">
        <v>4951</v>
      </c>
      <c r="F2584" s="3" t="n">
        <v>45909.7222222222</v>
      </c>
      <c r="G2584" s="2" t="s">
        <v>5251</v>
      </c>
      <c r="H2584" s="4" t="n">
        <v>-0.3089</v>
      </c>
      <c r="I2584" s="2" t="s">
        <v>84</v>
      </c>
      <c r="J2584" s="2" t="s">
        <v>19</v>
      </c>
      <c r="K2584" s="2" t="n">
        <v>2</v>
      </c>
      <c r="L2584" s="2" t="n">
        <v>0</v>
      </c>
      <c r="M2584" s="2" t="n">
        <v>0</v>
      </c>
    </row>
    <row r="2585" customFormat="false" ht="15" hidden="false" customHeight="false" outlineLevel="0" collapsed="false">
      <c r="A2585" s="2" t="s">
        <v>5441</v>
      </c>
      <c r="B2585" s="2" t="s">
        <v>5442</v>
      </c>
      <c r="C2585" s="2" t="n">
        <v>4</v>
      </c>
      <c r="D2585" s="2" t="s">
        <v>389</v>
      </c>
      <c r="E2585" s="2" t="s">
        <v>4951</v>
      </c>
      <c r="F2585" s="3" t="n">
        <v>45909.7708333333</v>
      </c>
      <c r="G2585" s="2" t="s">
        <v>5251</v>
      </c>
      <c r="H2585" s="4" t="n">
        <v>0.8519</v>
      </c>
      <c r="I2585" s="2" t="s">
        <v>23</v>
      </c>
      <c r="J2585" s="2" t="s">
        <v>37</v>
      </c>
      <c r="K2585" s="2" t="n">
        <v>4</v>
      </c>
      <c r="L2585" s="2" t="n">
        <v>0</v>
      </c>
      <c r="M2585" s="2" t="n">
        <v>0</v>
      </c>
    </row>
    <row r="2586" customFormat="false" ht="15" hidden="false" customHeight="false" outlineLevel="0" collapsed="false">
      <c r="A2586" s="2" t="s">
        <v>5443</v>
      </c>
      <c r="B2586" s="2" t="s">
        <v>5444</v>
      </c>
      <c r="C2586" s="2" t="n">
        <v>5</v>
      </c>
      <c r="D2586" s="2" t="s">
        <v>47</v>
      </c>
      <c r="E2586" s="2" t="s">
        <v>4951</v>
      </c>
      <c r="F2586" s="3" t="n">
        <v>45909.7847222222</v>
      </c>
      <c r="G2586" s="2" t="s">
        <v>5251</v>
      </c>
      <c r="H2586" s="4" t="n">
        <v>0.3089</v>
      </c>
      <c r="I2586" s="2" t="s">
        <v>23</v>
      </c>
      <c r="J2586" s="2" t="s">
        <v>19</v>
      </c>
      <c r="K2586" s="2" t="n">
        <v>6</v>
      </c>
      <c r="L2586" s="2" t="n">
        <v>1</v>
      </c>
      <c r="M2586" s="2" t="n">
        <v>0</v>
      </c>
    </row>
    <row r="2587" customFormat="false" ht="15" hidden="false" customHeight="false" outlineLevel="0" collapsed="false">
      <c r="A2587" s="2" t="s">
        <v>5445</v>
      </c>
      <c r="B2587" s="2" t="s">
        <v>5446</v>
      </c>
      <c r="C2587" s="2" t="n">
        <v>5</v>
      </c>
      <c r="D2587" s="2" t="s">
        <v>790</v>
      </c>
      <c r="E2587" s="2" t="s">
        <v>4951</v>
      </c>
      <c r="F2587" s="3" t="n">
        <v>45909.9375</v>
      </c>
      <c r="G2587" s="2" t="s">
        <v>5251</v>
      </c>
      <c r="H2587" s="4" t="n">
        <v>0.9647</v>
      </c>
      <c r="I2587" s="2" t="s">
        <v>23</v>
      </c>
      <c r="J2587" s="2" t="s">
        <v>37</v>
      </c>
      <c r="K2587" s="2" t="n">
        <v>1</v>
      </c>
      <c r="L2587" s="2" t="n">
        <v>0</v>
      </c>
      <c r="M2587" s="2" t="n">
        <v>0</v>
      </c>
    </row>
    <row r="2588" customFormat="false" ht="15" hidden="false" customHeight="false" outlineLevel="0" collapsed="false">
      <c r="A2588" s="2" t="s">
        <v>5447</v>
      </c>
      <c r="B2588" s="2" t="s">
        <v>5448</v>
      </c>
      <c r="C2588" s="2" t="n">
        <v>5</v>
      </c>
      <c r="D2588" s="2" t="s">
        <v>127</v>
      </c>
      <c r="E2588" s="2" t="s">
        <v>4951</v>
      </c>
      <c r="F2588" s="3" t="n">
        <v>45909.95</v>
      </c>
      <c r="G2588" s="2" t="s">
        <v>5251</v>
      </c>
      <c r="H2588" s="4" t="n">
        <v>0.9359</v>
      </c>
      <c r="I2588" s="2" t="s">
        <v>23</v>
      </c>
      <c r="J2588" s="2" t="s">
        <v>37</v>
      </c>
      <c r="K2588" s="2" t="n">
        <v>0</v>
      </c>
      <c r="L2588" s="2" t="n">
        <v>0</v>
      </c>
      <c r="M2588" s="2" t="n">
        <v>0</v>
      </c>
    </row>
    <row r="2589" customFormat="false" ht="15" hidden="false" customHeight="false" outlineLevel="0" collapsed="false">
      <c r="A2589" s="2" t="s">
        <v>5449</v>
      </c>
      <c r="B2589" s="2" t="s">
        <v>5450</v>
      </c>
      <c r="C2589" s="2" t="n">
        <v>3</v>
      </c>
      <c r="D2589" s="2" t="s">
        <v>22</v>
      </c>
      <c r="E2589" s="2" t="s">
        <v>4951</v>
      </c>
      <c r="F2589" s="3" t="n">
        <v>45909.9805555556</v>
      </c>
      <c r="G2589" s="2" t="s">
        <v>5251</v>
      </c>
      <c r="H2589" s="4" t="n">
        <v>0.2023</v>
      </c>
      <c r="I2589" s="2" t="s">
        <v>23</v>
      </c>
      <c r="J2589" s="2" t="s">
        <v>19</v>
      </c>
      <c r="K2589" s="2" t="n">
        <v>0</v>
      </c>
      <c r="L2589" s="2" t="n">
        <v>0</v>
      </c>
      <c r="M2589" s="2" t="n">
        <v>0</v>
      </c>
    </row>
    <row r="2590" customFormat="false" ht="15" hidden="false" customHeight="false" outlineLevel="0" collapsed="false">
      <c r="A2590" s="2" t="s">
        <v>5451</v>
      </c>
      <c r="B2590" s="2" t="s">
        <v>5452</v>
      </c>
      <c r="C2590" s="2" t="n">
        <v>2</v>
      </c>
      <c r="D2590" s="2" t="s">
        <v>1034</v>
      </c>
      <c r="E2590" s="2" t="s">
        <v>4951</v>
      </c>
      <c r="F2590" s="3" t="n">
        <v>45910.0763888889</v>
      </c>
      <c r="G2590" s="2" t="s">
        <v>5251</v>
      </c>
      <c r="H2590" s="4" t="n">
        <v>0</v>
      </c>
      <c r="I2590" s="2" t="s">
        <v>18</v>
      </c>
      <c r="J2590" s="2" t="s">
        <v>110</v>
      </c>
      <c r="K2590" s="2" t="n">
        <v>0</v>
      </c>
      <c r="L2590" s="2" t="n">
        <v>0</v>
      </c>
      <c r="M2590" s="2" t="n">
        <v>0</v>
      </c>
    </row>
    <row r="2591" customFormat="false" ht="15" hidden="false" customHeight="false" outlineLevel="0" collapsed="false">
      <c r="A2591" s="2" t="s">
        <v>5453</v>
      </c>
      <c r="B2591" s="2" t="s">
        <v>5454</v>
      </c>
      <c r="C2591" s="2" t="n">
        <v>4</v>
      </c>
      <c r="D2591" s="2" t="s">
        <v>22</v>
      </c>
      <c r="E2591" s="2" t="s">
        <v>4951</v>
      </c>
      <c r="F2591" s="3" t="n">
        <v>45910.2402777778</v>
      </c>
      <c r="G2591" s="2" t="s">
        <v>5251</v>
      </c>
      <c r="H2591" s="4" t="n">
        <v>0.2023</v>
      </c>
      <c r="I2591" s="2" t="s">
        <v>23</v>
      </c>
      <c r="J2591" s="2" t="s">
        <v>19</v>
      </c>
      <c r="K2591" s="2" t="n">
        <v>1</v>
      </c>
      <c r="L2591" s="2" t="n">
        <v>0</v>
      </c>
      <c r="M2591" s="2" t="n">
        <v>0</v>
      </c>
    </row>
    <row r="2592" customFormat="false" ht="15" hidden="false" customHeight="false" outlineLevel="0" collapsed="false">
      <c r="A2592" s="2" t="s">
        <v>5455</v>
      </c>
      <c r="B2592" s="2" t="s">
        <v>5456</v>
      </c>
      <c r="C2592" s="2" t="n">
        <v>5</v>
      </c>
      <c r="D2592" s="2" t="s">
        <v>127</v>
      </c>
      <c r="E2592" s="2" t="s">
        <v>4951</v>
      </c>
      <c r="F2592" s="3" t="n">
        <v>45910.4069444445</v>
      </c>
      <c r="G2592" s="2" t="s">
        <v>5251</v>
      </c>
      <c r="H2592" s="4" t="n">
        <v>0.9359</v>
      </c>
      <c r="I2592" s="2" t="s">
        <v>23</v>
      </c>
      <c r="J2592" s="2" t="s">
        <v>37</v>
      </c>
      <c r="K2592" s="2" t="n">
        <v>3</v>
      </c>
      <c r="L2592" s="2" t="n">
        <v>0</v>
      </c>
      <c r="M2592" s="2" t="n">
        <v>0</v>
      </c>
    </row>
    <row r="2593" customFormat="false" ht="15" hidden="false" customHeight="false" outlineLevel="0" collapsed="false">
      <c r="A2593" s="2" t="s">
        <v>5457</v>
      </c>
      <c r="B2593" s="2" t="s">
        <v>5458</v>
      </c>
      <c r="C2593" s="2" t="n">
        <v>5</v>
      </c>
      <c r="D2593" s="2" t="s">
        <v>127</v>
      </c>
      <c r="E2593" s="2" t="s">
        <v>4951</v>
      </c>
      <c r="F2593" s="3" t="n">
        <v>45910.4354166667</v>
      </c>
      <c r="G2593" s="2" t="s">
        <v>5251</v>
      </c>
      <c r="H2593" s="4" t="n">
        <v>0.9359</v>
      </c>
      <c r="I2593" s="2" t="s">
        <v>23</v>
      </c>
      <c r="J2593" s="2" t="s">
        <v>37</v>
      </c>
      <c r="K2593" s="2" t="n">
        <v>6</v>
      </c>
      <c r="L2593" s="2" t="n">
        <v>0</v>
      </c>
      <c r="M2593" s="2" t="n">
        <v>0</v>
      </c>
    </row>
    <row r="2594" customFormat="false" ht="15" hidden="false" customHeight="false" outlineLevel="0" collapsed="false">
      <c r="A2594" s="2" t="s">
        <v>5459</v>
      </c>
      <c r="B2594" s="2" t="s">
        <v>5460</v>
      </c>
      <c r="C2594" s="2" t="n">
        <v>3</v>
      </c>
      <c r="D2594" s="2" t="s">
        <v>301</v>
      </c>
      <c r="E2594" s="2" t="s">
        <v>4951</v>
      </c>
      <c r="F2594" s="3" t="n">
        <v>45910.4548611111</v>
      </c>
      <c r="G2594" s="2" t="s">
        <v>5251</v>
      </c>
      <c r="H2594" s="4" t="n">
        <v>0.2263</v>
      </c>
      <c r="I2594" s="2" t="s">
        <v>23</v>
      </c>
      <c r="J2594" s="2" t="s">
        <v>19</v>
      </c>
      <c r="K2594" s="2" t="n">
        <v>4</v>
      </c>
      <c r="L2594" s="2" t="n">
        <v>0</v>
      </c>
      <c r="M2594" s="2" t="n">
        <v>0</v>
      </c>
    </row>
    <row r="2595" customFormat="false" ht="15" hidden="false" customHeight="false" outlineLevel="0" collapsed="false">
      <c r="A2595" s="2" t="s">
        <v>5461</v>
      </c>
      <c r="B2595" s="2" t="s">
        <v>5462</v>
      </c>
      <c r="C2595" s="2" t="n">
        <v>3</v>
      </c>
      <c r="D2595" s="2" t="s">
        <v>87</v>
      </c>
      <c r="E2595" s="2" t="s">
        <v>4951</v>
      </c>
      <c r="F2595" s="3" t="n">
        <v>45910.4840277778</v>
      </c>
      <c r="G2595" s="2" t="s">
        <v>5251</v>
      </c>
      <c r="H2595" s="4" t="n">
        <v>0</v>
      </c>
      <c r="I2595" s="2" t="s">
        <v>18</v>
      </c>
      <c r="J2595" s="2" t="s">
        <v>19</v>
      </c>
      <c r="K2595" s="2" t="n">
        <v>1</v>
      </c>
      <c r="L2595" s="2" t="n">
        <v>0</v>
      </c>
      <c r="M2595" s="2" t="n">
        <v>0</v>
      </c>
    </row>
    <row r="2596" customFormat="false" ht="15" hidden="false" customHeight="false" outlineLevel="0" collapsed="false">
      <c r="A2596" s="2" t="s">
        <v>5463</v>
      </c>
      <c r="B2596" s="2" t="s">
        <v>5464</v>
      </c>
      <c r="C2596" s="2" t="n">
        <v>4</v>
      </c>
      <c r="D2596" s="2" t="s">
        <v>99</v>
      </c>
      <c r="E2596" s="2" t="s">
        <v>4951</v>
      </c>
      <c r="F2596" s="3" t="n">
        <v>45910.5951388889</v>
      </c>
      <c r="G2596" s="2" t="s">
        <v>5251</v>
      </c>
      <c r="H2596" s="4" t="n">
        <v>-0.3089</v>
      </c>
      <c r="I2596" s="2" t="s">
        <v>84</v>
      </c>
      <c r="J2596" s="2" t="s">
        <v>19</v>
      </c>
      <c r="K2596" s="2" t="n">
        <v>1</v>
      </c>
      <c r="L2596" s="2" t="n">
        <v>0</v>
      </c>
      <c r="M2596" s="2" t="n">
        <v>0</v>
      </c>
    </row>
    <row r="2597" customFormat="false" ht="15" hidden="false" customHeight="false" outlineLevel="0" collapsed="false">
      <c r="A2597" s="2" t="s">
        <v>5465</v>
      </c>
      <c r="B2597" s="2" t="s">
        <v>5466</v>
      </c>
      <c r="C2597" s="2" t="n">
        <v>3</v>
      </c>
      <c r="D2597" s="2" t="s">
        <v>168</v>
      </c>
      <c r="E2597" s="2" t="s">
        <v>4951</v>
      </c>
      <c r="F2597" s="3" t="n">
        <v>45910.6111111111</v>
      </c>
      <c r="G2597" s="2" t="s">
        <v>5251</v>
      </c>
      <c r="H2597" s="4" t="n">
        <v>-0.1027</v>
      </c>
      <c r="I2597" s="2" t="s">
        <v>84</v>
      </c>
      <c r="J2597" s="2" t="s">
        <v>33</v>
      </c>
      <c r="K2597" s="2" t="n">
        <v>4</v>
      </c>
      <c r="L2597" s="2" t="n">
        <v>0</v>
      </c>
      <c r="M2597" s="2" t="n">
        <v>0</v>
      </c>
    </row>
    <row r="2598" customFormat="false" ht="15" hidden="false" customHeight="false" outlineLevel="0" collapsed="false">
      <c r="A2598" s="2" t="s">
        <v>5467</v>
      </c>
      <c r="B2598" s="2" t="s">
        <v>5468</v>
      </c>
      <c r="C2598" s="2" t="n">
        <v>1</v>
      </c>
      <c r="D2598" s="2" t="s">
        <v>733</v>
      </c>
      <c r="E2598" s="2" t="s">
        <v>4951</v>
      </c>
      <c r="F2598" s="3" t="n">
        <v>45910.7326388889</v>
      </c>
      <c r="G2598" s="2" t="s">
        <v>5251</v>
      </c>
      <c r="H2598" s="4" t="n">
        <v>-0.2846</v>
      </c>
      <c r="I2598" s="2" t="s">
        <v>84</v>
      </c>
      <c r="J2598" s="2" t="s">
        <v>37</v>
      </c>
      <c r="K2598" s="2" t="n">
        <v>4</v>
      </c>
      <c r="L2598" s="2" t="n">
        <v>1</v>
      </c>
      <c r="M2598" s="2" t="n">
        <v>0</v>
      </c>
    </row>
    <row r="2599" customFormat="false" ht="15" hidden="false" customHeight="false" outlineLevel="0" collapsed="false">
      <c r="A2599" s="2" t="s">
        <v>5469</v>
      </c>
      <c r="B2599" s="2" t="s">
        <v>5470</v>
      </c>
      <c r="C2599" s="2" t="n">
        <v>4</v>
      </c>
      <c r="D2599" s="2" t="s">
        <v>90</v>
      </c>
      <c r="E2599" s="2" t="s">
        <v>4951</v>
      </c>
      <c r="F2599" s="3" t="n">
        <v>45910.8375</v>
      </c>
      <c r="G2599" s="2" t="s">
        <v>5251</v>
      </c>
      <c r="H2599" s="4" t="n">
        <v>0.6249</v>
      </c>
      <c r="I2599" s="2" t="s">
        <v>23</v>
      </c>
      <c r="J2599" s="2" t="s">
        <v>37</v>
      </c>
      <c r="K2599" s="2" t="n">
        <v>0</v>
      </c>
      <c r="L2599" s="2" t="n">
        <v>0</v>
      </c>
      <c r="M2599" s="2" t="n">
        <v>0</v>
      </c>
    </row>
    <row r="2600" customFormat="false" ht="15" hidden="false" customHeight="false" outlineLevel="0" collapsed="false">
      <c r="A2600" s="2" t="s">
        <v>5471</v>
      </c>
      <c r="B2600" s="2" t="s">
        <v>5472</v>
      </c>
      <c r="C2600" s="2" t="n">
        <v>4</v>
      </c>
      <c r="D2600" s="2" t="s">
        <v>2727</v>
      </c>
      <c r="E2600" s="2" t="s">
        <v>4951</v>
      </c>
      <c r="F2600" s="3" t="n">
        <v>45910.9229166667</v>
      </c>
      <c r="G2600" s="2" t="s">
        <v>5251</v>
      </c>
      <c r="H2600" s="4" t="n">
        <v>0.4019</v>
      </c>
      <c r="I2600" s="2" t="s">
        <v>23</v>
      </c>
      <c r="J2600" s="2" t="s">
        <v>33</v>
      </c>
      <c r="K2600" s="2" t="n">
        <v>6</v>
      </c>
      <c r="L2600" s="2" t="n">
        <v>0</v>
      </c>
      <c r="M2600" s="2" t="n">
        <v>0</v>
      </c>
    </row>
    <row r="2601" customFormat="false" ht="15" hidden="false" customHeight="false" outlineLevel="0" collapsed="false">
      <c r="A2601" s="2" t="s">
        <v>5473</v>
      </c>
      <c r="B2601" s="2" t="s">
        <v>5474</v>
      </c>
      <c r="C2601" s="2" t="n">
        <v>5</v>
      </c>
      <c r="D2601" s="2" t="s">
        <v>52</v>
      </c>
      <c r="E2601" s="2" t="s">
        <v>4951</v>
      </c>
      <c r="F2601" s="3" t="n">
        <v>45911.0895833333</v>
      </c>
      <c r="G2601" s="2" t="s">
        <v>5251</v>
      </c>
      <c r="H2601" s="4" t="n">
        <v>0.6369</v>
      </c>
      <c r="I2601" s="2" t="s">
        <v>23</v>
      </c>
      <c r="J2601" s="2" t="s">
        <v>19</v>
      </c>
      <c r="K2601" s="2" t="n">
        <v>3</v>
      </c>
      <c r="L2601" s="2" t="n">
        <v>1</v>
      </c>
      <c r="M2601" s="2" t="n">
        <v>0</v>
      </c>
    </row>
    <row r="2602" customFormat="false" ht="15" hidden="false" customHeight="false" outlineLevel="0" collapsed="false">
      <c r="A2602" s="2" t="s">
        <v>5475</v>
      </c>
      <c r="B2602" s="2" t="s">
        <v>5476</v>
      </c>
      <c r="C2602" s="2" t="n">
        <v>3</v>
      </c>
      <c r="D2602" s="2" t="s">
        <v>295</v>
      </c>
      <c r="E2602" s="2" t="s">
        <v>4951</v>
      </c>
      <c r="F2602" s="3" t="n">
        <v>45911.1145833333</v>
      </c>
      <c r="G2602" s="2" t="s">
        <v>5251</v>
      </c>
      <c r="H2602" s="4" t="n">
        <v>-0.5023</v>
      </c>
      <c r="I2602" s="2" t="s">
        <v>84</v>
      </c>
      <c r="J2602" s="2" t="s">
        <v>33</v>
      </c>
      <c r="K2602" s="2" t="n">
        <v>0</v>
      </c>
      <c r="L2602" s="2" t="n">
        <v>0</v>
      </c>
      <c r="M2602" s="2" t="n">
        <v>0</v>
      </c>
    </row>
    <row r="2603" customFormat="false" ht="15" hidden="false" customHeight="false" outlineLevel="0" collapsed="false">
      <c r="A2603" s="2" t="s">
        <v>5477</v>
      </c>
      <c r="B2603" s="2" t="s">
        <v>5478</v>
      </c>
      <c r="C2603" s="2" t="n">
        <v>2</v>
      </c>
      <c r="D2603" s="2" t="s">
        <v>231</v>
      </c>
      <c r="E2603" s="2" t="s">
        <v>4951</v>
      </c>
      <c r="F2603" s="3" t="n">
        <v>45911.1416666667</v>
      </c>
      <c r="G2603" s="2" t="s">
        <v>5251</v>
      </c>
      <c r="H2603" s="4" t="n">
        <v>-0.3593</v>
      </c>
      <c r="I2603" s="2" t="s">
        <v>84</v>
      </c>
      <c r="J2603" s="2" t="s">
        <v>33</v>
      </c>
      <c r="K2603" s="2" t="n">
        <v>8</v>
      </c>
      <c r="L2603" s="2" t="n">
        <v>1</v>
      </c>
      <c r="M2603" s="2" t="n">
        <v>0</v>
      </c>
    </row>
    <row r="2604" customFormat="false" ht="15" hidden="false" customHeight="false" outlineLevel="0" collapsed="false">
      <c r="A2604" s="2" t="s">
        <v>5479</v>
      </c>
      <c r="B2604" s="2" t="s">
        <v>5480</v>
      </c>
      <c r="C2604" s="2" t="n">
        <v>3</v>
      </c>
      <c r="D2604" s="2" t="s">
        <v>301</v>
      </c>
      <c r="E2604" s="2" t="s">
        <v>4951</v>
      </c>
      <c r="F2604" s="3" t="n">
        <v>45911.1652777778</v>
      </c>
      <c r="G2604" s="2" t="s">
        <v>5251</v>
      </c>
      <c r="H2604" s="4" t="n">
        <v>0.2263</v>
      </c>
      <c r="I2604" s="2" t="s">
        <v>23</v>
      </c>
      <c r="J2604" s="2" t="s">
        <v>19</v>
      </c>
      <c r="K2604" s="2" t="n">
        <v>7</v>
      </c>
      <c r="L2604" s="2" t="n">
        <v>0</v>
      </c>
      <c r="M2604" s="2" t="n">
        <v>0</v>
      </c>
    </row>
    <row r="2605" customFormat="false" ht="15" hidden="false" customHeight="false" outlineLevel="0" collapsed="false">
      <c r="A2605" s="2" t="s">
        <v>5481</v>
      </c>
      <c r="B2605" s="2" t="s">
        <v>5482</v>
      </c>
      <c r="C2605" s="2" t="n">
        <v>5</v>
      </c>
      <c r="D2605" s="2" t="s">
        <v>1004</v>
      </c>
      <c r="E2605" s="2" t="s">
        <v>4951</v>
      </c>
      <c r="F2605" s="3" t="n">
        <v>45911.3625</v>
      </c>
      <c r="G2605" s="2" t="s">
        <v>5251</v>
      </c>
      <c r="H2605" s="4" t="n">
        <v>0.6249</v>
      </c>
      <c r="I2605" s="2" t="s">
        <v>23</v>
      </c>
      <c r="J2605" s="2" t="s">
        <v>37</v>
      </c>
      <c r="K2605" s="2" t="n">
        <v>2</v>
      </c>
      <c r="L2605" s="2" t="n">
        <v>0</v>
      </c>
      <c r="M2605" s="2" t="n">
        <v>0</v>
      </c>
    </row>
    <row r="2606" customFormat="false" ht="15" hidden="false" customHeight="false" outlineLevel="0" collapsed="false">
      <c r="A2606" s="2" t="s">
        <v>5483</v>
      </c>
      <c r="B2606" s="2" t="s">
        <v>5484</v>
      </c>
      <c r="C2606" s="2" t="n">
        <v>4</v>
      </c>
      <c r="D2606" s="2" t="s">
        <v>99</v>
      </c>
      <c r="E2606" s="2" t="s">
        <v>4951</v>
      </c>
      <c r="F2606" s="3" t="n">
        <v>45911.4159722222</v>
      </c>
      <c r="G2606" s="2" t="s">
        <v>5251</v>
      </c>
      <c r="H2606" s="4" t="n">
        <v>-0.3089</v>
      </c>
      <c r="I2606" s="2" t="s">
        <v>84</v>
      </c>
      <c r="J2606" s="2" t="s">
        <v>19</v>
      </c>
      <c r="K2606" s="2" t="n">
        <v>1</v>
      </c>
      <c r="L2606" s="2" t="n">
        <v>0</v>
      </c>
      <c r="M2606" s="2" t="n">
        <v>0</v>
      </c>
    </row>
    <row r="2607" customFormat="false" ht="15" hidden="false" customHeight="false" outlineLevel="0" collapsed="false">
      <c r="A2607" s="2" t="s">
        <v>5485</v>
      </c>
      <c r="B2607" s="2" t="s">
        <v>5486</v>
      </c>
      <c r="C2607" s="2" t="n">
        <v>5</v>
      </c>
      <c r="D2607" s="2" t="s">
        <v>52</v>
      </c>
      <c r="E2607" s="2" t="s">
        <v>4951</v>
      </c>
      <c r="F2607" s="3" t="n">
        <v>45911.5131944444</v>
      </c>
      <c r="G2607" s="2" t="s">
        <v>5251</v>
      </c>
      <c r="H2607" s="4" t="n">
        <v>0.6369</v>
      </c>
      <c r="I2607" s="2" t="s">
        <v>23</v>
      </c>
      <c r="J2607" s="2" t="s">
        <v>19</v>
      </c>
      <c r="K2607" s="2" t="n">
        <v>1</v>
      </c>
      <c r="L2607" s="2" t="n">
        <v>0</v>
      </c>
      <c r="M2607" s="2" t="n">
        <v>0</v>
      </c>
    </row>
    <row r="2608" customFormat="false" ht="15" hidden="false" customHeight="false" outlineLevel="0" collapsed="false">
      <c r="A2608" s="2" t="s">
        <v>5487</v>
      </c>
      <c r="B2608" s="2" t="s">
        <v>5488</v>
      </c>
      <c r="C2608" s="2" t="n">
        <v>5</v>
      </c>
      <c r="D2608" s="2" t="s">
        <v>47</v>
      </c>
      <c r="E2608" s="2" t="s">
        <v>4951</v>
      </c>
      <c r="F2608" s="3" t="n">
        <v>45911.5451388889</v>
      </c>
      <c r="G2608" s="2" t="s">
        <v>5251</v>
      </c>
      <c r="H2608" s="4" t="n">
        <v>0.3089</v>
      </c>
      <c r="I2608" s="2" t="s">
        <v>23</v>
      </c>
      <c r="J2608" s="2" t="s">
        <v>19</v>
      </c>
      <c r="K2608" s="2" t="n">
        <v>2</v>
      </c>
      <c r="L2608" s="2" t="n">
        <v>0</v>
      </c>
      <c r="M2608" s="2" t="n">
        <v>0</v>
      </c>
    </row>
    <row r="2609" customFormat="false" ht="15" hidden="false" customHeight="false" outlineLevel="0" collapsed="false">
      <c r="A2609" s="2" t="s">
        <v>5489</v>
      </c>
      <c r="B2609" s="2" t="s">
        <v>5490</v>
      </c>
      <c r="C2609" s="2" t="n">
        <v>5</v>
      </c>
      <c r="D2609" s="2" t="s">
        <v>1095</v>
      </c>
      <c r="E2609" s="2" t="s">
        <v>4951</v>
      </c>
      <c r="F2609" s="3" t="n">
        <v>45911.7715277778</v>
      </c>
      <c r="G2609" s="2" t="s">
        <v>5251</v>
      </c>
      <c r="H2609" s="4" t="n">
        <v>0.7475</v>
      </c>
      <c r="I2609" s="2" t="s">
        <v>23</v>
      </c>
      <c r="J2609" s="2" t="s">
        <v>37</v>
      </c>
      <c r="K2609" s="2" t="n">
        <v>3</v>
      </c>
      <c r="L2609" s="2" t="n">
        <v>0</v>
      </c>
      <c r="M2609" s="2" t="n">
        <v>0</v>
      </c>
    </row>
    <row r="2610" customFormat="false" ht="15" hidden="false" customHeight="false" outlineLevel="0" collapsed="false">
      <c r="A2610" s="2" t="s">
        <v>5491</v>
      </c>
      <c r="B2610" s="2" t="s">
        <v>5492</v>
      </c>
      <c r="C2610" s="2" t="n">
        <v>1</v>
      </c>
      <c r="D2610" s="2" t="s">
        <v>1034</v>
      </c>
      <c r="E2610" s="2" t="s">
        <v>4951</v>
      </c>
      <c r="F2610" s="3" t="n">
        <v>45911.7729166667</v>
      </c>
      <c r="G2610" s="2" t="s">
        <v>5251</v>
      </c>
      <c r="H2610" s="4" t="n">
        <v>0</v>
      </c>
      <c r="I2610" s="2" t="s">
        <v>18</v>
      </c>
      <c r="J2610" s="2" t="s">
        <v>110</v>
      </c>
      <c r="K2610" s="2" t="n">
        <v>3</v>
      </c>
      <c r="L2610" s="2" t="n">
        <v>1</v>
      </c>
      <c r="M2610" s="2" t="n">
        <v>0</v>
      </c>
    </row>
    <row r="2611" customFormat="false" ht="15" hidden="false" customHeight="false" outlineLevel="0" collapsed="false">
      <c r="A2611" s="2" t="s">
        <v>5493</v>
      </c>
      <c r="B2611" s="2" t="s">
        <v>5494</v>
      </c>
      <c r="C2611" s="2" t="n">
        <v>5</v>
      </c>
      <c r="D2611" s="2" t="s">
        <v>40</v>
      </c>
      <c r="E2611" s="2" t="s">
        <v>4951</v>
      </c>
      <c r="F2611" s="3" t="n">
        <v>45912.0979166667</v>
      </c>
      <c r="G2611" s="2" t="s">
        <v>5251</v>
      </c>
      <c r="H2611" s="4" t="n">
        <v>0.4019</v>
      </c>
      <c r="I2611" s="2" t="s">
        <v>23</v>
      </c>
      <c r="J2611" s="2" t="s">
        <v>33</v>
      </c>
      <c r="K2611" s="2" t="n">
        <v>7</v>
      </c>
      <c r="L2611" s="2" t="n">
        <v>0</v>
      </c>
      <c r="M2611" s="2" t="n">
        <v>0</v>
      </c>
    </row>
    <row r="2612" customFormat="false" ht="15" hidden="false" customHeight="false" outlineLevel="0" collapsed="false">
      <c r="A2612" s="2" t="s">
        <v>5495</v>
      </c>
      <c r="B2612" s="2" t="s">
        <v>5496</v>
      </c>
      <c r="C2612" s="2" t="n">
        <v>2</v>
      </c>
      <c r="D2612" s="2" t="s">
        <v>721</v>
      </c>
      <c r="E2612" s="2" t="s">
        <v>4951</v>
      </c>
      <c r="F2612" s="3" t="n">
        <v>45912.4486111111</v>
      </c>
      <c r="G2612" s="2" t="s">
        <v>5251</v>
      </c>
      <c r="H2612" s="4" t="n">
        <v>-0.4588</v>
      </c>
      <c r="I2612" s="2" t="s">
        <v>84</v>
      </c>
      <c r="J2612" s="2" t="s">
        <v>37</v>
      </c>
      <c r="K2612" s="2" t="n">
        <v>1</v>
      </c>
      <c r="L2612" s="2" t="n">
        <v>0</v>
      </c>
      <c r="M2612" s="2" t="n">
        <v>0</v>
      </c>
    </row>
    <row r="2613" customFormat="false" ht="15" hidden="false" customHeight="false" outlineLevel="0" collapsed="false">
      <c r="A2613" s="2" t="s">
        <v>5497</v>
      </c>
      <c r="B2613" s="2" t="s">
        <v>5498</v>
      </c>
      <c r="C2613" s="2" t="n">
        <v>5</v>
      </c>
      <c r="D2613" s="2" t="s">
        <v>127</v>
      </c>
      <c r="E2613" s="2" t="s">
        <v>4951</v>
      </c>
      <c r="F2613" s="3" t="n">
        <v>45912.4833333333</v>
      </c>
      <c r="G2613" s="2" t="s">
        <v>5251</v>
      </c>
      <c r="H2613" s="4" t="n">
        <v>0.9359</v>
      </c>
      <c r="I2613" s="2" t="s">
        <v>23</v>
      </c>
      <c r="J2613" s="2" t="s">
        <v>37</v>
      </c>
      <c r="K2613" s="2" t="n">
        <v>3</v>
      </c>
      <c r="L2613" s="2" t="n">
        <v>0</v>
      </c>
      <c r="M2613" s="2" t="n">
        <v>0</v>
      </c>
    </row>
    <row r="2614" customFormat="false" ht="15" hidden="false" customHeight="false" outlineLevel="0" collapsed="false">
      <c r="A2614" s="2" t="s">
        <v>5499</v>
      </c>
      <c r="B2614" s="2" t="s">
        <v>2253</v>
      </c>
      <c r="C2614" s="2" t="n">
        <v>5</v>
      </c>
      <c r="D2614" s="2" t="s">
        <v>52</v>
      </c>
      <c r="E2614" s="2" t="s">
        <v>4951</v>
      </c>
      <c r="F2614" s="3" t="n">
        <v>45912.5055555556</v>
      </c>
      <c r="G2614" s="2" t="s">
        <v>5251</v>
      </c>
      <c r="H2614" s="4" t="n">
        <v>0.6369</v>
      </c>
      <c r="I2614" s="2" t="s">
        <v>23</v>
      </c>
      <c r="J2614" s="2" t="s">
        <v>19</v>
      </c>
      <c r="K2614" s="2" t="n">
        <v>3</v>
      </c>
      <c r="L2614" s="2" t="n">
        <v>0</v>
      </c>
      <c r="M2614" s="2" t="n">
        <v>0</v>
      </c>
    </row>
    <row r="2615" customFormat="false" ht="15" hidden="false" customHeight="false" outlineLevel="0" collapsed="false">
      <c r="A2615" s="2" t="s">
        <v>5500</v>
      </c>
      <c r="B2615" s="2" t="s">
        <v>5501</v>
      </c>
      <c r="C2615" s="2" t="n">
        <v>5</v>
      </c>
      <c r="D2615" s="2" t="s">
        <v>127</v>
      </c>
      <c r="E2615" s="2" t="s">
        <v>4951</v>
      </c>
      <c r="F2615" s="3" t="n">
        <v>45912.6722222222</v>
      </c>
      <c r="G2615" s="2" t="s">
        <v>5251</v>
      </c>
      <c r="H2615" s="4" t="n">
        <v>0.9359</v>
      </c>
      <c r="I2615" s="2" t="s">
        <v>23</v>
      </c>
      <c r="J2615" s="2" t="s">
        <v>37</v>
      </c>
      <c r="K2615" s="2" t="n">
        <v>13</v>
      </c>
      <c r="L2615" s="2" t="n">
        <v>0</v>
      </c>
      <c r="M2615" s="2" t="n">
        <v>0</v>
      </c>
    </row>
    <row r="2616" customFormat="false" ht="15" hidden="false" customHeight="false" outlineLevel="0" collapsed="false">
      <c r="A2616" s="2" t="s">
        <v>5502</v>
      </c>
      <c r="B2616" s="2" t="s">
        <v>5503</v>
      </c>
      <c r="C2616" s="2" t="n">
        <v>5</v>
      </c>
      <c r="D2616" s="2" t="s">
        <v>40</v>
      </c>
      <c r="E2616" s="2" t="s">
        <v>4951</v>
      </c>
      <c r="F2616" s="3" t="n">
        <v>45912.6743055556</v>
      </c>
      <c r="G2616" s="2" t="s">
        <v>5251</v>
      </c>
      <c r="H2616" s="4" t="n">
        <v>0.4019</v>
      </c>
      <c r="I2616" s="2" t="s">
        <v>23</v>
      </c>
      <c r="J2616" s="2" t="s">
        <v>33</v>
      </c>
      <c r="K2616" s="2" t="n">
        <v>2</v>
      </c>
      <c r="L2616" s="2" t="n">
        <v>0</v>
      </c>
      <c r="M2616" s="2" t="n">
        <v>0</v>
      </c>
    </row>
    <row r="2617" customFormat="false" ht="15" hidden="false" customHeight="false" outlineLevel="0" collapsed="false">
      <c r="A2617" s="2" t="s">
        <v>5504</v>
      </c>
      <c r="B2617" s="2" t="s">
        <v>5505</v>
      </c>
      <c r="C2617" s="2" t="n">
        <v>4</v>
      </c>
      <c r="D2617" s="2" t="s">
        <v>62</v>
      </c>
      <c r="E2617" s="2" t="s">
        <v>4951</v>
      </c>
      <c r="F2617" s="3" t="n">
        <v>45912.7298611111</v>
      </c>
      <c r="G2617" s="2" t="s">
        <v>5251</v>
      </c>
      <c r="H2617" s="4" t="n">
        <v>0.7088</v>
      </c>
      <c r="I2617" s="2" t="s">
        <v>23</v>
      </c>
      <c r="J2617" s="2" t="s">
        <v>19</v>
      </c>
      <c r="K2617" s="2" t="n">
        <v>2</v>
      </c>
      <c r="L2617" s="2" t="n">
        <v>0</v>
      </c>
      <c r="M2617" s="2" t="n">
        <v>0</v>
      </c>
    </row>
    <row r="2618" customFormat="false" ht="15" hidden="false" customHeight="false" outlineLevel="0" collapsed="false">
      <c r="A2618" s="2" t="s">
        <v>5506</v>
      </c>
      <c r="B2618" s="2" t="s">
        <v>5507</v>
      </c>
      <c r="C2618" s="2" t="n">
        <v>5</v>
      </c>
      <c r="D2618" s="2" t="s">
        <v>127</v>
      </c>
      <c r="E2618" s="2" t="s">
        <v>4951</v>
      </c>
      <c r="F2618" s="3" t="n">
        <v>45912.7833333333</v>
      </c>
      <c r="G2618" s="2" t="s">
        <v>5251</v>
      </c>
      <c r="H2618" s="4" t="n">
        <v>0.9359</v>
      </c>
      <c r="I2618" s="2" t="s">
        <v>23</v>
      </c>
      <c r="J2618" s="2" t="s">
        <v>37</v>
      </c>
      <c r="K2618" s="2" t="n">
        <v>0</v>
      </c>
      <c r="L2618" s="2" t="n">
        <v>0</v>
      </c>
      <c r="M2618" s="2" t="n">
        <v>0</v>
      </c>
    </row>
    <row r="2619" customFormat="false" ht="15" hidden="false" customHeight="false" outlineLevel="0" collapsed="false">
      <c r="A2619" s="2" t="s">
        <v>5508</v>
      </c>
      <c r="B2619" s="2" t="s">
        <v>5509</v>
      </c>
      <c r="C2619" s="2" t="n">
        <v>4</v>
      </c>
      <c r="D2619" s="2" t="s">
        <v>301</v>
      </c>
      <c r="E2619" s="2" t="s">
        <v>4951</v>
      </c>
      <c r="F2619" s="3" t="n">
        <v>45912.8409722222</v>
      </c>
      <c r="G2619" s="2" t="s">
        <v>5251</v>
      </c>
      <c r="H2619" s="4" t="n">
        <v>0.2263</v>
      </c>
      <c r="I2619" s="2" t="s">
        <v>23</v>
      </c>
      <c r="J2619" s="2" t="s">
        <v>19</v>
      </c>
      <c r="K2619" s="2" t="n">
        <v>4</v>
      </c>
      <c r="L2619" s="2" t="n">
        <v>0</v>
      </c>
      <c r="M2619" s="2" t="n">
        <v>0</v>
      </c>
    </row>
    <row r="2620" customFormat="false" ht="15" hidden="false" customHeight="false" outlineLevel="0" collapsed="false">
      <c r="A2620" s="2" t="s">
        <v>5510</v>
      </c>
      <c r="B2620" s="2" t="s">
        <v>5511</v>
      </c>
      <c r="C2620" s="2" t="n">
        <v>4</v>
      </c>
      <c r="D2620" s="2" t="s">
        <v>3783</v>
      </c>
      <c r="E2620" s="2" t="s">
        <v>4951</v>
      </c>
      <c r="F2620" s="3" t="n">
        <v>45912.8958333333</v>
      </c>
      <c r="G2620" s="2" t="s">
        <v>5251</v>
      </c>
      <c r="H2620" s="4" t="n">
        <v>0.7184</v>
      </c>
      <c r="I2620" s="2" t="s">
        <v>23</v>
      </c>
      <c r="J2620" s="2" t="s">
        <v>19</v>
      </c>
      <c r="K2620" s="2" t="n">
        <v>2</v>
      </c>
      <c r="L2620" s="2" t="n">
        <v>0</v>
      </c>
      <c r="M2620" s="2" t="n">
        <v>0</v>
      </c>
    </row>
    <row r="2621" customFormat="false" ht="15" hidden="false" customHeight="false" outlineLevel="0" collapsed="false">
      <c r="A2621" s="2" t="s">
        <v>5512</v>
      </c>
      <c r="B2621" s="2" t="s">
        <v>5513</v>
      </c>
      <c r="C2621" s="2" t="n">
        <v>5</v>
      </c>
      <c r="D2621" s="2" t="s">
        <v>96</v>
      </c>
      <c r="E2621" s="2" t="s">
        <v>4951</v>
      </c>
      <c r="F2621" s="3" t="n">
        <v>45912.9986111111</v>
      </c>
      <c r="G2621" s="2" t="s">
        <v>5251</v>
      </c>
      <c r="H2621" s="4" t="n">
        <v>0.6369</v>
      </c>
      <c r="I2621" s="2" t="s">
        <v>23</v>
      </c>
      <c r="J2621" s="2" t="s">
        <v>19</v>
      </c>
      <c r="K2621" s="2" t="n">
        <v>8</v>
      </c>
      <c r="L2621" s="2" t="n">
        <v>0</v>
      </c>
      <c r="M2621" s="2" t="n">
        <v>0</v>
      </c>
    </row>
    <row r="2622" customFormat="false" ht="15" hidden="false" customHeight="false" outlineLevel="0" collapsed="false">
      <c r="A2622" s="2" t="s">
        <v>5514</v>
      </c>
      <c r="B2622" s="2" t="s">
        <v>5515</v>
      </c>
      <c r="C2622" s="2" t="n">
        <v>5</v>
      </c>
      <c r="D2622" s="2" t="s">
        <v>15</v>
      </c>
      <c r="E2622" s="2" t="s">
        <v>4951</v>
      </c>
      <c r="F2622" s="3" t="n">
        <v>45913.0194444444</v>
      </c>
      <c r="G2622" s="2" t="s">
        <v>5251</v>
      </c>
      <c r="H2622" s="4" t="n">
        <v>0</v>
      </c>
      <c r="I2622" s="2" t="s">
        <v>18</v>
      </c>
      <c r="J2622" s="2" t="s">
        <v>19</v>
      </c>
      <c r="K2622" s="2" t="n">
        <v>3</v>
      </c>
      <c r="L2622" s="2" t="n">
        <v>0</v>
      </c>
      <c r="M2622" s="2" t="n">
        <v>0</v>
      </c>
    </row>
    <row r="2623" customFormat="false" ht="15" hidden="false" customHeight="false" outlineLevel="0" collapsed="false">
      <c r="A2623" s="2" t="s">
        <v>5516</v>
      </c>
      <c r="B2623" s="2" t="s">
        <v>5517</v>
      </c>
      <c r="C2623" s="2" t="n">
        <v>2</v>
      </c>
      <c r="D2623" s="2" t="s">
        <v>179</v>
      </c>
      <c r="E2623" s="2" t="s">
        <v>4951</v>
      </c>
      <c r="F2623" s="3" t="n">
        <v>45913.04375</v>
      </c>
      <c r="G2623" s="2" t="s">
        <v>5251</v>
      </c>
      <c r="H2623" s="4" t="n">
        <v>-0.0258</v>
      </c>
      <c r="I2623" s="2" t="s">
        <v>18</v>
      </c>
      <c r="J2623" s="2" t="s">
        <v>59</v>
      </c>
      <c r="K2623" s="2" t="n">
        <v>1</v>
      </c>
      <c r="L2623" s="2" t="n">
        <v>0</v>
      </c>
      <c r="M2623" s="2" t="n">
        <v>0</v>
      </c>
    </row>
    <row r="2624" customFormat="false" ht="15" hidden="false" customHeight="false" outlineLevel="0" collapsed="false">
      <c r="A2624" s="2" t="s">
        <v>5518</v>
      </c>
      <c r="B2624" s="2" t="s">
        <v>5519</v>
      </c>
      <c r="C2624" s="2" t="n">
        <v>5</v>
      </c>
      <c r="D2624" s="2" t="s">
        <v>47</v>
      </c>
      <c r="E2624" s="2" t="s">
        <v>4951</v>
      </c>
      <c r="F2624" s="3" t="n">
        <v>45913.1208333333</v>
      </c>
      <c r="G2624" s="2" t="s">
        <v>5251</v>
      </c>
      <c r="H2624" s="4" t="n">
        <v>0.3089</v>
      </c>
      <c r="I2624" s="2" t="s">
        <v>23</v>
      </c>
      <c r="J2624" s="2" t="s">
        <v>19</v>
      </c>
      <c r="K2624" s="2" t="n">
        <v>1</v>
      </c>
      <c r="L2624" s="2" t="n">
        <v>0</v>
      </c>
      <c r="M2624" s="2" t="n">
        <v>0</v>
      </c>
    </row>
    <row r="2625" customFormat="false" ht="15" hidden="false" customHeight="false" outlineLevel="0" collapsed="false">
      <c r="A2625" s="2" t="s">
        <v>5520</v>
      </c>
      <c r="B2625" s="2" t="s">
        <v>5521</v>
      </c>
      <c r="C2625" s="2" t="n">
        <v>5</v>
      </c>
      <c r="D2625" s="2" t="s">
        <v>96</v>
      </c>
      <c r="E2625" s="2" t="s">
        <v>4951</v>
      </c>
      <c r="F2625" s="3" t="n">
        <v>45913.3805555556</v>
      </c>
      <c r="G2625" s="2" t="s">
        <v>5251</v>
      </c>
      <c r="H2625" s="4" t="n">
        <v>0.6369</v>
      </c>
      <c r="I2625" s="2" t="s">
        <v>23</v>
      </c>
      <c r="J2625" s="2" t="s">
        <v>19</v>
      </c>
      <c r="K2625" s="2" t="n">
        <v>7</v>
      </c>
      <c r="L2625" s="2" t="n">
        <v>0</v>
      </c>
      <c r="M2625" s="2" t="n">
        <v>0</v>
      </c>
    </row>
    <row r="2626" customFormat="false" ht="15" hidden="false" customHeight="false" outlineLevel="0" collapsed="false">
      <c r="A2626" s="2" t="s">
        <v>5522</v>
      </c>
      <c r="B2626" s="2" t="s">
        <v>5523</v>
      </c>
      <c r="C2626" s="2" t="n">
        <v>5</v>
      </c>
      <c r="D2626" s="2" t="s">
        <v>90</v>
      </c>
      <c r="E2626" s="2" t="s">
        <v>4951</v>
      </c>
      <c r="F2626" s="3" t="n">
        <v>45913.5194444444</v>
      </c>
      <c r="G2626" s="2" t="s">
        <v>5251</v>
      </c>
      <c r="H2626" s="4" t="n">
        <v>0.6249</v>
      </c>
      <c r="I2626" s="2" t="s">
        <v>23</v>
      </c>
      <c r="J2626" s="2" t="s">
        <v>37</v>
      </c>
      <c r="K2626" s="2" t="n">
        <v>3</v>
      </c>
      <c r="L2626" s="2" t="n">
        <v>0</v>
      </c>
      <c r="M2626" s="2" t="n">
        <v>0</v>
      </c>
    </row>
    <row r="2627" customFormat="false" ht="15" hidden="false" customHeight="false" outlineLevel="0" collapsed="false">
      <c r="A2627" s="2" t="s">
        <v>5524</v>
      </c>
      <c r="B2627" s="2" t="s">
        <v>5525</v>
      </c>
      <c r="C2627" s="2" t="n">
        <v>4</v>
      </c>
      <c r="D2627" s="2" t="s">
        <v>90</v>
      </c>
      <c r="E2627" s="2" t="s">
        <v>4951</v>
      </c>
      <c r="F2627" s="3" t="n">
        <v>45913.5819444444</v>
      </c>
      <c r="G2627" s="2" t="s">
        <v>5251</v>
      </c>
      <c r="H2627" s="4" t="n">
        <v>0.6249</v>
      </c>
      <c r="I2627" s="2" t="s">
        <v>23</v>
      </c>
      <c r="J2627" s="2" t="s">
        <v>37</v>
      </c>
      <c r="K2627" s="2" t="n">
        <v>6</v>
      </c>
      <c r="L2627" s="2" t="n">
        <v>0</v>
      </c>
      <c r="M2627" s="2" t="n">
        <v>0</v>
      </c>
    </row>
    <row r="2628" customFormat="false" ht="15" hidden="false" customHeight="false" outlineLevel="0" collapsed="false">
      <c r="A2628" s="2" t="s">
        <v>5526</v>
      </c>
      <c r="B2628" s="2" t="s">
        <v>5527</v>
      </c>
      <c r="C2628" s="2" t="n">
        <v>5</v>
      </c>
      <c r="D2628" s="2" t="s">
        <v>47</v>
      </c>
      <c r="E2628" s="2" t="s">
        <v>4951</v>
      </c>
      <c r="F2628" s="3" t="n">
        <v>45913.6340277778</v>
      </c>
      <c r="G2628" s="2" t="s">
        <v>5251</v>
      </c>
      <c r="H2628" s="4" t="n">
        <v>0.3089</v>
      </c>
      <c r="I2628" s="2" t="s">
        <v>23</v>
      </c>
      <c r="J2628" s="2" t="s">
        <v>19</v>
      </c>
      <c r="K2628" s="2" t="n">
        <v>3</v>
      </c>
      <c r="L2628" s="2" t="n">
        <v>0</v>
      </c>
      <c r="M2628" s="2" t="n">
        <v>0</v>
      </c>
    </row>
    <row r="2629" customFormat="false" ht="15" hidden="false" customHeight="false" outlineLevel="0" collapsed="false">
      <c r="A2629" s="2" t="s">
        <v>5528</v>
      </c>
      <c r="B2629" s="2" t="s">
        <v>5529</v>
      </c>
      <c r="C2629" s="2" t="n">
        <v>5</v>
      </c>
      <c r="D2629" s="2" t="s">
        <v>1004</v>
      </c>
      <c r="E2629" s="2" t="s">
        <v>4951</v>
      </c>
      <c r="F2629" s="3" t="n">
        <v>45913.6590277778</v>
      </c>
      <c r="G2629" s="2" t="s">
        <v>5251</v>
      </c>
      <c r="H2629" s="4" t="n">
        <v>0.6249</v>
      </c>
      <c r="I2629" s="2" t="s">
        <v>23</v>
      </c>
      <c r="J2629" s="2" t="s">
        <v>37</v>
      </c>
      <c r="K2629" s="2" t="n">
        <v>2</v>
      </c>
      <c r="L2629" s="2" t="n">
        <v>0</v>
      </c>
      <c r="M2629" s="2" t="n">
        <v>0</v>
      </c>
    </row>
    <row r="2630" customFormat="false" ht="15" hidden="false" customHeight="false" outlineLevel="0" collapsed="false">
      <c r="A2630" s="2" t="s">
        <v>5530</v>
      </c>
      <c r="B2630" s="2" t="s">
        <v>5531</v>
      </c>
      <c r="C2630" s="2" t="n">
        <v>5</v>
      </c>
      <c r="D2630" s="2" t="s">
        <v>93</v>
      </c>
      <c r="E2630" s="2" t="s">
        <v>4951</v>
      </c>
      <c r="F2630" s="3" t="n">
        <v>45913.6847222222</v>
      </c>
      <c r="G2630" s="2" t="s">
        <v>5251</v>
      </c>
      <c r="H2630" s="4" t="n">
        <v>0.8008</v>
      </c>
      <c r="I2630" s="2" t="s">
        <v>23</v>
      </c>
      <c r="J2630" s="2" t="s">
        <v>33</v>
      </c>
      <c r="K2630" s="2" t="n">
        <v>1</v>
      </c>
      <c r="L2630" s="2" t="n">
        <v>0</v>
      </c>
      <c r="M2630" s="2" t="n">
        <v>0</v>
      </c>
    </row>
    <row r="2631" customFormat="false" ht="15" hidden="false" customHeight="false" outlineLevel="0" collapsed="false">
      <c r="A2631" s="2" t="s">
        <v>5532</v>
      </c>
      <c r="B2631" s="2" t="s">
        <v>2677</v>
      </c>
      <c r="C2631" s="2" t="n">
        <v>5</v>
      </c>
      <c r="D2631" s="2" t="s">
        <v>90</v>
      </c>
      <c r="E2631" s="2" t="s">
        <v>4951</v>
      </c>
      <c r="F2631" s="3" t="n">
        <v>45913.7006944444</v>
      </c>
      <c r="G2631" s="2" t="s">
        <v>5251</v>
      </c>
      <c r="H2631" s="4" t="n">
        <v>0.6249</v>
      </c>
      <c r="I2631" s="2" t="s">
        <v>23</v>
      </c>
      <c r="J2631" s="2" t="s">
        <v>37</v>
      </c>
      <c r="K2631" s="2" t="n">
        <v>2</v>
      </c>
      <c r="L2631" s="2" t="n">
        <v>0</v>
      </c>
      <c r="M2631" s="2" t="n">
        <v>0</v>
      </c>
    </row>
    <row r="2632" customFormat="false" ht="15" hidden="false" customHeight="false" outlineLevel="0" collapsed="false">
      <c r="A2632" s="2" t="s">
        <v>5533</v>
      </c>
      <c r="B2632" s="2" t="s">
        <v>5534</v>
      </c>
      <c r="C2632" s="2" t="n">
        <v>4</v>
      </c>
      <c r="D2632" s="2" t="s">
        <v>22</v>
      </c>
      <c r="E2632" s="2" t="s">
        <v>4951</v>
      </c>
      <c r="F2632" s="3" t="n">
        <v>45913.8020833333</v>
      </c>
      <c r="G2632" s="2" t="s">
        <v>5251</v>
      </c>
      <c r="H2632" s="4" t="n">
        <v>0.2023</v>
      </c>
      <c r="I2632" s="2" t="s">
        <v>23</v>
      </c>
      <c r="J2632" s="2" t="s">
        <v>19</v>
      </c>
      <c r="K2632" s="2" t="n">
        <v>1</v>
      </c>
      <c r="L2632" s="2" t="n">
        <v>0</v>
      </c>
      <c r="M2632" s="2" t="n">
        <v>0</v>
      </c>
    </row>
    <row r="2633" customFormat="false" ht="15" hidden="false" customHeight="false" outlineLevel="0" collapsed="false">
      <c r="A2633" s="2" t="s">
        <v>5535</v>
      </c>
      <c r="B2633" s="2" t="s">
        <v>5536</v>
      </c>
      <c r="C2633" s="2" t="n">
        <v>4</v>
      </c>
      <c r="D2633" s="2" t="s">
        <v>52</v>
      </c>
      <c r="E2633" s="2" t="s">
        <v>4951</v>
      </c>
      <c r="F2633" s="3" t="n">
        <v>45913.9013888889</v>
      </c>
      <c r="G2633" s="2" t="s">
        <v>5251</v>
      </c>
      <c r="H2633" s="4" t="n">
        <v>0.6369</v>
      </c>
      <c r="I2633" s="2" t="s">
        <v>23</v>
      </c>
      <c r="J2633" s="2" t="s">
        <v>19</v>
      </c>
      <c r="K2633" s="2" t="n">
        <v>0</v>
      </c>
      <c r="L2633" s="2" t="n">
        <v>0</v>
      </c>
      <c r="M2633" s="2" t="n">
        <v>0</v>
      </c>
    </row>
    <row r="2634" customFormat="false" ht="15" hidden="false" customHeight="false" outlineLevel="0" collapsed="false">
      <c r="A2634" s="2" t="s">
        <v>5537</v>
      </c>
      <c r="B2634" s="2" t="s">
        <v>5538</v>
      </c>
      <c r="C2634" s="2" t="n">
        <v>5</v>
      </c>
      <c r="D2634" s="2" t="s">
        <v>15</v>
      </c>
      <c r="E2634" s="2" t="s">
        <v>4951</v>
      </c>
      <c r="F2634" s="3" t="n">
        <v>45913.9340277778</v>
      </c>
      <c r="G2634" s="2" t="s">
        <v>5251</v>
      </c>
      <c r="H2634" s="4" t="n">
        <v>0</v>
      </c>
      <c r="I2634" s="2" t="s">
        <v>18</v>
      </c>
      <c r="J2634" s="2" t="s">
        <v>19</v>
      </c>
      <c r="K2634" s="2" t="n">
        <v>11</v>
      </c>
      <c r="L2634" s="2" t="n">
        <v>0</v>
      </c>
      <c r="M2634" s="2" t="n">
        <v>0</v>
      </c>
    </row>
    <row r="2635" customFormat="false" ht="15" hidden="false" customHeight="false" outlineLevel="0" collapsed="false">
      <c r="A2635" s="2" t="s">
        <v>5539</v>
      </c>
      <c r="B2635" s="2" t="s">
        <v>5540</v>
      </c>
      <c r="C2635" s="2" t="n">
        <v>1</v>
      </c>
      <c r="D2635" s="2" t="s">
        <v>5541</v>
      </c>
      <c r="E2635" s="2" t="s">
        <v>4951</v>
      </c>
      <c r="F2635" s="3" t="n">
        <v>45914.3673611111</v>
      </c>
      <c r="G2635" s="2" t="s">
        <v>5251</v>
      </c>
      <c r="H2635" s="4" t="n">
        <v>-0.3089</v>
      </c>
      <c r="I2635" s="2" t="s">
        <v>84</v>
      </c>
      <c r="J2635" s="2" t="s">
        <v>165</v>
      </c>
      <c r="K2635" s="2" t="n">
        <v>1</v>
      </c>
      <c r="L2635" s="2" t="n">
        <v>0</v>
      </c>
      <c r="M2635" s="2" t="n">
        <v>0</v>
      </c>
    </row>
    <row r="2636" customFormat="false" ht="15" hidden="false" customHeight="false" outlineLevel="0" collapsed="false">
      <c r="A2636" s="2" t="s">
        <v>5542</v>
      </c>
      <c r="B2636" s="2" t="s">
        <v>5543</v>
      </c>
      <c r="C2636" s="2" t="n">
        <v>5</v>
      </c>
      <c r="D2636" s="2" t="s">
        <v>15</v>
      </c>
      <c r="E2636" s="2" t="s">
        <v>4951</v>
      </c>
      <c r="F2636" s="3" t="n">
        <v>45914.3798611111</v>
      </c>
      <c r="G2636" s="2" t="s">
        <v>5251</v>
      </c>
      <c r="H2636" s="4" t="n">
        <v>0</v>
      </c>
      <c r="I2636" s="2" t="s">
        <v>18</v>
      </c>
      <c r="J2636" s="2" t="s">
        <v>19</v>
      </c>
      <c r="K2636" s="2" t="n">
        <v>1</v>
      </c>
      <c r="L2636" s="2" t="n">
        <v>0</v>
      </c>
      <c r="M2636" s="2" t="n">
        <v>0</v>
      </c>
    </row>
    <row r="2637" customFormat="false" ht="15" hidden="false" customHeight="false" outlineLevel="0" collapsed="false">
      <c r="A2637" s="2" t="s">
        <v>5544</v>
      </c>
      <c r="B2637" s="2" t="s">
        <v>5545</v>
      </c>
      <c r="C2637" s="2" t="n">
        <v>5</v>
      </c>
      <c r="D2637" s="2" t="s">
        <v>96</v>
      </c>
      <c r="E2637" s="2" t="s">
        <v>4951</v>
      </c>
      <c r="F2637" s="3" t="n">
        <v>45914.5027777778</v>
      </c>
      <c r="G2637" s="2" t="s">
        <v>5251</v>
      </c>
      <c r="H2637" s="4" t="n">
        <v>0.6369</v>
      </c>
      <c r="I2637" s="2" t="s">
        <v>23</v>
      </c>
      <c r="J2637" s="2" t="s">
        <v>19</v>
      </c>
      <c r="K2637" s="2" t="n">
        <v>1</v>
      </c>
      <c r="L2637" s="2" t="n">
        <v>0</v>
      </c>
      <c r="M2637" s="2" t="n">
        <v>0</v>
      </c>
    </row>
    <row r="2638" customFormat="false" ht="15" hidden="false" customHeight="false" outlineLevel="0" collapsed="false">
      <c r="A2638" s="2" t="s">
        <v>5546</v>
      </c>
      <c r="B2638" s="2" t="s">
        <v>5547</v>
      </c>
      <c r="C2638" s="2" t="n">
        <v>2</v>
      </c>
      <c r="D2638" s="2" t="s">
        <v>5098</v>
      </c>
      <c r="E2638" s="2" t="s">
        <v>4951</v>
      </c>
      <c r="F2638" s="3" t="n">
        <v>45914.55</v>
      </c>
      <c r="G2638" s="2" t="s">
        <v>5251</v>
      </c>
      <c r="H2638" s="4" t="n">
        <v>0</v>
      </c>
      <c r="I2638" s="2" t="s">
        <v>18</v>
      </c>
      <c r="J2638" s="2" t="s">
        <v>165</v>
      </c>
      <c r="K2638" s="2" t="n">
        <v>0</v>
      </c>
      <c r="L2638" s="2" t="n">
        <v>0</v>
      </c>
      <c r="M2638" s="2" t="n">
        <v>0</v>
      </c>
    </row>
    <row r="2639" customFormat="false" ht="15" hidden="false" customHeight="false" outlineLevel="0" collapsed="false">
      <c r="A2639" s="2" t="s">
        <v>5548</v>
      </c>
      <c r="B2639" s="2" t="s">
        <v>5549</v>
      </c>
      <c r="C2639" s="2" t="n">
        <v>4</v>
      </c>
      <c r="D2639" s="2" t="s">
        <v>47</v>
      </c>
      <c r="E2639" s="2" t="s">
        <v>4951</v>
      </c>
      <c r="F2639" s="3" t="n">
        <v>45914.6395833333</v>
      </c>
      <c r="G2639" s="2" t="s">
        <v>5251</v>
      </c>
      <c r="H2639" s="4" t="n">
        <v>0.3089</v>
      </c>
      <c r="I2639" s="2" t="s">
        <v>23</v>
      </c>
      <c r="J2639" s="2" t="s">
        <v>19</v>
      </c>
      <c r="K2639" s="2" t="n">
        <v>2</v>
      </c>
      <c r="L2639" s="2" t="n">
        <v>0</v>
      </c>
      <c r="M2639" s="2" t="n">
        <v>0</v>
      </c>
    </row>
    <row r="2640" customFormat="false" ht="15" hidden="false" customHeight="false" outlineLevel="0" collapsed="false">
      <c r="A2640" s="2" t="s">
        <v>5550</v>
      </c>
      <c r="B2640" s="2" t="s">
        <v>5551</v>
      </c>
      <c r="C2640" s="2" t="n">
        <v>3</v>
      </c>
      <c r="D2640" s="2" t="s">
        <v>863</v>
      </c>
      <c r="E2640" s="2" t="s">
        <v>4951</v>
      </c>
      <c r="F2640" s="3" t="n">
        <v>45914.7270833333</v>
      </c>
      <c r="G2640" s="2" t="s">
        <v>5251</v>
      </c>
      <c r="H2640" s="4" t="n">
        <v>-0.092</v>
      </c>
      <c r="I2640" s="2" t="s">
        <v>84</v>
      </c>
      <c r="J2640" s="2" t="s">
        <v>19</v>
      </c>
      <c r="K2640" s="2" t="n">
        <v>5</v>
      </c>
      <c r="L2640" s="2" t="n">
        <v>0</v>
      </c>
      <c r="M2640" s="2" t="n">
        <v>0</v>
      </c>
    </row>
    <row r="2641" customFormat="false" ht="15" hidden="false" customHeight="false" outlineLevel="0" collapsed="false">
      <c r="A2641" s="2" t="s">
        <v>5552</v>
      </c>
      <c r="B2641" s="2" t="s">
        <v>5553</v>
      </c>
      <c r="C2641" s="2" t="n">
        <v>5</v>
      </c>
      <c r="D2641" s="2" t="s">
        <v>130</v>
      </c>
      <c r="E2641" s="2" t="s">
        <v>4951</v>
      </c>
      <c r="F2641" s="3" t="n">
        <v>45914.7833333333</v>
      </c>
      <c r="G2641" s="2" t="s">
        <v>5251</v>
      </c>
      <c r="H2641" s="4" t="n">
        <v>0.6369</v>
      </c>
      <c r="I2641" s="2" t="s">
        <v>23</v>
      </c>
      <c r="J2641" s="2" t="s">
        <v>19</v>
      </c>
      <c r="K2641" s="2" t="n">
        <v>2</v>
      </c>
      <c r="L2641" s="2" t="n">
        <v>0</v>
      </c>
      <c r="M2641" s="2" t="n">
        <v>0</v>
      </c>
    </row>
    <row r="2642" customFormat="false" ht="15" hidden="false" customHeight="false" outlineLevel="0" collapsed="false">
      <c r="A2642" s="2" t="s">
        <v>5554</v>
      </c>
      <c r="B2642" s="2" t="s">
        <v>5555</v>
      </c>
      <c r="C2642" s="2" t="n">
        <v>3</v>
      </c>
      <c r="D2642" s="2" t="s">
        <v>3517</v>
      </c>
      <c r="E2642" s="2" t="s">
        <v>4951</v>
      </c>
      <c r="F2642" s="3" t="n">
        <v>45914.7965277778</v>
      </c>
      <c r="G2642" s="2" t="s">
        <v>5251</v>
      </c>
      <c r="H2642" s="4" t="n">
        <v>0.5859</v>
      </c>
      <c r="I2642" s="2" t="s">
        <v>23</v>
      </c>
      <c r="J2642" s="2" t="s">
        <v>37</v>
      </c>
      <c r="K2642" s="2" t="n">
        <v>4</v>
      </c>
      <c r="L2642" s="2" t="n">
        <v>0</v>
      </c>
      <c r="M2642" s="2" t="n">
        <v>0</v>
      </c>
    </row>
    <row r="2643" customFormat="false" ht="15" hidden="false" customHeight="false" outlineLevel="0" collapsed="false">
      <c r="A2643" s="2" t="s">
        <v>5556</v>
      </c>
      <c r="B2643" s="2" t="s">
        <v>5557</v>
      </c>
      <c r="C2643" s="2" t="n">
        <v>2</v>
      </c>
      <c r="D2643" s="2" t="s">
        <v>5558</v>
      </c>
      <c r="E2643" s="2" t="s">
        <v>4951</v>
      </c>
      <c r="F2643" s="3" t="n">
        <v>45914.9729166667</v>
      </c>
      <c r="G2643" s="2" t="s">
        <v>5251</v>
      </c>
      <c r="H2643" s="4" t="n">
        <v>0.2023</v>
      </c>
      <c r="I2643" s="2" t="s">
        <v>23</v>
      </c>
      <c r="J2643" s="2" t="s">
        <v>165</v>
      </c>
      <c r="K2643" s="2" t="n">
        <v>2</v>
      </c>
      <c r="L2643" s="2" t="n">
        <v>0</v>
      </c>
      <c r="M2643" s="2" t="n">
        <v>0</v>
      </c>
    </row>
    <row r="2644" customFormat="false" ht="15" hidden="false" customHeight="false" outlineLevel="0" collapsed="false">
      <c r="A2644" s="2" t="s">
        <v>5559</v>
      </c>
      <c r="B2644" s="2" t="s">
        <v>5560</v>
      </c>
      <c r="C2644" s="2" t="n">
        <v>5</v>
      </c>
      <c r="D2644" s="2" t="s">
        <v>47</v>
      </c>
      <c r="E2644" s="2" t="s">
        <v>4951</v>
      </c>
      <c r="F2644" s="3" t="n">
        <v>45915.0388888889</v>
      </c>
      <c r="G2644" s="2" t="s">
        <v>5251</v>
      </c>
      <c r="H2644" s="4" t="n">
        <v>0.3089</v>
      </c>
      <c r="I2644" s="2" t="s">
        <v>23</v>
      </c>
      <c r="J2644" s="2" t="s">
        <v>19</v>
      </c>
      <c r="K2644" s="2" t="n">
        <v>2</v>
      </c>
      <c r="L2644" s="2" t="n">
        <v>0</v>
      </c>
      <c r="M2644" s="2" t="n">
        <v>0</v>
      </c>
    </row>
    <row r="2645" customFormat="false" ht="15" hidden="false" customHeight="false" outlineLevel="0" collapsed="false">
      <c r="A2645" s="2" t="s">
        <v>5561</v>
      </c>
      <c r="B2645" s="2" t="s">
        <v>5562</v>
      </c>
      <c r="C2645" s="2" t="n">
        <v>5</v>
      </c>
      <c r="D2645" s="2" t="s">
        <v>52</v>
      </c>
      <c r="E2645" s="2" t="s">
        <v>4951</v>
      </c>
      <c r="F2645" s="3" t="n">
        <v>45915.1097222222</v>
      </c>
      <c r="G2645" s="2" t="s">
        <v>5251</v>
      </c>
      <c r="H2645" s="4" t="n">
        <v>0.6369</v>
      </c>
      <c r="I2645" s="2" t="s">
        <v>23</v>
      </c>
      <c r="J2645" s="2" t="s">
        <v>19</v>
      </c>
      <c r="K2645" s="2" t="n">
        <v>0</v>
      </c>
      <c r="L2645" s="2" t="n">
        <v>0</v>
      </c>
      <c r="M2645" s="2" t="n">
        <v>0</v>
      </c>
    </row>
    <row r="2646" customFormat="false" ht="15" hidden="false" customHeight="false" outlineLevel="0" collapsed="false">
      <c r="A2646" s="2" t="s">
        <v>5563</v>
      </c>
      <c r="B2646" s="2" t="s">
        <v>5564</v>
      </c>
      <c r="C2646" s="2" t="n">
        <v>2</v>
      </c>
      <c r="D2646" s="2" t="s">
        <v>455</v>
      </c>
      <c r="E2646" s="2" t="s">
        <v>4951</v>
      </c>
      <c r="F2646" s="3" t="n">
        <v>45915.2305555556</v>
      </c>
      <c r="G2646" s="2" t="s">
        <v>5251</v>
      </c>
      <c r="H2646" s="4" t="n">
        <v>-0.2263</v>
      </c>
      <c r="I2646" s="2" t="s">
        <v>84</v>
      </c>
      <c r="J2646" s="2" t="s">
        <v>165</v>
      </c>
      <c r="K2646" s="2" t="n">
        <v>0</v>
      </c>
      <c r="L2646" s="2" t="n">
        <v>0</v>
      </c>
      <c r="M2646" s="2" t="n">
        <v>0</v>
      </c>
    </row>
    <row r="2647" customFormat="false" ht="15" hidden="false" customHeight="false" outlineLevel="0" collapsed="false">
      <c r="A2647" s="2" t="s">
        <v>5565</v>
      </c>
      <c r="B2647" s="2" t="s">
        <v>5566</v>
      </c>
      <c r="C2647" s="2" t="n">
        <v>3</v>
      </c>
      <c r="D2647" s="2" t="s">
        <v>22</v>
      </c>
      <c r="E2647" s="2" t="s">
        <v>4951</v>
      </c>
      <c r="F2647" s="3" t="n">
        <v>45915.3541666667</v>
      </c>
      <c r="G2647" s="2" t="s">
        <v>5251</v>
      </c>
      <c r="H2647" s="4" t="n">
        <v>0.2023</v>
      </c>
      <c r="I2647" s="2" t="s">
        <v>23</v>
      </c>
      <c r="J2647" s="2" t="s">
        <v>19</v>
      </c>
      <c r="K2647" s="2" t="n">
        <v>4</v>
      </c>
      <c r="L2647" s="2" t="n">
        <v>1</v>
      </c>
      <c r="M2647" s="2" t="n">
        <v>0</v>
      </c>
    </row>
    <row r="2648" customFormat="false" ht="15" hidden="false" customHeight="false" outlineLevel="0" collapsed="false">
      <c r="A2648" s="2" t="s">
        <v>5567</v>
      </c>
      <c r="B2648" s="2" t="s">
        <v>5568</v>
      </c>
      <c r="C2648" s="2" t="n">
        <v>5</v>
      </c>
      <c r="D2648" s="2" t="s">
        <v>15</v>
      </c>
      <c r="E2648" s="2" t="s">
        <v>4951</v>
      </c>
      <c r="F2648" s="3" t="n">
        <v>45915.4638888889</v>
      </c>
      <c r="G2648" s="2" t="s">
        <v>5251</v>
      </c>
      <c r="H2648" s="4" t="n">
        <v>0</v>
      </c>
      <c r="I2648" s="2" t="s">
        <v>18</v>
      </c>
      <c r="J2648" s="2" t="s">
        <v>19</v>
      </c>
      <c r="K2648" s="2" t="n">
        <v>6</v>
      </c>
      <c r="L2648" s="2" t="n">
        <v>0</v>
      </c>
      <c r="M2648" s="2" t="n">
        <v>0</v>
      </c>
    </row>
    <row r="2649" customFormat="false" ht="15" hidden="false" customHeight="false" outlineLevel="0" collapsed="false">
      <c r="A2649" s="2" t="s">
        <v>5569</v>
      </c>
      <c r="B2649" s="2" t="s">
        <v>5570</v>
      </c>
      <c r="C2649" s="2" t="n">
        <v>5</v>
      </c>
      <c r="D2649" s="2" t="s">
        <v>639</v>
      </c>
      <c r="E2649" s="2" t="s">
        <v>4951</v>
      </c>
      <c r="F2649" s="3" t="n">
        <v>45915.5222222222</v>
      </c>
      <c r="G2649" s="2" t="s">
        <v>5251</v>
      </c>
      <c r="H2649" s="4" t="n">
        <v>0.7088</v>
      </c>
      <c r="I2649" s="2" t="s">
        <v>23</v>
      </c>
      <c r="J2649" s="2" t="s">
        <v>19</v>
      </c>
      <c r="K2649" s="2" t="n">
        <v>1</v>
      </c>
      <c r="L2649" s="2" t="n">
        <v>0</v>
      </c>
      <c r="M2649" s="2" t="n">
        <v>0</v>
      </c>
    </row>
    <row r="2650" customFormat="false" ht="15" hidden="false" customHeight="false" outlineLevel="0" collapsed="false">
      <c r="A2650" s="2" t="s">
        <v>5571</v>
      </c>
      <c r="B2650" s="2" t="s">
        <v>5572</v>
      </c>
      <c r="C2650" s="2" t="n">
        <v>3</v>
      </c>
      <c r="D2650" s="2" t="s">
        <v>32</v>
      </c>
      <c r="E2650" s="2" t="s">
        <v>4951</v>
      </c>
      <c r="F2650" s="3" t="n">
        <v>45915.5354166667</v>
      </c>
      <c r="G2650" s="2" t="s">
        <v>5251</v>
      </c>
      <c r="H2650" s="4" t="n">
        <v>0.2023</v>
      </c>
      <c r="I2650" s="2" t="s">
        <v>23</v>
      </c>
      <c r="J2650" s="2" t="s">
        <v>33</v>
      </c>
      <c r="K2650" s="2" t="n">
        <v>2</v>
      </c>
      <c r="L2650" s="2" t="n">
        <v>1</v>
      </c>
      <c r="M2650" s="2" t="n">
        <v>0</v>
      </c>
    </row>
    <row r="2651" customFormat="false" ht="15" hidden="false" customHeight="false" outlineLevel="0" collapsed="false">
      <c r="A2651" s="2" t="s">
        <v>5573</v>
      </c>
      <c r="B2651" s="2" t="s">
        <v>5574</v>
      </c>
      <c r="C2651" s="2" t="n">
        <v>5</v>
      </c>
      <c r="D2651" s="2" t="s">
        <v>40</v>
      </c>
      <c r="E2651" s="2" t="s">
        <v>4951</v>
      </c>
      <c r="F2651" s="3" t="n">
        <v>45915.5590277778</v>
      </c>
      <c r="G2651" s="2" t="s">
        <v>5251</v>
      </c>
      <c r="H2651" s="4" t="n">
        <v>0.4019</v>
      </c>
      <c r="I2651" s="2" t="s">
        <v>23</v>
      </c>
      <c r="J2651" s="2" t="s">
        <v>33</v>
      </c>
      <c r="K2651" s="2" t="n">
        <v>4</v>
      </c>
      <c r="L2651" s="2" t="n">
        <v>0</v>
      </c>
      <c r="M2651" s="2" t="n">
        <v>0</v>
      </c>
    </row>
    <row r="2652" customFormat="false" ht="15" hidden="false" customHeight="false" outlineLevel="0" collapsed="false">
      <c r="A2652" s="2" t="s">
        <v>5575</v>
      </c>
      <c r="B2652" s="2" t="s">
        <v>5576</v>
      </c>
      <c r="C2652" s="2" t="n">
        <v>1</v>
      </c>
      <c r="D2652" s="2" t="s">
        <v>295</v>
      </c>
      <c r="E2652" s="2" t="s">
        <v>4951</v>
      </c>
      <c r="F2652" s="3" t="n">
        <v>45915.6583333333</v>
      </c>
      <c r="G2652" s="2" t="s">
        <v>5251</v>
      </c>
      <c r="H2652" s="4" t="n">
        <v>-0.5023</v>
      </c>
      <c r="I2652" s="2" t="s">
        <v>84</v>
      </c>
      <c r="J2652" s="2" t="s">
        <v>33</v>
      </c>
      <c r="K2652" s="2" t="n">
        <v>8</v>
      </c>
      <c r="L2652" s="2" t="n">
        <v>1</v>
      </c>
      <c r="M2652" s="2" t="n">
        <v>0</v>
      </c>
    </row>
    <row r="2653" customFormat="false" ht="15" hidden="false" customHeight="false" outlineLevel="0" collapsed="false">
      <c r="A2653" s="2" t="s">
        <v>5577</v>
      </c>
      <c r="B2653" s="2" t="s">
        <v>5578</v>
      </c>
      <c r="C2653" s="2" t="n">
        <v>4</v>
      </c>
      <c r="D2653" s="2" t="s">
        <v>52</v>
      </c>
      <c r="E2653" s="2" t="s">
        <v>4951</v>
      </c>
      <c r="F2653" s="3" t="n">
        <v>45915.8097222222</v>
      </c>
      <c r="G2653" s="2" t="s">
        <v>5251</v>
      </c>
      <c r="H2653" s="4" t="n">
        <v>0.6369</v>
      </c>
      <c r="I2653" s="2" t="s">
        <v>23</v>
      </c>
      <c r="J2653" s="2" t="s">
        <v>19</v>
      </c>
      <c r="K2653" s="2" t="n">
        <v>4</v>
      </c>
      <c r="L2653" s="2" t="n">
        <v>0</v>
      </c>
      <c r="M2653" s="2" t="n">
        <v>0</v>
      </c>
    </row>
    <row r="2654" customFormat="false" ht="15" hidden="false" customHeight="false" outlineLevel="0" collapsed="false">
      <c r="A2654" s="2" t="s">
        <v>5579</v>
      </c>
      <c r="B2654" s="2" t="s">
        <v>5580</v>
      </c>
      <c r="C2654" s="2" t="n">
        <v>4</v>
      </c>
      <c r="D2654" s="2" t="s">
        <v>52</v>
      </c>
      <c r="E2654" s="2" t="s">
        <v>4951</v>
      </c>
      <c r="F2654" s="3" t="n">
        <v>45916.1</v>
      </c>
      <c r="G2654" s="2" t="s">
        <v>5251</v>
      </c>
      <c r="H2654" s="4" t="n">
        <v>0.6369</v>
      </c>
      <c r="I2654" s="2" t="s">
        <v>23</v>
      </c>
      <c r="J2654" s="2" t="s">
        <v>19</v>
      </c>
      <c r="K2654" s="2" t="n">
        <v>3</v>
      </c>
      <c r="L2654" s="2" t="n">
        <v>0</v>
      </c>
      <c r="M2654" s="2" t="n">
        <v>0</v>
      </c>
    </row>
    <row r="2655" customFormat="false" ht="15" hidden="false" customHeight="false" outlineLevel="0" collapsed="false">
      <c r="A2655" s="2" t="s">
        <v>5581</v>
      </c>
      <c r="B2655" s="2" t="s">
        <v>5582</v>
      </c>
      <c r="C2655" s="2" t="n">
        <v>2</v>
      </c>
      <c r="D2655" s="2" t="s">
        <v>1192</v>
      </c>
      <c r="E2655" s="2" t="s">
        <v>4951</v>
      </c>
      <c r="F2655" s="3" t="n">
        <v>45916.1131944444</v>
      </c>
      <c r="G2655" s="2" t="s">
        <v>5251</v>
      </c>
      <c r="H2655" s="4" t="n">
        <v>0</v>
      </c>
      <c r="I2655" s="2" t="s">
        <v>18</v>
      </c>
      <c r="J2655" s="2" t="s">
        <v>165</v>
      </c>
      <c r="K2655" s="2" t="n">
        <v>4</v>
      </c>
      <c r="L2655" s="2" t="n">
        <v>0</v>
      </c>
      <c r="M2655" s="2" t="n">
        <v>0</v>
      </c>
    </row>
    <row r="2656" customFormat="false" ht="15" hidden="false" customHeight="false" outlineLevel="0" collapsed="false">
      <c r="A2656" s="2" t="s">
        <v>5583</v>
      </c>
      <c r="B2656" s="2" t="s">
        <v>5584</v>
      </c>
      <c r="C2656" s="2" t="n">
        <v>1</v>
      </c>
      <c r="D2656" s="2" t="s">
        <v>661</v>
      </c>
      <c r="E2656" s="2" t="s">
        <v>4951</v>
      </c>
      <c r="F2656" s="3" t="n">
        <v>45916.2868055556</v>
      </c>
      <c r="G2656" s="2" t="s">
        <v>5251</v>
      </c>
      <c r="H2656" s="4" t="n">
        <v>0</v>
      </c>
      <c r="I2656" s="2" t="s">
        <v>18</v>
      </c>
      <c r="J2656" s="2" t="s">
        <v>59</v>
      </c>
      <c r="K2656" s="2" t="n">
        <v>4</v>
      </c>
      <c r="L2656" s="2" t="n">
        <v>1</v>
      </c>
      <c r="M2656" s="2" t="n">
        <v>0</v>
      </c>
    </row>
    <row r="2657" customFormat="false" ht="15" hidden="false" customHeight="false" outlineLevel="0" collapsed="false">
      <c r="A2657" s="2" t="s">
        <v>5585</v>
      </c>
      <c r="B2657" s="2" t="s">
        <v>5586</v>
      </c>
      <c r="C2657" s="2" t="n">
        <v>4</v>
      </c>
      <c r="D2657" s="2" t="s">
        <v>1622</v>
      </c>
      <c r="E2657" s="2" t="s">
        <v>4951</v>
      </c>
      <c r="F2657" s="3" t="n">
        <v>45916.3652777778</v>
      </c>
      <c r="G2657" s="2" t="s">
        <v>5251</v>
      </c>
      <c r="H2657" s="4" t="n">
        <v>0.8555</v>
      </c>
      <c r="I2657" s="2" t="s">
        <v>23</v>
      </c>
      <c r="J2657" s="2" t="s">
        <v>19</v>
      </c>
      <c r="K2657" s="2" t="n">
        <v>3</v>
      </c>
      <c r="L2657" s="2" t="n">
        <v>0</v>
      </c>
      <c r="M2657" s="2" t="n">
        <v>0</v>
      </c>
    </row>
    <row r="2658" customFormat="false" ht="15" hidden="false" customHeight="false" outlineLevel="0" collapsed="false">
      <c r="A2658" s="2" t="s">
        <v>5587</v>
      </c>
      <c r="B2658" s="2" t="s">
        <v>5588</v>
      </c>
      <c r="C2658" s="2" t="n">
        <v>5</v>
      </c>
      <c r="D2658" s="2" t="s">
        <v>121</v>
      </c>
      <c r="E2658" s="2" t="s">
        <v>4951</v>
      </c>
      <c r="F2658" s="3" t="n">
        <v>45916.4236111111</v>
      </c>
      <c r="G2658" s="2" t="s">
        <v>5251</v>
      </c>
      <c r="H2658" s="4" t="n">
        <v>0.607</v>
      </c>
      <c r="I2658" s="2" t="s">
        <v>23</v>
      </c>
      <c r="J2658" s="2" t="s">
        <v>33</v>
      </c>
      <c r="K2658" s="2" t="n">
        <v>3</v>
      </c>
      <c r="L2658" s="2" t="n">
        <v>0</v>
      </c>
      <c r="M2658" s="2" t="n">
        <v>0</v>
      </c>
    </row>
    <row r="2659" customFormat="false" ht="15" hidden="false" customHeight="false" outlineLevel="0" collapsed="false">
      <c r="A2659" s="2" t="s">
        <v>5589</v>
      </c>
      <c r="B2659" s="2" t="s">
        <v>5590</v>
      </c>
      <c r="C2659" s="2" t="n">
        <v>5</v>
      </c>
      <c r="D2659" s="2" t="s">
        <v>76</v>
      </c>
      <c r="E2659" s="2" t="s">
        <v>4951</v>
      </c>
      <c r="F2659" s="3" t="n">
        <v>45917.1972222222</v>
      </c>
      <c r="G2659" s="2" t="s">
        <v>5251</v>
      </c>
      <c r="H2659" s="4" t="n">
        <v>0.607</v>
      </c>
      <c r="I2659" s="2" t="s">
        <v>23</v>
      </c>
      <c r="J2659" s="2" t="s">
        <v>33</v>
      </c>
      <c r="K2659" s="2" t="n">
        <v>13</v>
      </c>
      <c r="L2659" s="2" t="n">
        <v>0</v>
      </c>
      <c r="M2659" s="2" t="n">
        <v>0</v>
      </c>
    </row>
    <row r="2660" customFormat="false" ht="15" hidden="false" customHeight="false" outlineLevel="0" collapsed="false">
      <c r="A2660" s="2" t="s">
        <v>5591</v>
      </c>
      <c r="B2660" s="2" t="s">
        <v>5592</v>
      </c>
      <c r="C2660" s="2" t="n">
        <v>5</v>
      </c>
      <c r="D2660" s="2" t="s">
        <v>127</v>
      </c>
      <c r="E2660" s="2" t="s">
        <v>4951</v>
      </c>
      <c r="F2660" s="3" t="n">
        <v>45917.36875</v>
      </c>
      <c r="G2660" s="2" t="s">
        <v>5251</v>
      </c>
      <c r="H2660" s="4" t="n">
        <v>0.9359</v>
      </c>
      <c r="I2660" s="2" t="s">
        <v>23</v>
      </c>
      <c r="J2660" s="2" t="s">
        <v>37</v>
      </c>
      <c r="K2660" s="2" t="n">
        <v>2</v>
      </c>
      <c r="L2660" s="2" t="n">
        <v>0</v>
      </c>
      <c r="M2660" s="2" t="n">
        <v>0</v>
      </c>
    </row>
    <row r="2661" customFormat="false" ht="15" hidden="false" customHeight="false" outlineLevel="0" collapsed="false">
      <c r="A2661" s="2" t="s">
        <v>5593</v>
      </c>
      <c r="B2661" s="2" t="s">
        <v>5594</v>
      </c>
      <c r="C2661" s="2" t="n">
        <v>3</v>
      </c>
      <c r="D2661" s="2" t="s">
        <v>22</v>
      </c>
      <c r="E2661" s="2" t="s">
        <v>4951</v>
      </c>
      <c r="F2661" s="3" t="n">
        <v>45917.3715277778</v>
      </c>
      <c r="G2661" s="2" t="s">
        <v>5251</v>
      </c>
      <c r="H2661" s="4" t="n">
        <v>0.2023</v>
      </c>
      <c r="I2661" s="2" t="s">
        <v>23</v>
      </c>
      <c r="J2661" s="2" t="s">
        <v>19</v>
      </c>
      <c r="K2661" s="2" t="n">
        <v>0</v>
      </c>
      <c r="L2661" s="2" t="n">
        <v>0</v>
      </c>
      <c r="M2661" s="2" t="n">
        <v>0</v>
      </c>
    </row>
    <row r="2662" customFormat="false" ht="15" hidden="false" customHeight="false" outlineLevel="0" collapsed="false">
      <c r="A2662" s="2" t="s">
        <v>5595</v>
      </c>
      <c r="B2662" s="2" t="s">
        <v>5596</v>
      </c>
      <c r="C2662" s="2" t="n">
        <v>5</v>
      </c>
      <c r="D2662" s="2" t="s">
        <v>62</v>
      </c>
      <c r="E2662" s="2" t="s">
        <v>4951</v>
      </c>
      <c r="F2662" s="3" t="n">
        <v>45917.4076388889</v>
      </c>
      <c r="G2662" s="2" t="s">
        <v>5251</v>
      </c>
      <c r="H2662" s="4" t="n">
        <v>0.7088</v>
      </c>
      <c r="I2662" s="2" t="s">
        <v>23</v>
      </c>
      <c r="J2662" s="2" t="s">
        <v>19</v>
      </c>
      <c r="K2662" s="2" t="n">
        <v>0</v>
      </c>
      <c r="L2662" s="2" t="n">
        <v>0</v>
      </c>
      <c r="M2662" s="2" t="n">
        <v>0</v>
      </c>
    </row>
    <row r="2663" customFormat="false" ht="15" hidden="false" customHeight="false" outlineLevel="0" collapsed="false">
      <c r="A2663" s="2" t="s">
        <v>5597</v>
      </c>
      <c r="B2663" s="2" t="s">
        <v>5598</v>
      </c>
      <c r="C2663" s="2" t="n">
        <v>5</v>
      </c>
      <c r="D2663" s="2" t="s">
        <v>90</v>
      </c>
      <c r="E2663" s="2" t="s">
        <v>4951</v>
      </c>
      <c r="F2663" s="3" t="n">
        <v>45917.4777777778</v>
      </c>
      <c r="G2663" s="2" t="s">
        <v>5251</v>
      </c>
      <c r="H2663" s="4" t="n">
        <v>0.6249</v>
      </c>
      <c r="I2663" s="2" t="s">
        <v>23</v>
      </c>
      <c r="J2663" s="2" t="s">
        <v>37</v>
      </c>
      <c r="K2663" s="2" t="n">
        <v>0</v>
      </c>
      <c r="L2663" s="2" t="n">
        <v>0</v>
      </c>
      <c r="M2663" s="2" t="n">
        <v>0</v>
      </c>
    </row>
    <row r="2664" customFormat="false" ht="15" hidden="false" customHeight="false" outlineLevel="0" collapsed="false">
      <c r="A2664" s="2" t="s">
        <v>5599</v>
      </c>
      <c r="B2664" s="2" t="s">
        <v>5600</v>
      </c>
      <c r="C2664" s="2" t="n">
        <v>5</v>
      </c>
      <c r="D2664" s="2" t="s">
        <v>1286</v>
      </c>
      <c r="E2664" s="2" t="s">
        <v>4951</v>
      </c>
      <c r="F2664" s="3" t="n">
        <v>45917.6618055556</v>
      </c>
      <c r="G2664" s="2" t="s">
        <v>5251</v>
      </c>
      <c r="H2664" s="4" t="n">
        <v>0.4019</v>
      </c>
      <c r="I2664" s="2" t="s">
        <v>23</v>
      </c>
      <c r="J2664" s="2" t="s">
        <v>33</v>
      </c>
      <c r="K2664" s="2" t="n">
        <v>1</v>
      </c>
      <c r="L2664" s="2" t="n">
        <v>0</v>
      </c>
      <c r="M2664" s="2" t="n">
        <v>0</v>
      </c>
    </row>
    <row r="2665" customFormat="false" ht="15" hidden="false" customHeight="false" outlineLevel="0" collapsed="false">
      <c r="A2665" s="2" t="s">
        <v>5601</v>
      </c>
      <c r="B2665" s="2" t="s">
        <v>5602</v>
      </c>
      <c r="C2665" s="2" t="n">
        <v>3</v>
      </c>
      <c r="D2665" s="2" t="s">
        <v>99</v>
      </c>
      <c r="E2665" s="2" t="s">
        <v>4951</v>
      </c>
      <c r="F2665" s="3" t="n">
        <v>45917.9291666667</v>
      </c>
      <c r="G2665" s="2" t="s">
        <v>5251</v>
      </c>
      <c r="H2665" s="4" t="n">
        <v>-0.3089</v>
      </c>
      <c r="I2665" s="2" t="s">
        <v>84</v>
      </c>
      <c r="J2665" s="2" t="s">
        <v>19</v>
      </c>
      <c r="K2665" s="2" t="n">
        <v>4</v>
      </c>
      <c r="L2665" s="2" t="n">
        <v>0</v>
      </c>
      <c r="M2665" s="2" t="n">
        <v>0</v>
      </c>
    </row>
    <row r="2666" customFormat="false" ht="15" hidden="false" customHeight="false" outlineLevel="0" collapsed="false">
      <c r="A2666" s="2" t="s">
        <v>5603</v>
      </c>
      <c r="B2666" s="2" t="s">
        <v>5604</v>
      </c>
      <c r="C2666" s="2" t="n">
        <v>1</v>
      </c>
      <c r="D2666" s="2" t="s">
        <v>179</v>
      </c>
      <c r="E2666" s="2" t="s">
        <v>4951</v>
      </c>
      <c r="F2666" s="3" t="n">
        <v>45917.9381944445</v>
      </c>
      <c r="G2666" s="2" t="s">
        <v>5251</v>
      </c>
      <c r="H2666" s="4" t="n">
        <v>-0.0258</v>
      </c>
      <c r="I2666" s="2" t="s">
        <v>18</v>
      </c>
      <c r="J2666" s="2" t="s">
        <v>59</v>
      </c>
      <c r="K2666" s="2" t="n">
        <v>4</v>
      </c>
      <c r="L2666" s="2" t="n">
        <v>0</v>
      </c>
      <c r="M2666" s="2" t="n">
        <v>0</v>
      </c>
    </row>
    <row r="2667" customFormat="false" ht="15" hidden="false" customHeight="false" outlineLevel="0" collapsed="false">
      <c r="A2667" s="2" t="s">
        <v>5605</v>
      </c>
      <c r="B2667" s="2" t="s">
        <v>5606</v>
      </c>
      <c r="C2667" s="2" t="n">
        <v>3</v>
      </c>
      <c r="D2667" s="2" t="s">
        <v>22</v>
      </c>
      <c r="E2667" s="2" t="s">
        <v>4951</v>
      </c>
      <c r="F2667" s="3" t="n">
        <v>45917.9694444445</v>
      </c>
      <c r="G2667" s="2" t="s">
        <v>5251</v>
      </c>
      <c r="H2667" s="4" t="n">
        <v>0.2023</v>
      </c>
      <c r="I2667" s="2" t="s">
        <v>23</v>
      </c>
      <c r="J2667" s="2" t="s">
        <v>19</v>
      </c>
      <c r="K2667" s="2" t="n">
        <v>4</v>
      </c>
      <c r="L2667" s="2" t="n">
        <v>0</v>
      </c>
      <c r="M2667" s="2" t="n">
        <v>0</v>
      </c>
    </row>
    <row r="2668" customFormat="false" ht="15" hidden="false" customHeight="false" outlineLevel="0" collapsed="false">
      <c r="A2668" s="2" t="s">
        <v>5607</v>
      </c>
      <c r="B2668" s="2" t="s">
        <v>5608</v>
      </c>
      <c r="C2668" s="2" t="n">
        <v>5</v>
      </c>
      <c r="D2668" s="2" t="s">
        <v>40</v>
      </c>
      <c r="E2668" s="2" t="s">
        <v>4951</v>
      </c>
      <c r="F2668" s="3" t="n">
        <v>45917.9861111111</v>
      </c>
      <c r="G2668" s="2" t="s">
        <v>5251</v>
      </c>
      <c r="H2668" s="4" t="n">
        <v>0.4019</v>
      </c>
      <c r="I2668" s="2" t="s">
        <v>23</v>
      </c>
      <c r="J2668" s="2" t="s">
        <v>33</v>
      </c>
      <c r="K2668" s="2" t="n">
        <v>0</v>
      </c>
      <c r="L2668" s="2" t="n">
        <v>0</v>
      </c>
      <c r="M2668" s="2" t="n">
        <v>0</v>
      </c>
    </row>
    <row r="2669" customFormat="false" ht="15" hidden="false" customHeight="false" outlineLevel="0" collapsed="false">
      <c r="A2669" s="2" t="s">
        <v>5609</v>
      </c>
      <c r="B2669" s="2" t="s">
        <v>5610</v>
      </c>
      <c r="C2669" s="2" t="n">
        <v>5</v>
      </c>
      <c r="D2669" s="2" t="s">
        <v>127</v>
      </c>
      <c r="E2669" s="2" t="s">
        <v>4951</v>
      </c>
      <c r="F2669" s="3" t="n">
        <v>45918.0576388889</v>
      </c>
      <c r="G2669" s="2" t="s">
        <v>5251</v>
      </c>
      <c r="H2669" s="4" t="n">
        <v>0.9359</v>
      </c>
      <c r="I2669" s="2" t="s">
        <v>23</v>
      </c>
      <c r="J2669" s="2" t="s">
        <v>37</v>
      </c>
      <c r="K2669" s="2" t="n">
        <v>7</v>
      </c>
      <c r="L2669" s="2" t="n">
        <v>0</v>
      </c>
      <c r="M2669" s="2" t="n">
        <v>0</v>
      </c>
    </row>
    <row r="2670" customFormat="false" ht="15" hidden="false" customHeight="false" outlineLevel="0" collapsed="false">
      <c r="A2670" s="2" t="s">
        <v>5611</v>
      </c>
      <c r="B2670" s="2" t="s">
        <v>5612</v>
      </c>
      <c r="C2670" s="2" t="n">
        <v>4</v>
      </c>
      <c r="D2670" s="2" t="s">
        <v>40</v>
      </c>
      <c r="E2670" s="2" t="s">
        <v>4951</v>
      </c>
      <c r="F2670" s="3" t="n">
        <v>45918.1979166667</v>
      </c>
      <c r="G2670" s="2" t="s">
        <v>5251</v>
      </c>
      <c r="H2670" s="4" t="n">
        <v>0.4019</v>
      </c>
      <c r="I2670" s="2" t="s">
        <v>23</v>
      </c>
      <c r="J2670" s="2" t="s">
        <v>33</v>
      </c>
      <c r="K2670" s="2" t="n">
        <v>1</v>
      </c>
      <c r="L2670" s="2" t="n">
        <v>0</v>
      </c>
      <c r="M2670" s="2" t="n">
        <v>0</v>
      </c>
    </row>
    <row r="2671" customFormat="false" ht="15" hidden="false" customHeight="false" outlineLevel="0" collapsed="false">
      <c r="A2671" s="2" t="s">
        <v>5613</v>
      </c>
      <c r="B2671" s="2" t="s">
        <v>5614</v>
      </c>
      <c r="C2671" s="2" t="n">
        <v>4</v>
      </c>
      <c r="D2671" s="2" t="s">
        <v>40</v>
      </c>
      <c r="E2671" s="2" t="s">
        <v>4951</v>
      </c>
      <c r="F2671" s="3" t="n">
        <v>45918.3027777778</v>
      </c>
      <c r="G2671" s="2" t="s">
        <v>5251</v>
      </c>
      <c r="H2671" s="4" t="n">
        <v>0.4019</v>
      </c>
      <c r="I2671" s="2" t="s">
        <v>23</v>
      </c>
      <c r="J2671" s="2" t="s">
        <v>33</v>
      </c>
      <c r="K2671" s="2" t="n">
        <v>0</v>
      </c>
      <c r="L2671" s="2" t="n">
        <v>0</v>
      </c>
      <c r="M2671" s="2" t="n">
        <v>0</v>
      </c>
    </row>
    <row r="2672" customFormat="false" ht="15" hidden="false" customHeight="false" outlineLevel="0" collapsed="false">
      <c r="A2672" s="2" t="s">
        <v>5615</v>
      </c>
      <c r="B2672" s="2" t="s">
        <v>5616</v>
      </c>
      <c r="C2672" s="2" t="n">
        <v>5</v>
      </c>
      <c r="D2672" s="2" t="s">
        <v>52</v>
      </c>
      <c r="E2672" s="2" t="s">
        <v>4951</v>
      </c>
      <c r="F2672" s="3" t="n">
        <v>45918.3041666667</v>
      </c>
      <c r="G2672" s="2" t="s">
        <v>5251</v>
      </c>
      <c r="H2672" s="4" t="n">
        <v>0.6369</v>
      </c>
      <c r="I2672" s="2" t="s">
        <v>23</v>
      </c>
      <c r="J2672" s="2" t="s">
        <v>19</v>
      </c>
      <c r="K2672" s="2" t="n">
        <v>3</v>
      </c>
      <c r="L2672" s="2" t="n">
        <v>0</v>
      </c>
      <c r="M2672" s="2" t="n">
        <v>0</v>
      </c>
    </row>
    <row r="2673" customFormat="false" ht="15" hidden="false" customHeight="false" outlineLevel="0" collapsed="false">
      <c r="A2673" s="2" t="s">
        <v>5617</v>
      </c>
      <c r="B2673" s="2" t="s">
        <v>5618</v>
      </c>
      <c r="C2673" s="2" t="n">
        <v>5</v>
      </c>
      <c r="D2673" s="2" t="s">
        <v>52</v>
      </c>
      <c r="E2673" s="2" t="s">
        <v>4951</v>
      </c>
      <c r="F2673" s="3" t="n">
        <v>45918.3479166667</v>
      </c>
      <c r="G2673" s="2" t="s">
        <v>5251</v>
      </c>
      <c r="H2673" s="4" t="n">
        <v>0.6369</v>
      </c>
      <c r="I2673" s="2" t="s">
        <v>23</v>
      </c>
      <c r="J2673" s="2" t="s">
        <v>19</v>
      </c>
      <c r="K2673" s="2" t="n">
        <v>0</v>
      </c>
      <c r="L2673" s="2" t="n">
        <v>0</v>
      </c>
      <c r="M2673" s="2" t="n">
        <v>0</v>
      </c>
    </row>
    <row r="2674" customFormat="false" ht="15" hidden="false" customHeight="false" outlineLevel="0" collapsed="false">
      <c r="A2674" s="2" t="s">
        <v>5619</v>
      </c>
      <c r="B2674" s="2" t="s">
        <v>5620</v>
      </c>
      <c r="C2674" s="2" t="n">
        <v>5</v>
      </c>
      <c r="D2674" s="2" t="s">
        <v>127</v>
      </c>
      <c r="E2674" s="2" t="s">
        <v>4951</v>
      </c>
      <c r="F2674" s="3" t="n">
        <v>45918.3736111111</v>
      </c>
      <c r="G2674" s="2" t="s">
        <v>5251</v>
      </c>
      <c r="H2674" s="4" t="n">
        <v>0.9359</v>
      </c>
      <c r="I2674" s="2" t="s">
        <v>23</v>
      </c>
      <c r="J2674" s="2" t="s">
        <v>37</v>
      </c>
      <c r="K2674" s="2" t="n">
        <v>1</v>
      </c>
      <c r="L2674" s="2" t="n">
        <v>0</v>
      </c>
      <c r="M2674" s="2" t="n">
        <v>0</v>
      </c>
    </row>
    <row r="2675" customFormat="false" ht="15" hidden="false" customHeight="false" outlineLevel="0" collapsed="false">
      <c r="A2675" s="2" t="s">
        <v>5621</v>
      </c>
      <c r="B2675" s="2" t="s">
        <v>5622</v>
      </c>
      <c r="C2675" s="2" t="n">
        <v>4</v>
      </c>
      <c r="D2675" s="2" t="s">
        <v>127</v>
      </c>
      <c r="E2675" s="2" t="s">
        <v>4951</v>
      </c>
      <c r="F2675" s="3" t="n">
        <v>45918.40625</v>
      </c>
      <c r="G2675" s="2" t="s">
        <v>5251</v>
      </c>
      <c r="H2675" s="4" t="n">
        <v>0.9359</v>
      </c>
      <c r="I2675" s="2" t="s">
        <v>23</v>
      </c>
      <c r="J2675" s="2" t="s">
        <v>37</v>
      </c>
      <c r="K2675" s="2" t="n">
        <v>3</v>
      </c>
      <c r="L2675" s="2" t="n">
        <v>0</v>
      </c>
      <c r="M2675" s="2" t="n">
        <v>0</v>
      </c>
    </row>
    <row r="2676" customFormat="false" ht="15" hidden="false" customHeight="false" outlineLevel="0" collapsed="false">
      <c r="A2676" s="2" t="s">
        <v>5623</v>
      </c>
      <c r="B2676" s="2" t="s">
        <v>5624</v>
      </c>
      <c r="C2676" s="2" t="n">
        <v>4</v>
      </c>
      <c r="D2676" s="2" t="s">
        <v>1878</v>
      </c>
      <c r="E2676" s="2" t="s">
        <v>4951</v>
      </c>
      <c r="F2676" s="3" t="n">
        <v>45918.4986111111</v>
      </c>
      <c r="G2676" s="2" t="s">
        <v>5251</v>
      </c>
      <c r="H2676" s="4" t="n">
        <v>0.9516</v>
      </c>
      <c r="I2676" s="2" t="s">
        <v>23</v>
      </c>
      <c r="J2676" s="2" t="s">
        <v>37</v>
      </c>
      <c r="K2676" s="2" t="n">
        <v>1</v>
      </c>
      <c r="L2676" s="2" t="n">
        <v>0</v>
      </c>
      <c r="M2676" s="2" t="n">
        <v>0</v>
      </c>
    </row>
    <row r="2677" customFormat="false" ht="15" hidden="false" customHeight="false" outlineLevel="0" collapsed="false">
      <c r="A2677" s="2" t="s">
        <v>5625</v>
      </c>
      <c r="B2677" s="2" t="s">
        <v>5626</v>
      </c>
      <c r="C2677" s="2" t="n">
        <v>4</v>
      </c>
      <c r="D2677" s="2" t="s">
        <v>96</v>
      </c>
      <c r="E2677" s="2" t="s">
        <v>4951</v>
      </c>
      <c r="F2677" s="3" t="n">
        <v>45918.65</v>
      </c>
      <c r="G2677" s="2" t="s">
        <v>5251</v>
      </c>
      <c r="H2677" s="4" t="n">
        <v>0.6369</v>
      </c>
      <c r="I2677" s="2" t="s">
        <v>23</v>
      </c>
      <c r="J2677" s="2" t="s">
        <v>19</v>
      </c>
      <c r="K2677" s="2" t="n">
        <v>1</v>
      </c>
      <c r="L2677" s="2" t="n">
        <v>0</v>
      </c>
      <c r="M2677" s="2" t="n">
        <v>0</v>
      </c>
    </row>
    <row r="2678" customFormat="false" ht="15" hidden="false" customHeight="false" outlineLevel="0" collapsed="false">
      <c r="A2678" s="2" t="s">
        <v>5627</v>
      </c>
      <c r="B2678" s="2" t="s">
        <v>5628</v>
      </c>
      <c r="C2678" s="2" t="n">
        <v>5</v>
      </c>
      <c r="D2678" s="2" t="s">
        <v>47</v>
      </c>
      <c r="E2678" s="2" t="s">
        <v>4951</v>
      </c>
      <c r="F2678" s="3" t="n">
        <v>45918.7208333333</v>
      </c>
      <c r="G2678" s="2" t="s">
        <v>5251</v>
      </c>
      <c r="H2678" s="4" t="n">
        <v>0.3089</v>
      </c>
      <c r="I2678" s="2" t="s">
        <v>23</v>
      </c>
      <c r="J2678" s="2" t="s">
        <v>19</v>
      </c>
      <c r="K2678" s="2" t="n">
        <v>10</v>
      </c>
      <c r="L2678" s="2" t="n">
        <v>0</v>
      </c>
      <c r="M2678" s="2" t="n">
        <v>0</v>
      </c>
    </row>
    <row r="2679" customFormat="false" ht="15" hidden="false" customHeight="false" outlineLevel="0" collapsed="false">
      <c r="A2679" s="2" t="s">
        <v>5629</v>
      </c>
      <c r="B2679" s="2" t="s">
        <v>5630</v>
      </c>
      <c r="C2679" s="2" t="n">
        <v>5</v>
      </c>
      <c r="D2679" s="2" t="s">
        <v>96</v>
      </c>
      <c r="E2679" s="2" t="s">
        <v>4951</v>
      </c>
      <c r="F2679" s="3" t="n">
        <v>45918.8416666667</v>
      </c>
      <c r="G2679" s="2" t="s">
        <v>5251</v>
      </c>
      <c r="H2679" s="4" t="n">
        <v>0.6369</v>
      </c>
      <c r="I2679" s="2" t="s">
        <v>23</v>
      </c>
      <c r="J2679" s="2" t="s">
        <v>19</v>
      </c>
      <c r="K2679" s="2" t="n">
        <v>0</v>
      </c>
      <c r="L2679" s="2" t="n">
        <v>0</v>
      </c>
      <c r="M2679" s="2" t="n">
        <v>0</v>
      </c>
    </row>
    <row r="2680" customFormat="false" ht="15" hidden="false" customHeight="false" outlineLevel="0" collapsed="false">
      <c r="A2680" s="2" t="s">
        <v>5631</v>
      </c>
      <c r="B2680" s="2" t="s">
        <v>5632</v>
      </c>
      <c r="C2680" s="2" t="n">
        <v>4</v>
      </c>
      <c r="D2680" s="2" t="s">
        <v>40</v>
      </c>
      <c r="E2680" s="2" t="s">
        <v>4951</v>
      </c>
      <c r="F2680" s="3" t="n">
        <v>45918.86875</v>
      </c>
      <c r="G2680" s="2" t="s">
        <v>5251</v>
      </c>
      <c r="H2680" s="4" t="n">
        <v>0.4019</v>
      </c>
      <c r="I2680" s="2" t="s">
        <v>23</v>
      </c>
      <c r="J2680" s="2" t="s">
        <v>33</v>
      </c>
      <c r="K2680" s="2" t="n">
        <v>4</v>
      </c>
      <c r="L2680" s="2" t="n">
        <v>0</v>
      </c>
      <c r="M2680" s="2" t="n">
        <v>0</v>
      </c>
    </row>
    <row r="2681" customFormat="false" ht="15" hidden="false" customHeight="false" outlineLevel="0" collapsed="false">
      <c r="A2681" s="2" t="s">
        <v>5633</v>
      </c>
      <c r="B2681" s="2" t="s">
        <v>5634</v>
      </c>
      <c r="C2681" s="2" t="n">
        <v>5</v>
      </c>
      <c r="D2681" s="2" t="s">
        <v>1622</v>
      </c>
      <c r="E2681" s="2" t="s">
        <v>4951</v>
      </c>
      <c r="F2681" s="3" t="n">
        <v>45918.9243055556</v>
      </c>
      <c r="G2681" s="2" t="s">
        <v>5251</v>
      </c>
      <c r="H2681" s="4" t="n">
        <v>0.8555</v>
      </c>
      <c r="I2681" s="2" t="s">
        <v>23</v>
      </c>
      <c r="J2681" s="2" t="s">
        <v>19</v>
      </c>
      <c r="K2681" s="2" t="n">
        <v>2</v>
      </c>
      <c r="L2681" s="2" t="n">
        <v>0</v>
      </c>
      <c r="M2681" s="2" t="n">
        <v>0</v>
      </c>
    </row>
    <row r="2682" customFormat="false" ht="15" hidden="false" customHeight="false" outlineLevel="0" collapsed="false">
      <c r="A2682" s="2" t="s">
        <v>5635</v>
      </c>
      <c r="B2682" s="2" t="s">
        <v>5636</v>
      </c>
      <c r="C2682" s="2" t="n">
        <v>5</v>
      </c>
      <c r="D2682" s="2" t="s">
        <v>52</v>
      </c>
      <c r="E2682" s="2" t="s">
        <v>4951</v>
      </c>
      <c r="F2682" s="3" t="n">
        <v>45918.9597222222</v>
      </c>
      <c r="G2682" s="2" t="s">
        <v>5251</v>
      </c>
      <c r="H2682" s="4" t="n">
        <v>0.6369</v>
      </c>
      <c r="I2682" s="2" t="s">
        <v>23</v>
      </c>
      <c r="J2682" s="2" t="s">
        <v>19</v>
      </c>
      <c r="K2682" s="2" t="n">
        <v>7</v>
      </c>
      <c r="L2682" s="2" t="n">
        <v>0</v>
      </c>
      <c r="M2682" s="2" t="n">
        <v>0</v>
      </c>
    </row>
    <row r="2683" customFormat="false" ht="15" hidden="false" customHeight="false" outlineLevel="0" collapsed="false">
      <c r="A2683" s="2" t="s">
        <v>5637</v>
      </c>
      <c r="B2683" s="2" t="s">
        <v>5638</v>
      </c>
      <c r="C2683" s="2" t="n">
        <v>5</v>
      </c>
      <c r="D2683" s="2" t="s">
        <v>96</v>
      </c>
      <c r="E2683" s="2" t="s">
        <v>4951</v>
      </c>
      <c r="F2683" s="3" t="n">
        <v>45919.2652777778</v>
      </c>
      <c r="G2683" s="2" t="s">
        <v>5251</v>
      </c>
      <c r="H2683" s="4" t="n">
        <v>0.6369</v>
      </c>
      <c r="I2683" s="2" t="s">
        <v>23</v>
      </c>
      <c r="J2683" s="2" t="s">
        <v>19</v>
      </c>
      <c r="K2683" s="2" t="n">
        <v>5</v>
      </c>
      <c r="L2683" s="2" t="n">
        <v>0</v>
      </c>
      <c r="M2683" s="2" t="n">
        <v>0</v>
      </c>
    </row>
    <row r="2684" customFormat="false" ht="15" hidden="false" customHeight="false" outlineLevel="0" collapsed="false">
      <c r="A2684" s="2" t="s">
        <v>5639</v>
      </c>
      <c r="B2684" s="2" t="s">
        <v>5640</v>
      </c>
      <c r="C2684" s="2" t="n">
        <v>3</v>
      </c>
      <c r="D2684" s="2" t="s">
        <v>661</v>
      </c>
      <c r="E2684" s="2" t="s">
        <v>4951</v>
      </c>
      <c r="F2684" s="3" t="n">
        <v>45919.5368055556</v>
      </c>
      <c r="G2684" s="2" t="s">
        <v>5251</v>
      </c>
      <c r="H2684" s="4" t="n">
        <v>0</v>
      </c>
      <c r="I2684" s="2" t="s">
        <v>18</v>
      </c>
      <c r="J2684" s="2" t="s">
        <v>59</v>
      </c>
      <c r="K2684" s="2" t="n">
        <v>1</v>
      </c>
      <c r="L2684" s="2" t="n">
        <v>0</v>
      </c>
      <c r="M2684" s="2" t="n">
        <v>0</v>
      </c>
    </row>
    <row r="2685" customFormat="false" ht="15" hidden="false" customHeight="false" outlineLevel="0" collapsed="false">
      <c r="A2685" s="2" t="s">
        <v>5641</v>
      </c>
      <c r="B2685" s="2" t="s">
        <v>5642</v>
      </c>
      <c r="C2685" s="2" t="n">
        <v>3</v>
      </c>
      <c r="D2685" s="2" t="s">
        <v>99</v>
      </c>
      <c r="E2685" s="2" t="s">
        <v>4951</v>
      </c>
      <c r="F2685" s="3" t="n">
        <v>45919.6763888889</v>
      </c>
      <c r="G2685" s="2" t="s">
        <v>5251</v>
      </c>
      <c r="H2685" s="4" t="n">
        <v>-0.3089</v>
      </c>
      <c r="I2685" s="2" t="s">
        <v>84</v>
      </c>
      <c r="J2685" s="2" t="s">
        <v>19</v>
      </c>
      <c r="K2685" s="2" t="n">
        <v>0</v>
      </c>
      <c r="L2685" s="2" t="n">
        <v>0</v>
      </c>
      <c r="M2685" s="2" t="n">
        <v>0</v>
      </c>
    </row>
    <row r="2686" customFormat="false" ht="15" hidden="false" customHeight="false" outlineLevel="0" collapsed="false">
      <c r="A2686" s="2" t="s">
        <v>5643</v>
      </c>
      <c r="B2686" s="2" t="s">
        <v>5644</v>
      </c>
      <c r="C2686" s="2" t="n">
        <v>4</v>
      </c>
      <c r="D2686" s="2" t="s">
        <v>96</v>
      </c>
      <c r="E2686" s="2" t="s">
        <v>4951</v>
      </c>
      <c r="F2686" s="3" t="n">
        <v>45920.2756944444</v>
      </c>
      <c r="G2686" s="2" t="s">
        <v>5251</v>
      </c>
      <c r="H2686" s="4" t="n">
        <v>0.6369</v>
      </c>
      <c r="I2686" s="2" t="s">
        <v>23</v>
      </c>
      <c r="J2686" s="2" t="s">
        <v>19</v>
      </c>
      <c r="K2686" s="2" t="n">
        <v>6</v>
      </c>
      <c r="L2686" s="2" t="n">
        <v>0</v>
      </c>
      <c r="M2686" s="2" t="n">
        <v>0</v>
      </c>
    </row>
    <row r="2687" customFormat="false" ht="15" hidden="false" customHeight="false" outlineLevel="0" collapsed="false">
      <c r="A2687" s="2" t="s">
        <v>5645</v>
      </c>
      <c r="B2687" s="2" t="s">
        <v>5646</v>
      </c>
      <c r="C2687" s="2" t="n">
        <v>3</v>
      </c>
      <c r="D2687" s="2" t="s">
        <v>99</v>
      </c>
      <c r="E2687" s="2" t="s">
        <v>4951</v>
      </c>
      <c r="F2687" s="3" t="n">
        <v>45920.2951388889</v>
      </c>
      <c r="G2687" s="2" t="s">
        <v>5251</v>
      </c>
      <c r="H2687" s="4" t="n">
        <v>-0.3089</v>
      </c>
      <c r="I2687" s="2" t="s">
        <v>84</v>
      </c>
      <c r="J2687" s="2" t="s">
        <v>19</v>
      </c>
      <c r="K2687" s="2" t="n">
        <v>3</v>
      </c>
      <c r="L2687" s="2" t="n">
        <v>0</v>
      </c>
      <c r="M2687" s="2" t="n">
        <v>0</v>
      </c>
    </row>
    <row r="2688" customFormat="false" ht="15" hidden="false" customHeight="false" outlineLevel="0" collapsed="false">
      <c r="A2688" s="2" t="s">
        <v>5647</v>
      </c>
      <c r="B2688" s="2" t="s">
        <v>5648</v>
      </c>
      <c r="C2688" s="2" t="n">
        <v>3</v>
      </c>
      <c r="D2688" s="2" t="s">
        <v>301</v>
      </c>
      <c r="E2688" s="2" t="s">
        <v>4951</v>
      </c>
      <c r="F2688" s="3" t="n">
        <v>45920.5076388889</v>
      </c>
      <c r="G2688" s="2" t="s">
        <v>5251</v>
      </c>
      <c r="H2688" s="4" t="n">
        <v>0.2263</v>
      </c>
      <c r="I2688" s="2" t="s">
        <v>23</v>
      </c>
      <c r="J2688" s="2" t="s">
        <v>19</v>
      </c>
      <c r="K2688" s="2" t="n">
        <v>0</v>
      </c>
      <c r="L2688" s="2" t="n">
        <v>0</v>
      </c>
      <c r="M2688" s="2" t="n">
        <v>0</v>
      </c>
    </row>
    <row r="2689" customFormat="false" ht="15" hidden="false" customHeight="false" outlineLevel="0" collapsed="false">
      <c r="A2689" s="2" t="s">
        <v>5649</v>
      </c>
      <c r="B2689" s="2" t="s">
        <v>3864</v>
      </c>
      <c r="C2689" s="2" t="n">
        <v>5</v>
      </c>
      <c r="D2689" s="2" t="s">
        <v>96</v>
      </c>
      <c r="E2689" s="2" t="s">
        <v>4951</v>
      </c>
      <c r="F2689" s="3" t="n">
        <v>45920.6298611111</v>
      </c>
      <c r="G2689" s="2" t="s">
        <v>5251</v>
      </c>
      <c r="H2689" s="4" t="n">
        <v>0.6369</v>
      </c>
      <c r="I2689" s="2" t="s">
        <v>23</v>
      </c>
      <c r="J2689" s="2" t="s">
        <v>19</v>
      </c>
      <c r="K2689" s="2" t="n">
        <v>0</v>
      </c>
      <c r="L2689" s="2" t="n">
        <v>0</v>
      </c>
      <c r="M2689" s="2" t="n">
        <v>0</v>
      </c>
    </row>
    <row r="2690" customFormat="false" ht="15" hidden="false" customHeight="false" outlineLevel="0" collapsed="false">
      <c r="A2690" s="2" t="s">
        <v>5650</v>
      </c>
      <c r="B2690" s="2" t="s">
        <v>5651</v>
      </c>
      <c r="C2690" s="2" t="n">
        <v>5</v>
      </c>
      <c r="D2690" s="2" t="s">
        <v>90</v>
      </c>
      <c r="E2690" s="2" t="s">
        <v>4951</v>
      </c>
      <c r="F2690" s="3" t="n">
        <v>45920.6465277778</v>
      </c>
      <c r="G2690" s="2" t="s">
        <v>5251</v>
      </c>
      <c r="H2690" s="4" t="n">
        <v>0.6249</v>
      </c>
      <c r="I2690" s="2" t="s">
        <v>23</v>
      </c>
      <c r="J2690" s="2" t="s">
        <v>37</v>
      </c>
      <c r="K2690" s="2" t="n">
        <v>3</v>
      </c>
      <c r="L2690" s="2" t="n">
        <v>0</v>
      </c>
      <c r="M2690" s="2" t="n">
        <v>0</v>
      </c>
    </row>
    <row r="2691" customFormat="false" ht="15" hidden="false" customHeight="false" outlineLevel="0" collapsed="false">
      <c r="A2691" s="2" t="s">
        <v>5652</v>
      </c>
      <c r="B2691" s="2" t="s">
        <v>5653</v>
      </c>
      <c r="C2691" s="2" t="n">
        <v>4</v>
      </c>
      <c r="D2691" s="2" t="s">
        <v>52</v>
      </c>
      <c r="E2691" s="2" t="s">
        <v>4951</v>
      </c>
      <c r="F2691" s="3" t="n">
        <v>45920.7923611111</v>
      </c>
      <c r="G2691" s="2" t="s">
        <v>5251</v>
      </c>
      <c r="H2691" s="4" t="n">
        <v>0.6369</v>
      </c>
      <c r="I2691" s="2" t="s">
        <v>23</v>
      </c>
      <c r="J2691" s="2" t="s">
        <v>19</v>
      </c>
      <c r="K2691" s="2" t="n">
        <v>0</v>
      </c>
      <c r="L2691" s="2" t="n">
        <v>0</v>
      </c>
      <c r="M2691" s="2" t="n">
        <v>0</v>
      </c>
    </row>
    <row r="2692" customFormat="false" ht="15" hidden="false" customHeight="false" outlineLevel="0" collapsed="false">
      <c r="A2692" s="2" t="s">
        <v>5654</v>
      </c>
      <c r="B2692" s="2" t="s">
        <v>5655</v>
      </c>
      <c r="C2692" s="2" t="n">
        <v>5</v>
      </c>
      <c r="D2692" s="2" t="s">
        <v>62</v>
      </c>
      <c r="E2692" s="2" t="s">
        <v>4951</v>
      </c>
      <c r="F2692" s="3" t="n">
        <v>45920.8277777778</v>
      </c>
      <c r="G2692" s="2" t="s">
        <v>5251</v>
      </c>
      <c r="H2692" s="4" t="n">
        <v>0.7088</v>
      </c>
      <c r="I2692" s="2" t="s">
        <v>23</v>
      </c>
      <c r="J2692" s="2" t="s">
        <v>19</v>
      </c>
      <c r="K2692" s="2" t="n">
        <v>0</v>
      </c>
      <c r="L2692" s="2" t="n">
        <v>0</v>
      </c>
      <c r="M2692" s="2" t="n">
        <v>0</v>
      </c>
    </row>
    <row r="2693" customFormat="false" ht="15" hidden="false" customHeight="false" outlineLevel="0" collapsed="false">
      <c r="A2693" s="2" t="s">
        <v>5656</v>
      </c>
      <c r="B2693" s="2" t="s">
        <v>5657</v>
      </c>
      <c r="C2693" s="2" t="n">
        <v>5</v>
      </c>
      <c r="D2693" s="2" t="s">
        <v>47</v>
      </c>
      <c r="E2693" s="2" t="s">
        <v>4951</v>
      </c>
      <c r="F2693" s="3" t="n">
        <v>45920.8555555556</v>
      </c>
      <c r="G2693" s="2" t="s">
        <v>5251</v>
      </c>
      <c r="H2693" s="4" t="n">
        <v>0.3089</v>
      </c>
      <c r="I2693" s="2" t="s">
        <v>23</v>
      </c>
      <c r="J2693" s="2" t="s">
        <v>19</v>
      </c>
      <c r="K2693" s="2" t="n">
        <v>0</v>
      </c>
      <c r="L2693" s="2" t="n">
        <v>0</v>
      </c>
      <c r="M2693" s="2" t="n">
        <v>0</v>
      </c>
    </row>
    <row r="2694" customFormat="false" ht="15" hidden="false" customHeight="false" outlineLevel="0" collapsed="false">
      <c r="A2694" s="2" t="s">
        <v>5658</v>
      </c>
      <c r="B2694" s="2" t="s">
        <v>5659</v>
      </c>
      <c r="C2694" s="2" t="n">
        <v>5</v>
      </c>
      <c r="D2694" s="2" t="s">
        <v>127</v>
      </c>
      <c r="E2694" s="2" t="s">
        <v>4951</v>
      </c>
      <c r="F2694" s="3" t="n">
        <v>45921.0402777778</v>
      </c>
      <c r="G2694" s="2" t="s">
        <v>5251</v>
      </c>
      <c r="H2694" s="4" t="n">
        <v>0.9359</v>
      </c>
      <c r="I2694" s="2" t="s">
        <v>23</v>
      </c>
      <c r="J2694" s="2" t="s">
        <v>37</v>
      </c>
      <c r="K2694" s="2" t="n">
        <v>9</v>
      </c>
      <c r="L2694" s="2" t="n">
        <v>0</v>
      </c>
      <c r="M2694" s="2" t="n">
        <v>0</v>
      </c>
    </row>
    <row r="2695" customFormat="false" ht="15" hidden="false" customHeight="false" outlineLevel="0" collapsed="false">
      <c r="A2695" s="2" t="s">
        <v>5660</v>
      </c>
      <c r="B2695" s="2" t="s">
        <v>5661</v>
      </c>
      <c r="C2695" s="2" t="n">
        <v>5</v>
      </c>
      <c r="D2695" s="2" t="s">
        <v>96</v>
      </c>
      <c r="E2695" s="2" t="s">
        <v>4951</v>
      </c>
      <c r="F2695" s="3" t="n">
        <v>45921.43125</v>
      </c>
      <c r="G2695" s="2" t="s">
        <v>5251</v>
      </c>
      <c r="H2695" s="4" t="n">
        <v>0.6369</v>
      </c>
      <c r="I2695" s="2" t="s">
        <v>23</v>
      </c>
      <c r="J2695" s="2" t="s">
        <v>19</v>
      </c>
      <c r="K2695" s="2" t="n">
        <v>0</v>
      </c>
      <c r="L2695" s="2" t="n">
        <v>0</v>
      </c>
      <c r="M2695" s="2" t="n">
        <v>0</v>
      </c>
    </row>
    <row r="2696" customFormat="false" ht="15" hidden="false" customHeight="false" outlineLevel="0" collapsed="false">
      <c r="A2696" s="2" t="s">
        <v>5662</v>
      </c>
      <c r="B2696" s="2" t="s">
        <v>5663</v>
      </c>
      <c r="C2696" s="2" t="n">
        <v>4</v>
      </c>
      <c r="D2696" s="2" t="s">
        <v>40</v>
      </c>
      <c r="E2696" s="2" t="s">
        <v>4951</v>
      </c>
      <c r="F2696" s="3" t="n">
        <v>45921.4701388889</v>
      </c>
      <c r="G2696" s="2" t="s">
        <v>5251</v>
      </c>
      <c r="H2696" s="4" t="n">
        <v>0.4019</v>
      </c>
      <c r="I2696" s="2" t="s">
        <v>23</v>
      </c>
      <c r="J2696" s="2" t="s">
        <v>33</v>
      </c>
      <c r="K2696" s="2" t="n">
        <v>7</v>
      </c>
      <c r="L2696" s="2" t="n">
        <v>0</v>
      </c>
      <c r="M2696" s="2" t="n">
        <v>0</v>
      </c>
    </row>
    <row r="2697" customFormat="false" ht="15" hidden="false" customHeight="false" outlineLevel="0" collapsed="false">
      <c r="A2697" s="2" t="s">
        <v>5664</v>
      </c>
      <c r="B2697" s="2" t="s">
        <v>5665</v>
      </c>
      <c r="C2697" s="2" t="n">
        <v>5</v>
      </c>
      <c r="D2697" s="2" t="s">
        <v>1286</v>
      </c>
      <c r="E2697" s="2" t="s">
        <v>4951</v>
      </c>
      <c r="F2697" s="3" t="n">
        <v>45921.5076388889</v>
      </c>
      <c r="G2697" s="2" t="s">
        <v>5251</v>
      </c>
      <c r="H2697" s="4" t="n">
        <v>0.4019</v>
      </c>
      <c r="I2697" s="2" t="s">
        <v>23</v>
      </c>
      <c r="J2697" s="2" t="s">
        <v>33</v>
      </c>
      <c r="K2697" s="2" t="n">
        <v>3</v>
      </c>
      <c r="L2697" s="2" t="n">
        <v>0</v>
      </c>
      <c r="M2697" s="2" t="n">
        <v>0</v>
      </c>
    </row>
    <row r="2698" customFormat="false" ht="15" hidden="false" customHeight="false" outlineLevel="0" collapsed="false">
      <c r="A2698" s="2" t="s">
        <v>5666</v>
      </c>
      <c r="B2698" s="2" t="s">
        <v>5667</v>
      </c>
      <c r="C2698" s="2" t="n">
        <v>1</v>
      </c>
      <c r="D2698" s="2" t="s">
        <v>168</v>
      </c>
      <c r="E2698" s="2" t="s">
        <v>4951</v>
      </c>
      <c r="F2698" s="3" t="n">
        <v>45922.0333333333</v>
      </c>
      <c r="G2698" s="2" t="s">
        <v>5251</v>
      </c>
      <c r="H2698" s="4" t="n">
        <v>-0.1027</v>
      </c>
      <c r="I2698" s="2" t="s">
        <v>84</v>
      </c>
      <c r="J2698" s="2" t="s">
        <v>33</v>
      </c>
      <c r="K2698" s="2" t="n">
        <v>0</v>
      </c>
      <c r="L2698" s="2" t="n">
        <v>0</v>
      </c>
      <c r="M2698" s="2" t="n">
        <v>0</v>
      </c>
    </row>
    <row r="2699" customFormat="false" ht="15" hidden="false" customHeight="false" outlineLevel="0" collapsed="false">
      <c r="A2699" s="2" t="s">
        <v>5668</v>
      </c>
      <c r="B2699" s="2" t="s">
        <v>5669</v>
      </c>
      <c r="C2699" s="2" t="n">
        <v>3</v>
      </c>
      <c r="D2699" s="2" t="s">
        <v>87</v>
      </c>
      <c r="E2699" s="2" t="s">
        <v>4951</v>
      </c>
      <c r="F2699" s="3" t="n">
        <v>45922.3472222222</v>
      </c>
      <c r="G2699" s="2" t="s">
        <v>5251</v>
      </c>
      <c r="H2699" s="4" t="n">
        <v>0</v>
      </c>
      <c r="I2699" s="2" t="s">
        <v>18</v>
      </c>
      <c r="J2699" s="2" t="s">
        <v>19</v>
      </c>
      <c r="K2699" s="2" t="n">
        <v>0</v>
      </c>
      <c r="L2699" s="2" t="n">
        <v>0</v>
      </c>
      <c r="M2699" s="2" t="n">
        <v>0</v>
      </c>
    </row>
    <row r="2700" customFormat="false" ht="15" hidden="false" customHeight="false" outlineLevel="0" collapsed="false">
      <c r="A2700" s="2" t="s">
        <v>5670</v>
      </c>
      <c r="B2700" s="2" t="s">
        <v>5671</v>
      </c>
      <c r="C2700" s="2" t="n">
        <v>2</v>
      </c>
      <c r="D2700" s="2" t="s">
        <v>357</v>
      </c>
      <c r="E2700" s="2" t="s">
        <v>4951</v>
      </c>
      <c r="F2700" s="3" t="n">
        <v>45922.3611111111</v>
      </c>
      <c r="G2700" s="2" t="s">
        <v>5251</v>
      </c>
      <c r="H2700" s="4" t="n">
        <v>0</v>
      </c>
      <c r="I2700" s="2" t="s">
        <v>18</v>
      </c>
      <c r="J2700" s="2" t="s">
        <v>165</v>
      </c>
      <c r="K2700" s="2" t="n">
        <v>3</v>
      </c>
      <c r="L2700" s="2" t="n">
        <v>0</v>
      </c>
      <c r="M2700" s="2" t="n">
        <v>0</v>
      </c>
    </row>
    <row r="2701" customFormat="false" ht="15" hidden="false" customHeight="false" outlineLevel="0" collapsed="false">
      <c r="A2701" s="2" t="s">
        <v>5672</v>
      </c>
      <c r="B2701" s="2" t="s">
        <v>5673</v>
      </c>
      <c r="C2701" s="2" t="n">
        <v>5</v>
      </c>
      <c r="D2701" s="2" t="s">
        <v>1004</v>
      </c>
      <c r="E2701" s="2" t="s">
        <v>4951</v>
      </c>
      <c r="F2701" s="3" t="n">
        <v>45922.4784722222</v>
      </c>
      <c r="G2701" s="2" t="s">
        <v>5251</v>
      </c>
      <c r="H2701" s="4" t="n">
        <v>0.6249</v>
      </c>
      <c r="I2701" s="2" t="s">
        <v>23</v>
      </c>
      <c r="J2701" s="2" t="s">
        <v>37</v>
      </c>
      <c r="K2701" s="2" t="n">
        <v>3</v>
      </c>
      <c r="L2701" s="2" t="n">
        <v>0</v>
      </c>
      <c r="M2701" s="2" t="n">
        <v>0</v>
      </c>
    </row>
    <row r="2702" customFormat="false" ht="15" hidden="false" customHeight="false" outlineLevel="0" collapsed="false">
      <c r="A2702" s="2" t="s">
        <v>5674</v>
      </c>
      <c r="B2702" s="2" t="s">
        <v>5675</v>
      </c>
      <c r="C2702" s="2" t="n">
        <v>5</v>
      </c>
      <c r="D2702" s="2" t="s">
        <v>692</v>
      </c>
      <c r="E2702" s="2" t="s">
        <v>4951</v>
      </c>
      <c r="F2702" s="3" t="n">
        <v>45922.49375</v>
      </c>
      <c r="G2702" s="2" t="s">
        <v>5251</v>
      </c>
      <c r="H2702" s="4" t="n">
        <v>0.9516</v>
      </c>
      <c r="I2702" s="2" t="s">
        <v>23</v>
      </c>
      <c r="J2702" s="2" t="s">
        <v>37</v>
      </c>
      <c r="K2702" s="2" t="n">
        <v>6</v>
      </c>
      <c r="L2702" s="2" t="n">
        <v>0</v>
      </c>
      <c r="M2702" s="2" t="n">
        <v>0</v>
      </c>
    </row>
    <row r="2703" customFormat="false" ht="15" hidden="false" customHeight="false" outlineLevel="0" collapsed="false">
      <c r="A2703" s="2" t="s">
        <v>5676</v>
      </c>
      <c r="B2703" s="2" t="s">
        <v>5677</v>
      </c>
      <c r="C2703" s="2" t="n">
        <v>5</v>
      </c>
      <c r="D2703" s="2" t="s">
        <v>392</v>
      </c>
      <c r="E2703" s="2" t="s">
        <v>4951</v>
      </c>
      <c r="F2703" s="3" t="n">
        <v>45922.5013888889</v>
      </c>
      <c r="G2703" s="2" t="s">
        <v>5251</v>
      </c>
      <c r="H2703" s="4" t="n">
        <v>0.7549</v>
      </c>
      <c r="I2703" s="2" t="s">
        <v>23</v>
      </c>
      <c r="J2703" s="2" t="s">
        <v>19</v>
      </c>
      <c r="K2703" s="2" t="n">
        <v>5</v>
      </c>
      <c r="L2703" s="2" t="n">
        <v>0</v>
      </c>
      <c r="M2703" s="2" t="n">
        <v>0</v>
      </c>
    </row>
    <row r="2704" customFormat="false" ht="15" hidden="false" customHeight="false" outlineLevel="0" collapsed="false">
      <c r="A2704" s="2" t="s">
        <v>5678</v>
      </c>
      <c r="B2704" s="2" t="s">
        <v>5679</v>
      </c>
      <c r="C2704" s="2" t="n">
        <v>5</v>
      </c>
      <c r="D2704" s="2" t="s">
        <v>1683</v>
      </c>
      <c r="E2704" s="2" t="s">
        <v>4951</v>
      </c>
      <c r="F2704" s="3" t="n">
        <v>45922.525</v>
      </c>
      <c r="G2704" s="2" t="s">
        <v>5251</v>
      </c>
      <c r="H2704" s="4" t="n">
        <v>0.6369</v>
      </c>
      <c r="I2704" s="2" t="s">
        <v>23</v>
      </c>
      <c r="J2704" s="2" t="s">
        <v>19</v>
      </c>
      <c r="K2704" s="2" t="n">
        <v>1</v>
      </c>
      <c r="L2704" s="2" t="n">
        <v>0</v>
      </c>
      <c r="M2704" s="2" t="n">
        <v>0</v>
      </c>
    </row>
    <row r="2705" customFormat="false" ht="15" hidden="false" customHeight="false" outlineLevel="0" collapsed="false">
      <c r="A2705" s="2" t="s">
        <v>5680</v>
      </c>
      <c r="B2705" s="2" t="s">
        <v>5681</v>
      </c>
      <c r="C2705" s="2" t="n">
        <v>4</v>
      </c>
      <c r="D2705" s="2" t="s">
        <v>96</v>
      </c>
      <c r="E2705" s="2" t="s">
        <v>4951</v>
      </c>
      <c r="F2705" s="3" t="n">
        <v>45922.5784722222</v>
      </c>
      <c r="G2705" s="2" t="s">
        <v>5251</v>
      </c>
      <c r="H2705" s="4" t="n">
        <v>0.6369</v>
      </c>
      <c r="I2705" s="2" t="s">
        <v>23</v>
      </c>
      <c r="J2705" s="2" t="s">
        <v>19</v>
      </c>
      <c r="K2705" s="2" t="n">
        <v>8</v>
      </c>
      <c r="L2705" s="2" t="n">
        <v>0</v>
      </c>
      <c r="M2705" s="2" t="n">
        <v>0</v>
      </c>
    </row>
    <row r="2706" customFormat="false" ht="15" hidden="false" customHeight="false" outlineLevel="0" collapsed="false">
      <c r="A2706" s="2" t="s">
        <v>5682</v>
      </c>
      <c r="B2706" s="2" t="s">
        <v>5683</v>
      </c>
      <c r="C2706" s="2" t="n">
        <v>4</v>
      </c>
      <c r="D2706" s="2" t="s">
        <v>1825</v>
      </c>
      <c r="E2706" s="2" t="s">
        <v>4951</v>
      </c>
      <c r="F2706" s="3" t="n">
        <v>45922.6388888889</v>
      </c>
      <c r="G2706" s="2" t="s">
        <v>5251</v>
      </c>
      <c r="H2706" s="4" t="n">
        <v>-0.6834</v>
      </c>
      <c r="I2706" s="2" t="s">
        <v>84</v>
      </c>
      <c r="J2706" s="2" t="s">
        <v>19</v>
      </c>
      <c r="K2706" s="2" t="n">
        <v>2</v>
      </c>
      <c r="L2706" s="2" t="n">
        <v>0</v>
      </c>
      <c r="M2706" s="2" t="n">
        <v>0</v>
      </c>
    </row>
    <row r="2707" customFormat="false" ht="15" hidden="false" customHeight="false" outlineLevel="0" collapsed="false">
      <c r="A2707" s="2" t="s">
        <v>5684</v>
      </c>
      <c r="B2707" s="2" t="s">
        <v>5685</v>
      </c>
      <c r="C2707" s="2" t="n">
        <v>5</v>
      </c>
      <c r="D2707" s="2" t="s">
        <v>96</v>
      </c>
      <c r="E2707" s="2" t="s">
        <v>4951</v>
      </c>
      <c r="F2707" s="3" t="n">
        <v>45922.9222222222</v>
      </c>
      <c r="G2707" s="2" t="s">
        <v>5251</v>
      </c>
      <c r="H2707" s="4" t="n">
        <v>0.6369</v>
      </c>
      <c r="I2707" s="2" t="s">
        <v>23</v>
      </c>
      <c r="J2707" s="2" t="s">
        <v>19</v>
      </c>
      <c r="K2707" s="2" t="n">
        <v>7</v>
      </c>
      <c r="L2707" s="2" t="n">
        <v>0</v>
      </c>
      <c r="M2707" s="2" t="n">
        <v>0</v>
      </c>
    </row>
    <row r="2708" customFormat="false" ht="15" hidden="false" customHeight="false" outlineLevel="0" collapsed="false">
      <c r="A2708" s="2" t="s">
        <v>5686</v>
      </c>
      <c r="B2708" s="2" t="s">
        <v>5687</v>
      </c>
      <c r="C2708" s="2" t="n">
        <v>4</v>
      </c>
      <c r="D2708" s="2" t="s">
        <v>62</v>
      </c>
      <c r="E2708" s="2" t="s">
        <v>4951</v>
      </c>
      <c r="F2708" s="3" t="n">
        <v>45922.9590277778</v>
      </c>
      <c r="G2708" s="2" t="s">
        <v>5251</v>
      </c>
      <c r="H2708" s="4" t="n">
        <v>0.7088</v>
      </c>
      <c r="I2708" s="2" t="s">
        <v>23</v>
      </c>
      <c r="J2708" s="2" t="s">
        <v>19</v>
      </c>
      <c r="K2708" s="2" t="n">
        <v>10</v>
      </c>
      <c r="L2708" s="2" t="n">
        <v>0</v>
      </c>
      <c r="M2708" s="2" t="n">
        <v>0</v>
      </c>
    </row>
    <row r="2709" customFormat="false" ht="15" hidden="false" customHeight="false" outlineLevel="0" collapsed="false">
      <c r="A2709" s="2" t="s">
        <v>5688</v>
      </c>
      <c r="B2709" s="2" t="s">
        <v>5689</v>
      </c>
      <c r="C2709" s="2" t="n">
        <v>4</v>
      </c>
      <c r="D2709" s="2" t="s">
        <v>127</v>
      </c>
      <c r="E2709" s="2" t="s">
        <v>4951</v>
      </c>
      <c r="F2709" s="3" t="n">
        <v>45923.2680555556</v>
      </c>
      <c r="G2709" s="2" t="s">
        <v>5251</v>
      </c>
      <c r="H2709" s="4" t="n">
        <v>0.9359</v>
      </c>
      <c r="I2709" s="2" t="s">
        <v>23</v>
      </c>
      <c r="J2709" s="2" t="s">
        <v>37</v>
      </c>
      <c r="K2709" s="2" t="n">
        <v>3</v>
      </c>
      <c r="L2709" s="2" t="n">
        <v>0</v>
      </c>
      <c r="M2709" s="2" t="n">
        <v>0</v>
      </c>
    </row>
    <row r="2710" customFormat="false" ht="15" hidden="false" customHeight="false" outlineLevel="0" collapsed="false">
      <c r="A2710" s="2" t="s">
        <v>5690</v>
      </c>
      <c r="B2710" s="2" t="s">
        <v>5691</v>
      </c>
      <c r="C2710" s="2" t="n">
        <v>5</v>
      </c>
      <c r="D2710" s="2" t="s">
        <v>127</v>
      </c>
      <c r="E2710" s="2" t="s">
        <v>4951</v>
      </c>
      <c r="F2710" s="3" t="n">
        <v>45923.4409722222</v>
      </c>
      <c r="G2710" s="2" t="s">
        <v>5251</v>
      </c>
      <c r="H2710" s="4" t="n">
        <v>0.9359</v>
      </c>
      <c r="I2710" s="2" t="s">
        <v>23</v>
      </c>
      <c r="J2710" s="2" t="s">
        <v>37</v>
      </c>
      <c r="K2710" s="2" t="n">
        <v>3</v>
      </c>
      <c r="L2710" s="2" t="n">
        <v>0</v>
      </c>
      <c r="M2710" s="2" t="n">
        <v>0</v>
      </c>
    </row>
    <row r="2711" customFormat="false" ht="15" hidden="false" customHeight="false" outlineLevel="0" collapsed="false">
      <c r="A2711" s="2" t="s">
        <v>5692</v>
      </c>
      <c r="B2711" s="2" t="s">
        <v>5693</v>
      </c>
      <c r="C2711" s="2" t="n">
        <v>5</v>
      </c>
      <c r="D2711" s="2" t="s">
        <v>15</v>
      </c>
      <c r="E2711" s="2" t="s">
        <v>4951</v>
      </c>
      <c r="F2711" s="3" t="n">
        <v>45923.6131944444</v>
      </c>
      <c r="G2711" s="2" t="s">
        <v>5251</v>
      </c>
      <c r="H2711" s="4" t="n">
        <v>0</v>
      </c>
      <c r="I2711" s="2" t="s">
        <v>18</v>
      </c>
      <c r="J2711" s="2" t="s">
        <v>19</v>
      </c>
      <c r="K2711" s="2" t="n">
        <v>1</v>
      </c>
      <c r="L2711" s="2" t="n">
        <v>0</v>
      </c>
      <c r="M2711" s="2" t="n">
        <v>0</v>
      </c>
    </row>
    <row r="2712" customFormat="false" ht="15" hidden="false" customHeight="false" outlineLevel="0" collapsed="false">
      <c r="A2712" s="2" t="s">
        <v>5694</v>
      </c>
      <c r="B2712" s="2" t="s">
        <v>5695</v>
      </c>
      <c r="C2712" s="2" t="n">
        <v>5</v>
      </c>
      <c r="D2712" s="2" t="s">
        <v>127</v>
      </c>
      <c r="E2712" s="2" t="s">
        <v>4951</v>
      </c>
      <c r="F2712" s="3" t="n">
        <v>45923.71875</v>
      </c>
      <c r="G2712" s="2" t="s">
        <v>5251</v>
      </c>
      <c r="H2712" s="4" t="n">
        <v>0.9359</v>
      </c>
      <c r="I2712" s="2" t="s">
        <v>23</v>
      </c>
      <c r="J2712" s="2" t="s">
        <v>37</v>
      </c>
      <c r="K2712" s="2" t="n">
        <v>1</v>
      </c>
      <c r="L2712" s="2" t="n">
        <v>0</v>
      </c>
      <c r="M2712" s="2" t="n">
        <v>0</v>
      </c>
    </row>
    <row r="2713" customFormat="false" ht="15" hidden="false" customHeight="false" outlineLevel="0" collapsed="false">
      <c r="A2713" s="2" t="s">
        <v>5696</v>
      </c>
      <c r="B2713" s="2" t="s">
        <v>5697</v>
      </c>
      <c r="C2713" s="2" t="n">
        <v>4</v>
      </c>
      <c r="D2713" s="2" t="s">
        <v>22</v>
      </c>
      <c r="E2713" s="2" t="s">
        <v>4951</v>
      </c>
      <c r="F2713" s="3" t="n">
        <v>45923.7375</v>
      </c>
      <c r="G2713" s="2" t="s">
        <v>5251</v>
      </c>
      <c r="H2713" s="4" t="n">
        <v>0.2023</v>
      </c>
      <c r="I2713" s="2" t="s">
        <v>23</v>
      </c>
      <c r="J2713" s="2" t="s">
        <v>19</v>
      </c>
      <c r="K2713" s="2" t="n">
        <v>2</v>
      </c>
      <c r="L2713" s="2" t="n">
        <v>0</v>
      </c>
      <c r="M2713" s="2" t="n">
        <v>0</v>
      </c>
    </row>
    <row r="2714" customFormat="false" ht="15" hidden="false" customHeight="false" outlineLevel="0" collapsed="false">
      <c r="A2714" s="2" t="s">
        <v>5698</v>
      </c>
      <c r="B2714" s="2" t="s">
        <v>5699</v>
      </c>
      <c r="C2714" s="2" t="n">
        <v>5</v>
      </c>
      <c r="D2714" s="2" t="s">
        <v>282</v>
      </c>
      <c r="E2714" s="2" t="s">
        <v>4951</v>
      </c>
      <c r="F2714" s="3" t="n">
        <v>45923.7743055556</v>
      </c>
      <c r="G2714" s="2" t="s">
        <v>5251</v>
      </c>
      <c r="H2714" s="4" t="n">
        <v>0.7992</v>
      </c>
      <c r="I2714" s="2" t="s">
        <v>23</v>
      </c>
      <c r="J2714" s="2" t="s">
        <v>19</v>
      </c>
      <c r="K2714" s="2" t="n">
        <v>4</v>
      </c>
      <c r="L2714" s="2" t="n">
        <v>0</v>
      </c>
      <c r="M2714" s="2" t="n">
        <v>0</v>
      </c>
    </row>
    <row r="2715" customFormat="false" ht="15" hidden="false" customHeight="false" outlineLevel="0" collapsed="false">
      <c r="A2715" s="2" t="s">
        <v>5700</v>
      </c>
      <c r="B2715" s="2" t="s">
        <v>5701</v>
      </c>
      <c r="C2715" s="2" t="n">
        <v>3</v>
      </c>
      <c r="D2715" s="2" t="s">
        <v>2743</v>
      </c>
      <c r="E2715" s="2" t="s">
        <v>4951</v>
      </c>
      <c r="F2715" s="3" t="n">
        <v>45923.89375</v>
      </c>
      <c r="G2715" s="2" t="s">
        <v>5251</v>
      </c>
      <c r="H2715" s="4" t="n">
        <v>0.3809</v>
      </c>
      <c r="I2715" s="2" t="s">
        <v>23</v>
      </c>
      <c r="J2715" s="2" t="s">
        <v>19</v>
      </c>
      <c r="K2715" s="2" t="n">
        <v>7</v>
      </c>
      <c r="L2715" s="2" t="n">
        <v>0</v>
      </c>
      <c r="M2715" s="2" t="n">
        <v>0</v>
      </c>
    </row>
    <row r="2716" customFormat="false" ht="15" hidden="false" customHeight="false" outlineLevel="0" collapsed="false">
      <c r="A2716" s="2" t="s">
        <v>5702</v>
      </c>
      <c r="B2716" s="2" t="s">
        <v>5703</v>
      </c>
      <c r="C2716" s="2" t="n">
        <v>5</v>
      </c>
      <c r="D2716" s="2" t="s">
        <v>15</v>
      </c>
      <c r="E2716" s="2" t="s">
        <v>4951</v>
      </c>
      <c r="F2716" s="3" t="n">
        <v>45923.9597222222</v>
      </c>
      <c r="G2716" s="2" t="s">
        <v>5251</v>
      </c>
      <c r="H2716" s="4" t="n">
        <v>0</v>
      </c>
      <c r="I2716" s="2" t="s">
        <v>18</v>
      </c>
      <c r="J2716" s="2" t="s">
        <v>19</v>
      </c>
      <c r="K2716" s="2" t="n">
        <v>1</v>
      </c>
      <c r="L2716" s="2" t="n">
        <v>0</v>
      </c>
      <c r="M2716" s="2" t="n">
        <v>0</v>
      </c>
    </row>
    <row r="2717" customFormat="false" ht="15" hidden="false" customHeight="false" outlineLevel="0" collapsed="false">
      <c r="A2717" s="2" t="s">
        <v>5704</v>
      </c>
      <c r="B2717" s="2" t="s">
        <v>5705</v>
      </c>
      <c r="C2717" s="2" t="n">
        <v>5</v>
      </c>
      <c r="D2717" s="2" t="s">
        <v>52</v>
      </c>
      <c r="E2717" s="2" t="s">
        <v>4951</v>
      </c>
      <c r="F2717" s="3" t="n">
        <v>45923.9722222222</v>
      </c>
      <c r="G2717" s="2" t="s">
        <v>5251</v>
      </c>
      <c r="H2717" s="4" t="n">
        <v>0.6369</v>
      </c>
      <c r="I2717" s="2" t="s">
        <v>23</v>
      </c>
      <c r="J2717" s="2" t="s">
        <v>19</v>
      </c>
      <c r="K2717" s="2" t="n">
        <v>1</v>
      </c>
      <c r="L2717" s="2" t="n">
        <v>0</v>
      </c>
      <c r="M2717" s="2" t="n">
        <v>0</v>
      </c>
    </row>
    <row r="2718" customFormat="false" ht="15" hidden="false" customHeight="false" outlineLevel="0" collapsed="false">
      <c r="A2718" s="2" t="s">
        <v>5706</v>
      </c>
      <c r="B2718" s="2" t="s">
        <v>5707</v>
      </c>
      <c r="C2718" s="2" t="n">
        <v>4</v>
      </c>
      <c r="D2718" s="2" t="s">
        <v>40</v>
      </c>
      <c r="E2718" s="2" t="s">
        <v>4951</v>
      </c>
      <c r="F2718" s="3" t="n">
        <v>45924.0395833333</v>
      </c>
      <c r="G2718" s="2" t="s">
        <v>5251</v>
      </c>
      <c r="H2718" s="4" t="n">
        <v>0.4019</v>
      </c>
      <c r="I2718" s="2" t="s">
        <v>23</v>
      </c>
      <c r="J2718" s="2" t="s">
        <v>33</v>
      </c>
      <c r="K2718" s="2" t="n">
        <v>5</v>
      </c>
      <c r="L2718" s="2" t="n">
        <v>0</v>
      </c>
      <c r="M2718" s="2" t="n">
        <v>0</v>
      </c>
    </row>
    <row r="2719" customFormat="false" ht="15" hidden="false" customHeight="false" outlineLevel="0" collapsed="false">
      <c r="A2719" s="2" t="s">
        <v>5708</v>
      </c>
      <c r="B2719" s="2" t="s">
        <v>5709</v>
      </c>
      <c r="C2719" s="2" t="n">
        <v>5</v>
      </c>
      <c r="D2719" s="2" t="s">
        <v>52</v>
      </c>
      <c r="E2719" s="2" t="s">
        <v>4951</v>
      </c>
      <c r="F2719" s="3" t="n">
        <v>45924.0722222222</v>
      </c>
      <c r="G2719" s="2" t="s">
        <v>5251</v>
      </c>
      <c r="H2719" s="4" t="n">
        <v>0.6369</v>
      </c>
      <c r="I2719" s="2" t="s">
        <v>23</v>
      </c>
      <c r="J2719" s="2" t="s">
        <v>19</v>
      </c>
      <c r="K2719" s="2" t="n">
        <v>8</v>
      </c>
      <c r="L2719" s="2" t="n">
        <v>0</v>
      </c>
      <c r="M2719" s="2" t="n">
        <v>0</v>
      </c>
    </row>
    <row r="2720" customFormat="false" ht="15" hidden="false" customHeight="false" outlineLevel="0" collapsed="false">
      <c r="A2720" s="2" t="s">
        <v>5710</v>
      </c>
      <c r="B2720" s="2" t="s">
        <v>5711</v>
      </c>
      <c r="C2720" s="2" t="n">
        <v>5</v>
      </c>
      <c r="D2720" s="2" t="s">
        <v>47</v>
      </c>
      <c r="E2720" s="2" t="s">
        <v>4951</v>
      </c>
      <c r="F2720" s="3" t="n">
        <v>45924.5993055556</v>
      </c>
      <c r="G2720" s="2" t="s">
        <v>5251</v>
      </c>
      <c r="H2720" s="4" t="n">
        <v>0.3089</v>
      </c>
      <c r="I2720" s="2" t="s">
        <v>23</v>
      </c>
      <c r="J2720" s="2" t="s">
        <v>19</v>
      </c>
      <c r="K2720" s="2" t="n">
        <v>2</v>
      </c>
      <c r="L2720" s="2" t="n">
        <v>0</v>
      </c>
      <c r="M2720" s="2" t="n">
        <v>0</v>
      </c>
    </row>
    <row r="2721" customFormat="false" ht="15" hidden="false" customHeight="false" outlineLevel="0" collapsed="false">
      <c r="A2721" s="2" t="s">
        <v>5712</v>
      </c>
      <c r="B2721" s="2" t="s">
        <v>5713</v>
      </c>
      <c r="C2721" s="2" t="n">
        <v>5</v>
      </c>
      <c r="D2721" s="2" t="s">
        <v>40</v>
      </c>
      <c r="E2721" s="2" t="s">
        <v>4951</v>
      </c>
      <c r="F2721" s="3" t="n">
        <v>45924.7409722222</v>
      </c>
      <c r="G2721" s="2" t="s">
        <v>5251</v>
      </c>
      <c r="H2721" s="4" t="n">
        <v>0.4019</v>
      </c>
      <c r="I2721" s="2" t="s">
        <v>23</v>
      </c>
      <c r="J2721" s="2" t="s">
        <v>33</v>
      </c>
      <c r="K2721" s="2" t="n">
        <v>10</v>
      </c>
      <c r="L2721" s="2" t="n">
        <v>0</v>
      </c>
      <c r="M2721" s="2" t="n">
        <v>0</v>
      </c>
    </row>
    <row r="2722" customFormat="false" ht="15" hidden="false" customHeight="false" outlineLevel="0" collapsed="false">
      <c r="A2722" s="2" t="s">
        <v>5714</v>
      </c>
      <c r="B2722" s="2" t="s">
        <v>5715</v>
      </c>
      <c r="C2722" s="2" t="n">
        <v>1</v>
      </c>
      <c r="D2722" s="2" t="s">
        <v>661</v>
      </c>
      <c r="E2722" s="2" t="s">
        <v>4951</v>
      </c>
      <c r="F2722" s="3" t="n">
        <v>45924.8090277778</v>
      </c>
      <c r="G2722" s="2" t="s">
        <v>5251</v>
      </c>
      <c r="H2722" s="4" t="n">
        <v>0</v>
      </c>
      <c r="I2722" s="2" t="s">
        <v>18</v>
      </c>
      <c r="J2722" s="2" t="s">
        <v>59</v>
      </c>
      <c r="K2722" s="2" t="n">
        <v>4</v>
      </c>
      <c r="L2722" s="2" t="n">
        <v>1</v>
      </c>
      <c r="M2722" s="2" t="n">
        <v>0</v>
      </c>
    </row>
    <row r="2723" customFormat="false" ht="15" hidden="false" customHeight="false" outlineLevel="0" collapsed="false">
      <c r="A2723" s="2" t="s">
        <v>5716</v>
      </c>
      <c r="B2723" s="2" t="s">
        <v>5717</v>
      </c>
      <c r="C2723" s="2" t="n">
        <v>3</v>
      </c>
      <c r="D2723" s="2" t="s">
        <v>36</v>
      </c>
      <c r="E2723" s="2" t="s">
        <v>4951</v>
      </c>
      <c r="F2723" s="3" t="n">
        <v>45924.9375</v>
      </c>
      <c r="G2723" s="2" t="s">
        <v>5251</v>
      </c>
      <c r="H2723" s="4" t="n">
        <v>0.4404</v>
      </c>
      <c r="I2723" s="2" t="s">
        <v>23</v>
      </c>
      <c r="J2723" s="2" t="s">
        <v>37</v>
      </c>
      <c r="K2723" s="2" t="n">
        <v>4</v>
      </c>
      <c r="L2723" s="2" t="n">
        <v>0</v>
      </c>
      <c r="M2723" s="2" t="n">
        <v>0</v>
      </c>
    </row>
    <row r="2724" customFormat="false" ht="15" hidden="false" customHeight="false" outlineLevel="0" collapsed="false">
      <c r="A2724" s="2" t="s">
        <v>5718</v>
      </c>
      <c r="B2724" s="2" t="s">
        <v>5719</v>
      </c>
      <c r="C2724" s="2" t="n">
        <v>5</v>
      </c>
      <c r="D2724" s="2" t="s">
        <v>62</v>
      </c>
      <c r="E2724" s="2" t="s">
        <v>4951</v>
      </c>
      <c r="F2724" s="3" t="n">
        <v>45925.0465277778</v>
      </c>
      <c r="G2724" s="2" t="s">
        <v>5251</v>
      </c>
      <c r="H2724" s="4" t="n">
        <v>0.7088</v>
      </c>
      <c r="I2724" s="2" t="s">
        <v>23</v>
      </c>
      <c r="J2724" s="2" t="s">
        <v>19</v>
      </c>
      <c r="K2724" s="2" t="n">
        <v>5</v>
      </c>
      <c r="L2724" s="2" t="n">
        <v>0</v>
      </c>
      <c r="M2724" s="2" t="n">
        <v>0</v>
      </c>
    </row>
    <row r="2725" customFormat="false" ht="15" hidden="false" customHeight="false" outlineLevel="0" collapsed="false">
      <c r="A2725" s="2" t="s">
        <v>5720</v>
      </c>
      <c r="B2725" s="2" t="s">
        <v>5721</v>
      </c>
      <c r="C2725" s="2" t="n">
        <v>4</v>
      </c>
      <c r="D2725" s="2" t="s">
        <v>62</v>
      </c>
      <c r="E2725" s="2" t="s">
        <v>4951</v>
      </c>
      <c r="F2725" s="3" t="n">
        <v>45925.0875</v>
      </c>
      <c r="G2725" s="2" t="s">
        <v>5251</v>
      </c>
      <c r="H2725" s="4" t="n">
        <v>0.7088</v>
      </c>
      <c r="I2725" s="2" t="s">
        <v>23</v>
      </c>
      <c r="J2725" s="2" t="s">
        <v>19</v>
      </c>
      <c r="K2725" s="2" t="n">
        <v>5</v>
      </c>
      <c r="L2725" s="2" t="n">
        <v>0</v>
      </c>
      <c r="M2725" s="2" t="n">
        <v>0</v>
      </c>
    </row>
    <row r="2726" customFormat="false" ht="15" hidden="false" customHeight="false" outlineLevel="0" collapsed="false">
      <c r="A2726" s="2" t="s">
        <v>5722</v>
      </c>
      <c r="B2726" s="2" t="s">
        <v>5723</v>
      </c>
      <c r="C2726" s="2" t="n">
        <v>5</v>
      </c>
      <c r="D2726" s="2" t="s">
        <v>40</v>
      </c>
      <c r="E2726" s="2" t="s">
        <v>4951</v>
      </c>
      <c r="F2726" s="3" t="n">
        <v>45925.2583333333</v>
      </c>
      <c r="G2726" s="2" t="s">
        <v>5251</v>
      </c>
      <c r="H2726" s="4" t="n">
        <v>0.4019</v>
      </c>
      <c r="I2726" s="2" t="s">
        <v>23</v>
      </c>
      <c r="J2726" s="2" t="s">
        <v>33</v>
      </c>
      <c r="K2726" s="2" t="n">
        <v>4</v>
      </c>
      <c r="L2726" s="2" t="n">
        <v>0</v>
      </c>
      <c r="M2726" s="2" t="n">
        <v>0</v>
      </c>
    </row>
    <row r="2727" customFormat="false" ht="15" hidden="false" customHeight="false" outlineLevel="0" collapsed="false">
      <c r="A2727" s="2" t="s">
        <v>5724</v>
      </c>
      <c r="B2727" s="2" t="s">
        <v>5725</v>
      </c>
      <c r="C2727" s="2" t="n">
        <v>3</v>
      </c>
      <c r="D2727" s="2" t="s">
        <v>99</v>
      </c>
      <c r="E2727" s="2" t="s">
        <v>4951</v>
      </c>
      <c r="F2727" s="3" t="n">
        <v>45925.2833333333</v>
      </c>
      <c r="G2727" s="2" t="s">
        <v>5251</v>
      </c>
      <c r="H2727" s="4" t="n">
        <v>-0.3089</v>
      </c>
      <c r="I2727" s="2" t="s">
        <v>84</v>
      </c>
      <c r="J2727" s="2" t="s">
        <v>19</v>
      </c>
      <c r="K2727" s="2" t="n">
        <v>6</v>
      </c>
      <c r="L2727" s="2" t="n">
        <v>0</v>
      </c>
      <c r="M2727" s="2" t="n">
        <v>0</v>
      </c>
    </row>
    <row r="2728" customFormat="false" ht="15" hidden="false" customHeight="false" outlineLevel="0" collapsed="false">
      <c r="A2728" s="2" t="s">
        <v>5726</v>
      </c>
      <c r="B2728" s="2" t="s">
        <v>5727</v>
      </c>
      <c r="C2728" s="2" t="n">
        <v>3</v>
      </c>
      <c r="D2728" s="2" t="s">
        <v>36</v>
      </c>
      <c r="E2728" s="2" t="s">
        <v>4951</v>
      </c>
      <c r="F2728" s="3" t="n">
        <v>45925.3243055556</v>
      </c>
      <c r="G2728" s="2" t="s">
        <v>5251</v>
      </c>
      <c r="H2728" s="4" t="n">
        <v>0.4404</v>
      </c>
      <c r="I2728" s="2" t="s">
        <v>23</v>
      </c>
      <c r="J2728" s="2" t="s">
        <v>37</v>
      </c>
      <c r="K2728" s="2" t="n">
        <v>13</v>
      </c>
      <c r="L2728" s="2" t="n">
        <v>0</v>
      </c>
      <c r="M2728" s="2" t="n">
        <v>0</v>
      </c>
    </row>
    <row r="2729" customFormat="false" ht="15" hidden="false" customHeight="false" outlineLevel="0" collapsed="false">
      <c r="A2729" s="2" t="s">
        <v>5728</v>
      </c>
      <c r="B2729" s="2" t="s">
        <v>5729</v>
      </c>
      <c r="C2729" s="2" t="n">
        <v>5</v>
      </c>
      <c r="D2729" s="2" t="s">
        <v>96</v>
      </c>
      <c r="E2729" s="2" t="s">
        <v>4951</v>
      </c>
      <c r="F2729" s="3" t="n">
        <v>45925.4652777778</v>
      </c>
      <c r="G2729" s="2" t="s">
        <v>5251</v>
      </c>
      <c r="H2729" s="4" t="n">
        <v>0.6369</v>
      </c>
      <c r="I2729" s="2" t="s">
        <v>23</v>
      </c>
      <c r="J2729" s="2" t="s">
        <v>19</v>
      </c>
      <c r="K2729" s="2" t="n">
        <v>1</v>
      </c>
      <c r="L2729" s="2" t="n">
        <v>0</v>
      </c>
      <c r="M2729" s="2" t="n">
        <v>0</v>
      </c>
    </row>
    <row r="2730" customFormat="false" ht="15" hidden="false" customHeight="false" outlineLevel="0" collapsed="false">
      <c r="A2730" s="2" t="s">
        <v>5730</v>
      </c>
      <c r="B2730" s="2" t="s">
        <v>5731</v>
      </c>
      <c r="C2730" s="2" t="n">
        <v>4</v>
      </c>
      <c r="D2730" s="2" t="s">
        <v>99</v>
      </c>
      <c r="E2730" s="2" t="s">
        <v>4951</v>
      </c>
      <c r="F2730" s="3" t="n">
        <v>45925.8229166667</v>
      </c>
      <c r="G2730" s="2" t="s">
        <v>5251</v>
      </c>
      <c r="H2730" s="4" t="n">
        <v>-0.3089</v>
      </c>
      <c r="I2730" s="2" t="s">
        <v>84</v>
      </c>
      <c r="J2730" s="2" t="s">
        <v>19</v>
      </c>
      <c r="K2730" s="2" t="n">
        <v>0</v>
      </c>
      <c r="L2730" s="2" t="n">
        <v>0</v>
      </c>
      <c r="M2730" s="2" t="n">
        <v>0</v>
      </c>
    </row>
    <row r="2731" customFormat="false" ht="15" hidden="false" customHeight="false" outlineLevel="0" collapsed="false">
      <c r="A2731" s="2" t="s">
        <v>5732</v>
      </c>
      <c r="B2731" s="2" t="s">
        <v>5733</v>
      </c>
      <c r="C2731" s="2" t="n">
        <v>5</v>
      </c>
      <c r="D2731" s="2" t="s">
        <v>47</v>
      </c>
      <c r="E2731" s="2" t="s">
        <v>4951</v>
      </c>
      <c r="F2731" s="3" t="n">
        <v>45925.8430555556</v>
      </c>
      <c r="G2731" s="2" t="s">
        <v>5251</v>
      </c>
      <c r="H2731" s="4" t="n">
        <v>0.3089</v>
      </c>
      <c r="I2731" s="2" t="s">
        <v>23</v>
      </c>
      <c r="J2731" s="2" t="s">
        <v>19</v>
      </c>
      <c r="K2731" s="2" t="n">
        <v>1</v>
      </c>
      <c r="L2731" s="2" t="n">
        <v>0</v>
      </c>
      <c r="M2731" s="2" t="n">
        <v>0</v>
      </c>
    </row>
    <row r="2732" customFormat="false" ht="15" hidden="false" customHeight="false" outlineLevel="0" collapsed="false">
      <c r="A2732" s="2" t="s">
        <v>5734</v>
      </c>
      <c r="B2732" s="2" t="s">
        <v>5735</v>
      </c>
      <c r="C2732" s="2" t="n">
        <v>2</v>
      </c>
      <c r="D2732" s="2" t="s">
        <v>231</v>
      </c>
      <c r="E2732" s="2" t="s">
        <v>4951</v>
      </c>
      <c r="F2732" s="3" t="n">
        <v>45925.9222222222</v>
      </c>
      <c r="G2732" s="2" t="s">
        <v>5251</v>
      </c>
      <c r="H2732" s="4" t="n">
        <v>-0.3593</v>
      </c>
      <c r="I2732" s="2" t="s">
        <v>84</v>
      </c>
      <c r="J2732" s="2" t="s">
        <v>33</v>
      </c>
      <c r="K2732" s="2" t="n">
        <v>3</v>
      </c>
      <c r="L2732" s="2" t="n">
        <v>1</v>
      </c>
      <c r="M2732" s="2" t="n">
        <v>0</v>
      </c>
    </row>
    <row r="2733" customFormat="false" ht="15" hidden="false" customHeight="false" outlineLevel="0" collapsed="false">
      <c r="A2733" s="2" t="s">
        <v>5736</v>
      </c>
      <c r="B2733" s="2" t="s">
        <v>5737</v>
      </c>
      <c r="C2733" s="2" t="n">
        <v>3</v>
      </c>
      <c r="D2733" s="2" t="s">
        <v>36</v>
      </c>
      <c r="E2733" s="2" t="s">
        <v>4951</v>
      </c>
      <c r="F2733" s="3" t="n">
        <v>45925.9534722222</v>
      </c>
      <c r="G2733" s="2" t="s">
        <v>5251</v>
      </c>
      <c r="H2733" s="4" t="n">
        <v>0.4404</v>
      </c>
      <c r="I2733" s="2" t="s">
        <v>23</v>
      </c>
      <c r="J2733" s="2" t="s">
        <v>37</v>
      </c>
      <c r="K2733" s="2" t="n">
        <v>7</v>
      </c>
      <c r="L2733" s="2" t="n">
        <v>0</v>
      </c>
      <c r="M2733" s="2" t="n">
        <v>0</v>
      </c>
    </row>
    <row r="2734" customFormat="false" ht="15" hidden="false" customHeight="false" outlineLevel="0" collapsed="false">
      <c r="A2734" s="2" t="s">
        <v>5738</v>
      </c>
      <c r="B2734" s="2" t="s">
        <v>5739</v>
      </c>
      <c r="C2734" s="2" t="n">
        <v>2</v>
      </c>
      <c r="D2734" s="2" t="s">
        <v>199</v>
      </c>
      <c r="E2734" s="2" t="s">
        <v>4951</v>
      </c>
      <c r="F2734" s="3" t="n">
        <v>45926.0020833333</v>
      </c>
      <c r="G2734" s="2" t="s">
        <v>5251</v>
      </c>
      <c r="H2734" s="4" t="n">
        <v>-0.7424</v>
      </c>
      <c r="I2734" s="2" t="s">
        <v>84</v>
      </c>
      <c r="J2734" s="2" t="s">
        <v>59</v>
      </c>
      <c r="K2734" s="2" t="n">
        <v>3</v>
      </c>
      <c r="L2734" s="2" t="n">
        <v>1</v>
      </c>
      <c r="M2734" s="2" t="n">
        <v>0</v>
      </c>
    </row>
    <row r="2735" customFormat="false" ht="15" hidden="false" customHeight="false" outlineLevel="0" collapsed="false">
      <c r="A2735" s="2" t="s">
        <v>5740</v>
      </c>
      <c r="B2735" s="2" t="s">
        <v>5741</v>
      </c>
      <c r="C2735" s="2" t="n">
        <v>1</v>
      </c>
      <c r="D2735" s="2" t="s">
        <v>1034</v>
      </c>
      <c r="E2735" s="2" t="s">
        <v>4951</v>
      </c>
      <c r="F2735" s="3" t="n">
        <v>45926.1611111111</v>
      </c>
      <c r="G2735" s="2" t="s">
        <v>5251</v>
      </c>
      <c r="H2735" s="4" t="n">
        <v>0</v>
      </c>
      <c r="I2735" s="2" t="s">
        <v>18</v>
      </c>
      <c r="J2735" s="2" t="s">
        <v>110</v>
      </c>
      <c r="K2735" s="2" t="n">
        <v>3</v>
      </c>
      <c r="L2735" s="2" t="n">
        <v>1</v>
      </c>
      <c r="M2735" s="2" t="n">
        <v>0</v>
      </c>
    </row>
    <row r="2736" customFormat="false" ht="15" hidden="false" customHeight="false" outlineLevel="0" collapsed="false">
      <c r="A2736" s="2" t="s">
        <v>5742</v>
      </c>
      <c r="B2736" s="2" t="s">
        <v>5743</v>
      </c>
      <c r="C2736" s="2" t="n">
        <v>4</v>
      </c>
      <c r="D2736" s="2" t="s">
        <v>407</v>
      </c>
      <c r="E2736" s="2" t="s">
        <v>4951</v>
      </c>
      <c r="F2736" s="3" t="n">
        <v>45926.5</v>
      </c>
      <c r="G2736" s="2" t="s">
        <v>5251</v>
      </c>
      <c r="H2736" s="4" t="n">
        <v>0.7783</v>
      </c>
      <c r="I2736" s="2" t="s">
        <v>23</v>
      </c>
      <c r="J2736" s="2" t="s">
        <v>37</v>
      </c>
      <c r="K2736" s="2" t="n">
        <v>0</v>
      </c>
      <c r="L2736" s="2" t="n">
        <v>0</v>
      </c>
      <c r="M2736" s="2" t="n">
        <v>0</v>
      </c>
    </row>
    <row r="2737" customFormat="false" ht="15" hidden="false" customHeight="false" outlineLevel="0" collapsed="false">
      <c r="A2737" s="2" t="s">
        <v>5744</v>
      </c>
      <c r="B2737" s="2" t="s">
        <v>5745</v>
      </c>
      <c r="C2737" s="2" t="n">
        <v>1</v>
      </c>
      <c r="D2737" s="2" t="s">
        <v>498</v>
      </c>
      <c r="E2737" s="2" t="s">
        <v>4951</v>
      </c>
      <c r="F2737" s="3" t="n">
        <v>45926.6006944445</v>
      </c>
      <c r="G2737" s="2" t="s">
        <v>5251</v>
      </c>
      <c r="H2737" s="4" t="n">
        <v>0</v>
      </c>
      <c r="I2737" s="2" t="s">
        <v>18</v>
      </c>
      <c r="J2737" s="2" t="s">
        <v>165</v>
      </c>
      <c r="K2737" s="2" t="n">
        <v>2</v>
      </c>
      <c r="L2737" s="2" t="n">
        <v>1</v>
      </c>
      <c r="M2737" s="2" t="n">
        <v>0</v>
      </c>
    </row>
    <row r="2738" customFormat="false" ht="15" hidden="false" customHeight="false" outlineLevel="0" collapsed="false">
      <c r="A2738" s="2" t="s">
        <v>5746</v>
      </c>
      <c r="B2738" s="2" t="s">
        <v>5747</v>
      </c>
      <c r="C2738" s="2" t="n">
        <v>4</v>
      </c>
      <c r="D2738" s="2" t="s">
        <v>29</v>
      </c>
      <c r="E2738" s="2" t="s">
        <v>4951</v>
      </c>
      <c r="F2738" s="3" t="n">
        <v>45926.7201388889</v>
      </c>
      <c r="G2738" s="2" t="s">
        <v>5251</v>
      </c>
      <c r="H2738" s="4" t="n">
        <v>0.6369</v>
      </c>
      <c r="I2738" s="2" t="s">
        <v>23</v>
      </c>
      <c r="J2738" s="2" t="s">
        <v>19</v>
      </c>
      <c r="K2738" s="2" t="n">
        <v>2</v>
      </c>
      <c r="L2738" s="2" t="n">
        <v>0</v>
      </c>
      <c r="M2738" s="2" t="n">
        <v>0</v>
      </c>
    </row>
    <row r="2739" customFormat="false" ht="15" hidden="false" customHeight="false" outlineLevel="0" collapsed="false">
      <c r="A2739" s="2" t="s">
        <v>5748</v>
      </c>
      <c r="B2739" s="2" t="s">
        <v>2803</v>
      </c>
      <c r="C2739" s="2" t="n">
        <v>1</v>
      </c>
      <c r="D2739" s="2" t="s">
        <v>498</v>
      </c>
      <c r="E2739" s="2" t="s">
        <v>4951</v>
      </c>
      <c r="F2739" s="3" t="n">
        <v>45926.9715277778</v>
      </c>
      <c r="G2739" s="2" t="s">
        <v>5251</v>
      </c>
      <c r="H2739" s="4" t="n">
        <v>0</v>
      </c>
      <c r="I2739" s="2" t="s">
        <v>18</v>
      </c>
      <c r="J2739" s="2" t="s">
        <v>165</v>
      </c>
      <c r="K2739" s="2" t="n">
        <v>13</v>
      </c>
      <c r="L2739" s="2" t="n">
        <v>1</v>
      </c>
      <c r="M2739" s="2" t="n">
        <v>0</v>
      </c>
    </row>
    <row r="2740" customFormat="false" ht="15" hidden="false" customHeight="false" outlineLevel="0" collapsed="false">
      <c r="A2740" s="2" t="s">
        <v>5749</v>
      </c>
      <c r="B2740" s="2" t="s">
        <v>5750</v>
      </c>
      <c r="C2740" s="2" t="n">
        <v>3</v>
      </c>
      <c r="D2740" s="2" t="s">
        <v>301</v>
      </c>
      <c r="E2740" s="2" t="s">
        <v>4951</v>
      </c>
      <c r="F2740" s="3" t="n">
        <v>45927.0770833333</v>
      </c>
      <c r="G2740" s="2" t="s">
        <v>5251</v>
      </c>
      <c r="H2740" s="4" t="n">
        <v>0.2263</v>
      </c>
      <c r="I2740" s="2" t="s">
        <v>23</v>
      </c>
      <c r="J2740" s="2" t="s">
        <v>19</v>
      </c>
      <c r="K2740" s="2" t="n">
        <v>1</v>
      </c>
      <c r="L2740" s="2" t="n">
        <v>0</v>
      </c>
      <c r="M2740" s="2" t="n">
        <v>0</v>
      </c>
    </row>
    <row r="2741" customFormat="false" ht="15" hidden="false" customHeight="false" outlineLevel="0" collapsed="false">
      <c r="A2741" s="2" t="s">
        <v>5751</v>
      </c>
      <c r="B2741" s="2" t="s">
        <v>5752</v>
      </c>
      <c r="C2741" s="2" t="n">
        <v>5</v>
      </c>
      <c r="D2741" s="2" t="s">
        <v>47</v>
      </c>
      <c r="E2741" s="2" t="s">
        <v>4951</v>
      </c>
      <c r="F2741" s="3" t="n">
        <v>45927.3916666667</v>
      </c>
      <c r="G2741" s="2" t="s">
        <v>5251</v>
      </c>
      <c r="H2741" s="4" t="n">
        <v>0.3089</v>
      </c>
      <c r="I2741" s="2" t="s">
        <v>23</v>
      </c>
      <c r="J2741" s="2" t="s">
        <v>19</v>
      </c>
      <c r="K2741" s="2" t="n">
        <v>1</v>
      </c>
      <c r="L2741" s="2" t="n">
        <v>0</v>
      </c>
      <c r="M2741" s="2" t="n">
        <v>0</v>
      </c>
    </row>
    <row r="2742" customFormat="false" ht="15" hidden="false" customHeight="false" outlineLevel="0" collapsed="false">
      <c r="A2742" s="2" t="s">
        <v>5753</v>
      </c>
      <c r="B2742" s="2" t="s">
        <v>5754</v>
      </c>
      <c r="C2742" s="2" t="n">
        <v>5</v>
      </c>
      <c r="D2742" s="2" t="s">
        <v>15</v>
      </c>
      <c r="E2742" s="2" t="s">
        <v>4951</v>
      </c>
      <c r="F2742" s="3" t="n">
        <v>45927.4756944445</v>
      </c>
      <c r="G2742" s="2" t="s">
        <v>5251</v>
      </c>
      <c r="H2742" s="4" t="n">
        <v>0</v>
      </c>
      <c r="I2742" s="2" t="s">
        <v>18</v>
      </c>
      <c r="J2742" s="2" t="s">
        <v>19</v>
      </c>
      <c r="K2742" s="2" t="n">
        <v>3</v>
      </c>
      <c r="L2742" s="2" t="n">
        <v>0</v>
      </c>
      <c r="M2742" s="2" t="n">
        <v>0</v>
      </c>
    </row>
    <row r="2743" customFormat="false" ht="15" hidden="false" customHeight="false" outlineLevel="0" collapsed="false">
      <c r="A2743" s="2" t="s">
        <v>5755</v>
      </c>
      <c r="B2743" s="2" t="s">
        <v>5756</v>
      </c>
      <c r="C2743" s="2" t="n">
        <v>1</v>
      </c>
      <c r="D2743" s="2" t="s">
        <v>591</v>
      </c>
      <c r="E2743" s="2" t="s">
        <v>4951</v>
      </c>
      <c r="F2743" s="3" t="n">
        <v>45927.9034722222</v>
      </c>
      <c r="G2743" s="2" t="s">
        <v>5251</v>
      </c>
      <c r="H2743" s="4" t="n">
        <v>0</v>
      </c>
      <c r="I2743" s="2" t="s">
        <v>18</v>
      </c>
      <c r="J2743" s="2" t="s">
        <v>37</v>
      </c>
      <c r="K2743" s="2" t="n">
        <v>1</v>
      </c>
      <c r="L2743" s="2" t="n">
        <v>1</v>
      </c>
      <c r="M2743" s="2" t="n">
        <v>0</v>
      </c>
    </row>
    <row r="2744" customFormat="false" ht="15" hidden="false" customHeight="false" outlineLevel="0" collapsed="false">
      <c r="A2744" s="2" t="s">
        <v>5757</v>
      </c>
      <c r="B2744" s="2" t="s">
        <v>5758</v>
      </c>
      <c r="C2744" s="2" t="n">
        <v>5</v>
      </c>
      <c r="D2744" s="2" t="s">
        <v>96</v>
      </c>
      <c r="E2744" s="2" t="s">
        <v>4951</v>
      </c>
      <c r="F2744" s="3" t="n">
        <v>45928.0222222222</v>
      </c>
      <c r="G2744" s="2" t="s">
        <v>5251</v>
      </c>
      <c r="H2744" s="4" t="n">
        <v>0.6369</v>
      </c>
      <c r="I2744" s="2" t="s">
        <v>23</v>
      </c>
      <c r="J2744" s="2" t="s">
        <v>19</v>
      </c>
      <c r="K2744" s="2" t="n">
        <v>0</v>
      </c>
      <c r="L2744" s="2" t="n">
        <v>0</v>
      </c>
      <c r="M2744" s="2" t="n">
        <v>0</v>
      </c>
    </row>
    <row r="2745" customFormat="false" ht="15" hidden="false" customHeight="false" outlineLevel="0" collapsed="false">
      <c r="A2745" s="2" t="s">
        <v>5759</v>
      </c>
      <c r="B2745" s="2" t="s">
        <v>5760</v>
      </c>
      <c r="C2745" s="2" t="n">
        <v>3</v>
      </c>
      <c r="D2745" s="2" t="s">
        <v>99</v>
      </c>
      <c r="E2745" s="2" t="s">
        <v>4951</v>
      </c>
      <c r="F2745" s="3" t="n">
        <v>45928.0840277778</v>
      </c>
      <c r="G2745" s="2" t="s">
        <v>5251</v>
      </c>
      <c r="H2745" s="4" t="n">
        <v>-0.3089</v>
      </c>
      <c r="I2745" s="2" t="s">
        <v>84</v>
      </c>
      <c r="J2745" s="2" t="s">
        <v>19</v>
      </c>
      <c r="K2745" s="2" t="n">
        <v>15</v>
      </c>
      <c r="L2745" s="2" t="n">
        <v>0</v>
      </c>
      <c r="M2745" s="2" t="n">
        <v>0</v>
      </c>
    </row>
    <row r="2746" customFormat="false" ht="15" hidden="false" customHeight="false" outlineLevel="0" collapsed="false">
      <c r="A2746" s="2" t="s">
        <v>5761</v>
      </c>
      <c r="B2746" s="2" t="s">
        <v>5762</v>
      </c>
      <c r="C2746" s="2" t="n">
        <v>4</v>
      </c>
      <c r="D2746" s="2" t="s">
        <v>99</v>
      </c>
      <c r="E2746" s="2" t="s">
        <v>4951</v>
      </c>
      <c r="F2746" s="3" t="n">
        <v>45928.1361111111</v>
      </c>
      <c r="G2746" s="2" t="s">
        <v>5251</v>
      </c>
      <c r="H2746" s="4" t="n">
        <v>-0.3089</v>
      </c>
      <c r="I2746" s="2" t="s">
        <v>84</v>
      </c>
      <c r="J2746" s="2" t="s">
        <v>19</v>
      </c>
      <c r="K2746" s="2" t="n">
        <v>2</v>
      </c>
      <c r="L2746" s="2" t="n">
        <v>0</v>
      </c>
      <c r="M2746" s="2" t="n">
        <v>0</v>
      </c>
    </row>
    <row r="2747" customFormat="false" ht="15" hidden="false" customHeight="false" outlineLevel="0" collapsed="false">
      <c r="A2747" s="2" t="s">
        <v>5763</v>
      </c>
      <c r="B2747" s="2" t="s">
        <v>5764</v>
      </c>
      <c r="C2747" s="2" t="n">
        <v>5</v>
      </c>
      <c r="D2747" s="2" t="s">
        <v>47</v>
      </c>
      <c r="E2747" s="2" t="s">
        <v>4951</v>
      </c>
      <c r="F2747" s="3" t="n">
        <v>45928.1979166667</v>
      </c>
      <c r="G2747" s="2" t="s">
        <v>5251</v>
      </c>
      <c r="H2747" s="4" t="n">
        <v>0.3089</v>
      </c>
      <c r="I2747" s="2" t="s">
        <v>23</v>
      </c>
      <c r="J2747" s="2" t="s">
        <v>19</v>
      </c>
      <c r="K2747" s="2" t="n">
        <v>5</v>
      </c>
      <c r="L2747" s="2" t="n">
        <v>0</v>
      </c>
      <c r="M2747" s="2" t="n">
        <v>0</v>
      </c>
    </row>
    <row r="2748" customFormat="false" ht="15" hidden="false" customHeight="false" outlineLevel="0" collapsed="false">
      <c r="A2748" s="2" t="s">
        <v>5765</v>
      </c>
      <c r="B2748" s="2" t="s">
        <v>5766</v>
      </c>
      <c r="C2748" s="2" t="n">
        <v>2</v>
      </c>
      <c r="D2748" s="2" t="s">
        <v>168</v>
      </c>
      <c r="E2748" s="2" t="s">
        <v>4951</v>
      </c>
      <c r="F2748" s="3" t="n">
        <v>45928.50625</v>
      </c>
      <c r="G2748" s="2" t="s">
        <v>5251</v>
      </c>
      <c r="H2748" s="4" t="n">
        <v>-0.1027</v>
      </c>
      <c r="I2748" s="2" t="s">
        <v>84</v>
      </c>
      <c r="J2748" s="2" t="s">
        <v>33</v>
      </c>
      <c r="K2748" s="2" t="n">
        <v>5</v>
      </c>
      <c r="L2748" s="2" t="n">
        <v>1</v>
      </c>
      <c r="M2748" s="2" t="n">
        <v>0</v>
      </c>
    </row>
    <row r="2749" customFormat="false" ht="15" hidden="false" customHeight="false" outlineLevel="0" collapsed="false">
      <c r="A2749" s="2" t="s">
        <v>5767</v>
      </c>
      <c r="B2749" s="2" t="s">
        <v>5768</v>
      </c>
      <c r="C2749" s="2" t="n">
        <v>1</v>
      </c>
      <c r="D2749" s="2" t="s">
        <v>2162</v>
      </c>
      <c r="E2749" s="2" t="s">
        <v>4951</v>
      </c>
      <c r="F2749" s="3" t="n">
        <v>45928.5381944445</v>
      </c>
      <c r="G2749" s="2" t="s">
        <v>5251</v>
      </c>
      <c r="H2749" s="4" t="n">
        <v>-0.4533</v>
      </c>
      <c r="I2749" s="2" t="s">
        <v>84</v>
      </c>
      <c r="J2749" s="2" t="s">
        <v>59</v>
      </c>
      <c r="K2749" s="2" t="n">
        <v>7</v>
      </c>
      <c r="L2749" s="2" t="n">
        <v>1</v>
      </c>
      <c r="M2749" s="2" t="n">
        <v>0</v>
      </c>
    </row>
    <row r="2750" customFormat="false" ht="15" hidden="false" customHeight="false" outlineLevel="0" collapsed="false">
      <c r="A2750" s="2" t="s">
        <v>5769</v>
      </c>
      <c r="B2750" s="2" t="s">
        <v>5770</v>
      </c>
      <c r="C2750" s="2" t="n">
        <v>4</v>
      </c>
      <c r="D2750" s="2" t="s">
        <v>2587</v>
      </c>
      <c r="E2750" s="2" t="s">
        <v>4951</v>
      </c>
      <c r="F2750" s="3" t="n">
        <v>45928.6305555556</v>
      </c>
      <c r="G2750" s="2" t="s">
        <v>5251</v>
      </c>
      <c r="H2750" s="4" t="n">
        <v>0.9828</v>
      </c>
      <c r="I2750" s="2" t="s">
        <v>23</v>
      </c>
      <c r="J2750" s="2" t="s">
        <v>37</v>
      </c>
      <c r="K2750" s="2" t="n">
        <v>3</v>
      </c>
      <c r="L2750" s="2" t="n">
        <v>0</v>
      </c>
      <c r="M2750" s="2" t="n">
        <v>0</v>
      </c>
    </row>
    <row r="2751" customFormat="false" ht="15" hidden="false" customHeight="false" outlineLevel="0" collapsed="false">
      <c r="A2751" s="2" t="s">
        <v>5771</v>
      </c>
      <c r="B2751" s="2" t="s">
        <v>5772</v>
      </c>
      <c r="C2751" s="2" t="n">
        <v>2</v>
      </c>
      <c r="D2751" s="2" t="s">
        <v>179</v>
      </c>
      <c r="E2751" s="2" t="s">
        <v>4951</v>
      </c>
      <c r="F2751" s="3" t="n">
        <v>45928.7416666667</v>
      </c>
      <c r="G2751" s="2" t="s">
        <v>5251</v>
      </c>
      <c r="H2751" s="4" t="n">
        <v>-0.0258</v>
      </c>
      <c r="I2751" s="2" t="s">
        <v>18</v>
      </c>
      <c r="J2751" s="2" t="s">
        <v>59</v>
      </c>
      <c r="K2751" s="2" t="n">
        <v>8</v>
      </c>
      <c r="L2751" s="2" t="n">
        <v>0</v>
      </c>
      <c r="M2751" s="2" t="n">
        <v>0</v>
      </c>
    </row>
    <row r="2752" customFormat="false" ht="15" hidden="false" customHeight="false" outlineLevel="0" collapsed="false">
      <c r="A2752" s="2" t="s">
        <v>5773</v>
      </c>
      <c r="B2752" s="2" t="s">
        <v>2953</v>
      </c>
      <c r="C2752" s="2" t="n">
        <v>5</v>
      </c>
      <c r="D2752" s="2" t="s">
        <v>127</v>
      </c>
      <c r="E2752" s="2" t="s">
        <v>4951</v>
      </c>
      <c r="F2752" s="3" t="n">
        <v>45928.8666666667</v>
      </c>
      <c r="G2752" s="2" t="s">
        <v>5251</v>
      </c>
      <c r="H2752" s="4" t="n">
        <v>0.9359</v>
      </c>
      <c r="I2752" s="2" t="s">
        <v>23</v>
      </c>
      <c r="J2752" s="2" t="s">
        <v>37</v>
      </c>
      <c r="K2752" s="2" t="n">
        <v>5</v>
      </c>
      <c r="L2752" s="2" t="n">
        <v>0</v>
      </c>
      <c r="M2752" s="2" t="n">
        <v>0</v>
      </c>
    </row>
    <row r="2753" customFormat="false" ht="15" hidden="false" customHeight="false" outlineLevel="0" collapsed="false">
      <c r="A2753" s="2" t="s">
        <v>5774</v>
      </c>
      <c r="B2753" s="2" t="s">
        <v>5775</v>
      </c>
      <c r="C2753" s="2" t="n">
        <v>5</v>
      </c>
      <c r="D2753" s="2" t="s">
        <v>90</v>
      </c>
      <c r="E2753" s="2" t="s">
        <v>4951</v>
      </c>
      <c r="F2753" s="3" t="n">
        <v>45928.9520833333</v>
      </c>
      <c r="G2753" s="2" t="s">
        <v>5251</v>
      </c>
      <c r="H2753" s="4" t="n">
        <v>0.6249</v>
      </c>
      <c r="I2753" s="2" t="s">
        <v>23</v>
      </c>
      <c r="J2753" s="2" t="s">
        <v>37</v>
      </c>
      <c r="K2753" s="2" t="n">
        <v>5</v>
      </c>
      <c r="L2753" s="2" t="n">
        <v>0</v>
      </c>
      <c r="M2753" s="2" t="n">
        <v>0</v>
      </c>
    </row>
    <row r="2754" customFormat="false" ht="15" hidden="false" customHeight="false" outlineLevel="0" collapsed="false">
      <c r="A2754" s="2" t="s">
        <v>5776</v>
      </c>
      <c r="B2754" s="2" t="s">
        <v>5777</v>
      </c>
      <c r="C2754" s="2" t="n">
        <v>4</v>
      </c>
      <c r="D2754" s="2" t="s">
        <v>127</v>
      </c>
      <c r="E2754" s="2" t="s">
        <v>4951</v>
      </c>
      <c r="F2754" s="3" t="n">
        <v>45929.0694444445</v>
      </c>
      <c r="G2754" s="2" t="s">
        <v>5251</v>
      </c>
      <c r="H2754" s="4" t="n">
        <v>0.9359</v>
      </c>
      <c r="I2754" s="2" t="s">
        <v>23</v>
      </c>
      <c r="J2754" s="2" t="s">
        <v>37</v>
      </c>
      <c r="K2754" s="2" t="n">
        <v>3</v>
      </c>
      <c r="L2754" s="2" t="n">
        <v>0</v>
      </c>
      <c r="M2754" s="2" t="n">
        <v>0</v>
      </c>
    </row>
    <row r="2755" customFormat="false" ht="15" hidden="false" customHeight="false" outlineLevel="0" collapsed="false">
      <c r="A2755" s="2" t="s">
        <v>5778</v>
      </c>
      <c r="B2755" s="2" t="s">
        <v>5779</v>
      </c>
      <c r="C2755" s="2" t="n">
        <v>5</v>
      </c>
      <c r="D2755" s="2" t="s">
        <v>15</v>
      </c>
      <c r="E2755" s="2" t="s">
        <v>4951</v>
      </c>
      <c r="F2755" s="3" t="n">
        <v>45929.1131944444</v>
      </c>
      <c r="G2755" s="2" t="s">
        <v>5251</v>
      </c>
      <c r="H2755" s="4" t="n">
        <v>0</v>
      </c>
      <c r="I2755" s="2" t="s">
        <v>18</v>
      </c>
      <c r="J2755" s="2" t="s">
        <v>19</v>
      </c>
      <c r="K2755" s="2" t="n">
        <v>0</v>
      </c>
      <c r="L2755" s="2" t="n">
        <v>0</v>
      </c>
      <c r="M2755" s="2" t="n">
        <v>0</v>
      </c>
    </row>
    <row r="2756" customFormat="false" ht="15" hidden="false" customHeight="false" outlineLevel="0" collapsed="false">
      <c r="A2756" s="2" t="s">
        <v>5780</v>
      </c>
      <c r="B2756" s="2" t="s">
        <v>5781</v>
      </c>
      <c r="C2756" s="2" t="n">
        <v>3</v>
      </c>
      <c r="D2756" s="2" t="s">
        <v>179</v>
      </c>
      <c r="E2756" s="2" t="s">
        <v>4951</v>
      </c>
      <c r="F2756" s="3" t="n">
        <v>45929.1923611111</v>
      </c>
      <c r="G2756" s="2" t="s">
        <v>5251</v>
      </c>
      <c r="H2756" s="4" t="n">
        <v>-0.0258</v>
      </c>
      <c r="I2756" s="2" t="s">
        <v>18</v>
      </c>
      <c r="J2756" s="2" t="s">
        <v>59</v>
      </c>
      <c r="K2756" s="2" t="n">
        <v>5</v>
      </c>
      <c r="L2756" s="2" t="n">
        <v>0</v>
      </c>
      <c r="M2756" s="2" t="n">
        <v>0</v>
      </c>
    </row>
    <row r="2757" customFormat="false" ht="15" hidden="false" customHeight="false" outlineLevel="0" collapsed="false">
      <c r="A2757" s="2" t="s">
        <v>5782</v>
      </c>
      <c r="B2757" s="2" t="s">
        <v>5783</v>
      </c>
      <c r="C2757" s="2" t="n">
        <v>5</v>
      </c>
      <c r="D2757" s="2" t="s">
        <v>127</v>
      </c>
      <c r="E2757" s="2" t="s">
        <v>4951</v>
      </c>
      <c r="F2757" s="3" t="n">
        <v>45929.1993055556</v>
      </c>
      <c r="G2757" s="2" t="s">
        <v>5251</v>
      </c>
      <c r="H2757" s="4" t="n">
        <v>0.9359</v>
      </c>
      <c r="I2757" s="2" t="s">
        <v>23</v>
      </c>
      <c r="J2757" s="2" t="s">
        <v>37</v>
      </c>
      <c r="K2757" s="2" t="n">
        <v>1</v>
      </c>
      <c r="L2757" s="2" t="n">
        <v>0</v>
      </c>
      <c r="M2757" s="2" t="n">
        <v>0</v>
      </c>
    </row>
    <row r="2758" customFormat="false" ht="15" hidden="false" customHeight="false" outlineLevel="0" collapsed="false">
      <c r="A2758" s="2" t="s">
        <v>5784</v>
      </c>
      <c r="B2758" s="2" t="s">
        <v>5785</v>
      </c>
      <c r="C2758" s="2" t="n">
        <v>5</v>
      </c>
      <c r="D2758" s="2" t="s">
        <v>90</v>
      </c>
      <c r="E2758" s="2" t="s">
        <v>4951</v>
      </c>
      <c r="F2758" s="3" t="n">
        <v>45929.3548611111</v>
      </c>
      <c r="G2758" s="2" t="s">
        <v>5251</v>
      </c>
      <c r="H2758" s="4" t="n">
        <v>0.6249</v>
      </c>
      <c r="I2758" s="2" t="s">
        <v>23</v>
      </c>
      <c r="J2758" s="2" t="s">
        <v>37</v>
      </c>
      <c r="K2758" s="2" t="n">
        <v>4</v>
      </c>
      <c r="L2758" s="2" t="n">
        <v>0</v>
      </c>
      <c r="M2758" s="2" t="n">
        <v>0</v>
      </c>
    </row>
    <row r="2759" customFormat="false" ht="15" hidden="false" customHeight="false" outlineLevel="0" collapsed="false">
      <c r="A2759" s="2" t="s">
        <v>5786</v>
      </c>
      <c r="B2759" s="2" t="s">
        <v>5787</v>
      </c>
      <c r="C2759" s="2" t="n">
        <v>5</v>
      </c>
      <c r="D2759" s="2" t="s">
        <v>90</v>
      </c>
      <c r="E2759" s="2" t="s">
        <v>4951</v>
      </c>
      <c r="F2759" s="3" t="n">
        <v>45929.4291666667</v>
      </c>
      <c r="G2759" s="2" t="s">
        <v>5251</v>
      </c>
      <c r="H2759" s="4" t="n">
        <v>0.6249</v>
      </c>
      <c r="I2759" s="2" t="s">
        <v>23</v>
      </c>
      <c r="J2759" s="2" t="s">
        <v>37</v>
      </c>
      <c r="K2759" s="2" t="n">
        <v>4</v>
      </c>
      <c r="L2759" s="2" t="n">
        <v>0</v>
      </c>
      <c r="M2759" s="2" t="n">
        <v>0</v>
      </c>
    </row>
    <row r="2760" customFormat="false" ht="15" hidden="false" customHeight="false" outlineLevel="0" collapsed="false">
      <c r="A2760" s="2" t="s">
        <v>5788</v>
      </c>
      <c r="B2760" s="2" t="s">
        <v>5789</v>
      </c>
      <c r="C2760" s="2" t="n">
        <v>5</v>
      </c>
      <c r="D2760" s="2" t="s">
        <v>47</v>
      </c>
      <c r="E2760" s="2" t="s">
        <v>4951</v>
      </c>
      <c r="F2760" s="3" t="n">
        <v>45929.4743055556</v>
      </c>
      <c r="G2760" s="2" t="s">
        <v>5251</v>
      </c>
      <c r="H2760" s="4" t="n">
        <v>0.3089</v>
      </c>
      <c r="I2760" s="2" t="s">
        <v>23</v>
      </c>
      <c r="J2760" s="2" t="s">
        <v>19</v>
      </c>
      <c r="K2760" s="2" t="n">
        <v>2</v>
      </c>
      <c r="L2760" s="2" t="n">
        <v>0</v>
      </c>
      <c r="M2760" s="2" t="n">
        <v>0</v>
      </c>
    </row>
    <row r="2761" customFormat="false" ht="15" hidden="false" customHeight="false" outlineLevel="0" collapsed="false">
      <c r="A2761" s="2" t="s">
        <v>5790</v>
      </c>
      <c r="B2761" s="2" t="s">
        <v>5791</v>
      </c>
      <c r="C2761" s="2" t="n">
        <v>2</v>
      </c>
      <c r="D2761" s="2" t="s">
        <v>733</v>
      </c>
      <c r="E2761" s="2" t="s">
        <v>4951</v>
      </c>
      <c r="F2761" s="3" t="n">
        <v>45929.5006944445</v>
      </c>
      <c r="G2761" s="2" t="s">
        <v>5251</v>
      </c>
      <c r="H2761" s="4" t="n">
        <v>-0.2846</v>
      </c>
      <c r="I2761" s="2" t="s">
        <v>84</v>
      </c>
      <c r="J2761" s="2" t="s">
        <v>37</v>
      </c>
      <c r="K2761" s="2" t="n">
        <v>0</v>
      </c>
      <c r="L2761" s="2" t="n">
        <v>1</v>
      </c>
      <c r="M2761" s="2" t="n">
        <v>0</v>
      </c>
    </row>
    <row r="2762" customFormat="false" ht="15" hidden="false" customHeight="false" outlineLevel="0" collapsed="false">
      <c r="A2762" s="2" t="s">
        <v>5792</v>
      </c>
      <c r="B2762" s="2" t="s">
        <v>5793</v>
      </c>
      <c r="C2762" s="2" t="n">
        <v>5</v>
      </c>
      <c r="D2762" s="2" t="s">
        <v>130</v>
      </c>
      <c r="E2762" s="2" t="s">
        <v>4951</v>
      </c>
      <c r="F2762" s="3" t="n">
        <v>45929.5458333333</v>
      </c>
      <c r="G2762" s="2" t="s">
        <v>5251</v>
      </c>
      <c r="H2762" s="4" t="n">
        <v>0.6369</v>
      </c>
      <c r="I2762" s="2" t="s">
        <v>23</v>
      </c>
      <c r="J2762" s="2" t="s">
        <v>19</v>
      </c>
      <c r="K2762" s="2" t="n">
        <v>2</v>
      </c>
      <c r="L2762" s="2" t="n">
        <v>0</v>
      </c>
      <c r="M2762" s="2" t="n">
        <v>0</v>
      </c>
    </row>
    <row r="2763" customFormat="false" ht="15" hidden="false" customHeight="false" outlineLevel="0" collapsed="false">
      <c r="A2763" s="2" t="s">
        <v>5794</v>
      </c>
      <c r="B2763" s="2" t="s">
        <v>5795</v>
      </c>
      <c r="C2763" s="2" t="n">
        <v>5</v>
      </c>
      <c r="D2763" s="2" t="s">
        <v>62</v>
      </c>
      <c r="E2763" s="2" t="s">
        <v>4951</v>
      </c>
      <c r="F2763" s="3" t="n">
        <v>45929.7888888889</v>
      </c>
      <c r="G2763" s="2" t="s">
        <v>5251</v>
      </c>
      <c r="H2763" s="4" t="n">
        <v>0.7088</v>
      </c>
      <c r="I2763" s="2" t="s">
        <v>23</v>
      </c>
      <c r="J2763" s="2" t="s">
        <v>19</v>
      </c>
      <c r="K2763" s="2" t="n">
        <v>0</v>
      </c>
      <c r="L2763" s="2" t="n">
        <v>0</v>
      </c>
      <c r="M2763" s="2" t="n">
        <v>0</v>
      </c>
    </row>
    <row r="2764" customFormat="false" ht="15" hidden="false" customHeight="false" outlineLevel="0" collapsed="false">
      <c r="A2764" s="2" t="s">
        <v>5796</v>
      </c>
      <c r="B2764" s="2" t="s">
        <v>5797</v>
      </c>
      <c r="C2764" s="2" t="n">
        <v>5</v>
      </c>
      <c r="D2764" s="2" t="s">
        <v>90</v>
      </c>
      <c r="E2764" s="2" t="s">
        <v>4951</v>
      </c>
      <c r="F2764" s="3" t="n">
        <v>45929.9270833333</v>
      </c>
      <c r="G2764" s="2" t="s">
        <v>5251</v>
      </c>
      <c r="H2764" s="4" t="n">
        <v>0.6249</v>
      </c>
      <c r="I2764" s="2" t="s">
        <v>23</v>
      </c>
      <c r="J2764" s="2" t="s">
        <v>37</v>
      </c>
      <c r="K2764" s="2" t="n">
        <v>1</v>
      </c>
      <c r="L2764" s="2" t="n">
        <v>0</v>
      </c>
      <c r="M2764" s="2" t="n">
        <v>0</v>
      </c>
    </row>
    <row r="2765" customFormat="false" ht="15" hidden="false" customHeight="false" outlineLevel="0" collapsed="false">
      <c r="A2765" s="2" t="s">
        <v>5798</v>
      </c>
      <c r="B2765" s="2" t="s">
        <v>5799</v>
      </c>
      <c r="C2765" s="2" t="n">
        <v>5</v>
      </c>
      <c r="D2765" s="2" t="s">
        <v>96</v>
      </c>
      <c r="E2765" s="2" t="s">
        <v>4951</v>
      </c>
      <c r="F2765" s="3" t="n">
        <v>45930.2104166667</v>
      </c>
      <c r="G2765" s="2" t="s">
        <v>5251</v>
      </c>
      <c r="H2765" s="4" t="n">
        <v>0.6369</v>
      </c>
      <c r="I2765" s="2" t="s">
        <v>23</v>
      </c>
      <c r="J2765" s="2" t="s">
        <v>19</v>
      </c>
      <c r="K2765" s="2" t="n">
        <v>9</v>
      </c>
      <c r="L2765" s="2" t="n">
        <v>0</v>
      </c>
      <c r="M2765" s="2" t="n">
        <v>0</v>
      </c>
    </row>
    <row r="2766" customFormat="false" ht="15" hidden="false" customHeight="false" outlineLevel="0" collapsed="false">
      <c r="A2766" s="2" t="s">
        <v>5800</v>
      </c>
      <c r="B2766" s="2" t="s">
        <v>5801</v>
      </c>
      <c r="C2766" s="2" t="n">
        <v>5</v>
      </c>
      <c r="D2766" s="2" t="s">
        <v>96</v>
      </c>
      <c r="E2766" s="2" t="s">
        <v>4951</v>
      </c>
      <c r="F2766" s="3" t="n">
        <v>45930.3423611111</v>
      </c>
      <c r="G2766" s="2" t="s">
        <v>5251</v>
      </c>
      <c r="H2766" s="4" t="n">
        <v>0.6369</v>
      </c>
      <c r="I2766" s="2" t="s">
        <v>23</v>
      </c>
      <c r="J2766" s="2" t="s">
        <v>19</v>
      </c>
      <c r="K2766" s="2" t="n">
        <v>3</v>
      </c>
      <c r="L2766" s="2" t="n">
        <v>0</v>
      </c>
      <c r="M2766" s="2" t="n">
        <v>0</v>
      </c>
    </row>
    <row r="2767" customFormat="false" ht="15" hidden="false" customHeight="false" outlineLevel="0" collapsed="false">
      <c r="A2767" s="2" t="s">
        <v>5802</v>
      </c>
      <c r="B2767" s="2" t="s">
        <v>5803</v>
      </c>
      <c r="C2767" s="2" t="n">
        <v>4</v>
      </c>
      <c r="D2767" s="2" t="s">
        <v>2605</v>
      </c>
      <c r="E2767" s="2" t="s">
        <v>4951</v>
      </c>
      <c r="F2767" s="3" t="n">
        <v>45930.5965277778</v>
      </c>
      <c r="G2767" s="2" t="s">
        <v>5251</v>
      </c>
      <c r="H2767" s="4" t="n">
        <v>0.4867</v>
      </c>
      <c r="I2767" s="2" t="s">
        <v>23</v>
      </c>
      <c r="J2767" s="2" t="s">
        <v>19</v>
      </c>
      <c r="K2767" s="2" t="n">
        <v>0</v>
      </c>
      <c r="L2767" s="2" t="n">
        <v>0</v>
      </c>
      <c r="M2767" s="2" t="n">
        <v>0</v>
      </c>
    </row>
    <row r="2768" customFormat="false" ht="15" hidden="false" customHeight="false" outlineLevel="0" collapsed="false">
      <c r="A2768" s="2" t="s">
        <v>5804</v>
      </c>
      <c r="B2768" s="2" t="s">
        <v>5805</v>
      </c>
      <c r="C2768" s="2" t="n">
        <v>4</v>
      </c>
      <c r="D2768" s="2" t="s">
        <v>47</v>
      </c>
      <c r="E2768" s="2" t="s">
        <v>4951</v>
      </c>
      <c r="F2768" s="3" t="n">
        <v>45930.7888888889</v>
      </c>
      <c r="G2768" s="2" t="s">
        <v>5251</v>
      </c>
      <c r="H2768" s="4" t="n">
        <v>0.3089</v>
      </c>
      <c r="I2768" s="2" t="s">
        <v>23</v>
      </c>
      <c r="J2768" s="2" t="s">
        <v>19</v>
      </c>
      <c r="K2768" s="2" t="n">
        <v>2</v>
      </c>
      <c r="L2768" s="2" t="n">
        <v>0</v>
      </c>
      <c r="M2768" s="2" t="n">
        <v>0</v>
      </c>
    </row>
    <row r="2769" customFormat="false" ht="15" hidden="false" customHeight="false" outlineLevel="0" collapsed="false">
      <c r="A2769" s="2" t="s">
        <v>5806</v>
      </c>
      <c r="B2769" s="2" t="s">
        <v>5807</v>
      </c>
      <c r="C2769" s="2" t="n">
        <v>5</v>
      </c>
      <c r="D2769" s="2" t="s">
        <v>15</v>
      </c>
      <c r="E2769" s="2" t="s">
        <v>4951</v>
      </c>
      <c r="F2769" s="3" t="n">
        <v>45930.85</v>
      </c>
      <c r="G2769" s="2" t="s">
        <v>5251</v>
      </c>
      <c r="H2769" s="4" t="n">
        <v>0</v>
      </c>
      <c r="I2769" s="2" t="s">
        <v>18</v>
      </c>
      <c r="J2769" s="2" t="s">
        <v>19</v>
      </c>
      <c r="K2769" s="2" t="n">
        <v>1</v>
      </c>
      <c r="L2769" s="2" t="n">
        <v>0</v>
      </c>
      <c r="M2769" s="2" t="n">
        <v>0</v>
      </c>
    </row>
    <row r="2770" customFormat="false" ht="15" hidden="false" customHeight="false" outlineLevel="0" collapsed="false">
      <c r="A2770" s="2" t="s">
        <v>5808</v>
      </c>
      <c r="B2770" s="2" t="s">
        <v>5809</v>
      </c>
      <c r="C2770" s="2" t="n">
        <v>5</v>
      </c>
      <c r="D2770" s="2" t="s">
        <v>40</v>
      </c>
      <c r="E2770" s="2" t="s">
        <v>4951</v>
      </c>
      <c r="F2770" s="3" t="n">
        <v>45930.9152777778</v>
      </c>
      <c r="G2770" s="2" t="s">
        <v>5251</v>
      </c>
      <c r="H2770" s="4" t="n">
        <v>0.4019</v>
      </c>
      <c r="I2770" s="2" t="s">
        <v>23</v>
      </c>
      <c r="J2770" s="2" t="s">
        <v>33</v>
      </c>
      <c r="K2770" s="2" t="n">
        <v>0</v>
      </c>
      <c r="L2770" s="2" t="n">
        <v>0</v>
      </c>
      <c r="M2770" s="2" t="n">
        <v>0</v>
      </c>
    </row>
    <row r="2771" customFormat="false" ht="15" hidden="false" customHeight="false" outlineLevel="0" collapsed="false">
      <c r="A2771" s="2" t="s">
        <v>5810</v>
      </c>
      <c r="B2771" s="2" t="s">
        <v>5811</v>
      </c>
      <c r="C2771" s="2" t="n">
        <v>5</v>
      </c>
      <c r="D2771" s="2" t="s">
        <v>213</v>
      </c>
      <c r="E2771" s="2" t="s">
        <v>5812</v>
      </c>
      <c r="F2771" s="3" t="n">
        <v>45931.13125</v>
      </c>
      <c r="G2771" s="2" t="s">
        <v>5813</v>
      </c>
      <c r="H2771" s="4" t="n">
        <v>0.8651</v>
      </c>
      <c r="I2771" s="2" t="s">
        <v>23</v>
      </c>
      <c r="J2771" s="2" t="s">
        <v>19</v>
      </c>
      <c r="K2771" s="2" t="n">
        <v>4</v>
      </c>
      <c r="L2771" s="2" t="n">
        <v>0</v>
      </c>
      <c r="M2771" s="2" t="n">
        <v>1</v>
      </c>
    </row>
    <row r="2772" customFormat="false" ht="15" hidden="false" customHeight="false" outlineLevel="0" collapsed="false">
      <c r="A2772" s="2" t="s">
        <v>5814</v>
      </c>
      <c r="B2772" s="2" t="s">
        <v>5815</v>
      </c>
      <c r="C2772" s="2" t="n">
        <v>4</v>
      </c>
      <c r="D2772" s="2" t="s">
        <v>90</v>
      </c>
      <c r="E2772" s="2" t="s">
        <v>5812</v>
      </c>
      <c r="F2772" s="3" t="n">
        <v>45931.3597222222</v>
      </c>
      <c r="G2772" s="2" t="s">
        <v>5813</v>
      </c>
      <c r="H2772" s="4" t="n">
        <v>0.6249</v>
      </c>
      <c r="I2772" s="2" t="s">
        <v>23</v>
      </c>
      <c r="J2772" s="2" t="s">
        <v>37</v>
      </c>
      <c r="K2772" s="2" t="n">
        <v>2</v>
      </c>
      <c r="L2772" s="2" t="n">
        <v>0</v>
      </c>
      <c r="M2772" s="2" t="n">
        <v>1</v>
      </c>
    </row>
    <row r="2773" customFormat="false" ht="15" hidden="false" customHeight="false" outlineLevel="0" collapsed="false">
      <c r="A2773" s="2" t="s">
        <v>5816</v>
      </c>
      <c r="B2773" s="2" t="s">
        <v>5817</v>
      </c>
      <c r="C2773" s="2" t="n">
        <v>1</v>
      </c>
      <c r="D2773" s="2" t="s">
        <v>701</v>
      </c>
      <c r="E2773" s="2" t="s">
        <v>5812</v>
      </c>
      <c r="F2773" s="3" t="n">
        <v>45931.4520833333</v>
      </c>
      <c r="G2773" s="2" t="s">
        <v>5813</v>
      </c>
      <c r="H2773" s="4" t="n">
        <v>-0.7184</v>
      </c>
      <c r="I2773" s="2" t="s">
        <v>84</v>
      </c>
      <c r="J2773" s="2" t="s">
        <v>37</v>
      </c>
      <c r="K2773" s="2" t="n">
        <v>3</v>
      </c>
      <c r="L2773" s="2" t="n">
        <v>1</v>
      </c>
      <c r="M2773" s="2" t="n">
        <v>1</v>
      </c>
    </row>
    <row r="2774" customFormat="false" ht="15" hidden="false" customHeight="false" outlineLevel="0" collapsed="false">
      <c r="A2774" s="2" t="s">
        <v>5818</v>
      </c>
      <c r="B2774" s="2" t="s">
        <v>5819</v>
      </c>
      <c r="C2774" s="2" t="n">
        <v>4</v>
      </c>
      <c r="D2774" s="2" t="s">
        <v>22</v>
      </c>
      <c r="E2774" s="2" t="s">
        <v>5812</v>
      </c>
      <c r="F2774" s="3" t="n">
        <v>45931.4527777778</v>
      </c>
      <c r="G2774" s="2" t="s">
        <v>5813</v>
      </c>
      <c r="H2774" s="4" t="n">
        <v>0.2023</v>
      </c>
      <c r="I2774" s="2" t="s">
        <v>23</v>
      </c>
      <c r="J2774" s="2" t="s">
        <v>19</v>
      </c>
      <c r="K2774" s="2" t="n">
        <v>3</v>
      </c>
      <c r="L2774" s="2" t="n">
        <v>0</v>
      </c>
      <c r="M2774" s="2" t="n">
        <v>1</v>
      </c>
    </row>
    <row r="2775" customFormat="false" ht="15" hidden="false" customHeight="false" outlineLevel="0" collapsed="false">
      <c r="A2775" s="2" t="s">
        <v>5820</v>
      </c>
      <c r="B2775" s="2" t="s">
        <v>5821</v>
      </c>
      <c r="C2775" s="2" t="n">
        <v>4</v>
      </c>
      <c r="D2775" s="2" t="s">
        <v>15</v>
      </c>
      <c r="E2775" s="2" t="s">
        <v>5812</v>
      </c>
      <c r="F2775" s="3" t="n">
        <v>45931.54375</v>
      </c>
      <c r="G2775" s="2" t="s">
        <v>5813</v>
      </c>
      <c r="H2775" s="4" t="n">
        <v>0</v>
      </c>
      <c r="I2775" s="2" t="s">
        <v>18</v>
      </c>
      <c r="J2775" s="2" t="s">
        <v>19</v>
      </c>
      <c r="K2775" s="2" t="n">
        <v>8</v>
      </c>
      <c r="L2775" s="2" t="n">
        <v>0</v>
      </c>
      <c r="M2775" s="2" t="n">
        <v>1</v>
      </c>
    </row>
    <row r="2776" customFormat="false" ht="15" hidden="false" customHeight="false" outlineLevel="0" collapsed="false">
      <c r="A2776" s="2" t="s">
        <v>5822</v>
      </c>
      <c r="B2776" s="2" t="s">
        <v>5823</v>
      </c>
      <c r="C2776" s="2" t="n">
        <v>5</v>
      </c>
      <c r="D2776" s="2" t="s">
        <v>96</v>
      </c>
      <c r="E2776" s="2" t="s">
        <v>5812</v>
      </c>
      <c r="F2776" s="3" t="n">
        <v>45931.6868055556</v>
      </c>
      <c r="G2776" s="2" t="s">
        <v>5813</v>
      </c>
      <c r="H2776" s="4" t="n">
        <v>0.6369</v>
      </c>
      <c r="I2776" s="2" t="s">
        <v>23</v>
      </c>
      <c r="J2776" s="2" t="s">
        <v>19</v>
      </c>
      <c r="K2776" s="2" t="n">
        <v>4</v>
      </c>
      <c r="L2776" s="2" t="n">
        <v>0</v>
      </c>
      <c r="M2776" s="2" t="n">
        <v>1</v>
      </c>
    </row>
    <row r="2777" customFormat="false" ht="15" hidden="false" customHeight="false" outlineLevel="0" collapsed="false">
      <c r="A2777" s="2" t="s">
        <v>5824</v>
      </c>
      <c r="B2777" s="2" t="s">
        <v>5825</v>
      </c>
      <c r="C2777" s="2" t="n">
        <v>5</v>
      </c>
      <c r="D2777" s="2" t="s">
        <v>62</v>
      </c>
      <c r="E2777" s="2" t="s">
        <v>5812</v>
      </c>
      <c r="F2777" s="3" t="n">
        <v>45931.7465277778</v>
      </c>
      <c r="G2777" s="2" t="s">
        <v>5813</v>
      </c>
      <c r="H2777" s="4" t="n">
        <v>0.7088</v>
      </c>
      <c r="I2777" s="2" t="s">
        <v>23</v>
      </c>
      <c r="J2777" s="2" t="s">
        <v>19</v>
      </c>
      <c r="K2777" s="2" t="n">
        <v>0</v>
      </c>
      <c r="L2777" s="2" t="n">
        <v>0</v>
      </c>
      <c r="M2777" s="2" t="n">
        <v>1</v>
      </c>
    </row>
    <row r="2778" customFormat="false" ht="15" hidden="false" customHeight="false" outlineLevel="0" collapsed="false">
      <c r="A2778" s="2" t="s">
        <v>5826</v>
      </c>
      <c r="B2778" s="2" t="s">
        <v>5827</v>
      </c>
      <c r="C2778" s="2" t="n">
        <v>4</v>
      </c>
      <c r="D2778" s="2" t="s">
        <v>62</v>
      </c>
      <c r="E2778" s="2" t="s">
        <v>5812</v>
      </c>
      <c r="F2778" s="3" t="n">
        <v>45931.7631944444</v>
      </c>
      <c r="G2778" s="2" t="s">
        <v>5813</v>
      </c>
      <c r="H2778" s="4" t="n">
        <v>0.7088</v>
      </c>
      <c r="I2778" s="2" t="s">
        <v>23</v>
      </c>
      <c r="J2778" s="2" t="s">
        <v>19</v>
      </c>
      <c r="K2778" s="2" t="n">
        <v>3</v>
      </c>
      <c r="L2778" s="2" t="n">
        <v>0</v>
      </c>
      <c r="M2778" s="2" t="n">
        <v>1</v>
      </c>
    </row>
    <row r="2779" customFormat="false" ht="15" hidden="false" customHeight="false" outlineLevel="0" collapsed="false">
      <c r="A2779" s="2" t="s">
        <v>5828</v>
      </c>
      <c r="B2779" s="2" t="s">
        <v>5829</v>
      </c>
      <c r="C2779" s="2" t="n">
        <v>5</v>
      </c>
      <c r="D2779" s="2" t="s">
        <v>96</v>
      </c>
      <c r="E2779" s="2" t="s">
        <v>5812</v>
      </c>
      <c r="F2779" s="3" t="n">
        <v>45931.7666666667</v>
      </c>
      <c r="G2779" s="2" t="s">
        <v>5813</v>
      </c>
      <c r="H2779" s="4" t="n">
        <v>0.6369</v>
      </c>
      <c r="I2779" s="2" t="s">
        <v>23</v>
      </c>
      <c r="J2779" s="2" t="s">
        <v>19</v>
      </c>
      <c r="K2779" s="2" t="n">
        <v>5</v>
      </c>
      <c r="L2779" s="2" t="n">
        <v>0</v>
      </c>
      <c r="M2779" s="2" t="n">
        <v>1</v>
      </c>
    </row>
    <row r="2780" customFormat="false" ht="15" hidden="false" customHeight="false" outlineLevel="0" collapsed="false">
      <c r="A2780" s="2" t="s">
        <v>5830</v>
      </c>
      <c r="B2780" s="2" t="s">
        <v>5831</v>
      </c>
      <c r="C2780" s="2" t="n">
        <v>5</v>
      </c>
      <c r="D2780" s="2" t="s">
        <v>127</v>
      </c>
      <c r="E2780" s="2" t="s">
        <v>5812</v>
      </c>
      <c r="F2780" s="3" t="n">
        <v>45931.8145833333</v>
      </c>
      <c r="G2780" s="2" t="s">
        <v>5813</v>
      </c>
      <c r="H2780" s="4" t="n">
        <v>0.9359</v>
      </c>
      <c r="I2780" s="2" t="s">
        <v>23</v>
      </c>
      <c r="J2780" s="2" t="s">
        <v>37</v>
      </c>
      <c r="K2780" s="2" t="n">
        <v>3</v>
      </c>
      <c r="L2780" s="2" t="n">
        <v>0</v>
      </c>
      <c r="M2780" s="2" t="n">
        <v>1</v>
      </c>
    </row>
    <row r="2781" customFormat="false" ht="15" hidden="false" customHeight="false" outlineLevel="0" collapsed="false">
      <c r="A2781" s="2" t="s">
        <v>5832</v>
      </c>
      <c r="B2781" s="2" t="s">
        <v>5833</v>
      </c>
      <c r="C2781" s="2" t="n">
        <v>4</v>
      </c>
      <c r="D2781" s="2" t="s">
        <v>1197</v>
      </c>
      <c r="E2781" s="2" t="s">
        <v>5812</v>
      </c>
      <c r="F2781" s="3" t="n">
        <v>45931.8548611111</v>
      </c>
      <c r="G2781" s="2" t="s">
        <v>5813</v>
      </c>
      <c r="H2781" s="4" t="n">
        <v>0.3089</v>
      </c>
      <c r="I2781" s="2" t="s">
        <v>23</v>
      </c>
      <c r="J2781" s="2" t="s">
        <v>19</v>
      </c>
      <c r="K2781" s="2" t="n">
        <v>1</v>
      </c>
      <c r="L2781" s="2" t="n">
        <v>0</v>
      </c>
      <c r="M2781" s="2" t="n">
        <v>1</v>
      </c>
    </row>
    <row r="2782" customFormat="false" ht="15" hidden="false" customHeight="false" outlineLevel="0" collapsed="false">
      <c r="A2782" s="2" t="s">
        <v>5834</v>
      </c>
      <c r="B2782" s="2" t="s">
        <v>5835</v>
      </c>
      <c r="C2782" s="2" t="n">
        <v>5</v>
      </c>
      <c r="D2782" s="2" t="s">
        <v>96</v>
      </c>
      <c r="E2782" s="2" t="s">
        <v>5812</v>
      </c>
      <c r="F2782" s="3" t="n">
        <v>45932.2055555556</v>
      </c>
      <c r="G2782" s="2" t="s">
        <v>5813</v>
      </c>
      <c r="H2782" s="4" t="n">
        <v>0.6369</v>
      </c>
      <c r="I2782" s="2" t="s">
        <v>23</v>
      </c>
      <c r="J2782" s="2" t="s">
        <v>19</v>
      </c>
      <c r="K2782" s="2" t="n">
        <v>1</v>
      </c>
      <c r="L2782" s="2" t="n">
        <v>0</v>
      </c>
      <c r="M2782" s="2" t="n">
        <v>1</v>
      </c>
    </row>
    <row r="2783" customFormat="false" ht="15" hidden="false" customHeight="false" outlineLevel="0" collapsed="false">
      <c r="A2783" s="2" t="s">
        <v>5836</v>
      </c>
      <c r="B2783" s="2" t="s">
        <v>5837</v>
      </c>
      <c r="C2783" s="2" t="n">
        <v>4</v>
      </c>
      <c r="D2783" s="2" t="s">
        <v>96</v>
      </c>
      <c r="E2783" s="2" t="s">
        <v>5812</v>
      </c>
      <c r="F2783" s="3" t="n">
        <v>45932.2361111111</v>
      </c>
      <c r="G2783" s="2" t="s">
        <v>5813</v>
      </c>
      <c r="H2783" s="4" t="n">
        <v>0.6369</v>
      </c>
      <c r="I2783" s="2" t="s">
        <v>23</v>
      </c>
      <c r="J2783" s="2" t="s">
        <v>19</v>
      </c>
      <c r="K2783" s="2" t="n">
        <v>3</v>
      </c>
      <c r="L2783" s="2" t="n">
        <v>0</v>
      </c>
      <c r="M2783" s="2" t="n">
        <v>1</v>
      </c>
    </row>
    <row r="2784" customFormat="false" ht="15" hidden="false" customHeight="false" outlineLevel="0" collapsed="false">
      <c r="A2784" s="2" t="s">
        <v>5838</v>
      </c>
      <c r="B2784" s="2" t="s">
        <v>5839</v>
      </c>
      <c r="C2784" s="2" t="n">
        <v>1</v>
      </c>
      <c r="D2784" s="2" t="s">
        <v>946</v>
      </c>
      <c r="E2784" s="2" t="s">
        <v>5812</v>
      </c>
      <c r="F2784" s="3" t="n">
        <v>45932.3076388889</v>
      </c>
      <c r="G2784" s="2" t="s">
        <v>5813</v>
      </c>
      <c r="H2784" s="4" t="n">
        <v>-0.25</v>
      </c>
      <c r="I2784" s="2" t="s">
        <v>84</v>
      </c>
      <c r="J2784" s="2" t="s">
        <v>37</v>
      </c>
      <c r="K2784" s="2" t="n">
        <v>5</v>
      </c>
      <c r="L2784" s="2" t="n">
        <v>0</v>
      </c>
      <c r="M2784" s="2" t="n">
        <v>1</v>
      </c>
    </row>
    <row r="2785" customFormat="false" ht="15" hidden="false" customHeight="false" outlineLevel="0" collapsed="false">
      <c r="A2785" s="2" t="s">
        <v>5840</v>
      </c>
      <c r="B2785" s="2" t="s">
        <v>5841</v>
      </c>
      <c r="C2785" s="2" t="n">
        <v>1</v>
      </c>
      <c r="D2785" s="2" t="s">
        <v>2258</v>
      </c>
      <c r="E2785" s="2" t="s">
        <v>5812</v>
      </c>
      <c r="F2785" s="3" t="n">
        <v>45932.4194444444</v>
      </c>
      <c r="G2785" s="2" t="s">
        <v>5813</v>
      </c>
      <c r="H2785" s="4" t="n">
        <v>-0.1154</v>
      </c>
      <c r="I2785" s="2" t="s">
        <v>84</v>
      </c>
      <c r="J2785" s="2" t="s">
        <v>165</v>
      </c>
      <c r="K2785" s="2" t="n">
        <v>0</v>
      </c>
      <c r="L2785" s="2" t="n">
        <v>0</v>
      </c>
      <c r="M2785" s="2" t="n">
        <v>1</v>
      </c>
    </row>
    <row r="2786" customFormat="false" ht="15" hidden="false" customHeight="false" outlineLevel="0" collapsed="false">
      <c r="A2786" s="2" t="s">
        <v>5842</v>
      </c>
      <c r="B2786" s="2" t="s">
        <v>5843</v>
      </c>
      <c r="C2786" s="2" t="n">
        <v>5</v>
      </c>
      <c r="D2786" s="2" t="s">
        <v>1249</v>
      </c>
      <c r="E2786" s="2" t="s">
        <v>5812</v>
      </c>
      <c r="F2786" s="3" t="n">
        <v>45932.675</v>
      </c>
      <c r="G2786" s="2" t="s">
        <v>5813</v>
      </c>
      <c r="H2786" s="4" t="n">
        <v>0.8519</v>
      </c>
      <c r="I2786" s="2" t="s">
        <v>23</v>
      </c>
      <c r="J2786" s="2" t="s">
        <v>37</v>
      </c>
      <c r="K2786" s="2" t="n">
        <v>7</v>
      </c>
      <c r="L2786" s="2" t="n">
        <v>0</v>
      </c>
      <c r="M2786" s="2" t="n">
        <v>1</v>
      </c>
    </row>
    <row r="2787" customFormat="false" ht="15" hidden="false" customHeight="false" outlineLevel="0" collapsed="false">
      <c r="A2787" s="2" t="s">
        <v>5844</v>
      </c>
      <c r="B2787" s="2" t="s">
        <v>5845</v>
      </c>
      <c r="C2787" s="2" t="n">
        <v>5</v>
      </c>
      <c r="D2787" s="2" t="s">
        <v>40</v>
      </c>
      <c r="E2787" s="2" t="s">
        <v>5812</v>
      </c>
      <c r="F2787" s="3" t="n">
        <v>45932.7243055556</v>
      </c>
      <c r="G2787" s="2" t="s">
        <v>5813</v>
      </c>
      <c r="H2787" s="4" t="n">
        <v>0.4019</v>
      </c>
      <c r="I2787" s="2" t="s">
        <v>23</v>
      </c>
      <c r="J2787" s="2" t="s">
        <v>33</v>
      </c>
      <c r="K2787" s="2" t="n">
        <v>5</v>
      </c>
      <c r="L2787" s="2" t="n">
        <v>0</v>
      </c>
      <c r="M2787" s="2" t="n">
        <v>1</v>
      </c>
    </row>
    <row r="2788" customFormat="false" ht="15" hidden="false" customHeight="false" outlineLevel="0" collapsed="false">
      <c r="A2788" s="2" t="s">
        <v>5846</v>
      </c>
      <c r="B2788" s="2" t="s">
        <v>5847</v>
      </c>
      <c r="C2788" s="2" t="n">
        <v>1</v>
      </c>
      <c r="D2788" s="2" t="s">
        <v>295</v>
      </c>
      <c r="E2788" s="2" t="s">
        <v>5812</v>
      </c>
      <c r="F2788" s="3" t="n">
        <v>45932.7277777778</v>
      </c>
      <c r="G2788" s="2" t="s">
        <v>5813</v>
      </c>
      <c r="H2788" s="4" t="n">
        <v>-0.5023</v>
      </c>
      <c r="I2788" s="2" t="s">
        <v>84</v>
      </c>
      <c r="J2788" s="2" t="s">
        <v>33</v>
      </c>
      <c r="K2788" s="2" t="n">
        <v>2</v>
      </c>
      <c r="L2788" s="2" t="n">
        <v>1</v>
      </c>
      <c r="M2788" s="2" t="n">
        <v>1</v>
      </c>
    </row>
    <row r="2789" customFormat="false" ht="15" hidden="false" customHeight="false" outlineLevel="0" collapsed="false">
      <c r="A2789" s="2" t="s">
        <v>5848</v>
      </c>
      <c r="B2789" s="2" t="s">
        <v>5849</v>
      </c>
      <c r="C2789" s="2" t="n">
        <v>5</v>
      </c>
      <c r="D2789" s="2" t="s">
        <v>47</v>
      </c>
      <c r="E2789" s="2" t="s">
        <v>5812</v>
      </c>
      <c r="F2789" s="3" t="n">
        <v>45932.7840277778</v>
      </c>
      <c r="G2789" s="2" t="s">
        <v>5813</v>
      </c>
      <c r="H2789" s="4" t="n">
        <v>0.3089</v>
      </c>
      <c r="I2789" s="2" t="s">
        <v>23</v>
      </c>
      <c r="J2789" s="2" t="s">
        <v>19</v>
      </c>
      <c r="K2789" s="2" t="n">
        <v>3</v>
      </c>
      <c r="L2789" s="2" t="n">
        <v>0</v>
      </c>
      <c r="M2789" s="2" t="n">
        <v>1</v>
      </c>
    </row>
    <row r="2790" customFormat="false" ht="15" hidden="false" customHeight="false" outlineLevel="0" collapsed="false">
      <c r="A2790" s="2" t="s">
        <v>5850</v>
      </c>
      <c r="B2790" s="2" t="s">
        <v>5851</v>
      </c>
      <c r="C2790" s="2" t="n">
        <v>5</v>
      </c>
      <c r="D2790" s="2" t="s">
        <v>96</v>
      </c>
      <c r="E2790" s="2" t="s">
        <v>5812</v>
      </c>
      <c r="F2790" s="3" t="n">
        <v>45932.7916666667</v>
      </c>
      <c r="G2790" s="2" t="s">
        <v>5813</v>
      </c>
      <c r="H2790" s="4" t="n">
        <v>0.6369</v>
      </c>
      <c r="I2790" s="2" t="s">
        <v>23</v>
      </c>
      <c r="J2790" s="2" t="s">
        <v>19</v>
      </c>
      <c r="K2790" s="2" t="n">
        <v>2</v>
      </c>
      <c r="L2790" s="2" t="n">
        <v>0</v>
      </c>
      <c r="M2790" s="2" t="n">
        <v>1</v>
      </c>
    </row>
    <row r="2791" customFormat="false" ht="15" hidden="false" customHeight="false" outlineLevel="0" collapsed="false">
      <c r="A2791" s="2" t="s">
        <v>5852</v>
      </c>
      <c r="B2791" s="2" t="s">
        <v>5853</v>
      </c>
      <c r="C2791" s="2" t="n">
        <v>4</v>
      </c>
      <c r="D2791" s="2" t="s">
        <v>15</v>
      </c>
      <c r="E2791" s="2" t="s">
        <v>5812</v>
      </c>
      <c r="F2791" s="3" t="n">
        <v>45932.8284722222</v>
      </c>
      <c r="G2791" s="2" t="s">
        <v>5813</v>
      </c>
      <c r="H2791" s="4" t="n">
        <v>0</v>
      </c>
      <c r="I2791" s="2" t="s">
        <v>18</v>
      </c>
      <c r="J2791" s="2" t="s">
        <v>19</v>
      </c>
      <c r="K2791" s="2" t="n">
        <v>8</v>
      </c>
      <c r="L2791" s="2" t="n">
        <v>0</v>
      </c>
      <c r="M2791" s="2" t="n">
        <v>1</v>
      </c>
    </row>
    <row r="2792" customFormat="false" ht="15" hidden="false" customHeight="false" outlineLevel="0" collapsed="false">
      <c r="A2792" s="2" t="s">
        <v>5854</v>
      </c>
      <c r="B2792" s="2" t="s">
        <v>5855</v>
      </c>
      <c r="C2792" s="2" t="n">
        <v>1</v>
      </c>
      <c r="D2792" s="2" t="s">
        <v>661</v>
      </c>
      <c r="E2792" s="2" t="s">
        <v>5812</v>
      </c>
      <c r="F2792" s="3" t="n">
        <v>45932.8340277778</v>
      </c>
      <c r="G2792" s="2" t="s">
        <v>5813</v>
      </c>
      <c r="H2792" s="4" t="n">
        <v>0</v>
      </c>
      <c r="I2792" s="2" t="s">
        <v>18</v>
      </c>
      <c r="J2792" s="2" t="s">
        <v>59</v>
      </c>
      <c r="K2792" s="2" t="n">
        <v>0</v>
      </c>
      <c r="L2792" s="2" t="n">
        <v>1</v>
      </c>
      <c r="M2792" s="2" t="n">
        <v>1</v>
      </c>
    </row>
    <row r="2793" customFormat="false" ht="15" hidden="false" customHeight="false" outlineLevel="0" collapsed="false">
      <c r="A2793" s="2" t="s">
        <v>5856</v>
      </c>
      <c r="B2793" s="2" t="s">
        <v>5857</v>
      </c>
      <c r="C2793" s="2" t="n">
        <v>5</v>
      </c>
      <c r="D2793" s="2" t="s">
        <v>62</v>
      </c>
      <c r="E2793" s="2" t="s">
        <v>5812</v>
      </c>
      <c r="F2793" s="3" t="n">
        <v>45932.8541666667</v>
      </c>
      <c r="G2793" s="2" t="s">
        <v>5813</v>
      </c>
      <c r="H2793" s="4" t="n">
        <v>0.7088</v>
      </c>
      <c r="I2793" s="2" t="s">
        <v>23</v>
      </c>
      <c r="J2793" s="2" t="s">
        <v>19</v>
      </c>
      <c r="K2793" s="2" t="n">
        <v>1</v>
      </c>
      <c r="L2793" s="2" t="n">
        <v>0</v>
      </c>
      <c r="M2793" s="2" t="n">
        <v>1</v>
      </c>
    </row>
    <row r="2794" customFormat="false" ht="15" hidden="false" customHeight="false" outlineLevel="0" collapsed="false">
      <c r="A2794" s="2" t="s">
        <v>5858</v>
      </c>
      <c r="B2794" s="2" t="s">
        <v>5859</v>
      </c>
      <c r="C2794" s="2" t="n">
        <v>5</v>
      </c>
      <c r="D2794" s="2" t="s">
        <v>90</v>
      </c>
      <c r="E2794" s="2" t="s">
        <v>5812</v>
      </c>
      <c r="F2794" s="3" t="n">
        <v>45932.9270833333</v>
      </c>
      <c r="G2794" s="2" t="s">
        <v>5813</v>
      </c>
      <c r="H2794" s="4" t="n">
        <v>0.6249</v>
      </c>
      <c r="I2794" s="2" t="s">
        <v>23</v>
      </c>
      <c r="J2794" s="2" t="s">
        <v>37</v>
      </c>
      <c r="K2794" s="2" t="n">
        <v>7</v>
      </c>
      <c r="L2794" s="2" t="n">
        <v>0</v>
      </c>
      <c r="M2794" s="2" t="n">
        <v>1</v>
      </c>
    </row>
    <row r="2795" customFormat="false" ht="15" hidden="false" customHeight="false" outlineLevel="0" collapsed="false">
      <c r="A2795" s="2" t="s">
        <v>5860</v>
      </c>
      <c r="B2795" s="2" t="s">
        <v>5861</v>
      </c>
      <c r="C2795" s="2" t="n">
        <v>4</v>
      </c>
      <c r="D2795" s="2" t="s">
        <v>784</v>
      </c>
      <c r="E2795" s="2" t="s">
        <v>5812</v>
      </c>
      <c r="F2795" s="3" t="n">
        <v>45933.4118055556</v>
      </c>
      <c r="G2795" s="2" t="s">
        <v>5813</v>
      </c>
      <c r="H2795" s="4" t="n">
        <v>0.6082</v>
      </c>
      <c r="I2795" s="2" t="s">
        <v>23</v>
      </c>
      <c r="J2795" s="2" t="s">
        <v>33</v>
      </c>
      <c r="K2795" s="2" t="n">
        <v>0</v>
      </c>
      <c r="L2795" s="2" t="n">
        <v>1</v>
      </c>
      <c r="M2795" s="2" t="n">
        <v>1</v>
      </c>
    </row>
    <row r="2796" customFormat="false" ht="15" hidden="false" customHeight="false" outlineLevel="0" collapsed="false">
      <c r="A2796" s="2" t="s">
        <v>5862</v>
      </c>
      <c r="B2796" s="2" t="s">
        <v>5863</v>
      </c>
      <c r="C2796" s="2" t="n">
        <v>4</v>
      </c>
      <c r="D2796" s="2" t="s">
        <v>87</v>
      </c>
      <c r="E2796" s="2" t="s">
        <v>5812</v>
      </c>
      <c r="F2796" s="3" t="n">
        <v>45933.4909722222</v>
      </c>
      <c r="G2796" s="2" t="s">
        <v>5813</v>
      </c>
      <c r="H2796" s="4" t="n">
        <v>0</v>
      </c>
      <c r="I2796" s="2" t="s">
        <v>18</v>
      </c>
      <c r="J2796" s="2" t="s">
        <v>19</v>
      </c>
      <c r="K2796" s="2" t="n">
        <v>10</v>
      </c>
      <c r="L2796" s="2" t="n">
        <v>0</v>
      </c>
      <c r="M2796" s="2" t="n">
        <v>1</v>
      </c>
    </row>
    <row r="2797" customFormat="false" ht="15" hidden="false" customHeight="false" outlineLevel="0" collapsed="false">
      <c r="A2797" s="2" t="s">
        <v>5864</v>
      </c>
      <c r="B2797" s="2" t="s">
        <v>5865</v>
      </c>
      <c r="C2797" s="2" t="n">
        <v>4</v>
      </c>
      <c r="D2797" s="2" t="s">
        <v>36</v>
      </c>
      <c r="E2797" s="2" t="s">
        <v>5812</v>
      </c>
      <c r="F2797" s="3" t="n">
        <v>45933.6875</v>
      </c>
      <c r="G2797" s="2" t="s">
        <v>5813</v>
      </c>
      <c r="H2797" s="4" t="n">
        <v>0.4404</v>
      </c>
      <c r="I2797" s="2" t="s">
        <v>23</v>
      </c>
      <c r="J2797" s="2" t="s">
        <v>37</v>
      </c>
      <c r="K2797" s="2" t="n">
        <v>0</v>
      </c>
      <c r="L2797" s="2" t="n">
        <v>0</v>
      </c>
      <c r="M2797" s="2" t="n">
        <v>1</v>
      </c>
    </row>
    <row r="2798" customFormat="false" ht="15" hidden="false" customHeight="false" outlineLevel="0" collapsed="false">
      <c r="A2798" s="2" t="s">
        <v>5866</v>
      </c>
      <c r="B2798" s="2" t="s">
        <v>5867</v>
      </c>
      <c r="C2798" s="2" t="n">
        <v>4</v>
      </c>
      <c r="D2798" s="2" t="s">
        <v>40</v>
      </c>
      <c r="E2798" s="2" t="s">
        <v>5812</v>
      </c>
      <c r="F2798" s="3" t="n">
        <v>45933.9506944444</v>
      </c>
      <c r="G2798" s="2" t="s">
        <v>5813</v>
      </c>
      <c r="H2798" s="4" t="n">
        <v>0.4019</v>
      </c>
      <c r="I2798" s="2" t="s">
        <v>23</v>
      </c>
      <c r="J2798" s="2" t="s">
        <v>33</v>
      </c>
      <c r="K2798" s="2" t="n">
        <v>0</v>
      </c>
      <c r="L2798" s="2" t="n">
        <v>0</v>
      </c>
      <c r="M2798" s="2" t="n">
        <v>1</v>
      </c>
    </row>
    <row r="2799" customFormat="false" ht="15" hidden="false" customHeight="false" outlineLevel="0" collapsed="false">
      <c r="A2799" s="2" t="s">
        <v>5868</v>
      </c>
      <c r="B2799" s="2" t="s">
        <v>5869</v>
      </c>
      <c r="C2799" s="2" t="n">
        <v>5</v>
      </c>
      <c r="D2799" s="2" t="s">
        <v>47</v>
      </c>
      <c r="E2799" s="2" t="s">
        <v>5812</v>
      </c>
      <c r="F2799" s="3" t="n">
        <v>45934.2256944445</v>
      </c>
      <c r="G2799" s="2" t="s">
        <v>5813</v>
      </c>
      <c r="H2799" s="4" t="n">
        <v>0.3089</v>
      </c>
      <c r="I2799" s="2" t="s">
        <v>23</v>
      </c>
      <c r="J2799" s="2" t="s">
        <v>19</v>
      </c>
      <c r="K2799" s="2" t="n">
        <v>5</v>
      </c>
      <c r="L2799" s="2" t="n">
        <v>0</v>
      </c>
      <c r="M2799" s="2" t="n">
        <v>1</v>
      </c>
    </row>
    <row r="2800" customFormat="false" ht="15" hidden="false" customHeight="false" outlineLevel="0" collapsed="false">
      <c r="A2800" s="2" t="s">
        <v>5870</v>
      </c>
      <c r="B2800" s="2" t="s">
        <v>5871</v>
      </c>
      <c r="C2800" s="2" t="n">
        <v>4</v>
      </c>
      <c r="D2800" s="2" t="s">
        <v>807</v>
      </c>
      <c r="E2800" s="2" t="s">
        <v>5812</v>
      </c>
      <c r="F2800" s="3" t="n">
        <v>45934.2597222222</v>
      </c>
      <c r="G2800" s="2" t="s">
        <v>5813</v>
      </c>
      <c r="H2800" s="4" t="n">
        <v>0.6369</v>
      </c>
      <c r="I2800" s="2" t="s">
        <v>23</v>
      </c>
      <c r="J2800" s="2" t="s">
        <v>19</v>
      </c>
      <c r="K2800" s="2" t="n">
        <v>0</v>
      </c>
      <c r="L2800" s="2" t="n">
        <v>0</v>
      </c>
      <c r="M2800" s="2" t="n">
        <v>1</v>
      </c>
    </row>
    <row r="2801" customFormat="false" ht="15" hidden="false" customHeight="false" outlineLevel="0" collapsed="false">
      <c r="A2801" s="2" t="s">
        <v>5872</v>
      </c>
      <c r="B2801" s="2" t="s">
        <v>5873</v>
      </c>
      <c r="C2801" s="2" t="n">
        <v>1</v>
      </c>
      <c r="D2801" s="2" t="s">
        <v>823</v>
      </c>
      <c r="E2801" s="2" t="s">
        <v>5812</v>
      </c>
      <c r="F2801" s="3" t="n">
        <v>45934.3673611111</v>
      </c>
      <c r="G2801" s="2" t="s">
        <v>5813</v>
      </c>
      <c r="H2801" s="4" t="n">
        <v>-0.6997</v>
      </c>
      <c r="I2801" s="2" t="s">
        <v>84</v>
      </c>
      <c r="J2801" s="2" t="s">
        <v>19</v>
      </c>
      <c r="K2801" s="2" t="n">
        <v>6</v>
      </c>
      <c r="L2801" s="2" t="n">
        <v>1</v>
      </c>
      <c r="M2801" s="2" t="n">
        <v>1</v>
      </c>
    </row>
    <row r="2802" customFormat="false" ht="15" hidden="false" customHeight="false" outlineLevel="0" collapsed="false">
      <c r="A2802" s="2" t="s">
        <v>5874</v>
      </c>
      <c r="B2802" s="2" t="s">
        <v>5875</v>
      </c>
      <c r="C2802" s="2" t="n">
        <v>5</v>
      </c>
      <c r="D2802" s="2" t="s">
        <v>52</v>
      </c>
      <c r="E2802" s="2" t="s">
        <v>5812</v>
      </c>
      <c r="F2802" s="3" t="n">
        <v>45934.4</v>
      </c>
      <c r="G2802" s="2" t="s">
        <v>5813</v>
      </c>
      <c r="H2802" s="4" t="n">
        <v>0.6369</v>
      </c>
      <c r="I2802" s="2" t="s">
        <v>23</v>
      </c>
      <c r="J2802" s="2" t="s">
        <v>19</v>
      </c>
      <c r="K2802" s="2" t="n">
        <v>4</v>
      </c>
      <c r="L2802" s="2" t="n">
        <v>0</v>
      </c>
      <c r="M2802" s="2" t="n">
        <v>1</v>
      </c>
    </row>
    <row r="2803" customFormat="false" ht="15" hidden="false" customHeight="false" outlineLevel="0" collapsed="false">
      <c r="A2803" s="2" t="s">
        <v>5876</v>
      </c>
      <c r="B2803" s="2" t="s">
        <v>5877</v>
      </c>
      <c r="C2803" s="2" t="n">
        <v>4</v>
      </c>
      <c r="D2803" s="2" t="s">
        <v>40</v>
      </c>
      <c r="E2803" s="2" t="s">
        <v>5812</v>
      </c>
      <c r="F2803" s="3" t="n">
        <v>45934.4118055556</v>
      </c>
      <c r="G2803" s="2" t="s">
        <v>5813</v>
      </c>
      <c r="H2803" s="4" t="n">
        <v>0.4019</v>
      </c>
      <c r="I2803" s="2" t="s">
        <v>23</v>
      </c>
      <c r="J2803" s="2" t="s">
        <v>33</v>
      </c>
      <c r="K2803" s="2" t="n">
        <v>7</v>
      </c>
      <c r="L2803" s="2" t="n">
        <v>0</v>
      </c>
      <c r="M2803" s="2" t="n">
        <v>1</v>
      </c>
    </row>
    <row r="2804" customFormat="false" ht="15" hidden="false" customHeight="false" outlineLevel="0" collapsed="false">
      <c r="A2804" s="2" t="s">
        <v>5878</v>
      </c>
      <c r="B2804" s="2" t="s">
        <v>5879</v>
      </c>
      <c r="C2804" s="2" t="n">
        <v>1</v>
      </c>
      <c r="D2804" s="2" t="s">
        <v>701</v>
      </c>
      <c r="E2804" s="2" t="s">
        <v>5812</v>
      </c>
      <c r="F2804" s="3" t="n">
        <v>45934.6159722222</v>
      </c>
      <c r="G2804" s="2" t="s">
        <v>5813</v>
      </c>
      <c r="H2804" s="4" t="n">
        <v>-0.7184</v>
      </c>
      <c r="I2804" s="2" t="s">
        <v>84</v>
      </c>
      <c r="J2804" s="2" t="s">
        <v>37</v>
      </c>
      <c r="K2804" s="2" t="n">
        <v>6</v>
      </c>
      <c r="L2804" s="2" t="n">
        <v>0</v>
      </c>
      <c r="M2804" s="2" t="n">
        <v>1</v>
      </c>
    </row>
    <row r="2805" customFormat="false" ht="15" hidden="false" customHeight="false" outlineLevel="0" collapsed="false">
      <c r="A2805" s="2" t="s">
        <v>5880</v>
      </c>
      <c r="B2805" s="2" t="s">
        <v>5881</v>
      </c>
      <c r="C2805" s="2" t="n">
        <v>1</v>
      </c>
      <c r="D2805" s="2" t="s">
        <v>591</v>
      </c>
      <c r="E2805" s="2" t="s">
        <v>5812</v>
      </c>
      <c r="F2805" s="3" t="n">
        <v>45934.7013888889</v>
      </c>
      <c r="G2805" s="2" t="s">
        <v>5813</v>
      </c>
      <c r="H2805" s="4" t="n">
        <v>0</v>
      </c>
      <c r="I2805" s="2" t="s">
        <v>18</v>
      </c>
      <c r="J2805" s="2" t="s">
        <v>37</v>
      </c>
      <c r="K2805" s="2" t="n">
        <v>0</v>
      </c>
      <c r="L2805" s="2" t="n">
        <v>1</v>
      </c>
      <c r="M2805" s="2" t="n">
        <v>1</v>
      </c>
    </row>
    <row r="2806" customFormat="false" ht="15" hidden="false" customHeight="false" outlineLevel="0" collapsed="false">
      <c r="A2806" s="2" t="s">
        <v>5882</v>
      </c>
      <c r="B2806" s="2" t="s">
        <v>5883</v>
      </c>
      <c r="C2806" s="2" t="n">
        <v>5</v>
      </c>
      <c r="D2806" s="2" t="s">
        <v>62</v>
      </c>
      <c r="E2806" s="2" t="s">
        <v>5812</v>
      </c>
      <c r="F2806" s="3" t="n">
        <v>45934.7048611111</v>
      </c>
      <c r="G2806" s="2" t="s">
        <v>5813</v>
      </c>
      <c r="H2806" s="4" t="n">
        <v>0.7088</v>
      </c>
      <c r="I2806" s="2" t="s">
        <v>23</v>
      </c>
      <c r="J2806" s="2" t="s">
        <v>19</v>
      </c>
      <c r="K2806" s="2" t="n">
        <v>6</v>
      </c>
      <c r="L2806" s="2" t="n">
        <v>0</v>
      </c>
      <c r="M2806" s="2" t="n">
        <v>1</v>
      </c>
    </row>
    <row r="2807" customFormat="false" ht="15" hidden="false" customHeight="false" outlineLevel="0" collapsed="false">
      <c r="A2807" s="2" t="s">
        <v>5884</v>
      </c>
      <c r="B2807" s="2" t="s">
        <v>5885</v>
      </c>
      <c r="C2807" s="2" t="n">
        <v>5</v>
      </c>
      <c r="D2807" s="2" t="s">
        <v>127</v>
      </c>
      <c r="E2807" s="2" t="s">
        <v>5812</v>
      </c>
      <c r="F2807" s="3" t="n">
        <v>45934.8423611111</v>
      </c>
      <c r="G2807" s="2" t="s">
        <v>5813</v>
      </c>
      <c r="H2807" s="4" t="n">
        <v>0.9359</v>
      </c>
      <c r="I2807" s="2" t="s">
        <v>23</v>
      </c>
      <c r="J2807" s="2" t="s">
        <v>37</v>
      </c>
      <c r="K2807" s="2" t="n">
        <v>1</v>
      </c>
      <c r="L2807" s="2" t="n">
        <v>0</v>
      </c>
      <c r="M2807" s="2" t="n">
        <v>1</v>
      </c>
    </row>
    <row r="2808" customFormat="false" ht="15" hidden="false" customHeight="false" outlineLevel="0" collapsed="false">
      <c r="A2808" s="2" t="s">
        <v>5886</v>
      </c>
      <c r="B2808" s="2" t="s">
        <v>5887</v>
      </c>
      <c r="C2808" s="2" t="n">
        <v>4</v>
      </c>
      <c r="D2808" s="2" t="s">
        <v>40</v>
      </c>
      <c r="E2808" s="2" t="s">
        <v>5812</v>
      </c>
      <c r="F2808" s="3" t="n">
        <v>45934.8875</v>
      </c>
      <c r="G2808" s="2" t="s">
        <v>5813</v>
      </c>
      <c r="H2808" s="4" t="n">
        <v>0.4019</v>
      </c>
      <c r="I2808" s="2" t="s">
        <v>23</v>
      </c>
      <c r="J2808" s="2" t="s">
        <v>33</v>
      </c>
      <c r="K2808" s="2" t="n">
        <v>0</v>
      </c>
      <c r="L2808" s="2" t="n">
        <v>0</v>
      </c>
      <c r="M2808" s="2" t="n">
        <v>1</v>
      </c>
    </row>
    <row r="2809" customFormat="false" ht="15" hidden="false" customHeight="false" outlineLevel="0" collapsed="false">
      <c r="A2809" s="2" t="s">
        <v>5888</v>
      </c>
      <c r="B2809" s="2" t="s">
        <v>5889</v>
      </c>
      <c r="C2809" s="2" t="n">
        <v>4</v>
      </c>
      <c r="D2809" s="2" t="s">
        <v>62</v>
      </c>
      <c r="E2809" s="2" t="s">
        <v>5812</v>
      </c>
      <c r="F2809" s="3" t="n">
        <v>45935.0270833333</v>
      </c>
      <c r="G2809" s="2" t="s">
        <v>5813</v>
      </c>
      <c r="H2809" s="4" t="n">
        <v>0.7088</v>
      </c>
      <c r="I2809" s="2" t="s">
        <v>23</v>
      </c>
      <c r="J2809" s="2" t="s">
        <v>19</v>
      </c>
      <c r="K2809" s="2" t="n">
        <v>8</v>
      </c>
      <c r="L2809" s="2" t="n">
        <v>0</v>
      </c>
      <c r="M2809" s="2" t="n">
        <v>1</v>
      </c>
    </row>
    <row r="2810" customFormat="false" ht="15" hidden="false" customHeight="false" outlineLevel="0" collapsed="false">
      <c r="A2810" s="2" t="s">
        <v>5890</v>
      </c>
      <c r="B2810" s="2" t="s">
        <v>5891</v>
      </c>
      <c r="C2810" s="2" t="n">
        <v>5</v>
      </c>
      <c r="D2810" s="2" t="s">
        <v>2587</v>
      </c>
      <c r="E2810" s="2" t="s">
        <v>5812</v>
      </c>
      <c r="F2810" s="3" t="n">
        <v>45935.2034722222</v>
      </c>
      <c r="G2810" s="2" t="s">
        <v>5813</v>
      </c>
      <c r="H2810" s="4" t="n">
        <v>0.9828</v>
      </c>
      <c r="I2810" s="2" t="s">
        <v>23</v>
      </c>
      <c r="J2810" s="2" t="s">
        <v>37</v>
      </c>
      <c r="K2810" s="2" t="n">
        <v>5</v>
      </c>
      <c r="L2810" s="2" t="n">
        <v>0</v>
      </c>
      <c r="M2810" s="2" t="n">
        <v>1</v>
      </c>
    </row>
    <row r="2811" customFormat="false" ht="15" hidden="false" customHeight="false" outlineLevel="0" collapsed="false">
      <c r="A2811" s="2" t="s">
        <v>5892</v>
      </c>
      <c r="B2811" s="2" t="s">
        <v>5893</v>
      </c>
      <c r="C2811" s="2" t="n">
        <v>5</v>
      </c>
      <c r="D2811" s="2" t="s">
        <v>15</v>
      </c>
      <c r="E2811" s="2" t="s">
        <v>5812</v>
      </c>
      <c r="F2811" s="3" t="n">
        <v>45935.2388888889</v>
      </c>
      <c r="G2811" s="2" t="s">
        <v>5813</v>
      </c>
      <c r="H2811" s="4" t="n">
        <v>0</v>
      </c>
      <c r="I2811" s="2" t="s">
        <v>18</v>
      </c>
      <c r="J2811" s="2" t="s">
        <v>19</v>
      </c>
      <c r="K2811" s="2" t="n">
        <v>3</v>
      </c>
      <c r="L2811" s="2" t="n">
        <v>0</v>
      </c>
      <c r="M2811" s="2" t="n">
        <v>1</v>
      </c>
    </row>
    <row r="2812" customFormat="false" ht="15" hidden="false" customHeight="false" outlineLevel="0" collapsed="false">
      <c r="A2812" s="2" t="s">
        <v>5894</v>
      </c>
      <c r="B2812" s="2" t="s">
        <v>5895</v>
      </c>
      <c r="C2812" s="2" t="n">
        <v>4</v>
      </c>
      <c r="D2812" s="2" t="s">
        <v>40</v>
      </c>
      <c r="E2812" s="2" t="s">
        <v>5812</v>
      </c>
      <c r="F2812" s="3" t="n">
        <v>45935.2944444444</v>
      </c>
      <c r="G2812" s="2" t="s">
        <v>5813</v>
      </c>
      <c r="H2812" s="4" t="n">
        <v>0.4019</v>
      </c>
      <c r="I2812" s="2" t="s">
        <v>23</v>
      </c>
      <c r="J2812" s="2" t="s">
        <v>33</v>
      </c>
      <c r="K2812" s="2" t="n">
        <v>8</v>
      </c>
      <c r="L2812" s="2" t="n">
        <v>0</v>
      </c>
      <c r="M2812" s="2" t="n">
        <v>1</v>
      </c>
    </row>
    <row r="2813" customFormat="false" ht="15" hidden="false" customHeight="false" outlineLevel="0" collapsed="false">
      <c r="A2813" s="2" t="s">
        <v>5896</v>
      </c>
      <c r="B2813" s="2" t="s">
        <v>5897</v>
      </c>
      <c r="C2813" s="2" t="n">
        <v>5</v>
      </c>
      <c r="D2813" s="2" t="s">
        <v>282</v>
      </c>
      <c r="E2813" s="2" t="s">
        <v>5812</v>
      </c>
      <c r="F2813" s="3" t="n">
        <v>45935.375</v>
      </c>
      <c r="G2813" s="2" t="s">
        <v>5813</v>
      </c>
      <c r="H2813" s="4" t="n">
        <v>0.7992</v>
      </c>
      <c r="I2813" s="2" t="s">
        <v>23</v>
      </c>
      <c r="J2813" s="2" t="s">
        <v>19</v>
      </c>
      <c r="K2813" s="2" t="n">
        <v>1</v>
      </c>
      <c r="L2813" s="2" t="n">
        <v>0</v>
      </c>
      <c r="M2813" s="2" t="n">
        <v>1</v>
      </c>
    </row>
    <row r="2814" customFormat="false" ht="15" hidden="false" customHeight="false" outlineLevel="0" collapsed="false">
      <c r="A2814" s="2" t="s">
        <v>5898</v>
      </c>
      <c r="B2814" s="2" t="s">
        <v>5899</v>
      </c>
      <c r="C2814" s="2" t="n">
        <v>4</v>
      </c>
      <c r="D2814" s="2" t="s">
        <v>210</v>
      </c>
      <c r="E2814" s="2" t="s">
        <v>5812</v>
      </c>
      <c r="F2814" s="3" t="n">
        <v>45935.4743055556</v>
      </c>
      <c r="G2814" s="2" t="s">
        <v>5813</v>
      </c>
      <c r="H2814" s="4" t="n">
        <v>0.5448</v>
      </c>
      <c r="I2814" s="2" t="s">
        <v>23</v>
      </c>
      <c r="J2814" s="2" t="s">
        <v>19</v>
      </c>
      <c r="K2814" s="2" t="n">
        <v>2</v>
      </c>
      <c r="L2814" s="2" t="n">
        <v>0</v>
      </c>
      <c r="M2814" s="2" t="n">
        <v>1</v>
      </c>
    </row>
    <row r="2815" customFormat="false" ht="15" hidden="false" customHeight="false" outlineLevel="0" collapsed="false">
      <c r="A2815" s="2" t="s">
        <v>5900</v>
      </c>
      <c r="B2815" s="2" t="s">
        <v>5901</v>
      </c>
      <c r="C2815" s="2" t="n">
        <v>5</v>
      </c>
      <c r="D2815" s="2" t="s">
        <v>15</v>
      </c>
      <c r="E2815" s="2" t="s">
        <v>5812</v>
      </c>
      <c r="F2815" s="3" t="n">
        <v>45935.5180555556</v>
      </c>
      <c r="G2815" s="2" t="s">
        <v>5813</v>
      </c>
      <c r="H2815" s="4" t="n">
        <v>0</v>
      </c>
      <c r="I2815" s="2" t="s">
        <v>18</v>
      </c>
      <c r="J2815" s="2" t="s">
        <v>19</v>
      </c>
      <c r="K2815" s="2" t="n">
        <v>4</v>
      </c>
      <c r="L2815" s="2" t="n">
        <v>1</v>
      </c>
      <c r="M2815" s="2" t="n">
        <v>1</v>
      </c>
    </row>
    <row r="2816" customFormat="false" ht="15" hidden="false" customHeight="false" outlineLevel="0" collapsed="false">
      <c r="A2816" s="2" t="s">
        <v>5902</v>
      </c>
      <c r="B2816" s="2" t="s">
        <v>5903</v>
      </c>
      <c r="C2816" s="2" t="n">
        <v>5</v>
      </c>
      <c r="D2816" s="2" t="s">
        <v>96</v>
      </c>
      <c r="E2816" s="2" t="s">
        <v>5812</v>
      </c>
      <c r="F2816" s="3" t="n">
        <v>45935.5555555556</v>
      </c>
      <c r="G2816" s="2" t="s">
        <v>5813</v>
      </c>
      <c r="H2816" s="4" t="n">
        <v>0.6369</v>
      </c>
      <c r="I2816" s="2" t="s">
        <v>23</v>
      </c>
      <c r="J2816" s="2" t="s">
        <v>19</v>
      </c>
      <c r="K2816" s="2" t="n">
        <v>2</v>
      </c>
      <c r="L2816" s="2" t="n">
        <v>0</v>
      </c>
      <c r="M2816" s="2" t="n">
        <v>1</v>
      </c>
    </row>
    <row r="2817" customFormat="false" ht="15" hidden="false" customHeight="false" outlineLevel="0" collapsed="false">
      <c r="A2817" s="2" t="s">
        <v>5904</v>
      </c>
      <c r="B2817" s="2" t="s">
        <v>5905</v>
      </c>
      <c r="C2817" s="2" t="n">
        <v>5</v>
      </c>
      <c r="D2817" s="2" t="s">
        <v>47</v>
      </c>
      <c r="E2817" s="2" t="s">
        <v>5812</v>
      </c>
      <c r="F2817" s="3" t="n">
        <v>45935.8868055556</v>
      </c>
      <c r="G2817" s="2" t="s">
        <v>5813</v>
      </c>
      <c r="H2817" s="4" t="n">
        <v>0.3089</v>
      </c>
      <c r="I2817" s="2" t="s">
        <v>23</v>
      </c>
      <c r="J2817" s="2" t="s">
        <v>19</v>
      </c>
      <c r="K2817" s="2" t="n">
        <v>3</v>
      </c>
      <c r="L2817" s="2" t="n">
        <v>0</v>
      </c>
      <c r="M2817" s="2" t="n">
        <v>1</v>
      </c>
    </row>
    <row r="2818" customFormat="false" ht="15" hidden="false" customHeight="false" outlineLevel="0" collapsed="false">
      <c r="A2818" s="2" t="s">
        <v>5906</v>
      </c>
      <c r="B2818" s="2" t="s">
        <v>5907</v>
      </c>
      <c r="C2818" s="2" t="n">
        <v>5</v>
      </c>
      <c r="D2818" s="2" t="s">
        <v>15</v>
      </c>
      <c r="E2818" s="2" t="s">
        <v>5812</v>
      </c>
      <c r="F2818" s="3" t="n">
        <v>45935.98125</v>
      </c>
      <c r="G2818" s="2" t="s">
        <v>5813</v>
      </c>
      <c r="H2818" s="4" t="n">
        <v>0</v>
      </c>
      <c r="I2818" s="2" t="s">
        <v>18</v>
      </c>
      <c r="J2818" s="2" t="s">
        <v>19</v>
      </c>
      <c r="K2818" s="2" t="n">
        <v>8</v>
      </c>
      <c r="L2818" s="2" t="n">
        <v>0</v>
      </c>
      <c r="M2818" s="2" t="n">
        <v>1</v>
      </c>
    </row>
    <row r="2819" customFormat="false" ht="15" hidden="false" customHeight="false" outlineLevel="0" collapsed="false">
      <c r="A2819" s="2" t="s">
        <v>5908</v>
      </c>
      <c r="B2819" s="2" t="s">
        <v>5909</v>
      </c>
      <c r="C2819" s="2" t="n">
        <v>5</v>
      </c>
      <c r="D2819" s="2" t="s">
        <v>62</v>
      </c>
      <c r="E2819" s="2" t="s">
        <v>5812</v>
      </c>
      <c r="F2819" s="3" t="n">
        <v>45936.0291666667</v>
      </c>
      <c r="G2819" s="2" t="s">
        <v>5813</v>
      </c>
      <c r="H2819" s="4" t="n">
        <v>0.7088</v>
      </c>
      <c r="I2819" s="2" t="s">
        <v>23</v>
      </c>
      <c r="J2819" s="2" t="s">
        <v>19</v>
      </c>
      <c r="K2819" s="2" t="n">
        <v>4</v>
      </c>
      <c r="L2819" s="2" t="n">
        <v>0</v>
      </c>
      <c r="M2819" s="2" t="n">
        <v>1</v>
      </c>
    </row>
    <row r="2820" customFormat="false" ht="15" hidden="false" customHeight="false" outlineLevel="0" collapsed="false">
      <c r="A2820" s="2" t="s">
        <v>5910</v>
      </c>
      <c r="B2820" s="2" t="s">
        <v>5911</v>
      </c>
      <c r="C2820" s="2" t="n">
        <v>4</v>
      </c>
      <c r="D2820" s="2" t="s">
        <v>15</v>
      </c>
      <c r="E2820" s="2" t="s">
        <v>5812</v>
      </c>
      <c r="F2820" s="3" t="n">
        <v>45936.0305555556</v>
      </c>
      <c r="G2820" s="2" t="s">
        <v>5813</v>
      </c>
      <c r="H2820" s="4" t="n">
        <v>0</v>
      </c>
      <c r="I2820" s="2" t="s">
        <v>18</v>
      </c>
      <c r="J2820" s="2" t="s">
        <v>19</v>
      </c>
      <c r="K2820" s="2" t="n">
        <v>4</v>
      </c>
      <c r="L2820" s="2" t="n">
        <v>0</v>
      </c>
      <c r="M2820" s="2" t="n">
        <v>1</v>
      </c>
    </row>
    <row r="2821" customFormat="false" ht="15" hidden="false" customHeight="false" outlineLevel="0" collapsed="false">
      <c r="A2821" s="2" t="s">
        <v>5912</v>
      </c>
      <c r="B2821" s="2" t="s">
        <v>5913</v>
      </c>
      <c r="C2821" s="2" t="n">
        <v>5</v>
      </c>
      <c r="D2821" s="2" t="s">
        <v>15</v>
      </c>
      <c r="E2821" s="2" t="s">
        <v>5812</v>
      </c>
      <c r="F2821" s="3" t="n">
        <v>45936.0659722222</v>
      </c>
      <c r="G2821" s="2" t="s">
        <v>5813</v>
      </c>
      <c r="H2821" s="4" t="n">
        <v>0</v>
      </c>
      <c r="I2821" s="2" t="s">
        <v>18</v>
      </c>
      <c r="J2821" s="2" t="s">
        <v>19</v>
      </c>
      <c r="K2821" s="2" t="n">
        <v>0</v>
      </c>
      <c r="L2821" s="2" t="n">
        <v>0</v>
      </c>
      <c r="M2821" s="2" t="n">
        <v>1</v>
      </c>
    </row>
    <row r="2822" customFormat="false" ht="15" hidden="false" customHeight="false" outlineLevel="0" collapsed="false">
      <c r="A2822" s="2" t="s">
        <v>5914</v>
      </c>
      <c r="B2822" s="2" t="s">
        <v>5915</v>
      </c>
      <c r="C2822" s="2" t="n">
        <v>2</v>
      </c>
      <c r="D2822" s="2" t="s">
        <v>5916</v>
      </c>
      <c r="E2822" s="2" t="s">
        <v>5812</v>
      </c>
      <c r="F2822" s="3" t="n">
        <v>45936.1055555556</v>
      </c>
      <c r="G2822" s="2" t="s">
        <v>5813</v>
      </c>
      <c r="H2822" s="4" t="n">
        <v>0.2263</v>
      </c>
      <c r="I2822" s="2" t="s">
        <v>23</v>
      </c>
      <c r="J2822" s="2" t="s">
        <v>59</v>
      </c>
      <c r="K2822" s="2" t="n">
        <v>1</v>
      </c>
      <c r="L2822" s="2" t="n">
        <v>0</v>
      </c>
      <c r="M2822" s="2" t="n">
        <v>1</v>
      </c>
    </row>
    <row r="2823" customFormat="false" ht="15" hidden="false" customHeight="false" outlineLevel="0" collapsed="false">
      <c r="A2823" s="2" t="s">
        <v>5917</v>
      </c>
      <c r="B2823" s="2" t="s">
        <v>5918</v>
      </c>
      <c r="C2823" s="2" t="n">
        <v>5</v>
      </c>
      <c r="D2823" s="2" t="s">
        <v>15</v>
      </c>
      <c r="E2823" s="2" t="s">
        <v>5812</v>
      </c>
      <c r="F2823" s="3" t="n">
        <v>45936.1236111111</v>
      </c>
      <c r="G2823" s="2" t="s">
        <v>5813</v>
      </c>
      <c r="H2823" s="4" t="n">
        <v>0</v>
      </c>
      <c r="I2823" s="2" t="s">
        <v>18</v>
      </c>
      <c r="J2823" s="2" t="s">
        <v>19</v>
      </c>
      <c r="K2823" s="2" t="n">
        <v>4</v>
      </c>
      <c r="L2823" s="2" t="n">
        <v>0</v>
      </c>
      <c r="M2823" s="2" t="n">
        <v>1</v>
      </c>
    </row>
    <row r="2824" customFormat="false" ht="15" hidden="false" customHeight="false" outlineLevel="0" collapsed="false">
      <c r="A2824" s="2" t="s">
        <v>5919</v>
      </c>
      <c r="B2824" s="2" t="s">
        <v>5920</v>
      </c>
      <c r="C2824" s="2" t="n">
        <v>5</v>
      </c>
      <c r="D2824" s="2" t="s">
        <v>47</v>
      </c>
      <c r="E2824" s="2" t="s">
        <v>5812</v>
      </c>
      <c r="F2824" s="3" t="n">
        <v>45936.125</v>
      </c>
      <c r="G2824" s="2" t="s">
        <v>5813</v>
      </c>
      <c r="H2824" s="4" t="n">
        <v>0.3089</v>
      </c>
      <c r="I2824" s="2" t="s">
        <v>23</v>
      </c>
      <c r="J2824" s="2" t="s">
        <v>19</v>
      </c>
      <c r="K2824" s="2" t="n">
        <v>0</v>
      </c>
      <c r="L2824" s="2" t="n">
        <v>0</v>
      </c>
      <c r="M2824" s="2" t="n">
        <v>1</v>
      </c>
    </row>
    <row r="2825" customFormat="false" ht="15" hidden="false" customHeight="false" outlineLevel="0" collapsed="false">
      <c r="A2825" s="2" t="s">
        <v>5921</v>
      </c>
      <c r="B2825" s="2" t="s">
        <v>5922</v>
      </c>
      <c r="C2825" s="2" t="n">
        <v>5</v>
      </c>
      <c r="D2825" s="2" t="s">
        <v>96</v>
      </c>
      <c r="E2825" s="2" t="s">
        <v>5812</v>
      </c>
      <c r="F2825" s="3" t="n">
        <v>45936.1361111111</v>
      </c>
      <c r="G2825" s="2" t="s">
        <v>5813</v>
      </c>
      <c r="H2825" s="4" t="n">
        <v>0.6369</v>
      </c>
      <c r="I2825" s="2" t="s">
        <v>23</v>
      </c>
      <c r="J2825" s="2" t="s">
        <v>19</v>
      </c>
      <c r="K2825" s="2" t="n">
        <v>0</v>
      </c>
      <c r="L2825" s="2" t="n">
        <v>1</v>
      </c>
      <c r="M2825" s="2" t="n">
        <v>1</v>
      </c>
    </row>
    <row r="2826" customFormat="false" ht="15" hidden="false" customHeight="false" outlineLevel="0" collapsed="false">
      <c r="A2826" s="2" t="s">
        <v>5923</v>
      </c>
      <c r="B2826" s="2" t="s">
        <v>5924</v>
      </c>
      <c r="C2826" s="2" t="n">
        <v>4</v>
      </c>
      <c r="D2826" s="2" t="s">
        <v>40</v>
      </c>
      <c r="E2826" s="2" t="s">
        <v>5812</v>
      </c>
      <c r="F2826" s="3" t="n">
        <v>45936.1729166667</v>
      </c>
      <c r="G2826" s="2" t="s">
        <v>5813</v>
      </c>
      <c r="H2826" s="4" t="n">
        <v>0.4019</v>
      </c>
      <c r="I2826" s="2" t="s">
        <v>23</v>
      </c>
      <c r="J2826" s="2" t="s">
        <v>33</v>
      </c>
      <c r="K2826" s="2" t="n">
        <v>0</v>
      </c>
      <c r="L2826" s="2" t="n">
        <v>0</v>
      </c>
      <c r="M2826" s="2" t="n">
        <v>1</v>
      </c>
    </row>
    <row r="2827" customFormat="false" ht="15" hidden="false" customHeight="false" outlineLevel="0" collapsed="false">
      <c r="A2827" s="2" t="s">
        <v>5925</v>
      </c>
      <c r="B2827" s="2" t="s">
        <v>5926</v>
      </c>
      <c r="C2827" s="2" t="n">
        <v>5</v>
      </c>
      <c r="D2827" s="2" t="s">
        <v>52</v>
      </c>
      <c r="E2827" s="2" t="s">
        <v>5812</v>
      </c>
      <c r="F2827" s="3" t="n">
        <v>45936.3590277778</v>
      </c>
      <c r="G2827" s="2" t="s">
        <v>5813</v>
      </c>
      <c r="H2827" s="4" t="n">
        <v>0.6369</v>
      </c>
      <c r="I2827" s="2" t="s">
        <v>23</v>
      </c>
      <c r="J2827" s="2" t="s">
        <v>19</v>
      </c>
      <c r="K2827" s="2" t="n">
        <v>11</v>
      </c>
      <c r="L2827" s="2" t="n">
        <v>0</v>
      </c>
      <c r="M2827" s="2" t="n">
        <v>1</v>
      </c>
    </row>
    <row r="2828" customFormat="false" ht="15" hidden="false" customHeight="false" outlineLevel="0" collapsed="false">
      <c r="A2828" s="2" t="s">
        <v>5927</v>
      </c>
      <c r="B2828" s="2" t="s">
        <v>5928</v>
      </c>
      <c r="C2828" s="2" t="n">
        <v>5</v>
      </c>
      <c r="D2828" s="2" t="s">
        <v>407</v>
      </c>
      <c r="E2828" s="2" t="s">
        <v>5812</v>
      </c>
      <c r="F2828" s="3" t="n">
        <v>45936.5465277778</v>
      </c>
      <c r="G2828" s="2" t="s">
        <v>5813</v>
      </c>
      <c r="H2828" s="4" t="n">
        <v>0.7783</v>
      </c>
      <c r="I2828" s="2" t="s">
        <v>23</v>
      </c>
      <c r="J2828" s="2" t="s">
        <v>37</v>
      </c>
      <c r="K2828" s="2" t="n">
        <v>1</v>
      </c>
      <c r="L2828" s="2" t="n">
        <v>0</v>
      </c>
      <c r="M2828" s="2" t="n">
        <v>1</v>
      </c>
    </row>
    <row r="2829" customFormat="false" ht="15" hidden="false" customHeight="false" outlineLevel="0" collapsed="false">
      <c r="A2829" s="2" t="s">
        <v>5929</v>
      </c>
      <c r="B2829" s="2" t="s">
        <v>5930</v>
      </c>
      <c r="C2829" s="2" t="n">
        <v>5</v>
      </c>
      <c r="D2829" s="2" t="s">
        <v>62</v>
      </c>
      <c r="E2829" s="2" t="s">
        <v>5812</v>
      </c>
      <c r="F2829" s="3" t="n">
        <v>45936.7923611111</v>
      </c>
      <c r="G2829" s="2" t="s">
        <v>5813</v>
      </c>
      <c r="H2829" s="4" t="n">
        <v>0.7088</v>
      </c>
      <c r="I2829" s="2" t="s">
        <v>23</v>
      </c>
      <c r="J2829" s="2" t="s">
        <v>19</v>
      </c>
      <c r="K2829" s="2" t="n">
        <v>2</v>
      </c>
      <c r="L2829" s="2" t="n">
        <v>0</v>
      </c>
      <c r="M2829" s="2" t="n">
        <v>1</v>
      </c>
    </row>
    <row r="2830" customFormat="false" ht="15" hidden="false" customHeight="false" outlineLevel="0" collapsed="false">
      <c r="A2830" s="2" t="s">
        <v>5931</v>
      </c>
      <c r="B2830" s="2" t="s">
        <v>5932</v>
      </c>
      <c r="C2830" s="2" t="n">
        <v>5</v>
      </c>
      <c r="D2830" s="2" t="s">
        <v>62</v>
      </c>
      <c r="E2830" s="2" t="s">
        <v>5812</v>
      </c>
      <c r="F2830" s="3" t="n">
        <v>45936.8166666667</v>
      </c>
      <c r="G2830" s="2" t="s">
        <v>5813</v>
      </c>
      <c r="H2830" s="4" t="n">
        <v>0.7088</v>
      </c>
      <c r="I2830" s="2" t="s">
        <v>23</v>
      </c>
      <c r="J2830" s="2" t="s">
        <v>19</v>
      </c>
      <c r="K2830" s="2" t="n">
        <v>7</v>
      </c>
      <c r="L2830" s="2" t="n">
        <v>0</v>
      </c>
      <c r="M2830" s="2" t="n">
        <v>1</v>
      </c>
    </row>
    <row r="2831" customFormat="false" ht="15" hidden="false" customHeight="false" outlineLevel="0" collapsed="false">
      <c r="A2831" s="2" t="s">
        <v>5933</v>
      </c>
      <c r="B2831" s="2" t="s">
        <v>5934</v>
      </c>
      <c r="C2831" s="2" t="n">
        <v>5</v>
      </c>
      <c r="D2831" s="2" t="s">
        <v>127</v>
      </c>
      <c r="E2831" s="2" t="s">
        <v>5812</v>
      </c>
      <c r="F2831" s="3" t="n">
        <v>45937.0006944445</v>
      </c>
      <c r="G2831" s="2" t="s">
        <v>5813</v>
      </c>
      <c r="H2831" s="4" t="n">
        <v>0.9359</v>
      </c>
      <c r="I2831" s="2" t="s">
        <v>23</v>
      </c>
      <c r="J2831" s="2" t="s">
        <v>37</v>
      </c>
      <c r="K2831" s="2" t="n">
        <v>5</v>
      </c>
      <c r="L2831" s="2" t="n">
        <v>0</v>
      </c>
      <c r="M2831" s="2" t="n">
        <v>1</v>
      </c>
    </row>
    <row r="2832" customFormat="false" ht="15" hidden="false" customHeight="false" outlineLevel="0" collapsed="false">
      <c r="A2832" s="2" t="s">
        <v>5935</v>
      </c>
      <c r="B2832" s="2" t="s">
        <v>5936</v>
      </c>
      <c r="C2832" s="2" t="n">
        <v>5</v>
      </c>
      <c r="D2832" s="2" t="s">
        <v>15</v>
      </c>
      <c r="E2832" s="2" t="s">
        <v>5812</v>
      </c>
      <c r="F2832" s="3" t="n">
        <v>45937.3715277778</v>
      </c>
      <c r="G2832" s="2" t="s">
        <v>5813</v>
      </c>
      <c r="H2832" s="4" t="n">
        <v>0</v>
      </c>
      <c r="I2832" s="2" t="s">
        <v>18</v>
      </c>
      <c r="J2832" s="2" t="s">
        <v>19</v>
      </c>
      <c r="K2832" s="2" t="n">
        <v>1</v>
      </c>
      <c r="L2832" s="2" t="n">
        <v>0</v>
      </c>
      <c r="M2832" s="2" t="n">
        <v>1</v>
      </c>
    </row>
    <row r="2833" customFormat="false" ht="15" hidden="false" customHeight="false" outlineLevel="0" collapsed="false">
      <c r="A2833" s="2" t="s">
        <v>5937</v>
      </c>
      <c r="B2833" s="2" t="s">
        <v>5938</v>
      </c>
      <c r="C2833" s="2" t="n">
        <v>3</v>
      </c>
      <c r="D2833" s="2" t="s">
        <v>823</v>
      </c>
      <c r="E2833" s="2" t="s">
        <v>5812</v>
      </c>
      <c r="F2833" s="3" t="n">
        <v>45937.3875</v>
      </c>
      <c r="G2833" s="2" t="s">
        <v>5813</v>
      </c>
      <c r="H2833" s="4" t="n">
        <v>-0.6997</v>
      </c>
      <c r="I2833" s="2" t="s">
        <v>84</v>
      </c>
      <c r="J2833" s="2" t="s">
        <v>19</v>
      </c>
      <c r="K2833" s="2" t="n">
        <v>3</v>
      </c>
      <c r="L2833" s="2" t="n">
        <v>0</v>
      </c>
      <c r="M2833" s="2" t="n">
        <v>1</v>
      </c>
    </row>
    <row r="2834" customFormat="false" ht="15" hidden="false" customHeight="false" outlineLevel="0" collapsed="false">
      <c r="A2834" s="2" t="s">
        <v>5939</v>
      </c>
      <c r="B2834" s="2" t="s">
        <v>5940</v>
      </c>
      <c r="C2834" s="2" t="n">
        <v>5</v>
      </c>
      <c r="D2834" s="2" t="s">
        <v>47</v>
      </c>
      <c r="E2834" s="2" t="s">
        <v>5812</v>
      </c>
      <c r="F2834" s="3" t="n">
        <v>45937.4541666667</v>
      </c>
      <c r="G2834" s="2" t="s">
        <v>5813</v>
      </c>
      <c r="H2834" s="4" t="n">
        <v>0.3089</v>
      </c>
      <c r="I2834" s="2" t="s">
        <v>23</v>
      </c>
      <c r="J2834" s="2" t="s">
        <v>19</v>
      </c>
      <c r="K2834" s="2" t="n">
        <v>3</v>
      </c>
      <c r="L2834" s="2" t="n">
        <v>0</v>
      </c>
      <c r="M2834" s="2" t="n">
        <v>1</v>
      </c>
    </row>
    <row r="2835" customFormat="false" ht="15" hidden="false" customHeight="false" outlineLevel="0" collapsed="false">
      <c r="A2835" s="2" t="s">
        <v>5941</v>
      </c>
      <c r="B2835" s="2" t="s">
        <v>5942</v>
      </c>
      <c r="C2835" s="2" t="n">
        <v>5</v>
      </c>
      <c r="D2835" s="2" t="s">
        <v>52</v>
      </c>
      <c r="E2835" s="2" t="s">
        <v>5812</v>
      </c>
      <c r="F2835" s="3" t="n">
        <v>45937.5548611111</v>
      </c>
      <c r="G2835" s="2" t="s">
        <v>5813</v>
      </c>
      <c r="H2835" s="4" t="n">
        <v>0.6369</v>
      </c>
      <c r="I2835" s="2" t="s">
        <v>23</v>
      </c>
      <c r="J2835" s="2" t="s">
        <v>19</v>
      </c>
      <c r="K2835" s="2" t="n">
        <v>0</v>
      </c>
      <c r="L2835" s="2" t="n">
        <v>0</v>
      </c>
      <c r="M2835" s="2" t="n">
        <v>1</v>
      </c>
    </row>
    <row r="2836" customFormat="false" ht="15" hidden="false" customHeight="false" outlineLevel="0" collapsed="false">
      <c r="A2836" s="2" t="s">
        <v>5943</v>
      </c>
      <c r="B2836" s="2" t="s">
        <v>5944</v>
      </c>
      <c r="C2836" s="2" t="n">
        <v>5</v>
      </c>
      <c r="D2836" s="2" t="s">
        <v>67</v>
      </c>
      <c r="E2836" s="2" t="s">
        <v>5812</v>
      </c>
      <c r="F2836" s="3" t="n">
        <v>45937.5604166667</v>
      </c>
      <c r="G2836" s="2" t="s">
        <v>5813</v>
      </c>
      <c r="H2836" s="4" t="n">
        <v>0.8953</v>
      </c>
      <c r="I2836" s="2" t="s">
        <v>23</v>
      </c>
      <c r="J2836" s="2" t="s">
        <v>19</v>
      </c>
      <c r="K2836" s="2" t="n">
        <v>2</v>
      </c>
      <c r="L2836" s="2" t="n">
        <v>0</v>
      </c>
      <c r="M2836" s="2" t="n">
        <v>1</v>
      </c>
    </row>
    <row r="2837" customFormat="false" ht="15" hidden="false" customHeight="false" outlineLevel="0" collapsed="false">
      <c r="A2837" s="2" t="s">
        <v>5945</v>
      </c>
      <c r="B2837" s="2" t="s">
        <v>5946</v>
      </c>
      <c r="C2837" s="2" t="n">
        <v>4</v>
      </c>
      <c r="D2837" s="2" t="s">
        <v>96</v>
      </c>
      <c r="E2837" s="2" t="s">
        <v>5812</v>
      </c>
      <c r="F2837" s="3" t="n">
        <v>45937.5777777778</v>
      </c>
      <c r="G2837" s="2" t="s">
        <v>5813</v>
      </c>
      <c r="H2837" s="4" t="n">
        <v>0.6369</v>
      </c>
      <c r="I2837" s="2" t="s">
        <v>23</v>
      </c>
      <c r="J2837" s="2" t="s">
        <v>19</v>
      </c>
      <c r="K2837" s="2" t="n">
        <v>0</v>
      </c>
      <c r="L2837" s="2" t="n">
        <v>0</v>
      </c>
      <c r="M2837" s="2" t="n">
        <v>1</v>
      </c>
    </row>
    <row r="2838" customFormat="false" ht="15" hidden="false" customHeight="false" outlineLevel="0" collapsed="false">
      <c r="A2838" s="2" t="s">
        <v>5947</v>
      </c>
      <c r="B2838" s="2" t="s">
        <v>5948</v>
      </c>
      <c r="C2838" s="2" t="n">
        <v>1</v>
      </c>
      <c r="D2838" s="2" t="s">
        <v>109</v>
      </c>
      <c r="E2838" s="2" t="s">
        <v>5812</v>
      </c>
      <c r="F2838" s="3" t="n">
        <v>45937.6340277778</v>
      </c>
      <c r="G2838" s="2" t="s">
        <v>5813</v>
      </c>
      <c r="H2838" s="4" t="n">
        <v>0</v>
      </c>
      <c r="I2838" s="2" t="s">
        <v>18</v>
      </c>
      <c r="J2838" s="2" t="s">
        <v>110</v>
      </c>
      <c r="K2838" s="2" t="n">
        <v>3</v>
      </c>
      <c r="L2838" s="2" t="n">
        <v>1</v>
      </c>
      <c r="M2838" s="2" t="n">
        <v>1</v>
      </c>
    </row>
    <row r="2839" customFormat="false" ht="15" hidden="false" customHeight="false" outlineLevel="0" collapsed="false">
      <c r="A2839" s="2" t="s">
        <v>5949</v>
      </c>
      <c r="B2839" s="2" t="s">
        <v>5950</v>
      </c>
      <c r="C2839" s="2" t="n">
        <v>4</v>
      </c>
      <c r="D2839" s="2" t="s">
        <v>47</v>
      </c>
      <c r="E2839" s="2" t="s">
        <v>5812</v>
      </c>
      <c r="F2839" s="3" t="n">
        <v>45937.6743055556</v>
      </c>
      <c r="G2839" s="2" t="s">
        <v>5813</v>
      </c>
      <c r="H2839" s="4" t="n">
        <v>0.3089</v>
      </c>
      <c r="I2839" s="2" t="s">
        <v>23</v>
      </c>
      <c r="J2839" s="2" t="s">
        <v>19</v>
      </c>
      <c r="K2839" s="2" t="n">
        <v>1</v>
      </c>
      <c r="L2839" s="2" t="n">
        <v>0</v>
      </c>
      <c r="M2839" s="2" t="n">
        <v>1</v>
      </c>
    </row>
    <row r="2840" customFormat="false" ht="15" hidden="false" customHeight="false" outlineLevel="0" collapsed="false">
      <c r="A2840" s="2" t="s">
        <v>5951</v>
      </c>
      <c r="B2840" s="2" t="s">
        <v>5952</v>
      </c>
      <c r="C2840" s="2" t="n">
        <v>4</v>
      </c>
      <c r="D2840" s="2" t="s">
        <v>127</v>
      </c>
      <c r="E2840" s="2" t="s">
        <v>5812</v>
      </c>
      <c r="F2840" s="3" t="n">
        <v>45937.7673611111</v>
      </c>
      <c r="G2840" s="2" t="s">
        <v>5813</v>
      </c>
      <c r="H2840" s="4" t="n">
        <v>0.9359</v>
      </c>
      <c r="I2840" s="2" t="s">
        <v>23</v>
      </c>
      <c r="J2840" s="2" t="s">
        <v>37</v>
      </c>
      <c r="K2840" s="2" t="n">
        <v>3</v>
      </c>
      <c r="L2840" s="2" t="n">
        <v>0</v>
      </c>
      <c r="M2840" s="2" t="n">
        <v>1</v>
      </c>
    </row>
    <row r="2841" customFormat="false" ht="15" hidden="false" customHeight="false" outlineLevel="0" collapsed="false">
      <c r="A2841" s="2" t="s">
        <v>5953</v>
      </c>
      <c r="B2841" s="2" t="s">
        <v>5954</v>
      </c>
      <c r="C2841" s="2" t="n">
        <v>4</v>
      </c>
      <c r="D2841" s="2" t="s">
        <v>738</v>
      </c>
      <c r="E2841" s="2" t="s">
        <v>5812</v>
      </c>
      <c r="F2841" s="3" t="n">
        <v>45937.7791666667</v>
      </c>
      <c r="G2841" s="2" t="s">
        <v>5813</v>
      </c>
      <c r="H2841" s="4" t="n">
        <v>0.9612</v>
      </c>
      <c r="I2841" s="2" t="s">
        <v>23</v>
      </c>
      <c r="J2841" s="2" t="s">
        <v>37</v>
      </c>
      <c r="K2841" s="2" t="n">
        <v>6</v>
      </c>
      <c r="L2841" s="2" t="n">
        <v>1</v>
      </c>
      <c r="M2841" s="2" t="n">
        <v>1</v>
      </c>
    </row>
    <row r="2842" customFormat="false" ht="15" hidden="false" customHeight="false" outlineLevel="0" collapsed="false">
      <c r="A2842" s="2" t="s">
        <v>5955</v>
      </c>
      <c r="B2842" s="2" t="s">
        <v>5956</v>
      </c>
      <c r="C2842" s="2" t="n">
        <v>4</v>
      </c>
      <c r="D2842" s="2" t="s">
        <v>87</v>
      </c>
      <c r="E2842" s="2" t="s">
        <v>5812</v>
      </c>
      <c r="F2842" s="3" t="n">
        <v>45937.8354166667</v>
      </c>
      <c r="G2842" s="2" t="s">
        <v>5813</v>
      </c>
      <c r="H2842" s="4" t="n">
        <v>0</v>
      </c>
      <c r="I2842" s="2" t="s">
        <v>18</v>
      </c>
      <c r="J2842" s="2" t="s">
        <v>19</v>
      </c>
      <c r="K2842" s="2" t="n">
        <v>7</v>
      </c>
      <c r="L2842" s="2" t="n">
        <v>0</v>
      </c>
      <c r="M2842" s="2" t="n">
        <v>1</v>
      </c>
    </row>
    <row r="2843" customFormat="false" ht="15" hidden="false" customHeight="false" outlineLevel="0" collapsed="false">
      <c r="A2843" s="2" t="s">
        <v>5957</v>
      </c>
      <c r="B2843" s="2" t="s">
        <v>5958</v>
      </c>
      <c r="C2843" s="2" t="n">
        <v>5</v>
      </c>
      <c r="D2843" s="2" t="s">
        <v>47</v>
      </c>
      <c r="E2843" s="2" t="s">
        <v>5812</v>
      </c>
      <c r="F2843" s="3" t="n">
        <v>45937.8756944445</v>
      </c>
      <c r="G2843" s="2" t="s">
        <v>5813</v>
      </c>
      <c r="H2843" s="4" t="n">
        <v>0.3089</v>
      </c>
      <c r="I2843" s="2" t="s">
        <v>23</v>
      </c>
      <c r="J2843" s="2" t="s">
        <v>19</v>
      </c>
      <c r="K2843" s="2" t="n">
        <v>0</v>
      </c>
      <c r="L2843" s="2" t="n">
        <v>0</v>
      </c>
      <c r="M2843" s="2" t="n">
        <v>1</v>
      </c>
    </row>
    <row r="2844" customFormat="false" ht="15" hidden="false" customHeight="false" outlineLevel="0" collapsed="false">
      <c r="A2844" s="2" t="s">
        <v>5959</v>
      </c>
      <c r="B2844" s="2" t="s">
        <v>5960</v>
      </c>
      <c r="C2844" s="2" t="n">
        <v>2</v>
      </c>
      <c r="D2844" s="2" t="s">
        <v>32</v>
      </c>
      <c r="E2844" s="2" t="s">
        <v>5812</v>
      </c>
      <c r="F2844" s="3" t="n">
        <v>45937.9090277778</v>
      </c>
      <c r="G2844" s="2" t="s">
        <v>5813</v>
      </c>
      <c r="H2844" s="4" t="n">
        <v>0.2023</v>
      </c>
      <c r="I2844" s="2" t="s">
        <v>23</v>
      </c>
      <c r="J2844" s="2" t="s">
        <v>33</v>
      </c>
      <c r="K2844" s="2" t="n">
        <v>1</v>
      </c>
      <c r="L2844" s="2" t="n">
        <v>1</v>
      </c>
      <c r="M2844" s="2" t="n">
        <v>1</v>
      </c>
    </row>
    <row r="2845" customFormat="false" ht="15" hidden="false" customHeight="false" outlineLevel="0" collapsed="false">
      <c r="A2845" s="2" t="s">
        <v>5961</v>
      </c>
      <c r="B2845" s="2" t="s">
        <v>5962</v>
      </c>
      <c r="C2845" s="2" t="n">
        <v>5</v>
      </c>
      <c r="D2845" s="2" t="s">
        <v>799</v>
      </c>
      <c r="E2845" s="2" t="s">
        <v>5812</v>
      </c>
      <c r="F2845" s="3" t="n">
        <v>45938.0298611111</v>
      </c>
      <c r="G2845" s="2" t="s">
        <v>5813</v>
      </c>
      <c r="H2845" s="4" t="n">
        <v>0.9606</v>
      </c>
      <c r="I2845" s="2" t="s">
        <v>23</v>
      </c>
      <c r="J2845" s="2" t="s">
        <v>37</v>
      </c>
      <c r="K2845" s="2" t="n">
        <v>1</v>
      </c>
      <c r="L2845" s="2" t="n">
        <v>0</v>
      </c>
      <c r="M2845" s="2" t="n">
        <v>1</v>
      </c>
    </row>
    <row r="2846" customFormat="false" ht="15" hidden="false" customHeight="false" outlineLevel="0" collapsed="false">
      <c r="A2846" s="2" t="s">
        <v>5963</v>
      </c>
      <c r="B2846" s="2" t="s">
        <v>5964</v>
      </c>
      <c r="C2846" s="2" t="n">
        <v>4</v>
      </c>
      <c r="D2846" s="2" t="s">
        <v>90</v>
      </c>
      <c r="E2846" s="2" t="s">
        <v>5812</v>
      </c>
      <c r="F2846" s="3" t="n">
        <v>45938.1055555556</v>
      </c>
      <c r="G2846" s="2" t="s">
        <v>5813</v>
      </c>
      <c r="H2846" s="4" t="n">
        <v>0.6249</v>
      </c>
      <c r="I2846" s="2" t="s">
        <v>23</v>
      </c>
      <c r="J2846" s="2" t="s">
        <v>37</v>
      </c>
      <c r="K2846" s="2" t="n">
        <v>3</v>
      </c>
      <c r="L2846" s="2" t="n">
        <v>0</v>
      </c>
      <c r="M2846" s="2" t="n">
        <v>1</v>
      </c>
    </row>
    <row r="2847" customFormat="false" ht="15" hidden="false" customHeight="false" outlineLevel="0" collapsed="false">
      <c r="A2847" s="2" t="s">
        <v>5965</v>
      </c>
      <c r="B2847" s="2" t="s">
        <v>5966</v>
      </c>
      <c r="C2847" s="2" t="n">
        <v>3</v>
      </c>
      <c r="D2847" s="2" t="s">
        <v>99</v>
      </c>
      <c r="E2847" s="2" t="s">
        <v>5812</v>
      </c>
      <c r="F2847" s="3" t="n">
        <v>45938.1194444444</v>
      </c>
      <c r="G2847" s="2" t="s">
        <v>5813</v>
      </c>
      <c r="H2847" s="4" t="n">
        <v>-0.3089</v>
      </c>
      <c r="I2847" s="2" t="s">
        <v>84</v>
      </c>
      <c r="J2847" s="2" t="s">
        <v>19</v>
      </c>
      <c r="K2847" s="2" t="n">
        <v>4</v>
      </c>
      <c r="L2847" s="2" t="n">
        <v>0</v>
      </c>
      <c r="M2847" s="2" t="n">
        <v>1</v>
      </c>
    </row>
    <row r="2848" customFormat="false" ht="15" hidden="false" customHeight="false" outlineLevel="0" collapsed="false">
      <c r="A2848" s="2" t="s">
        <v>5967</v>
      </c>
      <c r="B2848" s="2" t="s">
        <v>5968</v>
      </c>
      <c r="C2848" s="2" t="n">
        <v>5</v>
      </c>
      <c r="D2848" s="2" t="s">
        <v>47</v>
      </c>
      <c r="E2848" s="2" t="s">
        <v>5812</v>
      </c>
      <c r="F2848" s="3" t="n">
        <v>45938.4590277778</v>
      </c>
      <c r="G2848" s="2" t="s">
        <v>5813</v>
      </c>
      <c r="H2848" s="4" t="n">
        <v>0.3089</v>
      </c>
      <c r="I2848" s="2" t="s">
        <v>23</v>
      </c>
      <c r="J2848" s="2" t="s">
        <v>19</v>
      </c>
      <c r="K2848" s="2" t="n">
        <v>2</v>
      </c>
      <c r="L2848" s="2" t="n">
        <v>0</v>
      </c>
      <c r="M2848" s="2" t="n">
        <v>1</v>
      </c>
    </row>
    <row r="2849" customFormat="false" ht="15" hidden="false" customHeight="false" outlineLevel="0" collapsed="false">
      <c r="A2849" s="2" t="s">
        <v>5969</v>
      </c>
      <c r="B2849" s="2" t="s">
        <v>5970</v>
      </c>
      <c r="C2849" s="2" t="n">
        <v>4</v>
      </c>
      <c r="D2849" s="2" t="s">
        <v>40</v>
      </c>
      <c r="E2849" s="2" t="s">
        <v>5812</v>
      </c>
      <c r="F2849" s="3" t="n">
        <v>45938.5729166667</v>
      </c>
      <c r="G2849" s="2" t="s">
        <v>5813</v>
      </c>
      <c r="H2849" s="4" t="n">
        <v>0.4019</v>
      </c>
      <c r="I2849" s="2" t="s">
        <v>23</v>
      </c>
      <c r="J2849" s="2" t="s">
        <v>33</v>
      </c>
      <c r="K2849" s="2" t="n">
        <v>5</v>
      </c>
      <c r="L2849" s="2" t="n">
        <v>0</v>
      </c>
      <c r="M2849" s="2" t="n">
        <v>1</v>
      </c>
    </row>
    <row r="2850" customFormat="false" ht="15" hidden="false" customHeight="false" outlineLevel="0" collapsed="false">
      <c r="A2850" s="2" t="s">
        <v>5971</v>
      </c>
      <c r="B2850" s="2" t="s">
        <v>5972</v>
      </c>
      <c r="C2850" s="2" t="n">
        <v>5</v>
      </c>
      <c r="D2850" s="2" t="s">
        <v>47</v>
      </c>
      <c r="E2850" s="2" t="s">
        <v>5812</v>
      </c>
      <c r="F2850" s="3" t="n">
        <v>45938.6395833333</v>
      </c>
      <c r="G2850" s="2" t="s">
        <v>5813</v>
      </c>
      <c r="H2850" s="4" t="n">
        <v>0.3089</v>
      </c>
      <c r="I2850" s="2" t="s">
        <v>23</v>
      </c>
      <c r="J2850" s="2" t="s">
        <v>19</v>
      </c>
      <c r="K2850" s="2" t="n">
        <v>1</v>
      </c>
      <c r="L2850" s="2" t="n">
        <v>0</v>
      </c>
      <c r="M2850" s="2" t="n">
        <v>1</v>
      </c>
    </row>
    <row r="2851" customFormat="false" ht="15" hidden="false" customHeight="false" outlineLevel="0" collapsed="false">
      <c r="A2851" s="2" t="s">
        <v>5973</v>
      </c>
      <c r="B2851" s="2" t="s">
        <v>5974</v>
      </c>
      <c r="C2851" s="2" t="n">
        <v>4</v>
      </c>
      <c r="D2851" s="2" t="s">
        <v>1797</v>
      </c>
      <c r="E2851" s="2" t="s">
        <v>5812</v>
      </c>
      <c r="F2851" s="3" t="n">
        <v>45938.6520833333</v>
      </c>
      <c r="G2851" s="2" t="s">
        <v>5813</v>
      </c>
      <c r="H2851" s="4" t="n">
        <v>0.4019</v>
      </c>
      <c r="I2851" s="2" t="s">
        <v>23</v>
      </c>
      <c r="J2851" s="2" t="s">
        <v>33</v>
      </c>
      <c r="K2851" s="2" t="n">
        <v>2</v>
      </c>
      <c r="L2851" s="2" t="n">
        <v>0</v>
      </c>
      <c r="M2851" s="2" t="n">
        <v>1</v>
      </c>
    </row>
    <row r="2852" customFormat="false" ht="15" hidden="false" customHeight="false" outlineLevel="0" collapsed="false">
      <c r="A2852" s="2" t="s">
        <v>5975</v>
      </c>
      <c r="B2852" s="2" t="s">
        <v>5976</v>
      </c>
      <c r="C2852" s="2" t="n">
        <v>5</v>
      </c>
      <c r="D2852" s="2" t="s">
        <v>2727</v>
      </c>
      <c r="E2852" s="2" t="s">
        <v>5812</v>
      </c>
      <c r="F2852" s="3" t="n">
        <v>45938.7548611111</v>
      </c>
      <c r="G2852" s="2" t="s">
        <v>5813</v>
      </c>
      <c r="H2852" s="4" t="n">
        <v>0.4019</v>
      </c>
      <c r="I2852" s="2" t="s">
        <v>23</v>
      </c>
      <c r="J2852" s="2" t="s">
        <v>33</v>
      </c>
      <c r="K2852" s="2" t="n">
        <v>0</v>
      </c>
      <c r="L2852" s="2" t="n">
        <v>0</v>
      </c>
      <c r="M2852" s="2" t="n">
        <v>1</v>
      </c>
    </row>
    <row r="2853" customFormat="false" ht="15" hidden="false" customHeight="false" outlineLevel="0" collapsed="false">
      <c r="A2853" s="2" t="s">
        <v>5977</v>
      </c>
      <c r="B2853" s="2" t="s">
        <v>5978</v>
      </c>
      <c r="C2853" s="2" t="n">
        <v>4</v>
      </c>
      <c r="D2853" s="2" t="s">
        <v>52</v>
      </c>
      <c r="E2853" s="2" t="s">
        <v>5812</v>
      </c>
      <c r="F2853" s="3" t="n">
        <v>45938.7673611111</v>
      </c>
      <c r="G2853" s="2" t="s">
        <v>5813</v>
      </c>
      <c r="H2853" s="4" t="n">
        <v>0.6369</v>
      </c>
      <c r="I2853" s="2" t="s">
        <v>23</v>
      </c>
      <c r="J2853" s="2" t="s">
        <v>19</v>
      </c>
      <c r="K2853" s="2" t="n">
        <v>1</v>
      </c>
      <c r="L2853" s="2" t="n">
        <v>0</v>
      </c>
      <c r="M2853" s="2" t="n">
        <v>1</v>
      </c>
    </row>
    <row r="2854" customFormat="false" ht="15" hidden="false" customHeight="false" outlineLevel="0" collapsed="false">
      <c r="A2854" s="2" t="s">
        <v>5979</v>
      </c>
      <c r="B2854" s="2" t="s">
        <v>5980</v>
      </c>
      <c r="C2854" s="2" t="n">
        <v>5</v>
      </c>
      <c r="D2854" s="2" t="s">
        <v>127</v>
      </c>
      <c r="E2854" s="2" t="s">
        <v>5812</v>
      </c>
      <c r="F2854" s="3" t="n">
        <v>45938.8340277778</v>
      </c>
      <c r="G2854" s="2" t="s">
        <v>5813</v>
      </c>
      <c r="H2854" s="4" t="n">
        <v>0.9359</v>
      </c>
      <c r="I2854" s="2" t="s">
        <v>23</v>
      </c>
      <c r="J2854" s="2" t="s">
        <v>37</v>
      </c>
      <c r="K2854" s="2" t="n">
        <v>2</v>
      </c>
      <c r="L2854" s="2" t="n">
        <v>0</v>
      </c>
      <c r="M2854" s="2" t="n">
        <v>1</v>
      </c>
    </row>
    <row r="2855" customFormat="false" ht="15" hidden="false" customHeight="false" outlineLevel="0" collapsed="false">
      <c r="A2855" s="2" t="s">
        <v>5981</v>
      </c>
      <c r="B2855" s="2" t="s">
        <v>5982</v>
      </c>
      <c r="C2855" s="2" t="n">
        <v>5</v>
      </c>
      <c r="D2855" s="2" t="s">
        <v>116</v>
      </c>
      <c r="E2855" s="2" t="s">
        <v>5812</v>
      </c>
      <c r="F2855" s="3" t="n">
        <v>45938.9076388889</v>
      </c>
      <c r="G2855" s="2" t="s">
        <v>5813</v>
      </c>
      <c r="H2855" s="4" t="n">
        <v>0.9359</v>
      </c>
      <c r="I2855" s="2" t="s">
        <v>23</v>
      </c>
      <c r="J2855" s="2" t="s">
        <v>37</v>
      </c>
      <c r="K2855" s="2" t="n">
        <v>0</v>
      </c>
      <c r="L2855" s="2" t="n">
        <v>0</v>
      </c>
      <c r="M2855" s="2" t="n">
        <v>1</v>
      </c>
    </row>
    <row r="2856" customFormat="false" ht="15" hidden="false" customHeight="false" outlineLevel="0" collapsed="false">
      <c r="A2856" s="2" t="s">
        <v>5983</v>
      </c>
      <c r="B2856" s="2" t="s">
        <v>5984</v>
      </c>
      <c r="C2856" s="2" t="n">
        <v>4</v>
      </c>
      <c r="D2856" s="2" t="s">
        <v>15</v>
      </c>
      <c r="E2856" s="2" t="s">
        <v>5812</v>
      </c>
      <c r="F2856" s="3" t="n">
        <v>45938.9666666667</v>
      </c>
      <c r="G2856" s="2" t="s">
        <v>5813</v>
      </c>
      <c r="H2856" s="4" t="n">
        <v>0</v>
      </c>
      <c r="I2856" s="2" t="s">
        <v>18</v>
      </c>
      <c r="J2856" s="2" t="s">
        <v>19</v>
      </c>
      <c r="K2856" s="2" t="n">
        <v>0</v>
      </c>
      <c r="L2856" s="2" t="n">
        <v>0</v>
      </c>
      <c r="M2856" s="2" t="n">
        <v>1</v>
      </c>
    </row>
    <row r="2857" customFormat="false" ht="15" hidden="false" customHeight="false" outlineLevel="0" collapsed="false">
      <c r="A2857" s="2" t="s">
        <v>5985</v>
      </c>
      <c r="B2857" s="2" t="s">
        <v>5986</v>
      </c>
      <c r="C2857" s="2" t="n">
        <v>2</v>
      </c>
      <c r="D2857" s="2" t="s">
        <v>804</v>
      </c>
      <c r="E2857" s="2" t="s">
        <v>5812</v>
      </c>
      <c r="F2857" s="3" t="n">
        <v>45939.0861111111</v>
      </c>
      <c r="G2857" s="2" t="s">
        <v>5813</v>
      </c>
      <c r="H2857" s="4" t="n">
        <v>0.2263</v>
      </c>
      <c r="I2857" s="2" t="s">
        <v>23</v>
      </c>
      <c r="J2857" s="2" t="s">
        <v>37</v>
      </c>
      <c r="K2857" s="2" t="n">
        <v>4</v>
      </c>
      <c r="L2857" s="2" t="n">
        <v>0</v>
      </c>
      <c r="M2857" s="2" t="n">
        <v>1</v>
      </c>
    </row>
    <row r="2858" customFormat="false" ht="15" hidden="false" customHeight="false" outlineLevel="0" collapsed="false">
      <c r="A2858" s="2" t="s">
        <v>5987</v>
      </c>
      <c r="B2858" s="2" t="s">
        <v>5988</v>
      </c>
      <c r="C2858" s="2" t="n">
        <v>5</v>
      </c>
      <c r="D2858" s="2" t="s">
        <v>62</v>
      </c>
      <c r="E2858" s="2" t="s">
        <v>5812</v>
      </c>
      <c r="F2858" s="3" t="n">
        <v>45939.1555555556</v>
      </c>
      <c r="G2858" s="2" t="s">
        <v>5813</v>
      </c>
      <c r="H2858" s="4" t="n">
        <v>0.7088</v>
      </c>
      <c r="I2858" s="2" t="s">
        <v>23</v>
      </c>
      <c r="J2858" s="2" t="s">
        <v>19</v>
      </c>
      <c r="K2858" s="2" t="n">
        <v>6</v>
      </c>
      <c r="L2858" s="2" t="n">
        <v>0</v>
      </c>
      <c r="M2858" s="2" t="n">
        <v>1</v>
      </c>
    </row>
    <row r="2859" customFormat="false" ht="15" hidden="false" customHeight="false" outlineLevel="0" collapsed="false">
      <c r="A2859" s="2" t="s">
        <v>5989</v>
      </c>
      <c r="B2859" s="2" t="s">
        <v>5990</v>
      </c>
      <c r="C2859" s="2" t="n">
        <v>5</v>
      </c>
      <c r="D2859" s="2" t="s">
        <v>62</v>
      </c>
      <c r="E2859" s="2" t="s">
        <v>5812</v>
      </c>
      <c r="F2859" s="3" t="n">
        <v>45939.23125</v>
      </c>
      <c r="G2859" s="2" t="s">
        <v>5813</v>
      </c>
      <c r="H2859" s="4" t="n">
        <v>0.7088</v>
      </c>
      <c r="I2859" s="2" t="s">
        <v>23</v>
      </c>
      <c r="J2859" s="2" t="s">
        <v>19</v>
      </c>
      <c r="K2859" s="2" t="n">
        <v>2</v>
      </c>
      <c r="L2859" s="2" t="n">
        <v>0</v>
      </c>
      <c r="M2859" s="2" t="n">
        <v>1</v>
      </c>
    </row>
    <row r="2860" customFormat="false" ht="15" hidden="false" customHeight="false" outlineLevel="0" collapsed="false">
      <c r="A2860" s="2" t="s">
        <v>5991</v>
      </c>
      <c r="B2860" s="2" t="s">
        <v>5992</v>
      </c>
      <c r="C2860" s="2" t="n">
        <v>2</v>
      </c>
      <c r="D2860" s="2" t="s">
        <v>1478</v>
      </c>
      <c r="E2860" s="2" t="s">
        <v>5812</v>
      </c>
      <c r="F2860" s="3" t="n">
        <v>45939.2326388889</v>
      </c>
      <c r="G2860" s="2" t="s">
        <v>5813</v>
      </c>
      <c r="H2860" s="4" t="n">
        <v>-0.5023</v>
      </c>
      <c r="I2860" s="2" t="s">
        <v>84</v>
      </c>
      <c r="J2860" s="2" t="s">
        <v>33</v>
      </c>
      <c r="K2860" s="2" t="n">
        <v>0</v>
      </c>
      <c r="L2860" s="2" t="n">
        <v>0</v>
      </c>
      <c r="M2860" s="2" t="n">
        <v>1</v>
      </c>
    </row>
    <row r="2861" customFormat="false" ht="15" hidden="false" customHeight="false" outlineLevel="0" collapsed="false">
      <c r="A2861" s="2" t="s">
        <v>5993</v>
      </c>
      <c r="B2861" s="2" t="s">
        <v>5994</v>
      </c>
      <c r="C2861" s="2" t="n">
        <v>4</v>
      </c>
      <c r="D2861" s="2" t="s">
        <v>1279</v>
      </c>
      <c r="E2861" s="2" t="s">
        <v>5812</v>
      </c>
      <c r="F2861" s="3" t="n">
        <v>45939.3131944445</v>
      </c>
      <c r="G2861" s="2" t="s">
        <v>5813</v>
      </c>
      <c r="H2861" s="4" t="n">
        <v>0.7783</v>
      </c>
      <c r="I2861" s="2" t="s">
        <v>23</v>
      </c>
      <c r="J2861" s="2" t="s">
        <v>37</v>
      </c>
      <c r="K2861" s="2" t="n">
        <v>3</v>
      </c>
      <c r="L2861" s="2" t="n">
        <v>0</v>
      </c>
      <c r="M2861" s="2" t="n">
        <v>1</v>
      </c>
    </row>
    <row r="2862" customFormat="false" ht="15" hidden="false" customHeight="false" outlineLevel="0" collapsed="false">
      <c r="A2862" s="2" t="s">
        <v>5995</v>
      </c>
      <c r="B2862" s="2" t="s">
        <v>5996</v>
      </c>
      <c r="C2862" s="2" t="n">
        <v>4</v>
      </c>
      <c r="D2862" s="2" t="s">
        <v>62</v>
      </c>
      <c r="E2862" s="2" t="s">
        <v>5812</v>
      </c>
      <c r="F2862" s="3" t="n">
        <v>45939.4097222222</v>
      </c>
      <c r="G2862" s="2" t="s">
        <v>5813</v>
      </c>
      <c r="H2862" s="4" t="n">
        <v>0.7088</v>
      </c>
      <c r="I2862" s="2" t="s">
        <v>23</v>
      </c>
      <c r="J2862" s="2" t="s">
        <v>19</v>
      </c>
      <c r="K2862" s="2" t="n">
        <v>4</v>
      </c>
      <c r="L2862" s="2" t="n">
        <v>0</v>
      </c>
      <c r="M2862" s="2" t="n">
        <v>1</v>
      </c>
    </row>
    <row r="2863" customFormat="false" ht="15" hidden="false" customHeight="false" outlineLevel="0" collapsed="false">
      <c r="A2863" s="2" t="s">
        <v>5997</v>
      </c>
      <c r="B2863" s="2" t="s">
        <v>5998</v>
      </c>
      <c r="C2863" s="2" t="n">
        <v>2</v>
      </c>
      <c r="D2863" s="2" t="s">
        <v>4504</v>
      </c>
      <c r="E2863" s="2" t="s">
        <v>5812</v>
      </c>
      <c r="F2863" s="3" t="n">
        <v>45939.6298611111</v>
      </c>
      <c r="G2863" s="2" t="s">
        <v>5813</v>
      </c>
      <c r="H2863" s="4" t="n">
        <v>-0.4767</v>
      </c>
      <c r="I2863" s="2" t="s">
        <v>84</v>
      </c>
      <c r="J2863" s="2" t="s">
        <v>37</v>
      </c>
      <c r="K2863" s="2" t="n">
        <v>6</v>
      </c>
      <c r="L2863" s="2" t="n">
        <v>1</v>
      </c>
      <c r="M2863" s="2" t="n">
        <v>1</v>
      </c>
    </row>
    <row r="2864" customFormat="false" ht="15" hidden="false" customHeight="false" outlineLevel="0" collapsed="false">
      <c r="A2864" s="2" t="s">
        <v>5999</v>
      </c>
      <c r="B2864" s="2" t="s">
        <v>6000</v>
      </c>
      <c r="C2864" s="2" t="n">
        <v>5</v>
      </c>
      <c r="D2864" s="2" t="s">
        <v>96</v>
      </c>
      <c r="E2864" s="2" t="s">
        <v>5812</v>
      </c>
      <c r="F2864" s="3" t="n">
        <v>45939.75</v>
      </c>
      <c r="G2864" s="2" t="s">
        <v>5813</v>
      </c>
      <c r="H2864" s="4" t="n">
        <v>0.6369</v>
      </c>
      <c r="I2864" s="2" t="s">
        <v>23</v>
      </c>
      <c r="J2864" s="2" t="s">
        <v>19</v>
      </c>
      <c r="K2864" s="2" t="n">
        <v>1</v>
      </c>
      <c r="L2864" s="2" t="n">
        <v>0</v>
      </c>
      <c r="M2864" s="2" t="n">
        <v>1</v>
      </c>
    </row>
    <row r="2865" customFormat="false" ht="15" hidden="false" customHeight="false" outlineLevel="0" collapsed="false">
      <c r="A2865" s="2" t="s">
        <v>6001</v>
      </c>
      <c r="B2865" s="2" t="s">
        <v>6002</v>
      </c>
      <c r="C2865" s="2" t="n">
        <v>5</v>
      </c>
      <c r="D2865" s="2" t="s">
        <v>52</v>
      </c>
      <c r="E2865" s="2" t="s">
        <v>5812</v>
      </c>
      <c r="F2865" s="3" t="n">
        <v>45939.8041666667</v>
      </c>
      <c r="G2865" s="2" t="s">
        <v>5813</v>
      </c>
      <c r="H2865" s="4" t="n">
        <v>0.6369</v>
      </c>
      <c r="I2865" s="2" t="s">
        <v>23</v>
      </c>
      <c r="J2865" s="2" t="s">
        <v>19</v>
      </c>
      <c r="K2865" s="2" t="n">
        <v>3</v>
      </c>
      <c r="L2865" s="2" t="n">
        <v>0</v>
      </c>
      <c r="M2865" s="2" t="n">
        <v>1</v>
      </c>
    </row>
    <row r="2866" customFormat="false" ht="15" hidden="false" customHeight="false" outlineLevel="0" collapsed="false">
      <c r="A2866" s="2" t="s">
        <v>6003</v>
      </c>
      <c r="B2866" s="2" t="s">
        <v>6004</v>
      </c>
      <c r="C2866" s="2" t="n">
        <v>5</v>
      </c>
      <c r="D2866" s="2" t="s">
        <v>40</v>
      </c>
      <c r="E2866" s="2" t="s">
        <v>5812</v>
      </c>
      <c r="F2866" s="3" t="n">
        <v>45939.9333333333</v>
      </c>
      <c r="G2866" s="2" t="s">
        <v>5813</v>
      </c>
      <c r="H2866" s="4" t="n">
        <v>0.4019</v>
      </c>
      <c r="I2866" s="2" t="s">
        <v>23</v>
      </c>
      <c r="J2866" s="2" t="s">
        <v>33</v>
      </c>
      <c r="K2866" s="2" t="n">
        <v>4</v>
      </c>
      <c r="L2866" s="2" t="n">
        <v>0</v>
      </c>
      <c r="M2866" s="2" t="n">
        <v>1</v>
      </c>
    </row>
    <row r="2867" customFormat="false" ht="15" hidden="false" customHeight="false" outlineLevel="0" collapsed="false">
      <c r="A2867" s="2" t="s">
        <v>6005</v>
      </c>
      <c r="B2867" s="2" t="s">
        <v>6006</v>
      </c>
      <c r="C2867" s="2" t="n">
        <v>5</v>
      </c>
      <c r="D2867" s="2" t="s">
        <v>96</v>
      </c>
      <c r="E2867" s="2" t="s">
        <v>5812</v>
      </c>
      <c r="F2867" s="3" t="n">
        <v>45940.93125</v>
      </c>
      <c r="G2867" s="2" t="s">
        <v>5813</v>
      </c>
      <c r="H2867" s="4" t="n">
        <v>0.6369</v>
      </c>
      <c r="I2867" s="2" t="s">
        <v>23</v>
      </c>
      <c r="J2867" s="2" t="s">
        <v>19</v>
      </c>
      <c r="K2867" s="2" t="n">
        <v>6</v>
      </c>
      <c r="L2867" s="2" t="n">
        <v>0</v>
      </c>
      <c r="M2867" s="2" t="n">
        <v>1</v>
      </c>
    </row>
    <row r="2868" customFormat="false" ht="15" hidden="false" customHeight="false" outlineLevel="0" collapsed="false">
      <c r="A2868" s="2" t="s">
        <v>6007</v>
      </c>
      <c r="B2868" s="2" t="s">
        <v>6008</v>
      </c>
      <c r="C2868" s="2" t="n">
        <v>3</v>
      </c>
      <c r="D2868" s="2" t="s">
        <v>87</v>
      </c>
      <c r="E2868" s="2" t="s">
        <v>5812</v>
      </c>
      <c r="F2868" s="3" t="n">
        <v>45940.9923611111</v>
      </c>
      <c r="G2868" s="2" t="s">
        <v>5813</v>
      </c>
      <c r="H2868" s="4" t="n">
        <v>0</v>
      </c>
      <c r="I2868" s="2" t="s">
        <v>18</v>
      </c>
      <c r="J2868" s="2" t="s">
        <v>19</v>
      </c>
      <c r="K2868" s="2" t="n">
        <v>1</v>
      </c>
      <c r="L2868" s="2" t="n">
        <v>0</v>
      </c>
      <c r="M2868" s="2" t="n">
        <v>1</v>
      </c>
    </row>
    <row r="2869" customFormat="false" ht="15" hidden="false" customHeight="false" outlineLevel="0" collapsed="false">
      <c r="A2869" s="2" t="s">
        <v>6009</v>
      </c>
      <c r="B2869" s="2" t="s">
        <v>6010</v>
      </c>
      <c r="C2869" s="2" t="n">
        <v>4</v>
      </c>
      <c r="D2869" s="2" t="s">
        <v>40</v>
      </c>
      <c r="E2869" s="2" t="s">
        <v>5812</v>
      </c>
      <c r="F2869" s="3" t="n">
        <v>45941.0298611111</v>
      </c>
      <c r="G2869" s="2" t="s">
        <v>5813</v>
      </c>
      <c r="H2869" s="4" t="n">
        <v>0.4019</v>
      </c>
      <c r="I2869" s="2" t="s">
        <v>23</v>
      </c>
      <c r="J2869" s="2" t="s">
        <v>33</v>
      </c>
      <c r="K2869" s="2" t="n">
        <v>1</v>
      </c>
      <c r="L2869" s="2" t="n">
        <v>0</v>
      </c>
      <c r="M2869" s="2" t="n">
        <v>1</v>
      </c>
    </row>
    <row r="2870" customFormat="false" ht="15" hidden="false" customHeight="false" outlineLevel="0" collapsed="false">
      <c r="A2870" s="2" t="s">
        <v>6011</v>
      </c>
      <c r="B2870" s="2" t="s">
        <v>6012</v>
      </c>
      <c r="C2870" s="2" t="n">
        <v>5</v>
      </c>
      <c r="D2870" s="2" t="s">
        <v>40</v>
      </c>
      <c r="E2870" s="2" t="s">
        <v>5812</v>
      </c>
      <c r="F2870" s="3" t="n">
        <v>45941.0513888889</v>
      </c>
      <c r="G2870" s="2" t="s">
        <v>5813</v>
      </c>
      <c r="H2870" s="4" t="n">
        <v>0.4019</v>
      </c>
      <c r="I2870" s="2" t="s">
        <v>23</v>
      </c>
      <c r="J2870" s="2" t="s">
        <v>33</v>
      </c>
      <c r="K2870" s="2" t="n">
        <v>2</v>
      </c>
      <c r="L2870" s="2" t="n">
        <v>0</v>
      </c>
      <c r="M2870" s="2" t="n">
        <v>1</v>
      </c>
    </row>
    <row r="2871" customFormat="false" ht="15" hidden="false" customHeight="false" outlineLevel="0" collapsed="false">
      <c r="A2871" s="2" t="s">
        <v>6013</v>
      </c>
      <c r="B2871" s="2" t="s">
        <v>6014</v>
      </c>
      <c r="C2871" s="2" t="n">
        <v>5</v>
      </c>
      <c r="D2871" s="2" t="s">
        <v>52</v>
      </c>
      <c r="E2871" s="2" t="s">
        <v>5812</v>
      </c>
      <c r="F2871" s="3" t="n">
        <v>45941.15625</v>
      </c>
      <c r="G2871" s="2" t="s">
        <v>5813</v>
      </c>
      <c r="H2871" s="4" t="n">
        <v>0.6369</v>
      </c>
      <c r="I2871" s="2" t="s">
        <v>23</v>
      </c>
      <c r="J2871" s="2" t="s">
        <v>19</v>
      </c>
      <c r="K2871" s="2" t="n">
        <v>4</v>
      </c>
      <c r="L2871" s="2" t="n">
        <v>0</v>
      </c>
      <c r="M2871" s="2" t="n">
        <v>1</v>
      </c>
    </row>
    <row r="2872" customFormat="false" ht="15" hidden="false" customHeight="false" outlineLevel="0" collapsed="false">
      <c r="A2872" s="2" t="s">
        <v>6015</v>
      </c>
      <c r="B2872" s="2" t="s">
        <v>6016</v>
      </c>
      <c r="C2872" s="2" t="n">
        <v>3</v>
      </c>
      <c r="D2872" s="2" t="s">
        <v>1237</v>
      </c>
      <c r="E2872" s="2" t="s">
        <v>5812</v>
      </c>
      <c r="F2872" s="3" t="n">
        <v>45941.2708333333</v>
      </c>
      <c r="G2872" s="2" t="s">
        <v>5813</v>
      </c>
      <c r="H2872" s="4" t="n">
        <v>-0.3089</v>
      </c>
      <c r="I2872" s="2" t="s">
        <v>84</v>
      </c>
      <c r="J2872" s="2" t="s">
        <v>19</v>
      </c>
      <c r="K2872" s="2" t="n">
        <v>6</v>
      </c>
      <c r="L2872" s="2" t="n">
        <v>0</v>
      </c>
      <c r="M2872" s="2" t="n">
        <v>1</v>
      </c>
    </row>
    <row r="2873" customFormat="false" ht="15" hidden="false" customHeight="false" outlineLevel="0" collapsed="false">
      <c r="A2873" s="2" t="s">
        <v>6017</v>
      </c>
      <c r="B2873" s="2" t="s">
        <v>6018</v>
      </c>
      <c r="C2873" s="2" t="n">
        <v>4</v>
      </c>
      <c r="D2873" s="2" t="s">
        <v>40</v>
      </c>
      <c r="E2873" s="2" t="s">
        <v>5812</v>
      </c>
      <c r="F2873" s="3" t="n">
        <v>45941.3333333333</v>
      </c>
      <c r="G2873" s="2" t="s">
        <v>5813</v>
      </c>
      <c r="H2873" s="4" t="n">
        <v>0.4019</v>
      </c>
      <c r="I2873" s="2" t="s">
        <v>23</v>
      </c>
      <c r="J2873" s="2" t="s">
        <v>33</v>
      </c>
      <c r="K2873" s="2" t="n">
        <v>0</v>
      </c>
      <c r="L2873" s="2" t="n">
        <v>0</v>
      </c>
      <c r="M2873" s="2" t="n">
        <v>1</v>
      </c>
    </row>
    <row r="2874" customFormat="false" ht="15" hidden="false" customHeight="false" outlineLevel="0" collapsed="false">
      <c r="A2874" s="2" t="s">
        <v>6019</v>
      </c>
      <c r="B2874" s="2" t="s">
        <v>6020</v>
      </c>
      <c r="C2874" s="2" t="n">
        <v>3</v>
      </c>
      <c r="D2874" s="2" t="s">
        <v>1605</v>
      </c>
      <c r="E2874" s="2" t="s">
        <v>5812</v>
      </c>
      <c r="F2874" s="3" t="n">
        <v>45941.6284722222</v>
      </c>
      <c r="G2874" s="2" t="s">
        <v>5813</v>
      </c>
      <c r="H2874" s="4" t="n">
        <v>-0.5448</v>
      </c>
      <c r="I2874" s="2" t="s">
        <v>84</v>
      </c>
      <c r="J2874" s="2" t="s">
        <v>19</v>
      </c>
      <c r="K2874" s="2" t="n">
        <v>5</v>
      </c>
      <c r="L2874" s="2" t="n">
        <v>0</v>
      </c>
      <c r="M2874" s="2" t="n">
        <v>1</v>
      </c>
    </row>
    <row r="2875" customFormat="false" ht="15" hidden="false" customHeight="false" outlineLevel="0" collapsed="false">
      <c r="A2875" s="2" t="s">
        <v>6021</v>
      </c>
      <c r="B2875" s="2" t="s">
        <v>6022</v>
      </c>
      <c r="C2875" s="2" t="n">
        <v>1</v>
      </c>
      <c r="D2875" s="2" t="s">
        <v>482</v>
      </c>
      <c r="E2875" s="2" t="s">
        <v>5812</v>
      </c>
      <c r="F2875" s="3" t="n">
        <v>45941.6902777778</v>
      </c>
      <c r="G2875" s="2" t="s">
        <v>5813</v>
      </c>
      <c r="H2875" s="4" t="n">
        <v>-0.6808</v>
      </c>
      <c r="I2875" s="2" t="s">
        <v>84</v>
      </c>
      <c r="J2875" s="2" t="s">
        <v>110</v>
      </c>
      <c r="K2875" s="2" t="n">
        <v>1</v>
      </c>
      <c r="L2875" s="2" t="n">
        <v>0</v>
      </c>
      <c r="M2875" s="2" t="n">
        <v>1</v>
      </c>
    </row>
    <row r="2876" customFormat="false" ht="15" hidden="false" customHeight="false" outlineLevel="0" collapsed="false">
      <c r="A2876" s="2" t="s">
        <v>6023</v>
      </c>
      <c r="B2876" s="2" t="s">
        <v>6024</v>
      </c>
      <c r="C2876" s="2" t="n">
        <v>5</v>
      </c>
      <c r="D2876" s="2" t="s">
        <v>15</v>
      </c>
      <c r="E2876" s="2" t="s">
        <v>5812</v>
      </c>
      <c r="F2876" s="3" t="n">
        <v>45941.71875</v>
      </c>
      <c r="G2876" s="2" t="s">
        <v>5813</v>
      </c>
      <c r="H2876" s="4" t="n">
        <v>0</v>
      </c>
      <c r="I2876" s="2" t="s">
        <v>18</v>
      </c>
      <c r="J2876" s="2" t="s">
        <v>19</v>
      </c>
      <c r="K2876" s="2" t="n">
        <v>3</v>
      </c>
      <c r="L2876" s="2" t="n">
        <v>0</v>
      </c>
      <c r="M2876" s="2" t="n">
        <v>1</v>
      </c>
    </row>
    <row r="2877" customFormat="false" ht="15" hidden="false" customHeight="false" outlineLevel="0" collapsed="false">
      <c r="A2877" s="2" t="s">
        <v>6025</v>
      </c>
      <c r="B2877" s="2" t="s">
        <v>6026</v>
      </c>
      <c r="C2877" s="2" t="n">
        <v>4</v>
      </c>
      <c r="D2877" s="2" t="s">
        <v>22</v>
      </c>
      <c r="E2877" s="2" t="s">
        <v>5812</v>
      </c>
      <c r="F2877" s="3" t="n">
        <v>45941.8972222222</v>
      </c>
      <c r="G2877" s="2" t="s">
        <v>5813</v>
      </c>
      <c r="H2877" s="4" t="n">
        <v>0.2023</v>
      </c>
      <c r="I2877" s="2" t="s">
        <v>23</v>
      </c>
      <c r="J2877" s="2" t="s">
        <v>19</v>
      </c>
      <c r="K2877" s="2" t="n">
        <v>1</v>
      </c>
      <c r="L2877" s="2" t="n">
        <v>0</v>
      </c>
      <c r="M2877" s="2" t="n">
        <v>1</v>
      </c>
    </row>
    <row r="2878" customFormat="false" ht="15" hidden="false" customHeight="false" outlineLevel="0" collapsed="false">
      <c r="A2878" s="2" t="s">
        <v>6027</v>
      </c>
      <c r="B2878" s="2" t="s">
        <v>6028</v>
      </c>
      <c r="C2878" s="2" t="n">
        <v>5</v>
      </c>
      <c r="D2878" s="2" t="s">
        <v>62</v>
      </c>
      <c r="E2878" s="2" t="s">
        <v>5812</v>
      </c>
      <c r="F2878" s="3" t="n">
        <v>45942.1083333333</v>
      </c>
      <c r="G2878" s="2" t="s">
        <v>5813</v>
      </c>
      <c r="H2878" s="4" t="n">
        <v>0.7088</v>
      </c>
      <c r="I2878" s="2" t="s">
        <v>23</v>
      </c>
      <c r="J2878" s="2" t="s">
        <v>19</v>
      </c>
      <c r="K2878" s="2" t="n">
        <v>1</v>
      </c>
      <c r="L2878" s="2" t="n">
        <v>0</v>
      </c>
      <c r="M2878" s="2" t="n">
        <v>1</v>
      </c>
    </row>
    <row r="2879" customFormat="false" ht="15" hidden="false" customHeight="false" outlineLevel="0" collapsed="false">
      <c r="A2879" s="2" t="s">
        <v>6029</v>
      </c>
      <c r="B2879" s="2" t="s">
        <v>6030</v>
      </c>
      <c r="C2879" s="2" t="n">
        <v>4</v>
      </c>
      <c r="D2879" s="2" t="s">
        <v>36</v>
      </c>
      <c r="E2879" s="2" t="s">
        <v>5812</v>
      </c>
      <c r="F2879" s="3" t="n">
        <v>45942.1868055556</v>
      </c>
      <c r="G2879" s="2" t="s">
        <v>5813</v>
      </c>
      <c r="H2879" s="4" t="n">
        <v>0.4404</v>
      </c>
      <c r="I2879" s="2" t="s">
        <v>23</v>
      </c>
      <c r="J2879" s="2" t="s">
        <v>37</v>
      </c>
      <c r="K2879" s="2" t="n">
        <v>1</v>
      </c>
      <c r="L2879" s="2" t="n">
        <v>0</v>
      </c>
      <c r="M2879" s="2" t="n">
        <v>1</v>
      </c>
    </row>
    <row r="2880" customFormat="false" ht="15" hidden="false" customHeight="false" outlineLevel="0" collapsed="false">
      <c r="A2880" s="2" t="s">
        <v>6031</v>
      </c>
      <c r="B2880" s="2" t="s">
        <v>6032</v>
      </c>
      <c r="C2880" s="2" t="n">
        <v>5</v>
      </c>
      <c r="D2880" s="2" t="s">
        <v>1878</v>
      </c>
      <c r="E2880" s="2" t="s">
        <v>5812</v>
      </c>
      <c r="F2880" s="3" t="n">
        <v>45942.3166666667</v>
      </c>
      <c r="G2880" s="2" t="s">
        <v>5813</v>
      </c>
      <c r="H2880" s="4" t="n">
        <v>0.9516</v>
      </c>
      <c r="I2880" s="2" t="s">
        <v>23</v>
      </c>
      <c r="J2880" s="2" t="s">
        <v>37</v>
      </c>
      <c r="K2880" s="2" t="n">
        <v>4</v>
      </c>
      <c r="L2880" s="2" t="n">
        <v>0</v>
      </c>
      <c r="M2880" s="2" t="n">
        <v>1</v>
      </c>
    </row>
    <row r="2881" customFormat="false" ht="15" hidden="false" customHeight="false" outlineLevel="0" collapsed="false">
      <c r="A2881" s="2" t="s">
        <v>6033</v>
      </c>
      <c r="B2881" s="2" t="s">
        <v>6034</v>
      </c>
      <c r="C2881" s="2" t="n">
        <v>4</v>
      </c>
      <c r="D2881" s="2" t="s">
        <v>40</v>
      </c>
      <c r="E2881" s="2" t="s">
        <v>5812</v>
      </c>
      <c r="F2881" s="3" t="n">
        <v>45942.4284722222</v>
      </c>
      <c r="G2881" s="2" t="s">
        <v>5813</v>
      </c>
      <c r="H2881" s="4" t="n">
        <v>0.4019</v>
      </c>
      <c r="I2881" s="2" t="s">
        <v>23</v>
      </c>
      <c r="J2881" s="2" t="s">
        <v>33</v>
      </c>
      <c r="K2881" s="2" t="n">
        <v>1</v>
      </c>
      <c r="L2881" s="2" t="n">
        <v>0</v>
      </c>
      <c r="M2881" s="2" t="n">
        <v>1</v>
      </c>
    </row>
    <row r="2882" customFormat="false" ht="15" hidden="false" customHeight="false" outlineLevel="0" collapsed="false">
      <c r="A2882" s="2" t="s">
        <v>6035</v>
      </c>
      <c r="B2882" s="2" t="s">
        <v>6036</v>
      </c>
      <c r="C2882" s="2" t="n">
        <v>5</v>
      </c>
      <c r="D2882" s="2" t="s">
        <v>90</v>
      </c>
      <c r="E2882" s="2" t="s">
        <v>5812</v>
      </c>
      <c r="F2882" s="3" t="n">
        <v>45942.5784722222</v>
      </c>
      <c r="G2882" s="2" t="s">
        <v>5813</v>
      </c>
      <c r="H2882" s="4" t="n">
        <v>0.6249</v>
      </c>
      <c r="I2882" s="2" t="s">
        <v>23</v>
      </c>
      <c r="J2882" s="2" t="s">
        <v>37</v>
      </c>
      <c r="K2882" s="2" t="n">
        <v>1</v>
      </c>
      <c r="L2882" s="2" t="n">
        <v>0</v>
      </c>
      <c r="M2882" s="2" t="n">
        <v>1</v>
      </c>
    </row>
    <row r="2883" customFormat="false" ht="15" hidden="false" customHeight="false" outlineLevel="0" collapsed="false">
      <c r="A2883" s="2" t="s">
        <v>6037</v>
      </c>
      <c r="B2883" s="2" t="s">
        <v>6038</v>
      </c>
      <c r="C2883" s="2" t="n">
        <v>4</v>
      </c>
      <c r="D2883" s="2" t="s">
        <v>127</v>
      </c>
      <c r="E2883" s="2" t="s">
        <v>5812</v>
      </c>
      <c r="F2883" s="3" t="n">
        <v>45942.7895833333</v>
      </c>
      <c r="G2883" s="2" t="s">
        <v>5813</v>
      </c>
      <c r="H2883" s="4" t="n">
        <v>0.9359</v>
      </c>
      <c r="I2883" s="2" t="s">
        <v>23</v>
      </c>
      <c r="J2883" s="2" t="s">
        <v>37</v>
      </c>
      <c r="K2883" s="2" t="n">
        <v>2</v>
      </c>
      <c r="L2883" s="2" t="n">
        <v>0</v>
      </c>
      <c r="M2883" s="2" t="n">
        <v>1</v>
      </c>
    </row>
    <row r="2884" customFormat="false" ht="15" hidden="false" customHeight="false" outlineLevel="0" collapsed="false">
      <c r="A2884" s="2" t="s">
        <v>6039</v>
      </c>
      <c r="B2884" s="2" t="s">
        <v>6040</v>
      </c>
      <c r="C2884" s="2" t="n">
        <v>1</v>
      </c>
      <c r="D2884" s="2" t="s">
        <v>591</v>
      </c>
      <c r="E2884" s="2" t="s">
        <v>5812</v>
      </c>
      <c r="F2884" s="3" t="n">
        <v>45942.8166666667</v>
      </c>
      <c r="G2884" s="2" t="s">
        <v>5813</v>
      </c>
      <c r="H2884" s="4" t="n">
        <v>0</v>
      </c>
      <c r="I2884" s="2" t="s">
        <v>18</v>
      </c>
      <c r="J2884" s="2" t="s">
        <v>37</v>
      </c>
      <c r="K2884" s="2" t="n">
        <v>11</v>
      </c>
      <c r="L2884" s="2" t="n">
        <v>1</v>
      </c>
      <c r="M2884" s="2" t="n">
        <v>1</v>
      </c>
    </row>
    <row r="2885" customFormat="false" ht="15" hidden="false" customHeight="false" outlineLevel="0" collapsed="false">
      <c r="A2885" s="2" t="s">
        <v>6041</v>
      </c>
      <c r="B2885" s="2" t="s">
        <v>6042</v>
      </c>
      <c r="C2885" s="2" t="n">
        <v>5</v>
      </c>
      <c r="D2885" s="2" t="s">
        <v>15</v>
      </c>
      <c r="E2885" s="2" t="s">
        <v>5812</v>
      </c>
      <c r="F2885" s="3" t="n">
        <v>45942.8631944444</v>
      </c>
      <c r="G2885" s="2" t="s">
        <v>5813</v>
      </c>
      <c r="H2885" s="4" t="n">
        <v>0</v>
      </c>
      <c r="I2885" s="2" t="s">
        <v>18</v>
      </c>
      <c r="J2885" s="2" t="s">
        <v>19</v>
      </c>
      <c r="K2885" s="2" t="n">
        <v>0</v>
      </c>
      <c r="L2885" s="2" t="n">
        <v>0</v>
      </c>
      <c r="M2885" s="2" t="n">
        <v>1</v>
      </c>
    </row>
    <row r="2886" customFormat="false" ht="15" hidden="false" customHeight="false" outlineLevel="0" collapsed="false">
      <c r="A2886" s="2" t="s">
        <v>6043</v>
      </c>
      <c r="B2886" s="2" t="s">
        <v>6044</v>
      </c>
      <c r="C2886" s="2" t="n">
        <v>5</v>
      </c>
      <c r="D2886" s="2" t="s">
        <v>47</v>
      </c>
      <c r="E2886" s="2" t="s">
        <v>5812</v>
      </c>
      <c r="F2886" s="3" t="n">
        <v>45942.9881944444</v>
      </c>
      <c r="G2886" s="2" t="s">
        <v>5813</v>
      </c>
      <c r="H2886" s="4" t="n">
        <v>0.3089</v>
      </c>
      <c r="I2886" s="2" t="s">
        <v>23</v>
      </c>
      <c r="J2886" s="2" t="s">
        <v>19</v>
      </c>
      <c r="K2886" s="2" t="n">
        <v>0</v>
      </c>
      <c r="L2886" s="2" t="n">
        <v>0</v>
      </c>
      <c r="M2886" s="2" t="n">
        <v>1</v>
      </c>
    </row>
    <row r="2887" customFormat="false" ht="15" hidden="false" customHeight="false" outlineLevel="0" collapsed="false">
      <c r="A2887" s="2" t="s">
        <v>6045</v>
      </c>
      <c r="B2887" s="2" t="s">
        <v>6046</v>
      </c>
      <c r="C2887" s="2" t="n">
        <v>5</v>
      </c>
      <c r="D2887" s="2" t="s">
        <v>90</v>
      </c>
      <c r="E2887" s="2" t="s">
        <v>5812</v>
      </c>
      <c r="F2887" s="3" t="n">
        <v>45943.175</v>
      </c>
      <c r="G2887" s="2" t="s">
        <v>5813</v>
      </c>
      <c r="H2887" s="4" t="n">
        <v>0.6249</v>
      </c>
      <c r="I2887" s="2" t="s">
        <v>23</v>
      </c>
      <c r="J2887" s="2" t="s">
        <v>37</v>
      </c>
      <c r="K2887" s="2" t="n">
        <v>8</v>
      </c>
      <c r="L2887" s="2" t="n">
        <v>0</v>
      </c>
      <c r="M2887" s="2" t="n">
        <v>1</v>
      </c>
    </row>
    <row r="2888" customFormat="false" ht="15" hidden="false" customHeight="false" outlineLevel="0" collapsed="false">
      <c r="A2888" s="2" t="s">
        <v>6047</v>
      </c>
      <c r="B2888" s="2" t="s">
        <v>6048</v>
      </c>
      <c r="C2888" s="2" t="n">
        <v>5</v>
      </c>
      <c r="D2888" s="2" t="s">
        <v>62</v>
      </c>
      <c r="E2888" s="2" t="s">
        <v>5812</v>
      </c>
      <c r="F2888" s="3" t="n">
        <v>45943.20625</v>
      </c>
      <c r="G2888" s="2" t="s">
        <v>5813</v>
      </c>
      <c r="H2888" s="4" t="n">
        <v>0.7088</v>
      </c>
      <c r="I2888" s="2" t="s">
        <v>23</v>
      </c>
      <c r="J2888" s="2" t="s">
        <v>19</v>
      </c>
      <c r="K2888" s="2" t="n">
        <v>9</v>
      </c>
      <c r="L2888" s="2" t="n">
        <v>0</v>
      </c>
      <c r="M2888" s="2" t="n">
        <v>1</v>
      </c>
    </row>
    <row r="2889" customFormat="false" ht="15" hidden="false" customHeight="false" outlineLevel="0" collapsed="false">
      <c r="A2889" s="2" t="s">
        <v>6049</v>
      </c>
      <c r="B2889" s="2" t="s">
        <v>6050</v>
      </c>
      <c r="C2889" s="2" t="n">
        <v>3</v>
      </c>
      <c r="D2889" s="2" t="s">
        <v>36</v>
      </c>
      <c r="E2889" s="2" t="s">
        <v>5812</v>
      </c>
      <c r="F2889" s="3" t="n">
        <v>45943.4722222222</v>
      </c>
      <c r="G2889" s="2" t="s">
        <v>5813</v>
      </c>
      <c r="H2889" s="4" t="n">
        <v>0.4404</v>
      </c>
      <c r="I2889" s="2" t="s">
        <v>23</v>
      </c>
      <c r="J2889" s="2" t="s">
        <v>37</v>
      </c>
      <c r="K2889" s="2" t="n">
        <v>3</v>
      </c>
      <c r="L2889" s="2" t="n">
        <v>0</v>
      </c>
      <c r="M2889" s="2" t="n">
        <v>1</v>
      </c>
    </row>
    <row r="2890" customFormat="false" ht="15" hidden="false" customHeight="false" outlineLevel="0" collapsed="false">
      <c r="A2890" s="2" t="s">
        <v>6051</v>
      </c>
      <c r="B2890" s="2" t="s">
        <v>6052</v>
      </c>
      <c r="C2890" s="2" t="n">
        <v>5</v>
      </c>
      <c r="D2890" s="2" t="s">
        <v>90</v>
      </c>
      <c r="E2890" s="2" t="s">
        <v>5812</v>
      </c>
      <c r="F2890" s="3" t="n">
        <v>45943.4965277778</v>
      </c>
      <c r="G2890" s="2" t="s">
        <v>5813</v>
      </c>
      <c r="H2890" s="4" t="n">
        <v>0.6249</v>
      </c>
      <c r="I2890" s="2" t="s">
        <v>23</v>
      </c>
      <c r="J2890" s="2" t="s">
        <v>37</v>
      </c>
      <c r="K2890" s="2" t="n">
        <v>2</v>
      </c>
      <c r="L2890" s="2" t="n">
        <v>0</v>
      </c>
      <c r="M2890" s="2" t="n">
        <v>1</v>
      </c>
    </row>
    <row r="2891" customFormat="false" ht="15" hidden="false" customHeight="false" outlineLevel="0" collapsed="false">
      <c r="A2891" s="2" t="s">
        <v>6053</v>
      </c>
      <c r="B2891" s="2" t="s">
        <v>6054</v>
      </c>
      <c r="C2891" s="2" t="n">
        <v>2</v>
      </c>
      <c r="D2891" s="2" t="s">
        <v>6055</v>
      </c>
      <c r="E2891" s="2" t="s">
        <v>5812</v>
      </c>
      <c r="F2891" s="3" t="n">
        <v>45943.8125</v>
      </c>
      <c r="G2891" s="2" t="s">
        <v>5813</v>
      </c>
      <c r="H2891" s="4" t="n">
        <v>-0.5859</v>
      </c>
      <c r="I2891" s="2" t="s">
        <v>84</v>
      </c>
      <c r="J2891" s="2" t="s">
        <v>110</v>
      </c>
      <c r="K2891" s="2" t="n">
        <v>3</v>
      </c>
      <c r="L2891" s="2" t="n">
        <v>1</v>
      </c>
      <c r="M2891" s="2" t="n">
        <v>1</v>
      </c>
    </row>
    <row r="2892" customFormat="false" ht="15" hidden="false" customHeight="false" outlineLevel="0" collapsed="false">
      <c r="A2892" s="2" t="s">
        <v>6056</v>
      </c>
      <c r="B2892" s="2" t="s">
        <v>1278</v>
      </c>
      <c r="C2892" s="2" t="n">
        <v>5</v>
      </c>
      <c r="D2892" s="2" t="s">
        <v>90</v>
      </c>
      <c r="E2892" s="2" t="s">
        <v>5812</v>
      </c>
      <c r="F2892" s="3" t="n">
        <v>45943.9416666667</v>
      </c>
      <c r="G2892" s="2" t="s">
        <v>5813</v>
      </c>
      <c r="H2892" s="4" t="n">
        <v>0.6249</v>
      </c>
      <c r="I2892" s="2" t="s">
        <v>23</v>
      </c>
      <c r="J2892" s="2" t="s">
        <v>37</v>
      </c>
      <c r="K2892" s="2" t="n">
        <v>0</v>
      </c>
      <c r="L2892" s="2" t="n">
        <v>0</v>
      </c>
      <c r="M2892" s="2" t="n">
        <v>1</v>
      </c>
    </row>
    <row r="2893" customFormat="false" ht="15" hidden="false" customHeight="false" outlineLevel="0" collapsed="false">
      <c r="A2893" s="2" t="s">
        <v>6057</v>
      </c>
      <c r="B2893" s="2" t="s">
        <v>6058</v>
      </c>
      <c r="C2893" s="2" t="n">
        <v>1</v>
      </c>
      <c r="D2893" s="2" t="s">
        <v>498</v>
      </c>
      <c r="E2893" s="2" t="s">
        <v>5812</v>
      </c>
      <c r="F2893" s="3" t="n">
        <v>45944</v>
      </c>
      <c r="G2893" s="2" t="s">
        <v>5813</v>
      </c>
      <c r="H2893" s="4" t="n">
        <v>0</v>
      </c>
      <c r="I2893" s="2" t="s">
        <v>18</v>
      </c>
      <c r="J2893" s="2" t="s">
        <v>165</v>
      </c>
      <c r="K2893" s="2" t="n">
        <v>12</v>
      </c>
      <c r="L2893" s="2" t="n">
        <v>0</v>
      </c>
      <c r="M2893" s="2" t="n">
        <v>1</v>
      </c>
    </row>
    <row r="2894" customFormat="false" ht="15" hidden="false" customHeight="false" outlineLevel="0" collapsed="false">
      <c r="A2894" s="2" t="s">
        <v>6059</v>
      </c>
      <c r="B2894" s="2" t="s">
        <v>1777</v>
      </c>
      <c r="C2894" s="2" t="n">
        <v>5</v>
      </c>
      <c r="D2894" s="2" t="s">
        <v>6060</v>
      </c>
      <c r="E2894" s="2" t="s">
        <v>5812</v>
      </c>
      <c r="F2894" s="3" t="n">
        <v>45944.0472222222</v>
      </c>
      <c r="G2894" s="2" t="s">
        <v>5813</v>
      </c>
      <c r="H2894" s="4" t="n">
        <v>0.7549</v>
      </c>
      <c r="I2894" s="2" t="s">
        <v>23</v>
      </c>
      <c r="J2894" s="2" t="s">
        <v>19</v>
      </c>
      <c r="K2894" s="2" t="n">
        <v>0</v>
      </c>
      <c r="L2894" s="2" t="n">
        <v>0</v>
      </c>
      <c r="M2894" s="2" t="n">
        <v>1</v>
      </c>
    </row>
    <row r="2895" customFormat="false" ht="15" hidden="false" customHeight="false" outlineLevel="0" collapsed="false">
      <c r="A2895" s="2" t="s">
        <v>6061</v>
      </c>
      <c r="B2895" s="2" t="s">
        <v>6062</v>
      </c>
      <c r="C2895" s="2" t="n">
        <v>5</v>
      </c>
      <c r="D2895" s="2" t="s">
        <v>15</v>
      </c>
      <c r="E2895" s="2" t="s">
        <v>5812</v>
      </c>
      <c r="F2895" s="3" t="n">
        <v>45944.0805555556</v>
      </c>
      <c r="G2895" s="2" t="s">
        <v>5813</v>
      </c>
      <c r="H2895" s="4" t="n">
        <v>0</v>
      </c>
      <c r="I2895" s="2" t="s">
        <v>18</v>
      </c>
      <c r="J2895" s="2" t="s">
        <v>19</v>
      </c>
      <c r="K2895" s="2" t="n">
        <v>2</v>
      </c>
      <c r="L2895" s="2" t="n">
        <v>0</v>
      </c>
      <c r="M2895" s="2" t="n">
        <v>1</v>
      </c>
    </row>
    <row r="2896" customFormat="false" ht="15" hidden="false" customHeight="false" outlineLevel="0" collapsed="false">
      <c r="A2896" s="2" t="s">
        <v>6063</v>
      </c>
      <c r="B2896" s="2" t="s">
        <v>6064</v>
      </c>
      <c r="C2896" s="2" t="n">
        <v>2</v>
      </c>
      <c r="D2896" s="2" t="s">
        <v>4661</v>
      </c>
      <c r="E2896" s="2" t="s">
        <v>5812</v>
      </c>
      <c r="F2896" s="3" t="n">
        <v>45944.0986111111</v>
      </c>
      <c r="G2896" s="2" t="s">
        <v>5813</v>
      </c>
      <c r="H2896" s="4" t="n">
        <v>0.2023</v>
      </c>
      <c r="I2896" s="2" t="s">
        <v>23</v>
      </c>
      <c r="J2896" s="2" t="s">
        <v>59</v>
      </c>
      <c r="K2896" s="2" t="n">
        <v>2</v>
      </c>
      <c r="L2896" s="2" t="n">
        <v>1</v>
      </c>
      <c r="M2896" s="2" t="n">
        <v>1</v>
      </c>
    </row>
    <row r="2897" customFormat="false" ht="15" hidden="false" customHeight="false" outlineLevel="0" collapsed="false">
      <c r="A2897" s="2" t="s">
        <v>6065</v>
      </c>
      <c r="B2897" s="2" t="s">
        <v>6066</v>
      </c>
      <c r="C2897" s="2" t="n">
        <v>3</v>
      </c>
      <c r="D2897" s="2" t="s">
        <v>22</v>
      </c>
      <c r="E2897" s="2" t="s">
        <v>5812</v>
      </c>
      <c r="F2897" s="3" t="n">
        <v>45944.1125</v>
      </c>
      <c r="G2897" s="2" t="s">
        <v>5813</v>
      </c>
      <c r="H2897" s="4" t="n">
        <v>0.2023</v>
      </c>
      <c r="I2897" s="2" t="s">
        <v>23</v>
      </c>
      <c r="J2897" s="2" t="s">
        <v>19</v>
      </c>
      <c r="K2897" s="2" t="n">
        <v>1</v>
      </c>
      <c r="L2897" s="2" t="n">
        <v>0</v>
      </c>
      <c r="M2897" s="2" t="n">
        <v>1</v>
      </c>
    </row>
    <row r="2898" customFormat="false" ht="15" hidden="false" customHeight="false" outlineLevel="0" collapsed="false">
      <c r="A2898" s="2" t="s">
        <v>6067</v>
      </c>
      <c r="B2898" s="2" t="s">
        <v>6068</v>
      </c>
      <c r="C2898" s="2" t="n">
        <v>4</v>
      </c>
      <c r="D2898" s="2" t="s">
        <v>96</v>
      </c>
      <c r="E2898" s="2" t="s">
        <v>5812</v>
      </c>
      <c r="F2898" s="3" t="n">
        <v>45944.2701388889</v>
      </c>
      <c r="G2898" s="2" t="s">
        <v>5813</v>
      </c>
      <c r="H2898" s="4" t="n">
        <v>0.6369</v>
      </c>
      <c r="I2898" s="2" t="s">
        <v>23</v>
      </c>
      <c r="J2898" s="2" t="s">
        <v>19</v>
      </c>
      <c r="K2898" s="2" t="n">
        <v>0</v>
      </c>
      <c r="L2898" s="2" t="n">
        <v>0</v>
      </c>
      <c r="M2898" s="2" t="n">
        <v>1</v>
      </c>
    </row>
    <row r="2899" customFormat="false" ht="15" hidden="false" customHeight="false" outlineLevel="0" collapsed="false">
      <c r="A2899" s="2" t="s">
        <v>6069</v>
      </c>
      <c r="B2899" s="2" t="s">
        <v>6070</v>
      </c>
      <c r="C2899" s="2" t="n">
        <v>4</v>
      </c>
      <c r="D2899" s="2" t="s">
        <v>210</v>
      </c>
      <c r="E2899" s="2" t="s">
        <v>5812</v>
      </c>
      <c r="F2899" s="3" t="n">
        <v>45944.28125</v>
      </c>
      <c r="G2899" s="2" t="s">
        <v>5813</v>
      </c>
      <c r="H2899" s="4" t="n">
        <v>0.5448</v>
      </c>
      <c r="I2899" s="2" t="s">
        <v>23</v>
      </c>
      <c r="J2899" s="2" t="s">
        <v>19</v>
      </c>
      <c r="K2899" s="2" t="n">
        <v>2</v>
      </c>
      <c r="L2899" s="2" t="n">
        <v>0</v>
      </c>
      <c r="M2899" s="2" t="n">
        <v>1</v>
      </c>
    </row>
    <row r="2900" customFormat="false" ht="15" hidden="false" customHeight="false" outlineLevel="0" collapsed="false">
      <c r="A2900" s="2" t="s">
        <v>6071</v>
      </c>
      <c r="B2900" s="2" t="s">
        <v>6072</v>
      </c>
      <c r="C2900" s="2" t="n">
        <v>5</v>
      </c>
      <c r="D2900" s="2" t="s">
        <v>790</v>
      </c>
      <c r="E2900" s="2" t="s">
        <v>5812</v>
      </c>
      <c r="F2900" s="3" t="n">
        <v>45944.35</v>
      </c>
      <c r="G2900" s="2" t="s">
        <v>5813</v>
      </c>
      <c r="H2900" s="4" t="n">
        <v>0.9647</v>
      </c>
      <c r="I2900" s="2" t="s">
        <v>23</v>
      </c>
      <c r="J2900" s="2" t="s">
        <v>37</v>
      </c>
      <c r="K2900" s="2" t="n">
        <v>0</v>
      </c>
      <c r="L2900" s="2" t="n">
        <v>0</v>
      </c>
      <c r="M2900" s="2" t="n">
        <v>1</v>
      </c>
    </row>
    <row r="2901" customFormat="false" ht="15" hidden="false" customHeight="false" outlineLevel="0" collapsed="false">
      <c r="A2901" s="2" t="s">
        <v>6073</v>
      </c>
      <c r="B2901" s="2" t="s">
        <v>6074</v>
      </c>
      <c r="C2901" s="2" t="n">
        <v>4</v>
      </c>
      <c r="D2901" s="2" t="s">
        <v>22</v>
      </c>
      <c r="E2901" s="2" t="s">
        <v>5812</v>
      </c>
      <c r="F2901" s="3" t="n">
        <v>45944.6326388889</v>
      </c>
      <c r="G2901" s="2" t="s">
        <v>5813</v>
      </c>
      <c r="H2901" s="4" t="n">
        <v>0.2023</v>
      </c>
      <c r="I2901" s="2" t="s">
        <v>23</v>
      </c>
      <c r="J2901" s="2" t="s">
        <v>19</v>
      </c>
      <c r="K2901" s="2" t="n">
        <v>0</v>
      </c>
      <c r="L2901" s="2" t="n">
        <v>0</v>
      </c>
      <c r="M2901" s="2" t="n">
        <v>1</v>
      </c>
    </row>
    <row r="2902" customFormat="false" ht="15" hidden="false" customHeight="false" outlineLevel="0" collapsed="false">
      <c r="A2902" s="2" t="s">
        <v>6075</v>
      </c>
      <c r="B2902" s="2" t="s">
        <v>6076</v>
      </c>
      <c r="C2902" s="2" t="n">
        <v>5</v>
      </c>
      <c r="D2902" s="2" t="s">
        <v>40</v>
      </c>
      <c r="E2902" s="2" t="s">
        <v>5812</v>
      </c>
      <c r="F2902" s="3" t="n">
        <v>45944.7666666667</v>
      </c>
      <c r="G2902" s="2" t="s">
        <v>5813</v>
      </c>
      <c r="H2902" s="4" t="n">
        <v>0.4019</v>
      </c>
      <c r="I2902" s="2" t="s">
        <v>23</v>
      </c>
      <c r="J2902" s="2" t="s">
        <v>33</v>
      </c>
      <c r="K2902" s="2" t="n">
        <v>1</v>
      </c>
      <c r="L2902" s="2" t="n">
        <v>0</v>
      </c>
      <c r="M2902" s="2" t="n">
        <v>1</v>
      </c>
    </row>
    <row r="2903" customFormat="false" ht="15" hidden="false" customHeight="false" outlineLevel="0" collapsed="false">
      <c r="A2903" s="2" t="s">
        <v>6077</v>
      </c>
      <c r="B2903" s="2" t="s">
        <v>6078</v>
      </c>
      <c r="C2903" s="2" t="n">
        <v>2</v>
      </c>
      <c r="D2903" s="2" t="s">
        <v>823</v>
      </c>
      <c r="E2903" s="2" t="s">
        <v>5812</v>
      </c>
      <c r="F2903" s="3" t="n">
        <v>45944.8840277778</v>
      </c>
      <c r="G2903" s="2" t="s">
        <v>5813</v>
      </c>
      <c r="H2903" s="4" t="n">
        <v>-0.6997</v>
      </c>
      <c r="I2903" s="2" t="s">
        <v>84</v>
      </c>
      <c r="J2903" s="2" t="s">
        <v>19</v>
      </c>
      <c r="K2903" s="2" t="n">
        <v>0</v>
      </c>
      <c r="L2903" s="2" t="n">
        <v>1</v>
      </c>
      <c r="M2903" s="2" t="n">
        <v>1</v>
      </c>
    </row>
    <row r="2904" customFormat="false" ht="15" hidden="false" customHeight="false" outlineLevel="0" collapsed="false">
      <c r="A2904" s="2" t="s">
        <v>6079</v>
      </c>
      <c r="B2904" s="2" t="s">
        <v>6080</v>
      </c>
      <c r="C2904" s="2" t="n">
        <v>5</v>
      </c>
      <c r="D2904" s="2" t="s">
        <v>127</v>
      </c>
      <c r="E2904" s="2" t="s">
        <v>5812</v>
      </c>
      <c r="F2904" s="3" t="n">
        <v>45944.9305555556</v>
      </c>
      <c r="G2904" s="2" t="s">
        <v>5813</v>
      </c>
      <c r="H2904" s="4" t="n">
        <v>0.9359</v>
      </c>
      <c r="I2904" s="2" t="s">
        <v>23</v>
      </c>
      <c r="J2904" s="2" t="s">
        <v>37</v>
      </c>
      <c r="K2904" s="2" t="n">
        <v>2</v>
      </c>
      <c r="L2904" s="2" t="n">
        <v>0</v>
      </c>
      <c r="M2904" s="2" t="n">
        <v>1</v>
      </c>
    </row>
    <row r="2905" customFormat="false" ht="15" hidden="false" customHeight="false" outlineLevel="0" collapsed="false">
      <c r="A2905" s="2" t="s">
        <v>6081</v>
      </c>
      <c r="B2905" s="2" t="s">
        <v>3005</v>
      </c>
      <c r="C2905" s="2" t="n">
        <v>1</v>
      </c>
      <c r="D2905" s="2" t="s">
        <v>455</v>
      </c>
      <c r="E2905" s="2" t="s">
        <v>5812</v>
      </c>
      <c r="F2905" s="3" t="n">
        <v>45944.9743055556</v>
      </c>
      <c r="G2905" s="2" t="s">
        <v>5813</v>
      </c>
      <c r="H2905" s="4" t="n">
        <v>-0.2263</v>
      </c>
      <c r="I2905" s="2" t="s">
        <v>84</v>
      </c>
      <c r="J2905" s="2" t="s">
        <v>165</v>
      </c>
      <c r="K2905" s="2" t="n">
        <v>1</v>
      </c>
      <c r="L2905" s="2" t="n">
        <v>1</v>
      </c>
      <c r="M2905" s="2" t="n">
        <v>1</v>
      </c>
    </row>
    <row r="2906" customFormat="false" ht="15" hidden="false" customHeight="false" outlineLevel="0" collapsed="false">
      <c r="A2906" s="2" t="s">
        <v>6082</v>
      </c>
      <c r="B2906" s="2" t="s">
        <v>6083</v>
      </c>
      <c r="C2906" s="2" t="n">
        <v>3</v>
      </c>
      <c r="D2906" s="2" t="s">
        <v>99</v>
      </c>
      <c r="E2906" s="2" t="s">
        <v>5812</v>
      </c>
      <c r="F2906" s="3" t="n">
        <v>45945.1111111111</v>
      </c>
      <c r="G2906" s="2" t="s">
        <v>5813</v>
      </c>
      <c r="H2906" s="4" t="n">
        <v>-0.3089</v>
      </c>
      <c r="I2906" s="2" t="s">
        <v>84</v>
      </c>
      <c r="J2906" s="2" t="s">
        <v>19</v>
      </c>
      <c r="K2906" s="2" t="n">
        <v>0</v>
      </c>
      <c r="L2906" s="2" t="n">
        <v>0</v>
      </c>
      <c r="M2906" s="2" t="n">
        <v>1</v>
      </c>
    </row>
    <row r="2907" customFormat="false" ht="15" hidden="false" customHeight="false" outlineLevel="0" collapsed="false">
      <c r="A2907" s="2" t="s">
        <v>6084</v>
      </c>
      <c r="B2907" s="2" t="s">
        <v>6085</v>
      </c>
      <c r="C2907" s="2" t="n">
        <v>4</v>
      </c>
      <c r="D2907" s="2" t="s">
        <v>96</v>
      </c>
      <c r="E2907" s="2" t="s">
        <v>5812</v>
      </c>
      <c r="F2907" s="3" t="n">
        <v>45945.1173611111</v>
      </c>
      <c r="G2907" s="2" t="s">
        <v>5813</v>
      </c>
      <c r="H2907" s="4" t="n">
        <v>0.6369</v>
      </c>
      <c r="I2907" s="2" t="s">
        <v>23</v>
      </c>
      <c r="J2907" s="2" t="s">
        <v>19</v>
      </c>
      <c r="K2907" s="2" t="n">
        <v>3</v>
      </c>
      <c r="L2907" s="2" t="n">
        <v>0</v>
      </c>
      <c r="M2907" s="2" t="n">
        <v>1</v>
      </c>
    </row>
    <row r="2908" customFormat="false" ht="15" hidden="false" customHeight="false" outlineLevel="0" collapsed="false">
      <c r="A2908" s="2" t="s">
        <v>6086</v>
      </c>
      <c r="B2908" s="2" t="s">
        <v>6087</v>
      </c>
      <c r="C2908" s="2" t="n">
        <v>3</v>
      </c>
      <c r="D2908" s="2" t="s">
        <v>83</v>
      </c>
      <c r="E2908" s="2" t="s">
        <v>5812</v>
      </c>
      <c r="F2908" s="3" t="n">
        <v>45945.2611111111</v>
      </c>
      <c r="G2908" s="2" t="s">
        <v>5813</v>
      </c>
      <c r="H2908" s="4" t="n">
        <v>-0.6166</v>
      </c>
      <c r="I2908" s="2" t="s">
        <v>84</v>
      </c>
      <c r="J2908" s="2" t="s">
        <v>59</v>
      </c>
      <c r="K2908" s="2" t="n">
        <v>3</v>
      </c>
      <c r="L2908" s="2" t="n">
        <v>0</v>
      </c>
      <c r="M2908" s="2" t="n">
        <v>1</v>
      </c>
    </row>
    <row r="2909" customFormat="false" ht="15" hidden="false" customHeight="false" outlineLevel="0" collapsed="false">
      <c r="A2909" s="2" t="s">
        <v>6088</v>
      </c>
      <c r="B2909" s="2" t="s">
        <v>6089</v>
      </c>
      <c r="C2909" s="2" t="n">
        <v>3</v>
      </c>
      <c r="D2909" s="2" t="s">
        <v>301</v>
      </c>
      <c r="E2909" s="2" t="s">
        <v>5812</v>
      </c>
      <c r="F2909" s="3" t="n">
        <v>45945.4486111111</v>
      </c>
      <c r="G2909" s="2" t="s">
        <v>5813</v>
      </c>
      <c r="H2909" s="4" t="n">
        <v>0.2263</v>
      </c>
      <c r="I2909" s="2" t="s">
        <v>23</v>
      </c>
      <c r="J2909" s="2" t="s">
        <v>19</v>
      </c>
      <c r="K2909" s="2" t="n">
        <v>1</v>
      </c>
      <c r="L2909" s="2" t="n">
        <v>0</v>
      </c>
      <c r="M2909" s="2" t="n">
        <v>1</v>
      </c>
    </row>
    <row r="2910" customFormat="false" ht="15" hidden="false" customHeight="false" outlineLevel="0" collapsed="false">
      <c r="A2910" s="2" t="s">
        <v>6090</v>
      </c>
      <c r="B2910" s="2" t="s">
        <v>6091</v>
      </c>
      <c r="C2910" s="2" t="n">
        <v>3</v>
      </c>
      <c r="D2910" s="2" t="s">
        <v>36</v>
      </c>
      <c r="E2910" s="2" t="s">
        <v>5812</v>
      </c>
      <c r="F2910" s="3" t="n">
        <v>45945.6868055556</v>
      </c>
      <c r="G2910" s="2" t="s">
        <v>5813</v>
      </c>
      <c r="H2910" s="4" t="n">
        <v>0.4404</v>
      </c>
      <c r="I2910" s="2" t="s">
        <v>23</v>
      </c>
      <c r="J2910" s="2" t="s">
        <v>37</v>
      </c>
      <c r="K2910" s="2" t="n">
        <v>4</v>
      </c>
      <c r="L2910" s="2" t="n">
        <v>0</v>
      </c>
      <c r="M2910" s="2" t="n">
        <v>1</v>
      </c>
    </row>
    <row r="2911" customFormat="false" ht="15" hidden="false" customHeight="false" outlineLevel="0" collapsed="false">
      <c r="A2911" s="2" t="s">
        <v>6092</v>
      </c>
      <c r="B2911" s="2" t="s">
        <v>6093</v>
      </c>
      <c r="C2911" s="2" t="n">
        <v>5</v>
      </c>
      <c r="D2911" s="2" t="s">
        <v>1249</v>
      </c>
      <c r="E2911" s="2" t="s">
        <v>5812</v>
      </c>
      <c r="F2911" s="3" t="n">
        <v>45945.7305555556</v>
      </c>
      <c r="G2911" s="2" t="s">
        <v>5813</v>
      </c>
      <c r="H2911" s="4" t="n">
        <v>0.8519</v>
      </c>
      <c r="I2911" s="2" t="s">
        <v>23</v>
      </c>
      <c r="J2911" s="2" t="s">
        <v>37</v>
      </c>
      <c r="K2911" s="2" t="n">
        <v>0</v>
      </c>
      <c r="L2911" s="2" t="n">
        <v>0</v>
      </c>
      <c r="M2911" s="2" t="n">
        <v>1</v>
      </c>
    </row>
    <row r="2912" customFormat="false" ht="15" hidden="false" customHeight="false" outlineLevel="0" collapsed="false">
      <c r="A2912" s="2" t="s">
        <v>6094</v>
      </c>
      <c r="B2912" s="2" t="s">
        <v>6095</v>
      </c>
      <c r="C2912" s="2" t="n">
        <v>3</v>
      </c>
      <c r="D2912" s="2" t="s">
        <v>22</v>
      </c>
      <c r="E2912" s="2" t="s">
        <v>5812</v>
      </c>
      <c r="F2912" s="3" t="n">
        <v>45945.7881944445</v>
      </c>
      <c r="G2912" s="2" t="s">
        <v>5813</v>
      </c>
      <c r="H2912" s="4" t="n">
        <v>0.2023</v>
      </c>
      <c r="I2912" s="2" t="s">
        <v>23</v>
      </c>
      <c r="J2912" s="2" t="s">
        <v>19</v>
      </c>
      <c r="K2912" s="2" t="n">
        <v>3</v>
      </c>
      <c r="L2912" s="2" t="n">
        <v>1</v>
      </c>
      <c r="M2912" s="2" t="n">
        <v>1</v>
      </c>
    </row>
    <row r="2913" customFormat="false" ht="15" hidden="false" customHeight="false" outlineLevel="0" collapsed="false">
      <c r="A2913" s="2" t="s">
        <v>6096</v>
      </c>
      <c r="B2913" s="2" t="s">
        <v>6097</v>
      </c>
      <c r="C2913" s="2" t="n">
        <v>4</v>
      </c>
      <c r="D2913" s="2" t="s">
        <v>1222</v>
      </c>
      <c r="E2913" s="2" t="s">
        <v>5812</v>
      </c>
      <c r="F2913" s="3" t="n">
        <v>45946.15</v>
      </c>
      <c r="G2913" s="2" t="s">
        <v>5813</v>
      </c>
      <c r="H2913" s="4" t="n">
        <v>0.8221</v>
      </c>
      <c r="I2913" s="2" t="s">
        <v>23</v>
      </c>
      <c r="J2913" s="2" t="s">
        <v>33</v>
      </c>
      <c r="K2913" s="2" t="n">
        <v>2</v>
      </c>
      <c r="L2913" s="2" t="n">
        <v>0</v>
      </c>
      <c r="M2913" s="2" t="n">
        <v>0</v>
      </c>
    </row>
    <row r="2914" customFormat="false" ht="15" hidden="false" customHeight="false" outlineLevel="0" collapsed="false">
      <c r="A2914" s="2" t="s">
        <v>6098</v>
      </c>
      <c r="B2914" s="2" t="s">
        <v>6099</v>
      </c>
      <c r="C2914" s="2" t="n">
        <v>5</v>
      </c>
      <c r="D2914" s="2" t="s">
        <v>127</v>
      </c>
      <c r="E2914" s="2" t="s">
        <v>5812</v>
      </c>
      <c r="F2914" s="3" t="n">
        <v>45946.2861111111</v>
      </c>
      <c r="G2914" s="2" t="s">
        <v>5813</v>
      </c>
      <c r="H2914" s="4" t="n">
        <v>0.9359</v>
      </c>
      <c r="I2914" s="2" t="s">
        <v>23</v>
      </c>
      <c r="J2914" s="2" t="s">
        <v>37</v>
      </c>
      <c r="K2914" s="2" t="n">
        <v>0</v>
      </c>
      <c r="L2914" s="2" t="n">
        <v>0</v>
      </c>
      <c r="M2914" s="2" t="n">
        <v>0</v>
      </c>
    </row>
    <row r="2915" customFormat="false" ht="15" hidden="false" customHeight="false" outlineLevel="0" collapsed="false">
      <c r="A2915" s="2" t="s">
        <v>6100</v>
      </c>
      <c r="B2915" s="2" t="s">
        <v>6101</v>
      </c>
      <c r="C2915" s="2" t="n">
        <v>5</v>
      </c>
      <c r="D2915" s="2" t="s">
        <v>62</v>
      </c>
      <c r="E2915" s="2" t="s">
        <v>5812</v>
      </c>
      <c r="F2915" s="3" t="n">
        <v>45946.5270833333</v>
      </c>
      <c r="G2915" s="2" t="s">
        <v>5813</v>
      </c>
      <c r="H2915" s="4" t="n">
        <v>0.7088</v>
      </c>
      <c r="I2915" s="2" t="s">
        <v>23</v>
      </c>
      <c r="J2915" s="2" t="s">
        <v>19</v>
      </c>
      <c r="K2915" s="2" t="n">
        <v>3</v>
      </c>
      <c r="L2915" s="2" t="n">
        <v>0</v>
      </c>
      <c r="M2915" s="2" t="n">
        <v>0</v>
      </c>
    </row>
    <row r="2916" customFormat="false" ht="15" hidden="false" customHeight="false" outlineLevel="0" collapsed="false">
      <c r="A2916" s="2" t="s">
        <v>6102</v>
      </c>
      <c r="B2916" s="2" t="s">
        <v>6103</v>
      </c>
      <c r="C2916" s="2" t="n">
        <v>4</v>
      </c>
      <c r="D2916" s="2" t="s">
        <v>96</v>
      </c>
      <c r="E2916" s="2" t="s">
        <v>5812</v>
      </c>
      <c r="F2916" s="3" t="n">
        <v>45946.6263888889</v>
      </c>
      <c r="G2916" s="2" t="s">
        <v>5813</v>
      </c>
      <c r="H2916" s="4" t="n">
        <v>0.6369</v>
      </c>
      <c r="I2916" s="2" t="s">
        <v>23</v>
      </c>
      <c r="J2916" s="2" t="s">
        <v>19</v>
      </c>
      <c r="K2916" s="2" t="n">
        <v>6</v>
      </c>
      <c r="L2916" s="2" t="n">
        <v>0</v>
      </c>
      <c r="M2916" s="2" t="n">
        <v>0</v>
      </c>
    </row>
    <row r="2917" customFormat="false" ht="15" hidden="false" customHeight="false" outlineLevel="0" collapsed="false">
      <c r="A2917" s="2" t="s">
        <v>6104</v>
      </c>
      <c r="B2917" s="2" t="s">
        <v>6105</v>
      </c>
      <c r="C2917" s="2" t="n">
        <v>2</v>
      </c>
      <c r="D2917" s="2" t="s">
        <v>357</v>
      </c>
      <c r="E2917" s="2" t="s">
        <v>5812</v>
      </c>
      <c r="F2917" s="3" t="n">
        <v>45946.6284722222</v>
      </c>
      <c r="G2917" s="2" t="s">
        <v>5813</v>
      </c>
      <c r="H2917" s="4" t="n">
        <v>0</v>
      </c>
      <c r="I2917" s="2" t="s">
        <v>18</v>
      </c>
      <c r="J2917" s="2" t="s">
        <v>165</v>
      </c>
      <c r="K2917" s="2" t="n">
        <v>0</v>
      </c>
      <c r="L2917" s="2" t="n">
        <v>1</v>
      </c>
      <c r="M2917" s="2" t="n">
        <v>0</v>
      </c>
    </row>
    <row r="2918" customFormat="false" ht="15" hidden="false" customHeight="false" outlineLevel="0" collapsed="false">
      <c r="A2918" s="2" t="s">
        <v>6106</v>
      </c>
      <c r="B2918" s="2" t="s">
        <v>6107</v>
      </c>
      <c r="C2918" s="2" t="n">
        <v>5</v>
      </c>
      <c r="D2918" s="2" t="s">
        <v>62</v>
      </c>
      <c r="E2918" s="2" t="s">
        <v>5812</v>
      </c>
      <c r="F2918" s="3" t="n">
        <v>45946.6840277778</v>
      </c>
      <c r="G2918" s="2" t="s">
        <v>5813</v>
      </c>
      <c r="H2918" s="4" t="n">
        <v>0.7088</v>
      </c>
      <c r="I2918" s="2" t="s">
        <v>23</v>
      </c>
      <c r="J2918" s="2" t="s">
        <v>19</v>
      </c>
      <c r="K2918" s="2" t="n">
        <v>5</v>
      </c>
      <c r="L2918" s="2" t="n">
        <v>0</v>
      </c>
      <c r="M2918" s="2" t="n">
        <v>0</v>
      </c>
    </row>
    <row r="2919" customFormat="false" ht="15" hidden="false" customHeight="false" outlineLevel="0" collapsed="false">
      <c r="A2919" s="2" t="s">
        <v>6108</v>
      </c>
      <c r="B2919" s="2" t="s">
        <v>6109</v>
      </c>
      <c r="C2919" s="2" t="n">
        <v>5</v>
      </c>
      <c r="D2919" s="2" t="s">
        <v>15</v>
      </c>
      <c r="E2919" s="2" t="s">
        <v>5812</v>
      </c>
      <c r="F2919" s="3" t="n">
        <v>45947.0333333333</v>
      </c>
      <c r="G2919" s="2" t="s">
        <v>5813</v>
      </c>
      <c r="H2919" s="4" t="n">
        <v>0</v>
      </c>
      <c r="I2919" s="2" t="s">
        <v>18</v>
      </c>
      <c r="J2919" s="2" t="s">
        <v>19</v>
      </c>
      <c r="K2919" s="2" t="n">
        <v>2</v>
      </c>
      <c r="L2919" s="2" t="n">
        <v>0</v>
      </c>
      <c r="M2919" s="2" t="n">
        <v>0</v>
      </c>
    </row>
    <row r="2920" customFormat="false" ht="15" hidden="false" customHeight="false" outlineLevel="0" collapsed="false">
      <c r="A2920" s="2" t="s">
        <v>6110</v>
      </c>
      <c r="B2920" s="2" t="s">
        <v>6111</v>
      </c>
      <c r="C2920" s="2" t="n">
        <v>5</v>
      </c>
      <c r="D2920" s="2" t="s">
        <v>96</v>
      </c>
      <c r="E2920" s="2" t="s">
        <v>5812</v>
      </c>
      <c r="F2920" s="3" t="n">
        <v>45947.0375</v>
      </c>
      <c r="G2920" s="2" t="s">
        <v>5813</v>
      </c>
      <c r="H2920" s="4" t="n">
        <v>0.6369</v>
      </c>
      <c r="I2920" s="2" t="s">
        <v>23</v>
      </c>
      <c r="J2920" s="2" t="s">
        <v>19</v>
      </c>
      <c r="K2920" s="2" t="n">
        <v>3</v>
      </c>
      <c r="L2920" s="2" t="n">
        <v>0</v>
      </c>
      <c r="M2920" s="2" t="n">
        <v>0</v>
      </c>
    </row>
    <row r="2921" customFormat="false" ht="15" hidden="false" customHeight="false" outlineLevel="0" collapsed="false">
      <c r="A2921" s="2" t="s">
        <v>6112</v>
      </c>
      <c r="B2921" s="2" t="s">
        <v>6113</v>
      </c>
      <c r="C2921" s="2" t="n">
        <v>3</v>
      </c>
      <c r="D2921" s="2" t="s">
        <v>3543</v>
      </c>
      <c r="E2921" s="2" t="s">
        <v>5812</v>
      </c>
      <c r="F2921" s="3" t="n">
        <v>45947.0430555556</v>
      </c>
      <c r="G2921" s="2" t="s">
        <v>5813</v>
      </c>
      <c r="H2921" s="4" t="n">
        <v>0.2382</v>
      </c>
      <c r="I2921" s="2" t="s">
        <v>23</v>
      </c>
      <c r="J2921" s="2" t="s">
        <v>37</v>
      </c>
      <c r="K2921" s="2" t="n">
        <v>9</v>
      </c>
      <c r="L2921" s="2" t="n">
        <v>0</v>
      </c>
      <c r="M2921" s="2" t="n">
        <v>0</v>
      </c>
    </row>
    <row r="2922" customFormat="false" ht="15" hidden="false" customHeight="false" outlineLevel="0" collapsed="false">
      <c r="A2922" s="2" t="s">
        <v>6114</v>
      </c>
      <c r="B2922" s="2" t="s">
        <v>6115</v>
      </c>
      <c r="C2922" s="2" t="n">
        <v>3</v>
      </c>
      <c r="D2922" s="2" t="s">
        <v>99</v>
      </c>
      <c r="E2922" s="2" t="s">
        <v>5812</v>
      </c>
      <c r="F2922" s="3" t="n">
        <v>45947.1444444444</v>
      </c>
      <c r="G2922" s="2" t="s">
        <v>5813</v>
      </c>
      <c r="H2922" s="4" t="n">
        <v>-0.3089</v>
      </c>
      <c r="I2922" s="2" t="s">
        <v>84</v>
      </c>
      <c r="J2922" s="2" t="s">
        <v>19</v>
      </c>
      <c r="K2922" s="2" t="n">
        <v>5</v>
      </c>
      <c r="L2922" s="2" t="n">
        <v>0</v>
      </c>
      <c r="M2922" s="2" t="n">
        <v>0</v>
      </c>
    </row>
    <row r="2923" customFormat="false" ht="15" hidden="false" customHeight="false" outlineLevel="0" collapsed="false">
      <c r="A2923" s="2" t="s">
        <v>6116</v>
      </c>
      <c r="B2923" s="2" t="s">
        <v>6117</v>
      </c>
      <c r="C2923" s="2" t="n">
        <v>2</v>
      </c>
      <c r="D2923" s="2" t="s">
        <v>733</v>
      </c>
      <c r="E2923" s="2" t="s">
        <v>5812</v>
      </c>
      <c r="F2923" s="3" t="n">
        <v>45947.2506944445</v>
      </c>
      <c r="G2923" s="2" t="s">
        <v>5813</v>
      </c>
      <c r="H2923" s="4" t="n">
        <v>-0.2846</v>
      </c>
      <c r="I2923" s="2" t="s">
        <v>84</v>
      </c>
      <c r="J2923" s="2" t="s">
        <v>37</v>
      </c>
      <c r="K2923" s="2" t="n">
        <v>1</v>
      </c>
      <c r="L2923" s="2" t="n">
        <v>0</v>
      </c>
      <c r="M2923" s="2" t="n">
        <v>0</v>
      </c>
    </row>
    <row r="2924" customFormat="false" ht="15" hidden="false" customHeight="false" outlineLevel="0" collapsed="false">
      <c r="A2924" s="2" t="s">
        <v>6118</v>
      </c>
      <c r="B2924" s="2" t="s">
        <v>6119</v>
      </c>
      <c r="C2924" s="2" t="n">
        <v>5</v>
      </c>
      <c r="D2924" s="2" t="s">
        <v>2578</v>
      </c>
      <c r="E2924" s="2" t="s">
        <v>5812</v>
      </c>
      <c r="F2924" s="3" t="n">
        <v>45947.4215277778</v>
      </c>
      <c r="G2924" s="2" t="s">
        <v>5813</v>
      </c>
      <c r="H2924" s="4" t="n">
        <v>0.9626</v>
      </c>
      <c r="I2924" s="2" t="s">
        <v>23</v>
      </c>
      <c r="J2924" s="2" t="s">
        <v>37</v>
      </c>
      <c r="K2924" s="2" t="n">
        <v>11</v>
      </c>
      <c r="L2924" s="2" t="n">
        <v>0</v>
      </c>
      <c r="M2924" s="2" t="n">
        <v>0</v>
      </c>
    </row>
    <row r="2925" customFormat="false" ht="15" hidden="false" customHeight="false" outlineLevel="0" collapsed="false">
      <c r="A2925" s="2" t="s">
        <v>6120</v>
      </c>
      <c r="B2925" s="2" t="s">
        <v>6121</v>
      </c>
      <c r="C2925" s="2" t="n">
        <v>5</v>
      </c>
      <c r="D2925" s="2" t="s">
        <v>62</v>
      </c>
      <c r="E2925" s="2" t="s">
        <v>5812</v>
      </c>
      <c r="F2925" s="3" t="n">
        <v>45947.7652777778</v>
      </c>
      <c r="G2925" s="2" t="s">
        <v>5813</v>
      </c>
      <c r="H2925" s="4" t="n">
        <v>0.7088</v>
      </c>
      <c r="I2925" s="2" t="s">
        <v>23</v>
      </c>
      <c r="J2925" s="2" t="s">
        <v>19</v>
      </c>
      <c r="K2925" s="2" t="n">
        <v>12</v>
      </c>
      <c r="L2925" s="2" t="n">
        <v>0</v>
      </c>
      <c r="M2925" s="2" t="n">
        <v>0</v>
      </c>
    </row>
    <row r="2926" customFormat="false" ht="15" hidden="false" customHeight="false" outlineLevel="0" collapsed="false">
      <c r="A2926" s="2" t="s">
        <v>6122</v>
      </c>
      <c r="B2926" s="2" t="s">
        <v>6123</v>
      </c>
      <c r="C2926" s="2" t="n">
        <v>2</v>
      </c>
      <c r="D2926" s="2" t="s">
        <v>946</v>
      </c>
      <c r="E2926" s="2" t="s">
        <v>5812</v>
      </c>
      <c r="F2926" s="3" t="n">
        <v>45947.9840277778</v>
      </c>
      <c r="G2926" s="2" t="s">
        <v>5813</v>
      </c>
      <c r="H2926" s="4" t="n">
        <v>-0.25</v>
      </c>
      <c r="I2926" s="2" t="s">
        <v>84</v>
      </c>
      <c r="J2926" s="2" t="s">
        <v>37</v>
      </c>
      <c r="K2926" s="2" t="n">
        <v>1</v>
      </c>
      <c r="L2926" s="2" t="n">
        <v>1</v>
      </c>
      <c r="M2926" s="2" t="n">
        <v>0</v>
      </c>
    </row>
    <row r="2927" customFormat="false" ht="15" hidden="false" customHeight="false" outlineLevel="0" collapsed="false">
      <c r="A2927" s="2" t="s">
        <v>6124</v>
      </c>
      <c r="B2927" s="2" t="s">
        <v>6125</v>
      </c>
      <c r="C2927" s="2" t="n">
        <v>5</v>
      </c>
      <c r="D2927" s="2" t="s">
        <v>90</v>
      </c>
      <c r="E2927" s="2" t="s">
        <v>5812</v>
      </c>
      <c r="F2927" s="3" t="n">
        <v>45947.9847222222</v>
      </c>
      <c r="G2927" s="2" t="s">
        <v>5813</v>
      </c>
      <c r="H2927" s="4" t="n">
        <v>0.6249</v>
      </c>
      <c r="I2927" s="2" t="s">
        <v>23</v>
      </c>
      <c r="J2927" s="2" t="s">
        <v>37</v>
      </c>
      <c r="K2927" s="2" t="n">
        <v>1</v>
      </c>
      <c r="L2927" s="2" t="n">
        <v>0</v>
      </c>
      <c r="M2927" s="2" t="n">
        <v>0</v>
      </c>
    </row>
    <row r="2928" customFormat="false" ht="15" hidden="false" customHeight="false" outlineLevel="0" collapsed="false">
      <c r="A2928" s="2" t="s">
        <v>6126</v>
      </c>
      <c r="B2928" s="2" t="s">
        <v>6127</v>
      </c>
      <c r="C2928" s="2" t="n">
        <v>5</v>
      </c>
      <c r="D2928" s="2" t="s">
        <v>62</v>
      </c>
      <c r="E2928" s="2" t="s">
        <v>5812</v>
      </c>
      <c r="F2928" s="3" t="n">
        <v>45948.0319444445</v>
      </c>
      <c r="G2928" s="2" t="s">
        <v>5813</v>
      </c>
      <c r="H2928" s="4" t="n">
        <v>0.7088</v>
      </c>
      <c r="I2928" s="2" t="s">
        <v>23</v>
      </c>
      <c r="J2928" s="2" t="s">
        <v>19</v>
      </c>
      <c r="K2928" s="2" t="n">
        <v>0</v>
      </c>
      <c r="L2928" s="2" t="n">
        <v>0</v>
      </c>
      <c r="M2928" s="2" t="n">
        <v>0</v>
      </c>
    </row>
    <row r="2929" customFormat="false" ht="15" hidden="false" customHeight="false" outlineLevel="0" collapsed="false">
      <c r="A2929" s="2" t="s">
        <v>6128</v>
      </c>
      <c r="B2929" s="2" t="s">
        <v>6129</v>
      </c>
      <c r="C2929" s="2" t="n">
        <v>5</v>
      </c>
      <c r="D2929" s="2" t="s">
        <v>15</v>
      </c>
      <c r="E2929" s="2" t="s">
        <v>5812</v>
      </c>
      <c r="F2929" s="3" t="n">
        <v>45948.1965277778</v>
      </c>
      <c r="G2929" s="2" t="s">
        <v>5813</v>
      </c>
      <c r="H2929" s="4" t="n">
        <v>0</v>
      </c>
      <c r="I2929" s="2" t="s">
        <v>18</v>
      </c>
      <c r="J2929" s="2" t="s">
        <v>19</v>
      </c>
      <c r="K2929" s="2" t="n">
        <v>0</v>
      </c>
      <c r="L2929" s="2" t="n">
        <v>0</v>
      </c>
      <c r="M2929" s="2" t="n">
        <v>0</v>
      </c>
    </row>
    <row r="2930" customFormat="false" ht="15" hidden="false" customHeight="false" outlineLevel="0" collapsed="false">
      <c r="A2930" s="2" t="s">
        <v>6130</v>
      </c>
      <c r="B2930" s="2" t="s">
        <v>6131</v>
      </c>
      <c r="C2930" s="2" t="n">
        <v>5</v>
      </c>
      <c r="D2930" s="2" t="s">
        <v>15</v>
      </c>
      <c r="E2930" s="2" t="s">
        <v>5812</v>
      </c>
      <c r="F2930" s="3" t="n">
        <v>45948.2104166667</v>
      </c>
      <c r="G2930" s="2" t="s">
        <v>5813</v>
      </c>
      <c r="H2930" s="4" t="n">
        <v>0</v>
      </c>
      <c r="I2930" s="2" t="s">
        <v>18</v>
      </c>
      <c r="J2930" s="2" t="s">
        <v>19</v>
      </c>
      <c r="K2930" s="2" t="n">
        <v>6</v>
      </c>
      <c r="L2930" s="2" t="n">
        <v>0</v>
      </c>
      <c r="M2930" s="2" t="n">
        <v>0</v>
      </c>
    </row>
    <row r="2931" customFormat="false" ht="15" hidden="false" customHeight="false" outlineLevel="0" collapsed="false">
      <c r="A2931" s="2" t="s">
        <v>6132</v>
      </c>
      <c r="B2931" s="2" t="s">
        <v>6133</v>
      </c>
      <c r="C2931" s="2" t="n">
        <v>4</v>
      </c>
      <c r="D2931" s="2" t="s">
        <v>15</v>
      </c>
      <c r="E2931" s="2" t="s">
        <v>5812</v>
      </c>
      <c r="F2931" s="3" t="n">
        <v>45948.4506944444</v>
      </c>
      <c r="G2931" s="2" t="s">
        <v>5813</v>
      </c>
      <c r="H2931" s="4" t="n">
        <v>0</v>
      </c>
      <c r="I2931" s="2" t="s">
        <v>18</v>
      </c>
      <c r="J2931" s="2" t="s">
        <v>19</v>
      </c>
      <c r="K2931" s="2" t="n">
        <v>1</v>
      </c>
      <c r="L2931" s="2" t="n">
        <v>0</v>
      </c>
      <c r="M2931" s="2" t="n">
        <v>0</v>
      </c>
    </row>
    <row r="2932" customFormat="false" ht="15" hidden="false" customHeight="false" outlineLevel="0" collapsed="false">
      <c r="A2932" s="2" t="s">
        <v>6134</v>
      </c>
      <c r="B2932" s="2" t="s">
        <v>6135</v>
      </c>
      <c r="C2932" s="2" t="n">
        <v>5</v>
      </c>
      <c r="D2932" s="2" t="s">
        <v>52</v>
      </c>
      <c r="E2932" s="2" t="s">
        <v>5812</v>
      </c>
      <c r="F2932" s="3" t="n">
        <v>45948.5847222222</v>
      </c>
      <c r="G2932" s="2" t="s">
        <v>5813</v>
      </c>
      <c r="H2932" s="4" t="n">
        <v>0.6369</v>
      </c>
      <c r="I2932" s="2" t="s">
        <v>23</v>
      </c>
      <c r="J2932" s="2" t="s">
        <v>19</v>
      </c>
      <c r="K2932" s="2" t="n">
        <v>0</v>
      </c>
      <c r="L2932" s="2" t="n">
        <v>0</v>
      </c>
      <c r="M2932" s="2" t="n">
        <v>0</v>
      </c>
    </row>
    <row r="2933" customFormat="false" ht="15" hidden="false" customHeight="false" outlineLevel="0" collapsed="false">
      <c r="A2933" s="2" t="s">
        <v>6136</v>
      </c>
      <c r="B2933" s="2" t="s">
        <v>6137</v>
      </c>
      <c r="C2933" s="2" t="n">
        <v>4</v>
      </c>
      <c r="D2933" s="2" t="s">
        <v>99</v>
      </c>
      <c r="E2933" s="2" t="s">
        <v>5812</v>
      </c>
      <c r="F2933" s="3" t="n">
        <v>45948.5868055556</v>
      </c>
      <c r="G2933" s="2" t="s">
        <v>5813</v>
      </c>
      <c r="H2933" s="4" t="n">
        <v>-0.3089</v>
      </c>
      <c r="I2933" s="2" t="s">
        <v>84</v>
      </c>
      <c r="J2933" s="2" t="s">
        <v>19</v>
      </c>
      <c r="K2933" s="2" t="n">
        <v>0</v>
      </c>
      <c r="L2933" s="2" t="n">
        <v>0</v>
      </c>
      <c r="M2933" s="2" t="n">
        <v>0</v>
      </c>
    </row>
    <row r="2934" customFormat="false" ht="15" hidden="false" customHeight="false" outlineLevel="0" collapsed="false">
      <c r="A2934" s="2" t="s">
        <v>6138</v>
      </c>
      <c r="B2934" s="2" t="s">
        <v>6139</v>
      </c>
      <c r="C2934" s="2" t="n">
        <v>3</v>
      </c>
      <c r="D2934" s="2" t="s">
        <v>301</v>
      </c>
      <c r="E2934" s="2" t="s">
        <v>5812</v>
      </c>
      <c r="F2934" s="3" t="n">
        <v>45948.7111111111</v>
      </c>
      <c r="G2934" s="2" t="s">
        <v>5813</v>
      </c>
      <c r="H2934" s="4" t="n">
        <v>0.2263</v>
      </c>
      <c r="I2934" s="2" t="s">
        <v>23</v>
      </c>
      <c r="J2934" s="2" t="s">
        <v>19</v>
      </c>
      <c r="K2934" s="2" t="n">
        <v>5</v>
      </c>
      <c r="L2934" s="2" t="n">
        <v>0</v>
      </c>
      <c r="M2934" s="2" t="n">
        <v>0</v>
      </c>
    </row>
    <row r="2935" customFormat="false" ht="15" hidden="false" customHeight="false" outlineLevel="0" collapsed="false">
      <c r="A2935" s="2" t="s">
        <v>6140</v>
      </c>
      <c r="B2935" s="2" t="s">
        <v>6141</v>
      </c>
      <c r="C2935" s="2" t="n">
        <v>5</v>
      </c>
      <c r="D2935" s="2" t="s">
        <v>47</v>
      </c>
      <c r="E2935" s="2" t="s">
        <v>5812</v>
      </c>
      <c r="F2935" s="3" t="n">
        <v>45948.7215277778</v>
      </c>
      <c r="G2935" s="2" t="s">
        <v>5813</v>
      </c>
      <c r="H2935" s="4" t="n">
        <v>0.3089</v>
      </c>
      <c r="I2935" s="2" t="s">
        <v>23</v>
      </c>
      <c r="J2935" s="2" t="s">
        <v>19</v>
      </c>
      <c r="K2935" s="2" t="n">
        <v>7</v>
      </c>
      <c r="L2935" s="2" t="n">
        <v>0</v>
      </c>
      <c r="M2935" s="2" t="n">
        <v>0</v>
      </c>
    </row>
    <row r="2936" customFormat="false" ht="15" hidden="false" customHeight="false" outlineLevel="0" collapsed="false">
      <c r="A2936" s="2" t="s">
        <v>6142</v>
      </c>
      <c r="B2936" s="2" t="s">
        <v>6143</v>
      </c>
      <c r="C2936" s="2" t="n">
        <v>5</v>
      </c>
      <c r="D2936" s="2" t="s">
        <v>62</v>
      </c>
      <c r="E2936" s="2" t="s">
        <v>5812</v>
      </c>
      <c r="F2936" s="3" t="n">
        <v>45949.0722222222</v>
      </c>
      <c r="G2936" s="2" t="s">
        <v>5813</v>
      </c>
      <c r="H2936" s="4" t="n">
        <v>0.7088</v>
      </c>
      <c r="I2936" s="2" t="s">
        <v>23</v>
      </c>
      <c r="J2936" s="2" t="s">
        <v>19</v>
      </c>
      <c r="K2936" s="2" t="n">
        <v>6</v>
      </c>
      <c r="L2936" s="2" t="n">
        <v>0</v>
      </c>
      <c r="M2936" s="2" t="n">
        <v>0</v>
      </c>
    </row>
    <row r="2937" customFormat="false" ht="15" hidden="false" customHeight="false" outlineLevel="0" collapsed="false">
      <c r="A2937" s="2" t="s">
        <v>6144</v>
      </c>
      <c r="B2937" s="2" t="s">
        <v>6145</v>
      </c>
      <c r="C2937" s="2" t="n">
        <v>5</v>
      </c>
      <c r="D2937" s="2" t="s">
        <v>389</v>
      </c>
      <c r="E2937" s="2" t="s">
        <v>5812</v>
      </c>
      <c r="F2937" s="3" t="n">
        <v>45949.2041666667</v>
      </c>
      <c r="G2937" s="2" t="s">
        <v>5813</v>
      </c>
      <c r="H2937" s="4" t="n">
        <v>0.8519</v>
      </c>
      <c r="I2937" s="2" t="s">
        <v>23</v>
      </c>
      <c r="J2937" s="2" t="s">
        <v>37</v>
      </c>
      <c r="K2937" s="2" t="n">
        <v>11</v>
      </c>
      <c r="L2937" s="2" t="n">
        <v>0</v>
      </c>
      <c r="M2937" s="2" t="n">
        <v>0</v>
      </c>
    </row>
    <row r="2938" customFormat="false" ht="15" hidden="false" customHeight="false" outlineLevel="0" collapsed="false">
      <c r="A2938" s="2" t="s">
        <v>6146</v>
      </c>
      <c r="B2938" s="2" t="s">
        <v>6147</v>
      </c>
      <c r="C2938" s="2" t="n">
        <v>5</v>
      </c>
      <c r="D2938" s="2" t="s">
        <v>186</v>
      </c>
      <c r="E2938" s="2" t="s">
        <v>5812</v>
      </c>
      <c r="F2938" s="3" t="n">
        <v>45949.2159722222</v>
      </c>
      <c r="G2938" s="2" t="s">
        <v>5813</v>
      </c>
      <c r="H2938" s="4" t="n">
        <v>0.8777</v>
      </c>
      <c r="I2938" s="2" t="s">
        <v>23</v>
      </c>
      <c r="J2938" s="2" t="s">
        <v>19</v>
      </c>
      <c r="K2938" s="2" t="n">
        <v>5</v>
      </c>
      <c r="L2938" s="2" t="n">
        <v>0</v>
      </c>
      <c r="M2938" s="2" t="n">
        <v>0</v>
      </c>
    </row>
    <row r="2939" customFormat="false" ht="15" hidden="false" customHeight="false" outlineLevel="0" collapsed="false">
      <c r="A2939" s="2" t="s">
        <v>6148</v>
      </c>
      <c r="B2939" s="2" t="s">
        <v>6149</v>
      </c>
      <c r="C2939" s="2" t="n">
        <v>3</v>
      </c>
      <c r="D2939" s="2" t="s">
        <v>4258</v>
      </c>
      <c r="E2939" s="2" t="s">
        <v>5812</v>
      </c>
      <c r="F2939" s="3" t="n">
        <v>45949.2194444445</v>
      </c>
      <c r="G2939" s="2" t="s">
        <v>5813</v>
      </c>
      <c r="H2939" s="4" t="n">
        <v>0.1635</v>
      </c>
      <c r="I2939" s="2" t="s">
        <v>23</v>
      </c>
      <c r="J2939" s="2" t="s">
        <v>37</v>
      </c>
      <c r="K2939" s="2" t="n">
        <v>1</v>
      </c>
      <c r="L2939" s="2" t="n">
        <v>0</v>
      </c>
      <c r="M2939" s="2" t="n">
        <v>0</v>
      </c>
    </row>
    <row r="2940" customFormat="false" ht="15" hidden="false" customHeight="false" outlineLevel="0" collapsed="false">
      <c r="A2940" s="2" t="s">
        <v>6150</v>
      </c>
      <c r="B2940" s="2" t="s">
        <v>6151</v>
      </c>
      <c r="C2940" s="2" t="n">
        <v>5</v>
      </c>
      <c r="D2940" s="2" t="s">
        <v>15</v>
      </c>
      <c r="E2940" s="2" t="s">
        <v>5812</v>
      </c>
      <c r="F2940" s="3" t="n">
        <v>45949.2284722222</v>
      </c>
      <c r="G2940" s="2" t="s">
        <v>5813</v>
      </c>
      <c r="H2940" s="4" t="n">
        <v>0</v>
      </c>
      <c r="I2940" s="2" t="s">
        <v>18</v>
      </c>
      <c r="J2940" s="2" t="s">
        <v>19</v>
      </c>
      <c r="K2940" s="2" t="n">
        <v>0</v>
      </c>
      <c r="L2940" s="2" t="n">
        <v>0</v>
      </c>
      <c r="M2940" s="2" t="n">
        <v>0</v>
      </c>
    </row>
    <row r="2941" customFormat="false" ht="15" hidden="false" customHeight="false" outlineLevel="0" collapsed="false">
      <c r="A2941" s="2" t="s">
        <v>6152</v>
      </c>
      <c r="B2941" s="2" t="s">
        <v>6153</v>
      </c>
      <c r="C2941" s="2" t="n">
        <v>5</v>
      </c>
      <c r="D2941" s="2" t="s">
        <v>1217</v>
      </c>
      <c r="E2941" s="2" t="s">
        <v>5812</v>
      </c>
      <c r="F2941" s="3" t="n">
        <v>45949.2284722222</v>
      </c>
      <c r="G2941" s="2" t="s">
        <v>5813</v>
      </c>
      <c r="H2941" s="4" t="n">
        <v>0.8748</v>
      </c>
      <c r="I2941" s="2" t="s">
        <v>23</v>
      </c>
      <c r="J2941" s="2" t="s">
        <v>37</v>
      </c>
      <c r="K2941" s="2" t="n">
        <v>0</v>
      </c>
      <c r="L2941" s="2" t="n">
        <v>0</v>
      </c>
      <c r="M2941" s="2" t="n">
        <v>0</v>
      </c>
    </row>
    <row r="2942" customFormat="false" ht="15" hidden="false" customHeight="false" outlineLevel="0" collapsed="false">
      <c r="A2942" s="2" t="s">
        <v>6154</v>
      </c>
      <c r="B2942" s="2" t="s">
        <v>6155</v>
      </c>
      <c r="C2942" s="2" t="n">
        <v>2</v>
      </c>
      <c r="D2942" s="2" t="s">
        <v>591</v>
      </c>
      <c r="E2942" s="2" t="s">
        <v>5812</v>
      </c>
      <c r="F2942" s="3" t="n">
        <v>45949.2861111111</v>
      </c>
      <c r="G2942" s="2" t="s">
        <v>5813</v>
      </c>
      <c r="H2942" s="4" t="n">
        <v>0</v>
      </c>
      <c r="I2942" s="2" t="s">
        <v>18</v>
      </c>
      <c r="J2942" s="2" t="s">
        <v>37</v>
      </c>
      <c r="K2942" s="2" t="n">
        <v>8</v>
      </c>
      <c r="L2942" s="2" t="n">
        <v>1</v>
      </c>
      <c r="M2942" s="2" t="n">
        <v>0</v>
      </c>
    </row>
    <row r="2943" customFormat="false" ht="15" hidden="false" customHeight="false" outlineLevel="0" collapsed="false">
      <c r="A2943" s="2" t="s">
        <v>6156</v>
      </c>
      <c r="B2943" s="2" t="s">
        <v>6157</v>
      </c>
      <c r="C2943" s="2" t="n">
        <v>5</v>
      </c>
      <c r="D2943" s="2" t="s">
        <v>127</v>
      </c>
      <c r="E2943" s="2" t="s">
        <v>5812</v>
      </c>
      <c r="F2943" s="3" t="n">
        <v>45949.3145833333</v>
      </c>
      <c r="G2943" s="2" t="s">
        <v>5813</v>
      </c>
      <c r="H2943" s="4" t="n">
        <v>0.9359</v>
      </c>
      <c r="I2943" s="2" t="s">
        <v>23</v>
      </c>
      <c r="J2943" s="2" t="s">
        <v>37</v>
      </c>
      <c r="K2943" s="2" t="n">
        <v>4</v>
      </c>
      <c r="L2943" s="2" t="n">
        <v>0</v>
      </c>
      <c r="M2943" s="2" t="n">
        <v>0</v>
      </c>
    </row>
    <row r="2944" customFormat="false" ht="15" hidden="false" customHeight="false" outlineLevel="0" collapsed="false">
      <c r="A2944" s="2" t="s">
        <v>6158</v>
      </c>
      <c r="B2944" s="2" t="s">
        <v>6159</v>
      </c>
      <c r="C2944" s="2" t="n">
        <v>5</v>
      </c>
      <c r="D2944" s="2" t="s">
        <v>52</v>
      </c>
      <c r="E2944" s="2" t="s">
        <v>5812</v>
      </c>
      <c r="F2944" s="3" t="n">
        <v>45949.3263888889</v>
      </c>
      <c r="G2944" s="2" t="s">
        <v>5813</v>
      </c>
      <c r="H2944" s="4" t="n">
        <v>0.6369</v>
      </c>
      <c r="I2944" s="2" t="s">
        <v>23</v>
      </c>
      <c r="J2944" s="2" t="s">
        <v>19</v>
      </c>
      <c r="K2944" s="2" t="n">
        <v>2</v>
      </c>
      <c r="L2944" s="2" t="n">
        <v>0</v>
      </c>
      <c r="M2944" s="2" t="n">
        <v>0</v>
      </c>
    </row>
    <row r="2945" customFormat="false" ht="15" hidden="false" customHeight="false" outlineLevel="0" collapsed="false">
      <c r="A2945" s="2" t="s">
        <v>6160</v>
      </c>
      <c r="B2945" s="2" t="s">
        <v>6161</v>
      </c>
      <c r="C2945" s="2" t="n">
        <v>2</v>
      </c>
      <c r="D2945" s="2" t="s">
        <v>733</v>
      </c>
      <c r="E2945" s="2" t="s">
        <v>5812</v>
      </c>
      <c r="F2945" s="3" t="n">
        <v>45949.4194444444</v>
      </c>
      <c r="G2945" s="2" t="s">
        <v>5813</v>
      </c>
      <c r="H2945" s="4" t="n">
        <v>-0.2846</v>
      </c>
      <c r="I2945" s="2" t="s">
        <v>84</v>
      </c>
      <c r="J2945" s="2" t="s">
        <v>37</v>
      </c>
      <c r="K2945" s="2" t="n">
        <v>2</v>
      </c>
      <c r="L2945" s="2" t="n">
        <v>1</v>
      </c>
      <c r="M2945" s="2" t="n">
        <v>0</v>
      </c>
    </row>
    <row r="2946" customFormat="false" ht="15" hidden="false" customHeight="false" outlineLevel="0" collapsed="false">
      <c r="A2946" s="2" t="s">
        <v>6162</v>
      </c>
      <c r="B2946" s="2" t="s">
        <v>6163</v>
      </c>
      <c r="C2946" s="2" t="n">
        <v>5</v>
      </c>
      <c r="D2946" s="2" t="s">
        <v>90</v>
      </c>
      <c r="E2946" s="2" t="s">
        <v>5812</v>
      </c>
      <c r="F2946" s="3" t="n">
        <v>45949.6569444445</v>
      </c>
      <c r="G2946" s="2" t="s">
        <v>5813</v>
      </c>
      <c r="H2946" s="4" t="n">
        <v>0.6249</v>
      </c>
      <c r="I2946" s="2" t="s">
        <v>23</v>
      </c>
      <c r="J2946" s="2" t="s">
        <v>37</v>
      </c>
      <c r="K2946" s="2" t="n">
        <v>0</v>
      </c>
      <c r="L2946" s="2" t="n">
        <v>0</v>
      </c>
      <c r="M2946" s="2" t="n">
        <v>0</v>
      </c>
    </row>
    <row r="2947" customFormat="false" ht="15" hidden="false" customHeight="false" outlineLevel="0" collapsed="false">
      <c r="A2947" s="2" t="s">
        <v>6164</v>
      </c>
      <c r="B2947" s="2" t="s">
        <v>6165</v>
      </c>
      <c r="C2947" s="2" t="n">
        <v>4</v>
      </c>
      <c r="D2947" s="2" t="s">
        <v>127</v>
      </c>
      <c r="E2947" s="2" t="s">
        <v>5812</v>
      </c>
      <c r="F2947" s="3" t="n">
        <v>45949.6659722222</v>
      </c>
      <c r="G2947" s="2" t="s">
        <v>5813</v>
      </c>
      <c r="H2947" s="4" t="n">
        <v>0.9359</v>
      </c>
      <c r="I2947" s="2" t="s">
        <v>23</v>
      </c>
      <c r="J2947" s="2" t="s">
        <v>37</v>
      </c>
      <c r="K2947" s="2" t="n">
        <v>7</v>
      </c>
      <c r="L2947" s="2" t="n">
        <v>0</v>
      </c>
      <c r="M2947" s="2" t="n">
        <v>0</v>
      </c>
    </row>
    <row r="2948" customFormat="false" ht="15" hidden="false" customHeight="false" outlineLevel="0" collapsed="false">
      <c r="A2948" s="2" t="s">
        <v>6166</v>
      </c>
      <c r="B2948" s="2" t="s">
        <v>6167</v>
      </c>
      <c r="C2948" s="2" t="n">
        <v>5</v>
      </c>
      <c r="D2948" s="2" t="s">
        <v>96</v>
      </c>
      <c r="E2948" s="2" t="s">
        <v>5812</v>
      </c>
      <c r="F2948" s="3" t="n">
        <v>45949.9819444444</v>
      </c>
      <c r="G2948" s="2" t="s">
        <v>5813</v>
      </c>
      <c r="H2948" s="4" t="n">
        <v>0.6369</v>
      </c>
      <c r="I2948" s="2" t="s">
        <v>23</v>
      </c>
      <c r="J2948" s="2" t="s">
        <v>19</v>
      </c>
      <c r="K2948" s="2" t="n">
        <v>3</v>
      </c>
      <c r="L2948" s="2" t="n">
        <v>0</v>
      </c>
      <c r="M2948" s="2" t="n">
        <v>0</v>
      </c>
    </row>
    <row r="2949" customFormat="false" ht="15" hidden="false" customHeight="false" outlineLevel="0" collapsed="false">
      <c r="A2949" s="2" t="s">
        <v>6168</v>
      </c>
      <c r="B2949" s="2" t="s">
        <v>6169</v>
      </c>
      <c r="C2949" s="2" t="n">
        <v>4</v>
      </c>
      <c r="D2949" s="2" t="s">
        <v>40</v>
      </c>
      <c r="E2949" s="2" t="s">
        <v>5812</v>
      </c>
      <c r="F2949" s="3" t="n">
        <v>45950.0986111111</v>
      </c>
      <c r="G2949" s="2" t="s">
        <v>5813</v>
      </c>
      <c r="H2949" s="4" t="n">
        <v>0.4019</v>
      </c>
      <c r="I2949" s="2" t="s">
        <v>23</v>
      </c>
      <c r="J2949" s="2" t="s">
        <v>33</v>
      </c>
      <c r="K2949" s="2" t="n">
        <v>1</v>
      </c>
      <c r="L2949" s="2" t="n">
        <v>0</v>
      </c>
      <c r="M2949" s="2" t="n">
        <v>0</v>
      </c>
    </row>
    <row r="2950" customFormat="false" ht="15" hidden="false" customHeight="false" outlineLevel="0" collapsed="false">
      <c r="A2950" s="2" t="s">
        <v>6170</v>
      </c>
      <c r="B2950" s="2" t="s">
        <v>6171</v>
      </c>
      <c r="C2950" s="2" t="n">
        <v>5</v>
      </c>
      <c r="D2950" s="2" t="s">
        <v>222</v>
      </c>
      <c r="E2950" s="2" t="s">
        <v>5812</v>
      </c>
      <c r="F2950" s="3" t="n">
        <v>45950.1173611111</v>
      </c>
      <c r="G2950" s="2" t="s">
        <v>5813</v>
      </c>
      <c r="H2950" s="4" t="n">
        <v>0.9647</v>
      </c>
      <c r="I2950" s="2" t="s">
        <v>23</v>
      </c>
      <c r="J2950" s="2" t="s">
        <v>37</v>
      </c>
      <c r="K2950" s="2" t="n">
        <v>9</v>
      </c>
      <c r="L2950" s="2" t="n">
        <v>0</v>
      </c>
      <c r="M2950" s="2" t="n">
        <v>0</v>
      </c>
    </row>
    <row r="2951" customFormat="false" ht="15" hidden="false" customHeight="false" outlineLevel="0" collapsed="false">
      <c r="A2951" s="2" t="s">
        <v>6172</v>
      </c>
      <c r="B2951" s="2" t="s">
        <v>6173</v>
      </c>
      <c r="C2951" s="2" t="n">
        <v>5</v>
      </c>
      <c r="D2951" s="2" t="s">
        <v>1197</v>
      </c>
      <c r="E2951" s="2" t="s">
        <v>5812</v>
      </c>
      <c r="F2951" s="3" t="n">
        <v>45950.3423611111</v>
      </c>
      <c r="G2951" s="2" t="s">
        <v>5813</v>
      </c>
      <c r="H2951" s="4" t="n">
        <v>0.3089</v>
      </c>
      <c r="I2951" s="2" t="s">
        <v>23</v>
      </c>
      <c r="J2951" s="2" t="s">
        <v>19</v>
      </c>
      <c r="K2951" s="2" t="n">
        <v>1</v>
      </c>
      <c r="L2951" s="2" t="n">
        <v>0</v>
      </c>
      <c r="M2951" s="2" t="n">
        <v>0</v>
      </c>
    </row>
    <row r="2952" customFormat="false" ht="15" hidden="false" customHeight="false" outlineLevel="0" collapsed="false">
      <c r="A2952" s="2" t="s">
        <v>6174</v>
      </c>
      <c r="B2952" s="2" t="s">
        <v>6175</v>
      </c>
      <c r="C2952" s="2" t="n">
        <v>4</v>
      </c>
      <c r="D2952" s="2" t="s">
        <v>127</v>
      </c>
      <c r="E2952" s="2" t="s">
        <v>5812</v>
      </c>
      <c r="F2952" s="3" t="n">
        <v>45950.4034722222</v>
      </c>
      <c r="G2952" s="2" t="s">
        <v>5813</v>
      </c>
      <c r="H2952" s="4" t="n">
        <v>0.9359</v>
      </c>
      <c r="I2952" s="2" t="s">
        <v>23</v>
      </c>
      <c r="J2952" s="2" t="s">
        <v>37</v>
      </c>
      <c r="K2952" s="2" t="n">
        <v>5</v>
      </c>
      <c r="L2952" s="2" t="n">
        <v>0</v>
      </c>
      <c r="M2952" s="2" t="n">
        <v>0</v>
      </c>
    </row>
    <row r="2953" customFormat="false" ht="15" hidden="false" customHeight="false" outlineLevel="0" collapsed="false">
      <c r="A2953" s="2" t="s">
        <v>6176</v>
      </c>
      <c r="B2953" s="2" t="s">
        <v>6177</v>
      </c>
      <c r="C2953" s="2" t="n">
        <v>5</v>
      </c>
      <c r="D2953" s="2" t="s">
        <v>282</v>
      </c>
      <c r="E2953" s="2" t="s">
        <v>5812</v>
      </c>
      <c r="F2953" s="3" t="n">
        <v>45950.5041666667</v>
      </c>
      <c r="G2953" s="2" t="s">
        <v>5813</v>
      </c>
      <c r="H2953" s="4" t="n">
        <v>0.7992</v>
      </c>
      <c r="I2953" s="2" t="s">
        <v>23</v>
      </c>
      <c r="J2953" s="2" t="s">
        <v>19</v>
      </c>
      <c r="K2953" s="2" t="n">
        <v>3</v>
      </c>
      <c r="L2953" s="2" t="n">
        <v>0</v>
      </c>
      <c r="M2953" s="2" t="n">
        <v>0</v>
      </c>
    </row>
    <row r="2954" customFormat="false" ht="15" hidden="false" customHeight="false" outlineLevel="0" collapsed="false">
      <c r="A2954" s="2" t="s">
        <v>6178</v>
      </c>
      <c r="B2954" s="2" t="s">
        <v>6179</v>
      </c>
      <c r="C2954" s="2" t="n">
        <v>5</v>
      </c>
      <c r="D2954" s="2" t="s">
        <v>90</v>
      </c>
      <c r="E2954" s="2" t="s">
        <v>5812</v>
      </c>
      <c r="F2954" s="3" t="n">
        <v>45950.5291666667</v>
      </c>
      <c r="G2954" s="2" t="s">
        <v>5813</v>
      </c>
      <c r="H2954" s="4" t="n">
        <v>0.6249</v>
      </c>
      <c r="I2954" s="2" t="s">
        <v>23</v>
      </c>
      <c r="J2954" s="2" t="s">
        <v>37</v>
      </c>
      <c r="K2954" s="2" t="n">
        <v>10</v>
      </c>
      <c r="L2954" s="2" t="n">
        <v>0</v>
      </c>
      <c r="M2954" s="2" t="n">
        <v>0</v>
      </c>
    </row>
    <row r="2955" customFormat="false" ht="15" hidden="false" customHeight="false" outlineLevel="0" collapsed="false">
      <c r="A2955" s="2" t="s">
        <v>6180</v>
      </c>
      <c r="B2955" s="2" t="s">
        <v>6181</v>
      </c>
      <c r="C2955" s="2" t="n">
        <v>5</v>
      </c>
      <c r="D2955" s="2" t="s">
        <v>40</v>
      </c>
      <c r="E2955" s="2" t="s">
        <v>5812</v>
      </c>
      <c r="F2955" s="3" t="n">
        <v>45950.5402777778</v>
      </c>
      <c r="G2955" s="2" t="s">
        <v>5813</v>
      </c>
      <c r="H2955" s="4" t="n">
        <v>0.4019</v>
      </c>
      <c r="I2955" s="2" t="s">
        <v>23</v>
      </c>
      <c r="J2955" s="2" t="s">
        <v>33</v>
      </c>
      <c r="K2955" s="2" t="n">
        <v>3</v>
      </c>
      <c r="L2955" s="2" t="n">
        <v>0</v>
      </c>
      <c r="M2955" s="2" t="n">
        <v>0</v>
      </c>
    </row>
    <row r="2956" customFormat="false" ht="15" hidden="false" customHeight="false" outlineLevel="0" collapsed="false">
      <c r="A2956" s="2" t="s">
        <v>6182</v>
      </c>
      <c r="B2956" s="2" t="s">
        <v>6183</v>
      </c>
      <c r="C2956" s="2" t="n">
        <v>3</v>
      </c>
      <c r="D2956" s="2" t="s">
        <v>2743</v>
      </c>
      <c r="E2956" s="2" t="s">
        <v>5812</v>
      </c>
      <c r="F2956" s="3" t="n">
        <v>45950.7638888889</v>
      </c>
      <c r="G2956" s="2" t="s">
        <v>5813</v>
      </c>
      <c r="H2956" s="4" t="n">
        <v>0.3809</v>
      </c>
      <c r="I2956" s="2" t="s">
        <v>23</v>
      </c>
      <c r="J2956" s="2" t="s">
        <v>19</v>
      </c>
      <c r="K2956" s="2" t="n">
        <v>0</v>
      </c>
      <c r="L2956" s="2" t="n">
        <v>0</v>
      </c>
      <c r="M2956" s="2" t="n">
        <v>0</v>
      </c>
    </row>
    <row r="2957" customFormat="false" ht="15" hidden="false" customHeight="false" outlineLevel="0" collapsed="false">
      <c r="A2957" s="2" t="s">
        <v>6184</v>
      </c>
      <c r="B2957" s="2" t="s">
        <v>6185</v>
      </c>
      <c r="C2957" s="2" t="n">
        <v>3</v>
      </c>
      <c r="D2957" s="2" t="s">
        <v>87</v>
      </c>
      <c r="E2957" s="2" t="s">
        <v>5812</v>
      </c>
      <c r="F2957" s="3" t="n">
        <v>45950.9680555556</v>
      </c>
      <c r="G2957" s="2" t="s">
        <v>5813</v>
      </c>
      <c r="H2957" s="4" t="n">
        <v>0</v>
      </c>
      <c r="I2957" s="2" t="s">
        <v>18</v>
      </c>
      <c r="J2957" s="2" t="s">
        <v>19</v>
      </c>
      <c r="K2957" s="2" t="n">
        <v>5</v>
      </c>
      <c r="L2957" s="2" t="n">
        <v>0</v>
      </c>
      <c r="M2957" s="2" t="n">
        <v>0</v>
      </c>
    </row>
    <row r="2958" customFormat="false" ht="15" hidden="false" customHeight="false" outlineLevel="0" collapsed="false">
      <c r="A2958" s="2" t="s">
        <v>6186</v>
      </c>
      <c r="B2958" s="2" t="s">
        <v>6187</v>
      </c>
      <c r="C2958" s="2" t="n">
        <v>3</v>
      </c>
      <c r="D2958" s="2" t="s">
        <v>301</v>
      </c>
      <c r="E2958" s="2" t="s">
        <v>5812</v>
      </c>
      <c r="F2958" s="3" t="n">
        <v>45951.0118055556</v>
      </c>
      <c r="G2958" s="2" t="s">
        <v>5813</v>
      </c>
      <c r="H2958" s="4" t="n">
        <v>0.2263</v>
      </c>
      <c r="I2958" s="2" t="s">
        <v>23</v>
      </c>
      <c r="J2958" s="2" t="s">
        <v>19</v>
      </c>
      <c r="K2958" s="2" t="n">
        <v>4</v>
      </c>
      <c r="L2958" s="2" t="n">
        <v>0</v>
      </c>
      <c r="M2958" s="2" t="n">
        <v>0</v>
      </c>
    </row>
    <row r="2959" customFormat="false" ht="15" hidden="false" customHeight="false" outlineLevel="0" collapsed="false">
      <c r="A2959" s="2" t="s">
        <v>6188</v>
      </c>
      <c r="B2959" s="2" t="s">
        <v>6189</v>
      </c>
      <c r="C2959" s="2" t="n">
        <v>1</v>
      </c>
      <c r="D2959" s="2" t="s">
        <v>591</v>
      </c>
      <c r="E2959" s="2" t="s">
        <v>5812</v>
      </c>
      <c r="F2959" s="3" t="n">
        <v>45951.0131944444</v>
      </c>
      <c r="G2959" s="2" t="s">
        <v>5813</v>
      </c>
      <c r="H2959" s="4" t="n">
        <v>0</v>
      </c>
      <c r="I2959" s="2" t="s">
        <v>18</v>
      </c>
      <c r="J2959" s="2" t="s">
        <v>37</v>
      </c>
      <c r="K2959" s="2" t="n">
        <v>1</v>
      </c>
      <c r="L2959" s="2" t="n">
        <v>1</v>
      </c>
      <c r="M2959" s="2" t="n">
        <v>0</v>
      </c>
    </row>
    <row r="2960" customFormat="false" ht="15" hidden="false" customHeight="false" outlineLevel="0" collapsed="false">
      <c r="A2960" s="2" t="s">
        <v>6190</v>
      </c>
      <c r="B2960" s="2" t="s">
        <v>6191</v>
      </c>
      <c r="C2960" s="2" t="n">
        <v>4</v>
      </c>
      <c r="D2960" s="2" t="s">
        <v>116</v>
      </c>
      <c r="E2960" s="2" t="s">
        <v>5812</v>
      </c>
      <c r="F2960" s="3" t="n">
        <v>45951.0131944444</v>
      </c>
      <c r="G2960" s="2" t="s">
        <v>5813</v>
      </c>
      <c r="H2960" s="4" t="n">
        <v>0.9359</v>
      </c>
      <c r="I2960" s="2" t="s">
        <v>23</v>
      </c>
      <c r="J2960" s="2" t="s">
        <v>37</v>
      </c>
      <c r="K2960" s="2" t="n">
        <v>5</v>
      </c>
      <c r="L2960" s="2" t="n">
        <v>0</v>
      </c>
      <c r="M2960" s="2" t="n">
        <v>0</v>
      </c>
    </row>
    <row r="2961" customFormat="false" ht="15" hidden="false" customHeight="false" outlineLevel="0" collapsed="false">
      <c r="A2961" s="2" t="s">
        <v>6192</v>
      </c>
      <c r="B2961" s="2" t="s">
        <v>6193</v>
      </c>
      <c r="C2961" s="2" t="n">
        <v>5</v>
      </c>
      <c r="D2961" s="2" t="s">
        <v>40</v>
      </c>
      <c r="E2961" s="2" t="s">
        <v>5812</v>
      </c>
      <c r="F2961" s="3" t="n">
        <v>45951.0354166667</v>
      </c>
      <c r="G2961" s="2" t="s">
        <v>5813</v>
      </c>
      <c r="H2961" s="4" t="n">
        <v>0.4019</v>
      </c>
      <c r="I2961" s="2" t="s">
        <v>23</v>
      </c>
      <c r="J2961" s="2" t="s">
        <v>33</v>
      </c>
      <c r="K2961" s="2" t="n">
        <v>4</v>
      </c>
      <c r="L2961" s="2" t="n">
        <v>0</v>
      </c>
      <c r="M2961" s="2" t="n">
        <v>0</v>
      </c>
    </row>
    <row r="2962" customFormat="false" ht="15" hidden="false" customHeight="false" outlineLevel="0" collapsed="false">
      <c r="A2962" s="2" t="s">
        <v>6194</v>
      </c>
      <c r="B2962" s="2" t="s">
        <v>6195</v>
      </c>
      <c r="C2962" s="2" t="n">
        <v>5</v>
      </c>
      <c r="D2962" s="2" t="s">
        <v>392</v>
      </c>
      <c r="E2962" s="2" t="s">
        <v>5812</v>
      </c>
      <c r="F2962" s="3" t="n">
        <v>45951.0486111111</v>
      </c>
      <c r="G2962" s="2" t="s">
        <v>5813</v>
      </c>
      <c r="H2962" s="4" t="n">
        <v>0.7549</v>
      </c>
      <c r="I2962" s="2" t="s">
        <v>23</v>
      </c>
      <c r="J2962" s="2" t="s">
        <v>19</v>
      </c>
      <c r="K2962" s="2" t="n">
        <v>8</v>
      </c>
      <c r="L2962" s="2" t="n">
        <v>0</v>
      </c>
      <c r="M2962" s="2" t="n">
        <v>0</v>
      </c>
    </row>
    <row r="2963" customFormat="false" ht="15" hidden="false" customHeight="false" outlineLevel="0" collapsed="false">
      <c r="A2963" s="2" t="s">
        <v>6196</v>
      </c>
      <c r="B2963" s="2" t="s">
        <v>6197</v>
      </c>
      <c r="C2963" s="2" t="n">
        <v>5</v>
      </c>
      <c r="D2963" s="2" t="s">
        <v>52</v>
      </c>
      <c r="E2963" s="2" t="s">
        <v>5812</v>
      </c>
      <c r="F2963" s="3" t="n">
        <v>45951.0604166667</v>
      </c>
      <c r="G2963" s="2" t="s">
        <v>5813</v>
      </c>
      <c r="H2963" s="4" t="n">
        <v>0.6369</v>
      </c>
      <c r="I2963" s="2" t="s">
        <v>23</v>
      </c>
      <c r="J2963" s="2" t="s">
        <v>19</v>
      </c>
      <c r="K2963" s="2" t="n">
        <v>0</v>
      </c>
      <c r="L2963" s="2" t="n">
        <v>0</v>
      </c>
      <c r="M2963" s="2" t="n">
        <v>0</v>
      </c>
    </row>
    <row r="2964" customFormat="false" ht="15" hidden="false" customHeight="false" outlineLevel="0" collapsed="false">
      <c r="A2964" s="2" t="s">
        <v>6198</v>
      </c>
      <c r="B2964" s="2" t="s">
        <v>6199</v>
      </c>
      <c r="C2964" s="2" t="n">
        <v>1</v>
      </c>
      <c r="D2964" s="2" t="s">
        <v>2193</v>
      </c>
      <c r="E2964" s="2" t="s">
        <v>5812</v>
      </c>
      <c r="F2964" s="3" t="n">
        <v>45951.51875</v>
      </c>
      <c r="G2964" s="2" t="s">
        <v>5813</v>
      </c>
      <c r="H2964" s="4" t="n">
        <v>-0.3291</v>
      </c>
      <c r="I2964" s="2" t="s">
        <v>84</v>
      </c>
      <c r="J2964" s="2" t="s">
        <v>33</v>
      </c>
      <c r="K2964" s="2" t="n">
        <v>0</v>
      </c>
      <c r="L2964" s="2" t="n">
        <v>0</v>
      </c>
      <c r="M2964" s="2" t="n">
        <v>0</v>
      </c>
    </row>
    <row r="2965" customFormat="false" ht="15" hidden="false" customHeight="false" outlineLevel="0" collapsed="false">
      <c r="A2965" s="2" t="s">
        <v>6200</v>
      </c>
      <c r="B2965" s="2" t="s">
        <v>1251</v>
      </c>
      <c r="C2965" s="2" t="n">
        <v>4</v>
      </c>
      <c r="D2965" s="2" t="s">
        <v>52</v>
      </c>
      <c r="E2965" s="2" t="s">
        <v>5812</v>
      </c>
      <c r="F2965" s="3" t="n">
        <v>45951.6284722222</v>
      </c>
      <c r="G2965" s="2" t="s">
        <v>5813</v>
      </c>
      <c r="H2965" s="4" t="n">
        <v>0.6369</v>
      </c>
      <c r="I2965" s="2" t="s">
        <v>23</v>
      </c>
      <c r="J2965" s="2" t="s">
        <v>19</v>
      </c>
      <c r="K2965" s="2" t="n">
        <v>1</v>
      </c>
      <c r="L2965" s="2" t="n">
        <v>0</v>
      </c>
      <c r="M2965" s="2" t="n">
        <v>0</v>
      </c>
    </row>
    <row r="2966" customFormat="false" ht="15" hidden="false" customHeight="false" outlineLevel="0" collapsed="false">
      <c r="A2966" s="2" t="s">
        <v>6201</v>
      </c>
      <c r="B2966" s="2" t="s">
        <v>6202</v>
      </c>
      <c r="C2966" s="2" t="n">
        <v>1</v>
      </c>
      <c r="D2966" s="2" t="s">
        <v>2816</v>
      </c>
      <c r="E2966" s="2" t="s">
        <v>5812</v>
      </c>
      <c r="F2966" s="3" t="n">
        <v>45951.7680555556</v>
      </c>
      <c r="G2966" s="2" t="s">
        <v>5813</v>
      </c>
      <c r="H2966" s="4" t="n">
        <v>0</v>
      </c>
      <c r="I2966" s="2" t="s">
        <v>18</v>
      </c>
      <c r="J2966" s="2" t="s">
        <v>110</v>
      </c>
      <c r="K2966" s="2" t="n">
        <v>6</v>
      </c>
      <c r="L2966" s="2" t="n">
        <v>1</v>
      </c>
      <c r="M2966" s="2" t="n">
        <v>0</v>
      </c>
    </row>
    <row r="2967" customFormat="false" ht="15" hidden="false" customHeight="false" outlineLevel="0" collapsed="false">
      <c r="A2967" s="2" t="s">
        <v>6203</v>
      </c>
      <c r="B2967" s="2" t="s">
        <v>6204</v>
      </c>
      <c r="C2967" s="2" t="n">
        <v>4</v>
      </c>
      <c r="D2967" s="2" t="s">
        <v>52</v>
      </c>
      <c r="E2967" s="2" t="s">
        <v>5812</v>
      </c>
      <c r="F2967" s="3" t="n">
        <v>45952.1618055556</v>
      </c>
      <c r="G2967" s="2" t="s">
        <v>5813</v>
      </c>
      <c r="H2967" s="4" t="n">
        <v>0.6369</v>
      </c>
      <c r="I2967" s="2" t="s">
        <v>23</v>
      </c>
      <c r="J2967" s="2" t="s">
        <v>19</v>
      </c>
      <c r="K2967" s="2" t="n">
        <v>0</v>
      </c>
      <c r="L2967" s="2" t="n">
        <v>0</v>
      </c>
      <c r="M2967" s="2" t="n">
        <v>0</v>
      </c>
    </row>
    <row r="2968" customFormat="false" ht="15" hidden="false" customHeight="false" outlineLevel="0" collapsed="false">
      <c r="A2968" s="2" t="s">
        <v>6205</v>
      </c>
      <c r="B2968" s="2" t="s">
        <v>6206</v>
      </c>
      <c r="C2968" s="2" t="n">
        <v>5</v>
      </c>
      <c r="D2968" s="2" t="s">
        <v>1949</v>
      </c>
      <c r="E2968" s="2" t="s">
        <v>5812</v>
      </c>
      <c r="F2968" s="3" t="n">
        <v>45952.1847222222</v>
      </c>
      <c r="G2968" s="2" t="s">
        <v>5813</v>
      </c>
      <c r="H2968" s="4" t="n">
        <v>0</v>
      </c>
      <c r="I2968" s="2" t="s">
        <v>18</v>
      </c>
      <c r="J2968" s="2" t="s">
        <v>19</v>
      </c>
      <c r="K2968" s="2" t="n">
        <v>5</v>
      </c>
      <c r="L2968" s="2" t="n">
        <v>0</v>
      </c>
      <c r="M2968" s="2" t="n">
        <v>0</v>
      </c>
    </row>
    <row r="2969" customFormat="false" ht="15" hidden="false" customHeight="false" outlineLevel="0" collapsed="false">
      <c r="A2969" s="2" t="s">
        <v>6207</v>
      </c>
      <c r="B2969" s="2" t="s">
        <v>6208</v>
      </c>
      <c r="C2969" s="2" t="n">
        <v>4</v>
      </c>
      <c r="D2969" s="2" t="s">
        <v>36</v>
      </c>
      <c r="E2969" s="2" t="s">
        <v>5812</v>
      </c>
      <c r="F2969" s="3" t="n">
        <v>45952.4055555556</v>
      </c>
      <c r="G2969" s="2" t="s">
        <v>5813</v>
      </c>
      <c r="H2969" s="4" t="n">
        <v>0.4404</v>
      </c>
      <c r="I2969" s="2" t="s">
        <v>23</v>
      </c>
      <c r="J2969" s="2" t="s">
        <v>37</v>
      </c>
      <c r="K2969" s="2" t="n">
        <v>9</v>
      </c>
      <c r="L2969" s="2" t="n">
        <v>0</v>
      </c>
      <c r="M2969" s="2" t="n">
        <v>0</v>
      </c>
    </row>
    <row r="2970" customFormat="false" ht="15" hidden="false" customHeight="false" outlineLevel="0" collapsed="false">
      <c r="A2970" s="2" t="s">
        <v>6209</v>
      </c>
      <c r="B2970" s="2" t="s">
        <v>6210</v>
      </c>
      <c r="C2970" s="2" t="n">
        <v>1</v>
      </c>
      <c r="D2970" s="2" t="s">
        <v>455</v>
      </c>
      <c r="E2970" s="2" t="s">
        <v>5812</v>
      </c>
      <c r="F2970" s="3" t="n">
        <v>45952.4520833333</v>
      </c>
      <c r="G2970" s="2" t="s">
        <v>5813</v>
      </c>
      <c r="H2970" s="4" t="n">
        <v>-0.2263</v>
      </c>
      <c r="I2970" s="2" t="s">
        <v>84</v>
      </c>
      <c r="J2970" s="2" t="s">
        <v>165</v>
      </c>
      <c r="K2970" s="2" t="n">
        <v>1</v>
      </c>
      <c r="L2970" s="2" t="n">
        <v>0</v>
      </c>
      <c r="M2970" s="2" t="n">
        <v>0</v>
      </c>
    </row>
    <row r="2971" customFormat="false" ht="15" hidden="false" customHeight="false" outlineLevel="0" collapsed="false">
      <c r="A2971" s="2" t="s">
        <v>6211</v>
      </c>
      <c r="B2971" s="2" t="s">
        <v>6212</v>
      </c>
      <c r="C2971" s="2" t="n">
        <v>4</v>
      </c>
      <c r="D2971" s="2" t="s">
        <v>99</v>
      </c>
      <c r="E2971" s="2" t="s">
        <v>5812</v>
      </c>
      <c r="F2971" s="3" t="n">
        <v>45952.6340277778</v>
      </c>
      <c r="G2971" s="2" t="s">
        <v>5813</v>
      </c>
      <c r="H2971" s="4" t="n">
        <v>-0.3089</v>
      </c>
      <c r="I2971" s="2" t="s">
        <v>84</v>
      </c>
      <c r="J2971" s="2" t="s">
        <v>19</v>
      </c>
      <c r="K2971" s="2" t="n">
        <v>1</v>
      </c>
      <c r="L2971" s="2" t="n">
        <v>0</v>
      </c>
      <c r="M2971" s="2" t="n">
        <v>0</v>
      </c>
    </row>
    <row r="2972" customFormat="false" ht="15" hidden="false" customHeight="false" outlineLevel="0" collapsed="false">
      <c r="A2972" s="2" t="s">
        <v>6213</v>
      </c>
      <c r="B2972" s="2" t="s">
        <v>6214</v>
      </c>
      <c r="C2972" s="2" t="n">
        <v>3</v>
      </c>
      <c r="D2972" s="2" t="s">
        <v>498</v>
      </c>
      <c r="E2972" s="2" t="s">
        <v>5812</v>
      </c>
      <c r="F2972" s="3" t="n">
        <v>45952.6388888889</v>
      </c>
      <c r="G2972" s="2" t="s">
        <v>5813</v>
      </c>
      <c r="H2972" s="4" t="n">
        <v>0</v>
      </c>
      <c r="I2972" s="2" t="s">
        <v>18</v>
      </c>
      <c r="J2972" s="2" t="s">
        <v>165</v>
      </c>
      <c r="K2972" s="2" t="n">
        <v>14</v>
      </c>
      <c r="L2972" s="2" t="n">
        <v>0</v>
      </c>
      <c r="M2972" s="2" t="n">
        <v>0</v>
      </c>
    </row>
    <row r="2973" customFormat="false" ht="15" hidden="false" customHeight="false" outlineLevel="0" collapsed="false">
      <c r="A2973" s="2" t="s">
        <v>6215</v>
      </c>
      <c r="B2973" s="2" t="s">
        <v>6216</v>
      </c>
      <c r="C2973" s="2" t="n">
        <v>3</v>
      </c>
      <c r="D2973" s="2" t="s">
        <v>4504</v>
      </c>
      <c r="E2973" s="2" t="s">
        <v>5812</v>
      </c>
      <c r="F2973" s="3" t="n">
        <v>45952.6715277778</v>
      </c>
      <c r="G2973" s="2" t="s">
        <v>5813</v>
      </c>
      <c r="H2973" s="4" t="n">
        <v>-0.4767</v>
      </c>
      <c r="I2973" s="2" t="s">
        <v>84</v>
      </c>
      <c r="J2973" s="2" t="s">
        <v>37</v>
      </c>
      <c r="K2973" s="2" t="n">
        <v>1</v>
      </c>
      <c r="L2973" s="2" t="n">
        <v>0</v>
      </c>
      <c r="M2973" s="2" t="n">
        <v>0</v>
      </c>
    </row>
    <row r="2974" customFormat="false" ht="15" hidden="false" customHeight="false" outlineLevel="0" collapsed="false">
      <c r="A2974" s="2" t="s">
        <v>6217</v>
      </c>
      <c r="B2974" s="2" t="s">
        <v>6218</v>
      </c>
      <c r="C2974" s="2" t="n">
        <v>3</v>
      </c>
      <c r="D2974" s="2" t="s">
        <v>3393</v>
      </c>
      <c r="E2974" s="2" t="s">
        <v>5812</v>
      </c>
      <c r="F2974" s="3" t="n">
        <v>45952.6916666667</v>
      </c>
      <c r="G2974" s="2" t="s">
        <v>5813</v>
      </c>
      <c r="H2974" s="4" t="n">
        <v>0.4215</v>
      </c>
      <c r="I2974" s="2" t="s">
        <v>23</v>
      </c>
      <c r="J2974" s="2" t="s">
        <v>19</v>
      </c>
      <c r="K2974" s="2" t="n">
        <v>5</v>
      </c>
      <c r="L2974" s="2" t="n">
        <v>0</v>
      </c>
      <c r="M2974" s="2" t="n">
        <v>0</v>
      </c>
    </row>
    <row r="2975" customFormat="false" ht="15" hidden="false" customHeight="false" outlineLevel="0" collapsed="false">
      <c r="A2975" s="2" t="s">
        <v>6219</v>
      </c>
      <c r="B2975" s="2" t="s">
        <v>6220</v>
      </c>
      <c r="C2975" s="2" t="n">
        <v>5</v>
      </c>
      <c r="D2975" s="2" t="s">
        <v>96</v>
      </c>
      <c r="E2975" s="2" t="s">
        <v>5812</v>
      </c>
      <c r="F2975" s="3" t="n">
        <v>45952.7645833333</v>
      </c>
      <c r="G2975" s="2" t="s">
        <v>5813</v>
      </c>
      <c r="H2975" s="4" t="n">
        <v>0.6369</v>
      </c>
      <c r="I2975" s="2" t="s">
        <v>23</v>
      </c>
      <c r="J2975" s="2" t="s">
        <v>19</v>
      </c>
      <c r="K2975" s="2" t="n">
        <v>4</v>
      </c>
      <c r="L2975" s="2" t="n">
        <v>0</v>
      </c>
      <c r="M2975" s="2" t="n">
        <v>0</v>
      </c>
    </row>
    <row r="2976" customFormat="false" ht="15" hidden="false" customHeight="false" outlineLevel="0" collapsed="false">
      <c r="A2976" s="2" t="s">
        <v>6221</v>
      </c>
      <c r="B2976" s="2" t="s">
        <v>6222</v>
      </c>
      <c r="C2976" s="2" t="n">
        <v>4</v>
      </c>
      <c r="D2976" s="2" t="s">
        <v>40</v>
      </c>
      <c r="E2976" s="2" t="s">
        <v>5812</v>
      </c>
      <c r="F2976" s="3" t="n">
        <v>45952.8076388889</v>
      </c>
      <c r="G2976" s="2" t="s">
        <v>5813</v>
      </c>
      <c r="H2976" s="4" t="n">
        <v>0.4019</v>
      </c>
      <c r="I2976" s="2" t="s">
        <v>23</v>
      </c>
      <c r="J2976" s="2" t="s">
        <v>33</v>
      </c>
      <c r="K2976" s="2" t="n">
        <v>0</v>
      </c>
      <c r="L2976" s="2" t="n">
        <v>0</v>
      </c>
      <c r="M2976" s="2" t="n">
        <v>0</v>
      </c>
    </row>
    <row r="2977" customFormat="false" ht="15" hidden="false" customHeight="false" outlineLevel="0" collapsed="false">
      <c r="A2977" s="2" t="s">
        <v>6223</v>
      </c>
      <c r="B2977" s="2" t="s">
        <v>6224</v>
      </c>
      <c r="C2977" s="2" t="n">
        <v>5</v>
      </c>
      <c r="D2977" s="2" t="s">
        <v>407</v>
      </c>
      <c r="E2977" s="2" t="s">
        <v>5812</v>
      </c>
      <c r="F2977" s="3" t="n">
        <v>45953.0923611111</v>
      </c>
      <c r="G2977" s="2" t="s">
        <v>5813</v>
      </c>
      <c r="H2977" s="4" t="n">
        <v>0.7783</v>
      </c>
      <c r="I2977" s="2" t="s">
        <v>23</v>
      </c>
      <c r="J2977" s="2" t="s">
        <v>37</v>
      </c>
      <c r="K2977" s="2" t="n">
        <v>11</v>
      </c>
      <c r="L2977" s="2" t="n">
        <v>0</v>
      </c>
      <c r="M2977" s="2" t="n">
        <v>0</v>
      </c>
    </row>
    <row r="2978" customFormat="false" ht="15" hidden="false" customHeight="false" outlineLevel="0" collapsed="false">
      <c r="A2978" s="2" t="s">
        <v>6225</v>
      </c>
      <c r="B2978" s="2" t="s">
        <v>6226</v>
      </c>
      <c r="C2978" s="2" t="n">
        <v>5</v>
      </c>
      <c r="D2978" s="2" t="s">
        <v>210</v>
      </c>
      <c r="E2978" s="2" t="s">
        <v>5812</v>
      </c>
      <c r="F2978" s="3" t="n">
        <v>45953.0944444445</v>
      </c>
      <c r="G2978" s="2" t="s">
        <v>5813</v>
      </c>
      <c r="H2978" s="4" t="n">
        <v>0.5448</v>
      </c>
      <c r="I2978" s="2" t="s">
        <v>23</v>
      </c>
      <c r="J2978" s="2" t="s">
        <v>19</v>
      </c>
      <c r="K2978" s="2" t="n">
        <v>0</v>
      </c>
      <c r="L2978" s="2" t="n">
        <v>0</v>
      </c>
      <c r="M2978" s="2" t="n">
        <v>0</v>
      </c>
    </row>
    <row r="2979" customFormat="false" ht="15" hidden="false" customHeight="false" outlineLevel="0" collapsed="false">
      <c r="A2979" s="2" t="s">
        <v>6227</v>
      </c>
      <c r="B2979" s="2" t="s">
        <v>6228</v>
      </c>
      <c r="C2979" s="2" t="n">
        <v>4</v>
      </c>
      <c r="D2979" s="2" t="s">
        <v>127</v>
      </c>
      <c r="E2979" s="2" t="s">
        <v>5812</v>
      </c>
      <c r="F2979" s="3" t="n">
        <v>45953.1270833333</v>
      </c>
      <c r="G2979" s="2" t="s">
        <v>5813</v>
      </c>
      <c r="H2979" s="4" t="n">
        <v>0.9359</v>
      </c>
      <c r="I2979" s="2" t="s">
        <v>23</v>
      </c>
      <c r="J2979" s="2" t="s">
        <v>37</v>
      </c>
      <c r="K2979" s="2" t="n">
        <v>0</v>
      </c>
      <c r="L2979" s="2" t="n">
        <v>0</v>
      </c>
      <c r="M2979" s="2" t="n">
        <v>0</v>
      </c>
    </row>
    <row r="2980" customFormat="false" ht="15" hidden="false" customHeight="false" outlineLevel="0" collapsed="false">
      <c r="A2980" s="2" t="s">
        <v>6229</v>
      </c>
      <c r="B2980" s="2" t="s">
        <v>6230</v>
      </c>
      <c r="C2980" s="2" t="n">
        <v>4</v>
      </c>
      <c r="D2980" s="2" t="s">
        <v>62</v>
      </c>
      <c r="E2980" s="2" t="s">
        <v>5812</v>
      </c>
      <c r="F2980" s="3" t="n">
        <v>45953.2027777778</v>
      </c>
      <c r="G2980" s="2" t="s">
        <v>5813</v>
      </c>
      <c r="H2980" s="4" t="n">
        <v>0.7088</v>
      </c>
      <c r="I2980" s="2" t="s">
        <v>23</v>
      </c>
      <c r="J2980" s="2" t="s">
        <v>19</v>
      </c>
      <c r="K2980" s="2" t="n">
        <v>4</v>
      </c>
      <c r="L2980" s="2" t="n">
        <v>0</v>
      </c>
      <c r="M2980" s="2" t="n">
        <v>0</v>
      </c>
    </row>
    <row r="2981" customFormat="false" ht="15" hidden="false" customHeight="false" outlineLevel="0" collapsed="false">
      <c r="A2981" s="2" t="s">
        <v>6231</v>
      </c>
      <c r="B2981" s="2" t="s">
        <v>6232</v>
      </c>
      <c r="C2981" s="2" t="n">
        <v>5</v>
      </c>
      <c r="D2981" s="2" t="s">
        <v>40</v>
      </c>
      <c r="E2981" s="2" t="s">
        <v>5812</v>
      </c>
      <c r="F2981" s="3" t="n">
        <v>45953.2819444445</v>
      </c>
      <c r="G2981" s="2" t="s">
        <v>5813</v>
      </c>
      <c r="H2981" s="4" t="n">
        <v>0.4019</v>
      </c>
      <c r="I2981" s="2" t="s">
        <v>23</v>
      </c>
      <c r="J2981" s="2" t="s">
        <v>33</v>
      </c>
      <c r="K2981" s="2" t="n">
        <v>5</v>
      </c>
      <c r="L2981" s="2" t="n">
        <v>0</v>
      </c>
      <c r="M2981" s="2" t="n">
        <v>0</v>
      </c>
    </row>
    <row r="2982" customFormat="false" ht="15" hidden="false" customHeight="false" outlineLevel="0" collapsed="false">
      <c r="A2982" s="2" t="s">
        <v>6233</v>
      </c>
      <c r="B2982" s="2" t="s">
        <v>6234</v>
      </c>
      <c r="C2982" s="2" t="n">
        <v>4</v>
      </c>
      <c r="D2982" s="2" t="s">
        <v>127</v>
      </c>
      <c r="E2982" s="2" t="s">
        <v>5812</v>
      </c>
      <c r="F2982" s="3" t="n">
        <v>45953.325</v>
      </c>
      <c r="G2982" s="2" t="s">
        <v>5813</v>
      </c>
      <c r="H2982" s="4" t="n">
        <v>0.9359</v>
      </c>
      <c r="I2982" s="2" t="s">
        <v>23</v>
      </c>
      <c r="J2982" s="2" t="s">
        <v>37</v>
      </c>
      <c r="K2982" s="2" t="n">
        <v>1</v>
      </c>
      <c r="L2982" s="2" t="n">
        <v>0</v>
      </c>
      <c r="M2982" s="2" t="n">
        <v>0</v>
      </c>
    </row>
    <row r="2983" customFormat="false" ht="15" hidden="false" customHeight="false" outlineLevel="0" collapsed="false">
      <c r="A2983" s="2" t="s">
        <v>6235</v>
      </c>
      <c r="B2983" s="2" t="s">
        <v>6236</v>
      </c>
      <c r="C2983" s="2" t="n">
        <v>2</v>
      </c>
      <c r="D2983" s="2" t="s">
        <v>83</v>
      </c>
      <c r="E2983" s="2" t="s">
        <v>5812</v>
      </c>
      <c r="F2983" s="3" t="n">
        <v>45953.3416666667</v>
      </c>
      <c r="G2983" s="2" t="s">
        <v>5813</v>
      </c>
      <c r="H2983" s="4" t="n">
        <v>-0.6166</v>
      </c>
      <c r="I2983" s="2" t="s">
        <v>84</v>
      </c>
      <c r="J2983" s="2" t="s">
        <v>59</v>
      </c>
      <c r="K2983" s="2" t="n">
        <v>5</v>
      </c>
      <c r="L2983" s="2" t="n">
        <v>0</v>
      </c>
      <c r="M2983" s="2" t="n">
        <v>0</v>
      </c>
    </row>
    <row r="2984" customFormat="false" ht="15" hidden="false" customHeight="false" outlineLevel="0" collapsed="false">
      <c r="A2984" s="2" t="s">
        <v>6237</v>
      </c>
      <c r="B2984" s="2" t="s">
        <v>6238</v>
      </c>
      <c r="C2984" s="2" t="n">
        <v>3</v>
      </c>
      <c r="D2984" s="2" t="s">
        <v>2127</v>
      </c>
      <c r="E2984" s="2" t="s">
        <v>5812</v>
      </c>
      <c r="F2984" s="3" t="n">
        <v>45953.425</v>
      </c>
      <c r="G2984" s="2" t="s">
        <v>5813</v>
      </c>
      <c r="H2984" s="4" t="n">
        <v>0.3818</v>
      </c>
      <c r="I2984" s="2" t="s">
        <v>23</v>
      </c>
      <c r="J2984" s="2" t="s">
        <v>19</v>
      </c>
      <c r="K2984" s="2" t="n">
        <v>6</v>
      </c>
      <c r="L2984" s="2" t="n">
        <v>0</v>
      </c>
      <c r="M2984" s="2" t="n">
        <v>0</v>
      </c>
    </row>
    <row r="2985" customFormat="false" ht="15" hidden="false" customHeight="false" outlineLevel="0" collapsed="false">
      <c r="A2985" s="2" t="s">
        <v>6239</v>
      </c>
      <c r="B2985" s="2" t="s">
        <v>6240</v>
      </c>
      <c r="C2985" s="2" t="n">
        <v>5</v>
      </c>
      <c r="D2985" s="2" t="s">
        <v>90</v>
      </c>
      <c r="E2985" s="2" t="s">
        <v>5812</v>
      </c>
      <c r="F2985" s="3" t="n">
        <v>45953.4409722222</v>
      </c>
      <c r="G2985" s="2" t="s">
        <v>5813</v>
      </c>
      <c r="H2985" s="4" t="n">
        <v>0.6249</v>
      </c>
      <c r="I2985" s="2" t="s">
        <v>23</v>
      </c>
      <c r="J2985" s="2" t="s">
        <v>37</v>
      </c>
      <c r="K2985" s="2" t="n">
        <v>5</v>
      </c>
      <c r="L2985" s="2" t="n">
        <v>0</v>
      </c>
      <c r="M2985" s="2" t="n">
        <v>0</v>
      </c>
    </row>
    <row r="2986" customFormat="false" ht="15" hidden="false" customHeight="false" outlineLevel="0" collapsed="false">
      <c r="A2986" s="2" t="s">
        <v>6241</v>
      </c>
      <c r="B2986" s="2" t="s">
        <v>6242</v>
      </c>
      <c r="C2986" s="2" t="n">
        <v>1</v>
      </c>
      <c r="D2986" s="2" t="s">
        <v>3968</v>
      </c>
      <c r="E2986" s="2" t="s">
        <v>5812</v>
      </c>
      <c r="F2986" s="3" t="n">
        <v>45953.4520833333</v>
      </c>
      <c r="G2986" s="2" t="s">
        <v>5813</v>
      </c>
      <c r="H2986" s="4" t="n">
        <v>0.4404</v>
      </c>
      <c r="I2986" s="2" t="s">
        <v>23</v>
      </c>
      <c r="J2986" s="2" t="s">
        <v>59</v>
      </c>
      <c r="K2986" s="2" t="n">
        <v>11</v>
      </c>
      <c r="L2986" s="2" t="n">
        <v>0</v>
      </c>
      <c r="M2986" s="2" t="n">
        <v>0</v>
      </c>
    </row>
    <row r="2987" customFormat="false" ht="15" hidden="false" customHeight="false" outlineLevel="0" collapsed="false">
      <c r="A2987" s="2" t="s">
        <v>6243</v>
      </c>
      <c r="B2987" s="2" t="s">
        <v>6244</v>
      </c>
      <c r="C2987" s="2" t="n">
        <v>5</v>
      </c>
      <c r="D2987" s="2" t="s">
        <v>40</v>
      </c>
      <c r="E2987" s="2" t="s">
        <v>5812</v>
      </c>
      <c r="F2987" s="3" t="n">
        <v>45953.5</v>
      </c>
      <c r="G2987" s="2" t="s">
        <v>5813</v>
      </c>
      <c r="H2987" s="4" t="n">
        <v>0.4019</v>
      </c>
      <c r="I2987" s="2" t="s">
        <v>23</v>
      </c>
      <c r="J2987" s="2" t="s">
        <v>33</v>
      </c>
      <c r="K2987" s="2" t="n">
        <v>2</v>
      </c>
      <c r="L2987" s="2" t="n">
        <v>0</v>
      </c>
      <c r="M2987" s="2" t="n">
        <v>0</v>
      </c>
    </row>
    <row r="2988" customFormat="false" ht="15" hidden="false" customHeight="false" outlineLevel="0" collapsed="false">
      <c r="A2988" s="2" t="s">
        <v>6245</v>
      </c>
      <c r="B2988" s="2" t="s">
        <v>6246</v>
      </c>
      <c r="C2988" s="2" t="n">
        <v>5</v>
      </c>
      <c r="D2988" s="2" t="s">
        <v>15</v>
      </c>
      <c r="E2988" s="2" t="s">
        <v>5812</v>
      </c>
      <c r="F2988" s="3" t="n">
        <v>45953.5527777778</v>
      </c>
      <c r="G2988" s="2" t="s">
        <v>5813</v>
      </c>
      <c r="H2988" s="4" t="n">
        <v>0</v>
      </c>
      <c r="I2988" s="2" t="s">
        <v>18</v>
      </c>
      <c r="J2988" s="2" t="s">
        <v>19</v>
      </c>
      <c r="K2988" s="2" t="n">
        <v>1</v>
      </c>
      <c r="L2988" s="2" t="n">
        <v>0</v>
      </c>
      <c r="M2988" s="2" t="n">
        <v>0</v>
      </c>
    </row>
    <row r="2989" customFormat="false" ht="15" hidden="false" customHeight="false" outlineLevel="0" collapsed="false">
      <c r="A2989" s="2" t="s">
        <v>6247</v>
      </c>
      <c r="B2989" s="2" t="s">
        <v>6248</v>
      </c>
      <c r="C2989" s="2" t="n">
        <v>5</v>
      </c>
      <c r="D2989" s="2" t="s">
        <v>62</v>
      </c>
      <c r="E2989" s="2" t="s">
        <v>5812</v>
      </c>
      <c r="F2989" s="3" t="n">
        <v>45953.6958333333</v>
      </c>
      <c r="G2989" s="2" t="s">
        <v>5813</v>
      </c>
      <c r="H2989" s="4" t="n">
        <v>0.7088</v>
      </c>
      <c r="I2989" s="2" t="s">
        <v>23</v>
      </c>
      <c r="J2989" s="2" t="s">
        <v>19</v>
      </c>
      <c r="K2989" s="2" t="n">
        <v>1</v>
      </c>
      <c r="L2989" s="2" t="n">
        <v>0</v>
      </c>
      <c r="M2989" s="2" t="n">
        <v>0</v>
      </c>
    </row>
    <row r="2990" customFormat="false" ht="15" hidden="false" customHeight="false" outlineLevel="0" collapsed="false">
      <c r="A2990" s="2" t="s">
        <v>6249</v>
      </c>
      <c r="B2990" s="2" t="s">
        <v>6250</v>
      </c>
      <c r="C2990" s="2" t="n">
        <v>4</v>
      </c>
      <c r="D2990" s="2" t="s">
        <v>52</v>
      </c>
      <c r="E2990" s="2" t="s">
        <v>5812</v>
      </c>
      <c r="F2990" s="3" t="n">
        <v>45953.7409722222</v>
      </c>
      <c r="G2990" s="2" t="s">
        <v>5813</v>
      </c>
      <c r="H2990" s="4" t="n">
        <v>0.6369</v>
      </c>
      <c r="I2990" s="2" t="s">
        <v>23</v>
      </c>
      <c r="J2990" s="2" t="s">
        <v>19</v>
      </c>
      <c r="K2990" s="2" t="n">
        <v>0</v>
      </c>
      <c r="L2990" s="2" t="n">
        <v>0</v>
      </c>
      <c r="M2990" s="2" t="n">
        <v>0</v>
      </c>
    </row>
    <row r="2991" customFormat="false" ht="15" hidden="false" customHeight="false" outlineLevel="0" collapsed="false">
      <c r="A2991" s="2" t="s">
        <v>6251</v>
      </c>
      <c r="B2991" s="2" t="s">
        <v>6252</v>
      </c>
      <c r="C2991" s="2" t="n">
        <v>5</v>
      </c>
      <c r="D2991" s="2" t="s">
        <v>62</v>
      </c>
      <c r="E2991" s="2" t="s">
        <v>5812</v>
      </c>
      <c r="F2991" s="3" t="n">
        <v>45953.9145833333</v>
      </c>
      <c r="G2991" s="2" t="s">
        <v>5813</v>
      </c>
      <c r="H2991" s="4" t="n">
        <v>0.7088</v>
      </c>
      <c r="I2991" s="2" t="s">
        <v>23</v>
      </c>
      <c r="J2991" s="2" t="s">
        <v>19</v>
      </c>
      <c r="K2991" s="2" t="n">
        <v>0</v>
      </c>
      <c r="L2991" s="2" t="n">
        <v>0</v>
      </c>
      <c r="M2991" s="2" t="n">
        <v>0</v>
      </c>
    </row>
    <row r="2992" customFormat="false" ht="15" hidden="false" customHeight="false" outlineLevel="0" collapsed="false">
      <c r="A2992" s="2" t="s">
        <v>6253</v>
      </c>
      <c r="B2992" s="2" t="s">
        <v>6254</v>
      </c>
      <c r="C2992" s="2" t="n">
        <v>1</v>
      </c>
      <c r="D2992" s="2" t="s">
        <v>231</v>
      </c>
      <c r="E2992" s="2" t="s">
        <v>5812</v>
      </c>
      <c r="F2992" s="3" t="n">
        <v>45953.9215277778</v>
      </c>
      <c r="G2992" s="2" t="s">
        <v>5813</v>
      </c>
      <c r="H2992" s="4" t="n">
        <v>-0.3593</v>
      </c>
      <c r="I2992" s="2" t="s">
        <v>84</v>
      </c>
      <c r="J2992" s="2" t="s">
        <v>33</v>
      </c>
      <c r="K2992" s="2" t="n">
        <v>4</v>
      </c>
      <c r="L2992" s="2" t="n">
        <v>0</v>
      </c>
      <c r="M2992" s="2" t="n">
        <v>0</v>
      </c>
    </row>
    <row r="2993" customFormat="false" ht="15" hidden="false" customHeight="false" outlineLevel="0" collapsed="false">
      <c r="A2993" s="2" t="s">
        <v>6255</v>
      </c>
      <c r="B2993" s="2" t="s">
        <v>6256</v>
      </c>
      <c r="C2993" s="2" t="n">
        <v>5</v>
      </c>
      <c r="D2993" s="2" t="s">
        <v>96</v>
      </c>
      <c r="E2993" s="2" t="s">
        <v>5812</v>
      </c>
      <c r="F2993" s="3" t="n">
        <v>45954.0861111111</v>
      </c>
      <c r="G2993" s="2" t="s">
        <v>5813</v>
      </c>
      <c r="H2993" s="4" t="n">
        <v>0.6369</v>
      </c>
      <c r="I2993" s="2" t="s">
        <v>23</v>
      </c>
      <c r="J2993" s="2" t="s">
        <v>19</v>
      </c>
      <c r="K2993" s="2" t="n">
        <v>2</v>
      </c>
      <c r="L2993" s="2" t="n">
        <v>0</v>
      </c>
      <c r="M2993" s="2" t="n">
        <v>0</v>
      </c>
    </row>
    <row r="2994" customFormat="false" ht="15" hidden="false" customHeight="false" outlineLevel="0" collapsed="false">
      <c r="A2994" s="2" t="s">
        <v>6257</v>
      </c>
      <c r="B2994" s="2" t="s">
        <v>6258</v>
      </c>
      <c r="C2994" s="2" t="n">
        <v>5</v>
      </c>
      <c r="D2994" s="2" t="s">
        <v>90</v>
      </c>
      <c r="E2994" s="2" t="s">
        <v>5812</v>
      </c>
      <c r="F2994" s="3" t="n">
        <v>45954.4604166667</v>
      </c>
      <c r="G2994" s="2" t="s">
        <v>5813</v>
      </c>
      <c r="H2994" s="4" t="n">
        <v>0.6249</v>
      </c>
      <c r="I2994" s="2" t="s">
        <v>23</v>
      </c>
      <c r="J2994" s="2" t="s">
        <v>37</v>
      </c>
      <c r="K2994" s="2" t="n">
        <v>3</v>
      </c>
      <c r="L2994" s="2" t="n">
        <v>0</v>
      </c>
      <c r="M2994" s="2" t="n">
        <v>0</v>
      </c>
    </row>
    <row r="2995" customFormat="false" ht="15" hidden="false" customHeight="false" outlineLevel="0" collapsed="false">
      <c r="A2995" s="2" t="s">
        <v>6259</v>
      </c>
      <c r="B2995" s="2" t="s">
        <v>6260</v>
      </c>
      <c r="C2995" s="2" t="n">
        <v>1</v>
      </c>
      <c r="D2995" s="2" t="s">
        <v>721</v>
      </c>
      <c r="E2995" s="2" t="s">
        <v>5812</v>
      </c>
      <c r="F2995" s="3" t="n">
        <v>45954.5118055556</v>
      </c>
      <c r="G2995" s="2" t="s">
        <v>5813</v>
      </c>
      <c r="H2995" s="4" t="n">
        <v>-0.4588</v>
      </c>
      <c r="I2995" s="2" t="s">
        <v>84</v>
      </c>
      <c r="J2995" s="2" t="s">
        <v>37</v>
      </c>
      <c r="K2995" s="2" t="n">
        <v>0</v>
      </c>
      <c r="L2995" s="2" t="n">
        <v>1</v>
      </c>
      <c r="M2995" s="2" t="n">
        <v>0</v>
      </c>
    </row>
    <row r="2996" customFormat="false" ht="15" hidden="false" customHeight="false" outlineLevel="0" collapsed="false">
      <c r="A2996" s="2" t="s">
        <v>6261</v>
      </c>
      <c r="B2996" s="2" t="s">
        <v>6262</v>
      </c>
      <c r="C2996" s="2" t="n">
        <v>4</v>
      </c>
      <c r="D2996" s="2" t="s">
        <v>96</v>
      </c>
      <c r="E2996" s="2" t="s">
        <v>5812</v>
      </c>
      <c r="F2996" s="3" t="n">
        <v>45954.6861111111</v>
      </c>
      <c r="G2996" s="2" t="s">
        <v>5813</v>
      </c>
      <c r="H2996" s="4" t="n">
        <v>0.6369</v>
      </c>
      <c r="I2996" s="2" t="s">
        <v>23</v>
      </c>
      <c r="J2996" s="2" t="s">
        <v>19</v>
      </c>
      <c r="K2996" s="2" t="n">
        <v>11</v>
      </c>
      <c r="L2996" s="2" t="n">
        <v>0</v>
      </c>
      <c r="M2996" s="2" t="n">
        <v>0</v>
      </c>
    </row>
    <row r="2997" customFormat="false" ht="15" hidden="false" customHeight="false" outlineLevel="0" collapsed="false">
      <c r="A2997" s="2" t="s">
        <v>6263</v>
      </c>
      <c r="B2997" s="2" t="s">
        <v>6264</v>
      </c>
      <c r="C2997" s="2" t="n">
        <v>5</v>
      </c>
      <c r="D2997" s="2" t="s">
        <v>1683</v>
      </c>
      <c r="E2997" s="2" t="s">
        <v>5812</v>
      </c>
      <c r="F2997" s="3" t="n">
        <v>45954.7770833333</v>
      </c>
      <c r="G2997" s="2" t="s">
        <v>5813</v>
      </c>
      <c r="H2997" s="4" t="n">
        <v>0.6369</v>
      </c>
      <c r="I2997" s="2" t="s">
        <v>23</v>
      </c>
      <c r="J2997" s="2" t="s">
        <v>19</v>
      </c>
      <c r="K2997" s="2" t="n">
        <v>0</v>
      </c>
      <c r="L2997" s="2" t="n">
        <v>0</v>
      </c>
      <c r="M2997" s="2" t="n">
        <v>0</v>
      </c>
    </row>
    <row r="2998" customFormat="false" ht="15" hidden="false" customHeight="false" outlineLevel="0" collapsed="false">
      <c r="A2998" s="2" t="s">
        <v>6265</v>
      </c>
      <c r="B2998" s="2" t="s">
        <v>6266</v>
      </c>
      <c r="C2998" s="2" t="n">
        <v>5</v>
      </c>
      <c r="D2998" s="2" t="s">
        <v>90</v>
      </c>
      <c r="E2998" s="2" t="s">
        <v>5812</v>
      </c>
      <c r="F2998" s="3" t="n">
        <v>45954.8715277778</v>
      </c>
      <c r="G2998" s="2" t="s">
        <v>5813</v>
      </c>
      <c r="H2998" s="4" t="n">
        <v>0.6249</v>
      </c>
      <c r="I2998" s="2" t="s">
        <v>23</v>
      </c>
      <c r="J2998" s="2" t="s">
        <v>37</v>
      </c>
      <c r="K2998" s="2" t="n">
        <v>0</v>
      </c>
      <c r="L2998" s="2" t="n">
        <v>0</v>
      </c>
      <c r="M2998" s="2" t="n">
        <v>0</v>
      </c>
    </row>
    <row r="2999" customFormat="false" ht="15" hidden="false" customHeight="false" outlineLevel="0" collapsed="false">
      <c r="A2999" s="2" t="s">
        <v>6267</v>
      </c>
      <c r="B2999" s="2" t="s">
        <v>6268</v>
      </c>
      <c r="C2999" s="2" t="n">
        <v>1</v>
      </c>
      <c r="D2999" s="2" t="s">
        <v>6269</v>
      </c>
      <c r="E2999" s="2" t="s">
        <v>5812</v>
      </c>
      <c r="F2999" s="3" t="n">
        <v>45954.8888888889</v>
      </c>
      <c r="G2999" s="2" t="s">
        <v>5813</v>
      </c>
      <c r="H2999" s="4" t="n">
        <v>0</v>
      </c>
      <c r="I2999" s="2" t="s">
        <v>18</v>
      </c>
      <c r="J2999" s="2" t="s">
        <v>110</v>
      </c>
      <c r="K2999" s="2" t="n">
        <v>0</v>
      </c>
      <c r="L2999" s="2" t="n">
        <v>0</v>
      </c>
      <c r="M2999" s="2" t="n">
        <v>0</v>
      </c>
    </row>
    <row r="3000" customFormat="false" ht="15" hidden="false" customHeight="false" outlineLevel="0" collapsed="false">
      <c r="A3000" s="2" t="s">
        <v>6270</v>
      </c>
      <c r="B3000" s="2" t="s">
        <v>6271</v>
      </c>
      <c r="C3000" s="2" t="n">
        <v>4</v>
      </c>
      <c r="D3000" s="2" t="s">
        <v>15</v>
      </c>
      <c r="E3000" s="2" t="s">
        <v>5812</v>
      </c>
      <c r="F3000" s="3" t="n">
        <v>45954.95</v>
      </c>
      <c r="G3000" s="2" t="s">
        <v>5813</v>
      </c>
      <c r="H3000" s="4" t="n">
        <v>0</v>
      </c>
      <c r="I3000" s="2" t="s">
        <v>18</v>
      </c>
      <c r="J3000" s="2" t="s">
        <v>19</v>
      </c>
      <c r="K3000" s="2" t="n">
        <v>7</v>
      </c>
      <c r="L3000" s="2" t="n">
        <v>0</v>
      </c>
      <c r="M3000" s="2" t="n">
        <v>0</v>
      </c>
    </row>
    <row r="3001" customFormat="false" ht="15" hidden="false" customHeight="false" outlineLevel="0" collapsed="false">
      <c r="A3001" s="2" t="s">
        <v>6272</v>
      </c>
      <c r="B3001" s="2" t="s">
        <v>6273</v>
      </c>
      <c r="C3001" s="2" t="n">
        <v>5</v>
      </c>
      <c r="D3001" s="2" t="s">
        <v>62</v>
      </c>
      <c r="E3001" s="2" t="s">
        <v>5812</v>
      </c>
      <c r="F3001" s="3" t="n">
        <v>45955.0138888889</v>
      </c>
      <c r="G3001" s="2" t="s">
        <v>5813</v>
      </c>
      <c r="H3001" s="4" t="n">
        <v>0.7088</v>
      </c>
      <c r="I3001" s="2" t="s">
        <v>23</v>
      </c>
      <c r="J3001" s="2" t="s">
        <v>19</v>
      </c>
      <c r="K3001" s="2" t="n">
        <v>2</v>
      </c>
      <c r="L3001" s="2" t="n">
        <v>0</v>
      </c>
      <c r="M3001" s="2" t="n">
        <v>0</v>
      </c>
    </row>
    <row r="3002" customFormat="false" ht="15" hidden="false" customHeight="false" outlineLevel="0" collapsed="false">
      <c r="A3002" s="2" t="s">
        <v>6274</v>
      </c>
      <c r="B3002" s="2" t="s">
        <v>6275</v>
      </c>
      <c r="C3002" s="2" t="n">
        <v>4</v>
      </c>
      <c r="D3002" s="2" t="s">
        <v>850</v>
      </c>
      <c r="E3002" s="2" t="s">
        <v>5812</v>
      </c>
      <c r="F3002" s="3" t="n">
        <v>45955.0708333333</v>
      </c>
      <c r="G3002" s="2" t="s">
        <v>5813</v>
      </c>
      <c r="H3002" s="4" t="n">
        <v>0.7964</v>
      </c>
      <c r="I3002" s="2" t="s">
        <v>23</v>
      </c>
      <c r="J3002" s="2" t="s">
        <v>37</v>
      </c>
      <c r="K3002" s="2" t="n">
        <v>1</v>
      </c>
      <c r="L3002" s="2" t="n">
        <v>0</v>
      </c>
      <c r="M3002" s="2" t="n">
        <v>0</v>
      </c>
    </row>
    <row r="3003" customFormat="false" ht="15" hidden="false" customHeight="false" outlineLevel="0" collapsed="false">
      <c r="A3003" s="2" t="s">
        <v>6276</v>
      </c>
      <c r="B3003" s="2" t="s">
        <v>6277</v>
      </c>
      <c r="C3003" s="2" t="n">
        <v>4</v>
      </c>
      <c r="D3003" s="2" t="s">
        <v>87</v>
      </c>
      <c r="E3003" s="2" t="s">
        <v>5812</v>
      </c>
      <c r="F3003" s="3" t="n">
        <v>45955.2048611111</v>
      </c>
      <c r="G3003" s="2" t="s">
        <v>5813</v>
      </c>
      <c r="H3003" s="4" t="n">
        <v>0</v>
      </c>
      <c r="I3003" s="2" t="s">
        <v>18</v>
      </c>
      <c r="J3003" s="2" t="s">
        <v>19</v>
      </c>
      <c r="K3003" s="2" t="n">
        <v>3</v>
      </c>
      <c r="L3003" s="2" t="n">
        <v>0</v>
      </c>
      <c r="M3003" s="2" t="n">
        <v>0</v>
      </c>
    </row>
    <row r="3004" customFormat="false" ht="15" hidden="false" customHeight="false" outlineLevel="0" collapsed="false">
      <c r="A3004" s="2" t="s">
        <v>6278</v>
      </c>
      <c r="B3004" s="2" t="s">
        <v>6279</v>
      </c>
      <c r="C3004" s="2" t="n">
        <v>4</v>
      </c>
      <c r="D3004" s="2" t="s">
        <v>40</v>
      </c>
      <c r="E3004" s="2" t="s">
        <v>5812</v>
      </c>
      <c r="F3004" s="3" t="n">
        <v>45955.5381944445</v>
      </c>
      <c r="G3004" s="2" t="s">
        <v>5813</v>
      </c>
      <c r="H3004" s="4" t="n">
        <v>0.4019</v>
      </c>
      <c r="I3004" s="2" t="s">
        <v>23</v>
      </c>
      <c r="J3004" s="2" t="s">
        <v>33</v>
      </c>
      <c r="K3004" s="2" t="n">
        <v>2</v>
      </c>
      <c r="L3004" s="2" t="n">
        <v>0</v>
      </c>
      <c r="M3004" s="2" t="n">
        <v>0</v>
      </c>
    </row>
    <row r="3005" customFormat="false" ht="15" hidden="false" customHeight="false" outlineLevel="0" collapsed="false">
      <c r="A3005" s="2" t="s">
        <v>6280</v>
      </c>
      <c r="B3005" s="2" t="s">
        <v>6281</v>
      </c>
      <c r="C3005" s="2" t="n">
        <v>5</v>
      </c>
      <c r="D3005" s="2" t="s">
        <v>90</v>
      </c>
      <c r="E3005" s="2" t="s">
        <v>5812</v>
      </c>
      <c r="F3005" s="3" t="n">
        <v>45955.5763888889</v>
      </c>
      <c r="G3005" s="2" t="s">
        <v>5813</v>
      </c>
      <c r="H3005" s="4" t="n">
        <v>0.6249</v>
      </c>
      <c r="I3005" s="2" t="s">
        <v>23</v>
      </c>
      <c r="J3005" s="2" t="s">
        <v>37</v>
      </c>
      <c r="K3005" s="2" t="n">
        <v>1</v>
      </c>
      <c r="L3005" s="2" t="n">
        <v>0</v>
      </c>
      <c r="M3005" s="2" t="n">
        <v>0</v>
      </c>
    </row>
    <row r="3006" customFormat="false" ht="15" hidden="false" customHeight="false" outlineLevel="0" collapsed="false">
      <c r="A3006" s="2" t="s">
        <v>6282</v>
      </c>
      <c r="B3006" s="2" t="s">
        <v>6283</v>
      </c>
      <c r="C3006" s="2" t="n">
        <v>4</v>
      </c>
      <c r="D3006" s="2" t="s">
        <v>36</v>
      </c>
      <c r="E3006" s="2" t="s">
        <v>5812</v>
      </c>
      <c r="F3006" s="3" t="n">
        <v>45955.6805555556</v>
      </c>
      <c r="G3006" s="2" t="s">
        <v>5813</v>
      </c>
      <c r="H3006" s="4" t="n">
        <v>0.4404</v>
      </c>
      <c r="I3006" s="2" t="s">
        <v>23</v>
      </c>
      <c r="J3006" s="2" t="s">
        <v>37</v>
      </c>
      <c r="K3006" s="2" t="n">
        <v>2</v>
      </c>
      <c r="L3006" s="2" t="n">
        <v>0</v>
      </c>
      <c r="M3006" s="2" t="n">
        <v>0</v>
      </c>
    </row>
    <row r="3007" customFormat="false" ht="15" hidden="false" customHeight="false" outlineLevel="0" collapsed="false">
      <c r="A3007" s="2" t="s">
        <v>6284</v>
      </c>
      <c r="B3007" s="2" t="s">
        <v>6285</v>
      </c>
      <c r="C3007" s="2" t="n">
        <v>4</v>
      </c>
      <c r="D3007" s="2" t="s">
        <v>62</v>
      </c>
      <c r="E3007" s="2" t="s">
        <v>5812</v>
      </c>
      <c r="F3007" s="3" t="n">
        <v>45955.8444444445</v>
      </c>
      <c r="G3007" s="2" t="s">
        <v>5813</v>
      </c>
      <c r="H3007" s="4" t="n">
        <v>0.7088</v>
      </c>
      <c r="I3007" s="2" t="s">
        <v>23</v>
      </c>
      <c r="J3007" s="2" t="s">
        <v>19</v>
      </c>
      <c r="K3007" s="2" t="n">
        <v>0</v>
      </c>
      <c r="L3007" s="2" t="n">
        <v>0</v>
      </c>
      <c r="M3007" s="2" t="n">
        <v>0</v>
      </c>
    </row>
    <row r="3008" customFormat="false" ht="15" hidden="false" customHeight="false" outlineLevel="0" collapsed="false">
      <c r="A3008" s="2" t="s">
        <v>6286</v>
      </c>
      <c r="B3008" s="2" t="s">
        <v>6287</v>
      </c>
      <c r="C3008" s="2" t="n">
        <v>5</v>
      </c>
      <c r="D3008" s="2" t="s">
        <v>127</v>
      </c>
      <c r="E3008" s="2" t="s">
        <v>5812</v>
      </c>
      <c r="F3008" s="3" t="n">
        <v>45955.8625</v>
      </c>
      <c r="G3008" s="2" t="s">
        <v>5813</v>
      </c>
      <c r="H3008" s="4" t="n">
        <v>0.9359</v>
      </c>
      <c r="I3008" s="2" t="s">
        <v>23</v>
      </c>
      <c r="J3008" s="2" t="s">
        <v>37</v>
      </c>
      <c r="K3008" s="2" t="n">
        <v>0</v>
      </c>
      <c r="L3008" s="2" t="n">
        <v>0</v>
      </c>
      <c r="M3008" s="2" t="n">
        <v>0</v>
      </c>
    </row>
    <row r="3009" customFormat="false" ht="15" hidden="false" customHeight="false" outlineLevel="0" collapsed="false">
      <c r="A3009" s="2" t="s">
        <v>6288</v>
      </c>
      <c r="B3009" s="2" t="s">
        <v>6289</v>
      </c>
      <c r="C3009" s="2" t="n">
        <v>5</v>
      </c>
      <c r="D3009" s="2" t="s">
        <v>787</v>
      </c>
      <c r="E3009" s="2" t="s">
        <v>5812</v>
      </c>
      <c r="F3009" s="3" t="n">
        <v>45955.9333333333</v>
      </c>
      <c r="G3009" s="2" t="s">
        <v>5813</v>
      </c>
      <c r="H3009" s="4" t="n">
        <v>0.7475</v>
      </c>
      <c r="I3009" s="2" t="s">
        <v>23</v>
      </c>
      <c r="J3009" s="2" t="s">
        <v>37</v>
      </c>
      <c r="K3009" s="2" t="n">
        <v>4</v>
      </c>
      <c r="L3009" s="2" t="n">
        <v>0</v>
      </c>
      <c r="M3009" s="2" t="n">
        <v>0</v>
      </c>
    </row>
    <row r="3010" customFormat="false" ht="15" hidden="false" customHeight="false" outlineLevel="0" collapsed="false">
      <c r="A3010" s="2" t="s">
        <v>6290</v>
      </c>
      <c r="B3010" s="2" t="s">
        <v>6291</v>
      </c>
      <c r="C3010" s="2" t="n">
        <v>5</v>
      </c>
      <c r="D3010" s="2" t="s">
        <v>47</v>
      </c>
      <c r="E3010" s="2" t="s">
        <v>5812</v>
      </c>
      <c r="F3010" s="3" t="n">
        <v>45956.06875</v>
      </c>
      <c r="G3010" s="2" t="s">
        <v>5813</v>
      </c>
      <c r="H3010" s="4" t="n">
        <v>0.3089</v>
      </c>
      <c r="I3010" s="2" t="s">
        <v>23</v>
      </c>
      <c r="J3010" s="2" t="s">
        <v>19</v>
      </c>
      <c r="K3010" s="2" t="n">
        <v>2</v>
      </c>
      <c r="L3010" s="2" t="n">
        <v>0</v>
      </c>
      <c r="M3010" s="2" t="n">
        <v>0</v>
      </c>
    </row>
    <row r="3011" customFormat="false" ht="15" hidden="false" customHeight="false" outlineLevel="0" collapsed="false">
      <c r="A3011" s="2" t="s">
        <v>6292</v>
      </c>
      <c r="B3011" s="2" t="s">
        <v>6293</v>
      </c>
      <c r="C3011" s="2" t="n">
        <v>5</v>
      </c>
      <c r="D3011" s="2" t="s">
        <v>40</v>
      </c>
      <c r="E3011" s="2" t="s">
        <v>5812</v>
      </c>
      <c r="F3011" s="3" t="n">
        <v>45956.14375</v>
      </c>
      <c r="G3011" s="2" t="s">
        <v>5813</v>
      </c>
      <c r="H3011" s="4" t="n">
        <v>0.4019</v>
      </c>
      <c r="I3011" s="2" t="s">
        <v>23</v>
      </c>
      <c r="J3011" s="2" t="s">
        <v>33</v>
      </c>
      <c r="K3011" s="2" t="n">
        <v>2</v>
      </c>
      <c r="L3011" s="2" t="n">
        <v>0</v>
      </c>
      <c r="M3011" s="2" t="n">
        <v>0</v>
      </c>
    </row>
    <row r="3012" customFormat="false" ht="15" hidden="false" customHeight="false" outlineLevel="0" collapsed="false">
      <c r="A3012" s="2" t="s">
        <v>6294</v>
      </c>
      <c r="B3012" s="2" t="s">
        <v>6295</v>
      </c>
      <c r="C3012" s="2" t="n">
        <v>3</v>
      </c>
      <c r="D3012" s="2" t="s">
        <v>301</v>
      </c>
      <c r="E3012" s="2" t="s">
        <v>5812</v>
      </c>
      <c r="F3012" s="3" t="n">
        <v>45956.15625</v>
      </c>
      <c r="G3012" s="2" t="s">
        <v>5813</v>
      </c>
      <c r="H3012" s="4" t="n">
        <v>0.2263</v>
      </c>
      <c r="I3012" s="2" t="s">
        <v>23</v>
      </c>
      <c r="J3012" s="2" t="s">
        <v>19</v>
      </c>
      <c r="K3012" s="2" t="n">
        <v>0</v>
      </c>
      <c r="L3012" s="2" t="n">
        <v>0</v>
      </c>
      <c r="M3012" s="2" t="n">
        <v>0</v>
      </c>
    </row>
    <row r="3013" customFormat="false" ht="15" hidden="false" customHeight="false" outlineLevel="0" collapsed="false">
      <c r="A3013" s="2" t="s">
        <v>6296</v>
      </c>
      <c r="B3013" s="2" t="s">
        <v>6297</v>
      </c>
      <c r="C3013" s="2" t="n">
        <v>1</v>
      </c>
      <c r="D3013" s="2" t="s">
        <v>179</v>
      </c>
      <c r="E3013" s="2" t="s">
        <v>5812</v>
      </c>
      <c r="F3013" s="3" t="n">
        <v>45956.2083333333</v>
      </c>
      <c r="G3013" s="2" t="s">
        <v>5813</v>
      </c>
      <c r="H3013" s="4" t="n">
        <v>-0.0258</v>
      </c>
      <c r="I3013" s="2" t="s">
        <v>18</v>
      </c>
      <c r="J3013" s="2" t="s">
        <v>59</v>
      </c>
      <c r="K3013" s="2" t="n">
        <v>1</v>
      </c>
      <c r="L3013" s="2" t="n">
        <v>1</v>
      </c>
      <c r="M3013" s="2" t="n">
        <v>0</v>
      </c>
    </row>
    <row r="3014" customFormat="false" ht="15" hidden="false" customHeight="false" outlineLevel="0" collapsed="false">
      <c r="A3014" s="2" t="s">
        <v>6298</v>
      </c>
      <c r="B3014" s="2" t="s">
        <v>6299</v>
      </c>
      <c r="C3014" s="2" t="n">
        <v>4</v>
      </c>
      <c r="D3014" s="2" t="s">
        <v>47</v>
      </c>
      <c r="E3014" s="2" t="s">
        <v>5812</v>
      </c>
      <c r="F3014" s="3" t="n">
        <v>45956.21875</v>
      </c>
      <c r="G3014" s="2" t="s">
        <v>5813</v>
      </c>
      <c r="H3014" s="4" t="n">
        <v>0.3089</v>
      </c>
      <c r="I3014" s="2" t="s">
        <v>23</v>
      </c>
      <c r="J3014" s="2" t="s">
        <v>19</v>
      </c>
      <c r="K3014" s="2" t="n">
        <v>1</v>
      </c>
      <c r="L3014" s="2" t="n">
        <v>0</v>
      </c>
      <c r="M3014" s="2" t="n">
        <v>0</v>
      </c>
    </row>
    <row r="3015" customFormat="false" ht="15" hidden="false" customHeight="false" outlineLevel="0" collapsed="false">
      <c r="A3015" s="2" t="s">
        <v>6300</v>
      </c>
      <c r="B3015" s="2" t="s">
        <v>6301</v>
      </c>
      <c r="C3015" s="2" t="n">
        <v>3</v>
      </c>
      <c r="D3015" s="2" t="s">
        <v>36</v>
      </c>
      <c r="E3015" s="2" t="s">
        <v>5812</v>
      </c>
      <c r="F3015" s="3" t="n">
        <v>45956.2916666667</v>
      </c>
      <c r="G3015" s="2" t="s">
        <v>5813</v>
      </c>
      <c r="H3015" s="4" t="n">
        <v>0.4404</v>
      </c>
      <c r="I3015" s="2" t="s">
        <v>23</v>
      </c>
      <c r="J3015" s="2" t="s">
        <v>37</v>
      </c>
      <c r="K3015" s="2" t="n">
        <v>2</v>
      </c>
      <c r="L3015" s="2" t="n">
        <v>0</v>
      </c>
      <c r="M3015" s="2" t="n">
        <v>0</v>
      </c>
    </row>
    <row r="3016" customFormat="false" ht="15" hidden="false" customHeight="false" outlineLevel="0" collapsed="false">
      <c r="A3016" s="2" t="s">
        <v>6302</v>
      </c>
      <c r="B3016" s="2" t="s">
        <v>6303</v>
      </c>
      <c r="C3016" s="2" t="n">
        <v>5</v>
      </c>
      <c r="D3016" s="2" t="s">
        <v>40</v>
      </c>
      <c r="E3016" s="2" t="s">
        <v>5812</v>
      </c>
      <c r="F3016" s="3" t="n">
        <v>45956.3465277778</v>
      </c>
      <c r="G3016" s="2" t="s">
        <v>5813</v>
      </c>
      <c r="H3016" s="4" t="n">
        <v>0.4019</v>
      </c>
      <c r="I3016" s="2" t="s">
        <v>23</v>
      </c>
      <c r="J3016" s="2" t="s">
        <v>33</v>
      </c>
      <c r="K3016" s="2" t="n">
        <v>1</v>
      </c>
      <c r="L3016" s="2" t="n">
        <v>0</v>
      </c>
      <c r="M3016" s="2" t="n">
        <v>0</v>
      </c>
    </row>
    <row r="3017" customFormat="false" ht="15" hidden="false" customHeight="false" outlineLevel="0" collapsed="false">
      <c r="A3017" s="2" t="s">
        <v>6304</v>
      </c>
      <c r="B3017" s="2" t="s">
        <v>6305</v>
      </c>
      <c r="C3017" s="2" t="n">
        <v>4</v>
      </c>
      <c r="D3017" s="2" t="s">
        <v>36</v>
      </c>
      <c r="E3017" s="2" t="s">
        <v>5812</v>
      </c>
      <c r="F3017" s="3" t="n">
        <v>45956.4270833333</v>
      </c>
      <c r="G3017" s="2" t="s">
        <v>5813</v>
      </c>
      <c r="H3017" s="4" t="n">
        <v>0.4404</v>
      </c>
      <c r="I3017" s="2" t="s">
        <v>23</v>
      </c>
      <c r="J3017" s="2" t="s">
        <v>37</v>
      </c>
      <c r="K3017" s="2" t="n">
        <v>0</v>
      </c>
      <c r="L3017" s="2" t="n">
        <v>0</v>
      </c>
      <c r="M3017" s="2" t="n">
        <v>0</v>
      </c>
    </row>
    <row r="3018" customFormat="false" ht="15" hidden="false" customHeight="false" outlineLevel="0" collapsed="false">
      <c r="A3018" s="2" t="s">
        <v>6306</v>
      </c>
      <c r="B3018" s="2" t="s">
        <v>6307</v>
      </c>
      <c r="C3018" s="2" t="n">
        <v>3</v>
      </c>
      <c r="D3018" s="2" t="s">
        <v>99</v>
      </c>
      <c r="E3018" s="2" t="s">
        <v>5812</v>
      </c>
      <c r="F3018" s="3" t="n">
        <v>45956.5180555556</v>
      </c>
      <c r="G3018" s="2" t="s">
        <v>5813</v>
      </c>
      <c r="H3018" s="4" t="n">
        <v>-0.3089</v>
      </c>
      <c r="I3018" s="2" t="s">
        <v>84</v>
      </c>
      <c r="J3018" s="2" t="s">
        <v>19</v>
      </c>
      <c r="K3018" s="2" t="n">
        <v>5</v>
      </c>
      <c r="L3018" s="2" t="n">
        <v>0</v>
      </c>
      <c r="M3018" s="2" t="n">
        <v>0</v>
      </c>
    </row>
    <row r="3019" customFormat="false" ht="15" hidden="false" customHeight="false" outlineLevel="0" collapsed="false">
      <c r="A3019" s="2" t="s">
        <v>6308</v>
      </c>
      <c r="B3019" s="2" t="s">
        <v>6309</v>
      </c>
      <c r="C3019" s="2" t="n">
        <v>3</v>
      </c>
      <c r="D3019" s="2" t="s">
        <v>22</v>
      </c>
      <c r="E3019" s="2" t="s">
        <v>5812</v>
      </c>
      <c r="F3019" s="3" t="n">
        <v>45956.9118055556</v>
      </c>
      <c r="G3019" s="2" t="s">
        <v>5813</v>
      </c>
      <c r="H3019" s="4" t="n">
        <v>0.2023</v>
      </c>
      <c r="I3019" s="2" t="s">
        <v>23</v>
      </c>
      <c r="J3019" s="2" t="s">
        <v>19</v>
      </c>
      <c r="K3019" s="2" t="n">
        <v>4</v>
      </c>
      <c r="L3019" s="2" t="n">
        <v>0</v>
      </c>
      <c r="M3019" s="2" t="n">
        <v>0</v>
      </c>
    </row>
    <row r="3020" customFormat="false" ht="15" hidden="false" customHeight="false" outlineLevel="0" collapsed="false">
      <c r="A3020" s="2" t="s">
        <v>6310</v>
      </c>
      <c r="B3020" s="2" t="s">
        <v>3963</v>
      </c>
      <c r="C3020" s="2" t="n">
        <v>1</v>
      </c>
      <c r="D3020" s="2" t="s">
        <v>1912</v>
      </c>
      <c r="E3020" s="2" t="s">
        <v>5812</v>
      </c>
      <c r="F3020" s="3" t="n">
        <v>45956.9444444445</v>
      </c>
      <c r="G3020" s="2" t="s">
        <v>5813</v>
      </c>
      <c r="H3020" s="4" t="n">
        <v>-0.4404</v>
      </c>
      <c r="I3020" s="2" t="s">
        <v>84</v>
      </c>
      <c r="J3020" s="2" t="s">
        <v>33</v>
      </c>
      <c r="K3020" s="2" t="n">
        <v>3</v>
      </c>
      <c r="L3020" s="2" t="n">
        <v>0</v>
      </c>
      <c r="M3020" s="2" t="n">
        <v>0</v>
      </c>
    </row>
    <row r="3021" customFormat="false" ht="15" hidden="false" customHeight="false" outlineLevel="0" collapsed="false">
      <c r="A3021" s="2" t="s">
        <v>6311</v>
      </c>
      <c r="B3021" s="2" t="s">
        <v>6312</v>
      </c>
      <c r="C3021" s="2" t="n">
        <v>4</v>
      </c>
      <c r="D3021" s="2" t="s">
        <v>90</v>
      </c>
      <c r="E3021" s="2" t="s">
        <v>5812</v>
      </c>
      <c r="F3021" s="3" t="n">
        <v>45957.0145833333</v>
      </c>
      <c r="G3021" s="2" t="s">
        <v>5813</v>
      </c>
      <c r="H3021" s="4" t="n">
        <v>0.6249</v>
      </c>
      <c r="I3021" s="2" t="s">
        <v>23</v>
      </c>
      <c r="J3021" s="2" t="s">
        <v>37</v>
      </c>
      <c r="K3021" s="2" t="n">
        <v>4</v>
      </c>
      <c r="L3021" s="2" t="n">
        <v>0</v>
      </c>
      <c r="M3021" s="2" t="n">
        <v>0</v>
      </c>
    </row>
    <row r="3022" customFormat="false" ht="15" hidden="false" customHeight="false" outlineLevel="0" collapsed="false">
      <c r="A3022" s="2" t="s">
        <v>6313</v>
      </c>
      <c r="B3022" s="2" t="s">
        <v>6314</v>
      </c>
      <c r="C3022" s="2" t="n">
        <v>1</v>
      </c>
      <c r="D3022" s="2" t="s">
        <v>357</v>
      </c>
      <c r="E3022" s="2" t="s">
        <v>5812</v>
      </c>
      <c r="F3022" s="3" t="n">
        <v>45957.1583333333</v>
      </c>
      <c r="G3022" s="2" t="s">
        <v>5813</v>
      </c>
      <c r="H3022" s="4" t="n">
        <v>0</v>
      </c>
      <c r="I3022" s="2" t="s">
        <v>18</v>
      </c>
      <c r="J3022" s="2" t="s">
        <v>165</v>
      </c>
      <c r="K3022" s="2" t="n">
        <v>4</v>
      </c>
      <c r="L3022" s="2" t="n">
        <v>1</v>
      </c>
      <c r="M3022" s="2" t="n">
        <v>0</v>
      </c>
    </row>
    <row r="3023" customFormat="false" ht="15" hidden="false" customHeight="false" outlineLevel="0" collapsed="false">
      <c r="A3023" s="2" t="s">
        <v>6315</v>
      </c>
      <c r="B3023" s="2" t="s">
        <v>6316</v>
      </c>
      <c r="C3023" s="2" t="n">
        <v>5</v>
      </c>
      <c r="D3023" s="2" t="s">
        <v>90</v>
      </c>
      <c r="E3023" s="2" t="s">
        <v>5812</v>
      </c>
      <c r="F3023" s="3" t="n">
        <v>45957.1652777778</v>
      </c>
      <c r="G3023" s="2" t="s">
        <v>5813</v>
      </c>
      <c r="H3023" s="4" t="n">
        <v>0.6249</v>
      </c>
      <c r="I3023" s="2" t="s">
        <v>23</v>
      </c>
      <c r="J3023" s="2" t="s">
        <v>37</v>
      </c>
      <c r="K3023" s="2" t="n">
        <v>3</v>
      </c>
      <c r="L3023" s="2" t="n">
        <v>0</v>
      </c>
      <c r="M3023" s="2" t="n">
        <v>0</v>
      </c>
    </row>
    <row r="3024" customFormat="false" ht="15" hidden="false" customHeight="false" outlineLevel="0" collapsed="false">
      <c r="A3024" s="2" t="s">
        <v>6317</v>
      </c>
      <c r="B3024" s="2" t="s">
        <v>6318</v>
      </c>
      <c r="C3024" s="2" t="n">
        <v>5</v>
      </c>
      <c r="D3024" s="2" t="s">
        <v>127</v>
      </c>
      <c r="E3024" s="2" t="s">
        <v>5812</v>
      </c>
      <c r="F3024" s="3" t="n">
        <v>45957.1791666667</v>
      </c>
      <c r="G3024" s="2" t="s">
        <v>5813</v>
      </c>
      <c r="H3024" s="4" t="n">
        <v>0.9359</v>
      </c>
      <c r="I3024" s="2" t="s">
        <v>23</v>
      </c>
      <c r="J3024" s="2" t="s">
        <v>37</v>
      </c>
      <c r="K3024" s="2" t="n">
        <v>0</v>
      </c>
      <c r="L3024" s="2" t="n">
        <v>0</v>
      </c>
      <c r="M3024" s="2" t="n">
        <v>0</v>
      </c>
    </row>
    <row r="3025" customFormat="false" ht="15" hidden="false" customHeight="false" outlineLevel="0" collapsed="false">
      <c r="A3025" s="2" t="s">
        <v>6319</v>
      </c>
      <c r="B3025" s="2" t="s">
        <v>6320</v>
      </c>
      <c r="C3025" s="2" t="n">
        <v>5</v>
      </c>
      <c r="D3025" s="2" t="s">
        <v>3798</v>
      </c>
      <c r="E3025" s="2" t="s">
        <v>5812</v>
      </c>
      <c r="F3025" s="3" t="n">
        <v>45957.2256944445</v>
      </c>
      <c r="G3025" s="2" t="s">
        <v>5813</v>
      </c>
      <c r="H3025" s="4" t="n">
        <v>0.7549</v>
      </c>
      <c r="I3025" s="2" t="s">
        <v>23</v>
      </c>
      <c r="J3025" s="2" t="s">
        <v>19</v>
      </c>
      <c r="K3025" s="2" t="n">
        <v>4</v>
      </c>
      <c r="L3025" s="2" t="n">
        <v>0</v>
      </c>
      <c r="M3025" s="2" t="n">
        <v>0</v>
      </c>
    </row>
    <row r="3026" customFormat="false" ht="15" hidden="false" customHeight="false" outlineLevel="0" collapsed="false">
      <c r="A3026" s="2" t="s">
        <v>6321</v>
      </c>
      <c r="B3026" s="2" t="s">
        <v>6322</v>
      </c>
      <c r="C3026" s="2" t="n">
        <v>3</v>
      </c>
      <c r="D3026" s="2" t="s">
        <v>133</v>
      </c>
      <c r="E3026" s="2" t="s">
        <v>5812</v>
      </c>
      <c r="F3026" s="3" t="n">
        <v>45957.2305555556</v>
      </c>
      <c r="G3026" s="2" t="s">
        <v>5813</v>
      </c>
      <c r="H3026" s="4" t="n">
        <v>-0.5719</v>
      </c>
      <c r="I3026" s="2" t="s">
        <v>84</v>
      </c>
      <c r="J3026" s="2" t="s">
        <v>33</v>
      </c>
      <c r="K3026" s="2" t="n">
        <v>2</v>
      </c>
      <c r="L3026" s="2" t="n">
        <v>0</v>
      </c>
      <c r="M3026" s="2" t="n">
        <v>0</v>
      </c>
    </row>
    <row r="3027" customFormat="false" ht="15" hidden="false" customHeight="false" outlineLevel="0" collapsed="false">
      <c r="A3027" s="2" t="s">
        <v>6323</v>
      </c>
      <c r="B3027" s="2" t="s">
        <v>6324</v>
      </c>
      <c r="C3027" s="2" t="n">
        <v>4</v>
      </c>
      <c r="D3027" s="2" t="s">
        <v>47</v>
      </c>
      <c r="E3027" s="2" t="s">
        <v>5812</v>
      </c>
      <c r="F3027" s="3" t="n">
        <v>45957.2368055556</v>
      </c>
      <c r="G3027" s="2" t="s">
        <v>5813</v>
      </c>
      <c r="H3027" s="4" t="n">
        <v>0.3089</v>
      </c>
      <c r="I3027" s="2" t="s">
        <v>23</v>
      </c>
      <c r="J3027" s="2" t="s">
        <v>19</v>
      </c>
      <c r="K3027" s="2" t="n">
        <v>3</v>
      </c>
      <c r="L3027" s="2" t="n">
        <v>0</v>
      </c>
      <c r="M3027" s="2" t="n">
        <v>0</v>
      </c>
    </row>
    <row r="3028" customFormat="false" ht="15" hidden="false" customHeight="false" outlineLevel="0" collapsed="false">
      <c r="A3028" s="2" t="s">
        <v>6325</v>
      </c>
      <c r="B3028" s="2" t="s">
        <v>6326</v>
      </c>
      <c r="C3028" s="2" t="n">
        <v>3</v>
      </c>
      <c r="D3028" s="2" t="s">
        <v>661</v>
      </c>
      <c r="E3028" s="2" t="s">
        <v>5812</v>
      </c>
      <c r="F3028" s="3" t="n">
        <v>45957.2409722222</v>
      </c>
      <c r="G3028" s="2" t="s">
        <v>5813</v>
      </c>
      <c r="H3028" s="4" t="n">
        <v>0</v>
      </c>
      <c r="I3028" s="2" t="s">
        <v>18</v>
      </c>
      <c r="J3028" s="2" t="s">
        <v>59</v>
      </c>
      <c r="K3028" s="2" t="n">
        <v>3</v>
      </c>
      <c r="L3028" s="2" t="n">
        <v>0</v>
      </c>
      <c r="M3028" s="2" t="n">
        <v>0</v>
      </c>
    </row>
    <row r="3029" customFormat="false" ht="15" hidden="false" customHeight="false" outlineLevel="0" collapsed="false">
      <c r="A3029" s="2" t="s">
        <v>6327</v>
      </c>
      <c r="B3029" s="2" t="s">
        <v>6328</v>
      </c>
      <c r="C3029" s="2" t="n">
        <v>5</v>
      </c>
      <c r="D3029" s="2" t="s">
        <v>52</v>
      </c>
      <c r="E3029" s="2" t="s">
        <v>5812</v>
      </c>
      <c r="F3029" s="3" t="n">
        <v>45957.2527777778</v>
      </c>
      <c r="G3029" s="2" t="s">
        <v>5813</v>
      </c>
      <c r="H3029" s="4" t="n">
        <v>0.6369</v>
      </c>
      <c r="I3029" s="2" t="s">
        <v>23</v>
      </c>
      <c r="J3029" s="2" t="s">
        <v>19</v>
      </c>
      <c r="K3029" s="2" t="n">
        <v>5</v>
      </c>
      <c r="L3029" s="2" t="n">
        <v>0</v>
      </c>
      <c r="M3029" s="2" t="n">
        <v>0</v>
      </c>
    </row>
    <row r="3030" customFormat="false" ht="15" hidden="false" customHeight="false" outlineLevel="0" collapsed="false">
      <c r="A3030" s="2" t="s">
        <v>6329</v>
      </c>
      <c r="B3030" s="2" t="s">
        <v>6330</v>
      </c>
      <c r="C3030" s="2" t="n">
        <v>5</v>
      </c>
      <c r="D3030" s="2" t="s">
        <v>47</v>
      </c>
      <c r="E3030" s="2" t="s">
        <v>5812</v>
      </c>
      <c r="F3030" s="3" t="n">
        <v>45957.29375</v>
      </c>
      <c r="G3030" s="2" t="s">
        <v>5813</v>
      </c>
      <c r="H3030" s="4" t="n">
        <v>0.3089</v>
      </c>
      <c r="I3030" s="2" t="s">
        <v>23</v>
      </c>
      <c r="J3030" s="2" t="s">
        <v>19</v>
      </c>
      <c r="K3030" s="2" t="n">
        <v>3</v>
      </c>
      <c r="L3030" s="2" t="n">
        <v>0</v>
      </c>
      <c r="M3030" s="2" t="n">
        <v>0</v>
      </c>
    </row>
    <row r="3031" customFormat="false" ht="15" hidden="false" customHeight="false" outlineLevel="0" collapsed="false">
      <c r="A3031" s="2" t="s">
        <v>6331</v>
      </c>
      <c r="B3031" s="2" t="s">
        <v>6332</v>
      </c>
      <c r="C3031" s="2" t="n">
        <v>2</v>
      </c>
      <c r="D3031" s="2" t="s">
        <v>179</v>
      </c>
      <c r="E3031" s="2" t="s">
        <v>5812</v>
      </c>
      <c r="F3031" s="3" t="n">
        <v>45957.3111111111</v>
      </c>
      <c r="G3031" s="2" t="s">
        <v>5813</v>
      </c>
      <c r="H3031" s="4" t="n">
        <v>-0.0258</v>
      </c>
      <c r="I3031" s="2" t="s">
        <v>18</v>
      </c>
      <c r="J3031" s="2" t="s">
        <v>59</v>
      </c>
      <c r="K3031" s="2" t="n">
        <v>1</v>
      </c>
      <c r="L3031" s="2" t="n">
        <v>1</v>
      </c>
      <c r="M3031" s="2" t="n">
        <v>0</v>
      </c>
    </row>
    <row r="3032" customFormat="false" ht="15" hidden="false" customHeight="false" outlineLevel="0" collapsed="false">
      <c r="A3032" s="2" t="s">
        <v>6333</v>
      </c>
      <c r="B3032" s="2" t="s">
        <v>6334</v>
      </c>
      <c r="C3032" s="2" t="n">
        <v>1</v>
      </c>
      <c r="D3032" s="2" t="s">
        <v>2895</v>
      </c>
      <c r="E3032" s="2" t="s">
        <v>5812</v>
      </c>
      <c r="F3032" s="3" t="n">
        <v>45957.3430555556</v>
      </c>
      <c r="G3032" s="2" t="s">
        <v>5813</v>
      </c>
      <c r="H3032" s="4" t="n">
        <v>0.4215</v>
      </c>
      <c r="I3032" s="2" t="s">
        <v>23</v>
      </c>
      <c r="J3032" s="2" t="s">
        <v>59</v>
      </c>
      <c r="K3032" s="2" t="n">
        <v>0</v>
      </c>
      <c r="L3032" s="2" t="n">
        <v>0</v>
      </c>
      <c r="M3032" s="2" t="n">
        <v>0</v>
      </c>
    </row>
    <row r="3033" customFormat="false" ht="15" hidden="false" customHeight="false" outlineLevel="0" collapsed="false">
      <c r="A3033" s="2" t="s">
        <v>6335</v>
      </c>
      <c r="B3033" s="2" t="s">
        <v>6336</v>
      </c>
      <c r="C3033" s="2" t="n">
        <v>5</v>
      </c>
      <c r="D3033" s="2" t="s">
        <v>62</v>
      </c>
      <c r="E3033" s="2" t="s">
        <v>5812</v>
      </c>
      <c r="F3033" s="3" t="n">
        <v>45957.4958333333</v>
      </c>
      <c r="G3033" s="2" t="s">
        <v>5813</v>
      </c>
      <c r="H3033" s="4" t="n">
        <v>0.7088</v>
      </c>
      <c r="I3033" s="2" t="s">
        <v>23</v>
      </c>
      <c r="J3033" s="2" t="s">
        <v>19</v>
      </c>
      <c r="K3033" s="2" t="n">
        <v>1</v>
      </c>
      <c r="L3033" s="2" t="n">
        <v>0</v>
      </c>
      <c r="M3033" s="2" t="n">
        <v>0</v>
      </c>
    </row>
    <row r="3034" customFormat="false" ht="15" hidden="false" customHeight="false" outlineLevel="0" collapsed="false">
      <c r="A3034" s="2" t="s">
        <v>6337</v>
      </c>
      <c r="B3034" s="2" t="s">
        <v>6338</v>
      </c>
      <c r="C3034" s="2" t="n">
        <v>4</v>
      </c>
      <c r="D3034" s="2" t="s">
        <v>3104</v>
      </c>
      <c r="E3034" s="2" t="s">
        <v>5812</v>
      </c>
      <c r="F3034" s="3" t="n">
        <v>45957.5006944445</v>
      </c>
      <c r="G3034" s="2" t="s">
        <v>5813</v>
      </c>
      <c r="H3034" s="4" t="n">
        <v>0.3089</v>
      </c>
      <c r="I3034" s="2" t="s">
        <v>23</v>
      </c>
      <c r="J3034" s="2" t="s">
        <v>19</v>
      </c>
      <c r="K3034" s="2" t="n">
        <v>5</v>
      </c>
      <c r="L3034" s="2" t="n">
        <v>0</v>
      </c>
      <c r="M3034" s="2" t="n">
        <v>0</v>
      </c>
    </row>
    <row r="3035" customFormat="false" ht="15" hidden="false" customHeight="false" outlineLevel="0" collapsed="false">
      <c r="A3035" s="2" t="s">
        <v>6339</v>
      </c>
      <c r="B3035" s="2" t="s">
        <v>6340</v>
      </c>
      <c r="C3035" s="2" t="n">
        <v>5</v>
      </c>
      <c r="D3035" s="2" t="s">
        <v>875</v>
      </c>
      <c r="E3035" s="2" t="s">
        <v>5812</v>
      </c>
      <c r="F3035" s="3" t="n">
        <v>45957.5493055556</v>
      </c>
      <c r="G3035" s="2" t="s">
        <v>5813</v>
      </c>
      <c r="H3035" s="4" t="n">
        <v>0.7992</v>
      </c>
      <c r="I3035" s="2" t="s">
        <v>23</v>
      </c>
      <c r="J3035" s="2" t="s">
        <v>19</v>
      </c>
      <c r="K3035" s="2" t="n">
        <v>2</v>
      </c>
      <c r="L3035" s="2" t="n">
        <v>0</v>
      </c>
      <c r="M3035" s="2" t="n">
        <v>0</v>
      </c>
    </row>
    <row r="3036" customFormat="false" ht="15" hidden="false" customHeight="false" outlineLevel="0" collapsed="false">
      <c r="A3036" s="2" t="s">
        <v>6341</v>
      </c>
      <c r="B3036" s="2" t="s">
        <v>6342</v>
      </c>
      <c r="C3036" s="2" t="n">
        <v>5</v>
      </c>
      <c r="D3036" s="2" t="s">
        <v>374</v>
      </c>
      <c r="E3036" s="2" t="s">
        <v>5812</v>
      </c>
      <c r="F3036" s="3" t="n">
        <v>45957.5611111111</v>
      </c>
      <c r="G3036" s="2" t="s">
        <v>5813</v>
      </c>
      <c r="H3036" s="4" t="n">
        <v>0.6369</v>
      </c>
      <c r="I3036" s="2" t="s">
        <v>23</v>
      </c>
      <c r="J3036" s="2" t="s">
        <v>19</v>
      </c>
      <c r="K3036" s="2" t="n">
        <v>2</v>
      </c>
      <c r="L3036" s="2" t="n">
        <v>0</v>
      </c>
      <c r="M3036" s="2" t="n">
        <v>0</v>
      </c>
    </row>
    <row r="3037" customFormat="false" ht="15" hidden="false" customHeight="false" outlineLevel="0" collapsed="false">
      <c r="A3037" s="2" t="s">
        <v>6343</v>
      </c>
      <c r="B3037" s="2" t="s">
        <v>6344</v>
      </c>
      <c r="C3037" s="2" t="n">
        <v>3</v>
      </c>
      <c r="D3037" s="2" t="s">
        <v>87</v>
      </c>
      <c r="E3037" s="2" t="s">
        <v>5812</v>
      </c>
      <c r="F3037" s="3" t="n">
        <v>45957.6479166667</v>
      </c>
      <c r="G3037" s="2" t="s">
        <v>5813</v>
      </c>
      <c r="H3037" s="4" t="n">
        <v>0</v>
      </c>
      <c r="I3037" s="2" t="s">
        <v>18</v>
      </c>
      <c r="J3037" s="2" t="s">
        <v>19</v>
      </c>
      <c r="K3037" s="2" t="n">
        <v>2</v>
      </c>
      <c r="L3037" s="2" t="n">
        <v>0</v>
      </c>
      <c r="M3037" s="2" t="n">
        <v>0</v>
      </c>
    </row>
    <row r="3038" customFormat="false" ht="15" hidden="false" customHeight="false" outlineLevel="0" collapsed="false">
      <c r="A3038" s="2" t="s">
        <v>6345</v>
      </c>
      <c r="B3038" s="2" t="s">
        <v>6346</v>
      </c>
      <c r="C3038" s="2" t="n">
        <v>5</v>
      </c>
      <c r="D3038" s="2" t="s">
        <v>127</v>
      </c>
      <c r="E3038" s="2" t="s">
        <v>5812</v>
      </c>
      <c r="F3038" s="3" t="n">
        <v>45957.7263888889</v>
      </c>
      <c r="G3038" s="2" t="s">
        <v>5813</v>
      </c>
      <c r="H3038" s="4" t="n">
        <v>0.9359</v>
      </c>
      <c r="I3038" s="2" t="s">
        <v>23</v>
      </c>
      <c r="J3038" s="2" t="s">
        <v>37</v>
      </c>
      <c r="K3038" s="2" t="n">
        <v>1</v>
      </c>
      <c r="L3038" s="2" t="n">
        <v>0</v>
      </c>
      <c r="M3038" s="2" t="n">
        <v>0</v>
      </c>
    </row>
    <row r="3039" customFormat="false" ht="15" hidden="false" customHeight="false" outlineLevel="0" collapsed="false">
      <c r="A3039" s="2" t="s">
        <v>6347</v>
      </c>
      <c r="B3039" s="2" t="s">
        <v>6167</v>
      </c>
      <c r="C3039" s="2" t="n">
        <v>4</v>
      </c>
      <c r="D3039" s="2" t="s">
        <v>47</v>
      </c>
      <c r="E3039" s="2" t="s">
        <v>5812</v>
      </c>
      <c r="F3039" s="3" t="n">
        <v>45957.8027777778</v>
      </c>
      <c r="G3039" s="2" t="s">
        <v>5813</v>
      </c>
      <c r="H3039" s="4" t="n">
        <v>0.3089</v>
      </c>
      <c r="I3039" s="2" t="s">
        <v>23</v>
      </c>
      <c r="J3039" s="2" t="s">
        <v>19</v>
      </c>
      <c r="K3039" s="2" t="n">
        <v>0</v>
      </c>
      <c r="L3039" s="2" t="n">
        <v>0</v>
      </c>
      <c r="M3039" s="2" t="n">
        <v>0</v>
      </c>
    </row>
    <row r="3040" customFormat="false" ht="15" hidden="false" customHeight="false" outlineLevel="0" collapsed="false">
      <c r="A3040" s="2" t="s">
        <v>6348</v>
      </c>
      <c r="B3040" s="2" t="s">
        <v>6349</v>
      </c>
      <c r="C3040" s="2" t="n">
        <v>2</v>
      </c>
      <c r="D3040" s="2" t="s">
        <v>1942</v>
      </c>
      <c r="E3040" s="2" t="s">
        <v>5812</v>
      </c>
      <c r="F3040" s="3" t="n">
        <v>45957.9055555556</v>
      </c>
      <c r="G3040" s="2" t="s">
        <v>5813</v>
      </c>
      <c r="H3040" s="4" t="n">
        <v>0</v>
      </c>
      <c r="I3040" s="2" t="s">
        <v>18</v>
      </c>
      <c r="J3040" s="2" t="s">
        <v>165</v>
      </c>
      <c r="K3040" s="2" t="n">
        <v>4</v>
      </c>
      <c r="L3040" s="2" t="n">
        <v>1</v>
      </c>
      <c r="M3040" s="2" t="n">
        <v>0</v>
      </c>
    </row>
    <row r="3041" customFormat="false" ht="15" hidden="false" customHeight="false" outlineLevel="0" collapsed="false">
      <c r="A3041" s="2" t="s">
        <v>6350</v>
      </c>
      <c r="B3041" s="2" t="s">
        <v>6351</v>
      </c>
      <c r="C3041" s="2" t="n">
        <v>2</v>
      </c>
      <c r="D3041" s="2" t="s">
        <v>1942</v>
      </c>
      <c r="E3041" s="2" t="s">
        <v>5812</v>
      </c>
      <c r="F3041" s="3" t="n">
        <v>45957.9222222222</v>
      </c>
      <c r="G3041" s="2" t="s">
        <v>5813</v>
      </c>
      <c r="H3041" s="4" t="n">
        <v>0</v>
      </c>
      <c r="I3041" s="2" t="s">
        <v>18</v>
      </c>
      <c r="J3041" s="2" t="s">
        <v>165</v>
      </c>
      <c r="K3041" s="2" t="n">
        <v>0</v>
      </c>
      <c r="L3041" s="2" t="n">
        <v>1</v>
      </c>
      <c r="M3041" s="2" t="n">
        <v>0</v>
      </c>
    </row>
    <row r="3042" customFormat="false" ht="15" hidden="false" customHeight="false" outlineLevel="0" collapsed="false">
      <c r="A3042" s="2" t="s">
        <v>6352</v>
      </c>
      <c r="B3042" s="2" t="s">
        <v>6353</v>
      </c>
      <c r="C3042" s="2" t="n">
        <v>5</v>
      </c>
      <c r="D3042" s="2" t="s">
        <v>96</v>
      </c>
      <c r="E3042" s="2" t="s">
        <v>5812</v>
      </c>
      <c r="F3042" s="3" t="n">
        <v>45957.9736111111</v>
      </c>
      <c r="G3042" s="2" t="s">
        <v>5813</v>
      </c>
      <c r="H3042" s="4" t="n">
        <v>0.6369</v>
      </c>
      <c r="I3042" s="2" t="s">
        <v>23</v>
      </c>
      <c r="J3042" s="2" t="s">
        <v>19</v>
      </c>
      <c r="K3042" s="2" t="n">
        <v>1</v>
      </c>
      <c r="L3042" s="2" t="n">
        <v>0</v>
      </c>
      <c r="M3042" s="2" t="n">
        <v>0</v>
      </c>
    </row>
    <row r="3043" customFormat="false" ht="15" hidden="false" customHeight="false" outlineLevel="0" collapsed="false">
      <c r="A3043" s="2" t="s">
        <v>6354</v>
      </c>
      <c r="B3043" s="2" t="s">
        <v>6355</v>
      </c>
      <c r="C3043" s="2" t="n">
        <v>5</v>
      </c>
      <c r="D3043" s="2" t="s">
        <v>121</v>
      </c>
      <c r="E3043" s="2" t="s">
        <v>5812</v>
      </c>
      <c r="F3043" s="3" t="n">
        <v>45958.0909722222</v>
      </c>
      <c r="G3043" s="2" t="s">
        <v>5813</v>
      </c>
      <c r="H3043" s="4" t="n">
        <v>0.607</v>
      </c>
      <c r="I3043" s="2" t="s">
        <v>23</v>
      </c>
      <c r="J3043" s="2" t="s">
        <v>33</v>
      </c>
      <c r="K3043" s="2" t="n">
        <v>2</v>
      </c>
      <c r="L3043" s="2" t="n">
        <v>1</v>
      </c>
      <c r="M3043" s="2" t="n">
        <v>0</v>
      </c>
    </row>
    <row r="3044" customFormat="false" ht="15" hidden="false" customHeight="false" outlineLevel="0" collapsed="false">
      <c r="A3044" s="2" t="s">
        <v>6356</v>
      </c>
      <c r="B3044" s="2" t="s">
        <v>6305</v>
      </c>
      <c r="C3044" s="2" t="n">
        <v>5</v>
      </c>
      <c r="D3044" s="2" t="s">
        <v>52</v>
      </c>
      <c r="E3044" s="2" t="s">
        <v>5812</v>
      </c>
      <c r="F3044" s="3" t="n">
        <v>45958.1972222222</v>
      </c>
      <c r="G3044" s="2" t="s">
        <v>5813</v>
      </c>
      <c r="H3044" s="4" t="n">
        <v>0.6369</v>
      </c>
      <c r="I3044" s="2" t="s">
        <v>23</v>
      </c>
      <c r="J3044" s="2" t="s">
        <v>19</v>
      </c>
      <c r="K3044" s="2" t="n">
        <v>0</v>
      </c>
      <c r="L3044" s="2" t="n">
        <v>0</v>
      </c>
      <c r="M3044" s="2" t="n">
        <v>0</v>
      </c>
    </row>
    <row r="3045" customFormat="false" ht="15" hidden="false" customHeight="false" outlineLevel="0" collapsed="false">
      <c r="A3045" s="2" t="s">
        <v>6357</v>
      </c>
      <c r="B3045" s="2" t="s">
        <v>6358</v>
      </c>
      <c r="C3045" s="2" t="n">
        <v>5</v>
      </c>
      <c r="D3045" s="2" t="s">
        <v>52</v>
      </c>
      <c r="E3045" s="2" t="s">
        <v>5812</v>
      </c>
      <c r="F3045" s="3" t="n">
        <v>45958.5006944445</v>
      </c>
      <c r="G3045" s="2" t="s">
        <v>5813</v>
      </c>
      <c r="H3045" s="4" t="n">
        <v>0.6369</v>
      </c>
      <c r="I3045" s="2" t="s">
        <v>23</v>
      </c>
      <c r="J3045" s="2" t="s">
        <v>19</v>
      </c>
      <c r="K3045" s="2" t="n">
        <v>2</v>
      </c>
      <c r="L3045" s="2" t="n">
        <v>0</v>
      </c>
      <c r="M3045" s="2" t="n">
        <v>0</v>
      </c>
    </row>
    <row r="3046" customFormat="false" ht="15" hidden="false" customHeight="false" outlineLevel="0" collapsed="false">
      <c r="A3046" s="2" t="s">
        <v>6359</v>
      </c>
      <c r="B3046" s="2" t="s">
        <v>6360</v>
      </c>
      <c r="C3046" s="2" t="n">
        <v>3</v>
      </c>
      <c r="D3046" s="2" t="s">
        <v>99</v>
      </c>
      <c r="E3046" s="2" t="s">
        <v>5812</v>
      </c>
      <c r="F3046" s="3" t="n">
        <v>45958.60625</v>
      </c>
      <c r="G3046" s="2" t="s">
        <v>5813</v>
      </c>
      <c r="H3046" s="4" t="n">
        <v>-0.3089</v>
      </c>
      <c r="I3046" s="2" t="s">
        <v>84</v>
      </c>
      <c r="J3046" s="2" t="s">
        <v>19</v>
      </c>
      <c r="K3046" s="2" t="n">
        <v>4</v>
      </c>
      <c r="L3046" s="2" t="n">
        <v>0</v>
      </c>
      <c r="M3046" s="2" t="n">
        <v>0</v>
      </c>
    </row>
    <row r="3047" customFormat="false" ht="15" hidden="false" customHeight="false" outlineLevel="0" collapsed="false">
      <c r="A3047" s="2" t="s">
        <v>6361</v>
      </c>
      <c r="B3047" s="2" t="s">
        <v>6362</v>
      </c>
      <c r="C3047" s="2" t="n">
        <v>4</v>
      </c>
      <c r="D3047" s="2" t="s">
        <v>22</v>
      </c>
      <c r="E3047" s="2" t="s">
        <v>5812</v>
      </c>
      <c r="F3047" s="3" t="n">
        <v>45958.8194444445</v>
      </c>
      <c r="G3047" s="2" t="s">
        <v>5813</v>
      </c>
      <c r="H3047" s="4" t="n">
        <v>0.2023</v>
      </c>
      <c r="I3047" s="2" t="s">
        <v>23</v>
      </c>
      <c r="J3047" s="2" t="s">
        <v>19</v>
      </c>
      <c r="K3047" s="2" t="n">
        <v>2</v>
      </c>
      <c r="L3047" s="2" t="n">
        <v>0</v>
      </c>
      <c r="M3047" s="2" t="n">
        <v>0</v>
      </c>
    </row>
    <row r="3048" customFormat="false" ht="15" hidden="false" customHeight="false" outlineLevel="0" collapsed="false">
      <c r="A3048" s="2" t="s">
        <v>6363</v>
      </c>
      <c r="B3048" s="2" t="s">
        <v>6364</v>
      </c>
      <c r="C3048" s="2" t="n">
        <v>1</v>
      </c>
      <c r="D3048" s="2" t="s">
        <v>6365</v>
      </c>
      <c r="E3048" s="2" t="s">
        <v>5812</v>
      </c>
      <c r="F3048" s="3" t="n">
        <v>45958.8409722222</v>
      </c>
      <c r="G3048" s="2" t="s">
        <v>5813</v>
      </c>
      <c r="H3048" s="4" t="n">
        <v>-0.1757</v>
      </c>
      <c r="I3048" s="2" t="s">
        <v>84</v>
      </c>
      <c r="J3048" s="2" t="s">
        <v>33</v>
      </c>
      <c r="K3048" s="2" t="n">
        <v>3</v>
      </c>
      <c r="L3048" s="2" t="n">
        <v>1</v>
      </c>
      <c r="M3048" s="2" t="n">
        <v>0</v>
      </c>
    </row>
    <row r="3049" customFormat="false" ht="15" hidden="false" customHeight="false" outlineLevel="0" collapsed="false">
      <c r="A3049" s="2" t="s">
        <v>6366</v>
      </c>
      <c r="B3049" s="2" t="s">
        <v>6367</v>
      </c>
      <c r="C3049" s="2" t="n">
        <v>3</v>
      </c>
      <c r="D3049" s="2" t="s">
        <v>99</v>
      </c>
      <c r="E3049" s="2" t="s">
        <v>5812</v>
      </c>
      <c r="F3049" s="3" t="n">
        <v>45958.8916666667</v>
      </c>
      <c r="G3049" s="2" t="s">
        <v>5813</v>
      </c>
      <c r="H3049" s="4" t="n">
        <v>-0.3089</v>
      </c>
      <c r="I3049" s="2" t="s">
        <v>84</v>
      </c>
      <c r="J3049" s="2" t="s">
        <v>19</v>
      </c>
      <c r="K3049" s="2" t="n">
        <v>2</v>
      </c>
      <c r="L3049" s="2" t="n">
        <v>0</v>
      </c>
      <c r="M3049" s="2" t="n">
        <v>0</v>
      </c>
    </row>
    <row r="3050" customFormat="false" ht="15" hidden="false" customHeight="false" outlineLevel="0" collapsed="false">
      <c r="A3050" s="2" t="s">
        <v>6368</v>
      </c>
      <c r="B3050" s="2" t="s">
        <v>6369</v>
      </c>
      <c r="C3050" s="2" t="n">
        <v>3</v>
      </c>
      <c r="D3050" s="2" t="s">
        <v>2886</v>
      </c>
      <c r="E3050" s="2" t="s">
        <v>5812</v>
      </c>
      <c r="F3050" s="3" t="n">
        <v>45958.9145833333</v>
      </c>
      <c r="G3050" s="2" t="s">
        <v>5813</v>
      </c>
      <c r="H3050" s="4" t="n">
        <v>-0.4215</v>
      </c>
      <c r="I3050" s="2" t="s">
        <v>84</v>
      </c>
      <c r="J3050" s="2" t="s">
        <v>110</v>
      </c>
      <c r="K3050" s="2" t="n">
        <v>5</v>
      </c>
      <c r="L3050" s="2" t="n">
        <v>0</v>
      </c>
      <c r="M3050" s="2" t="n">
        <v>0</v>
      </c>
    </row>
    <row r="3051" customFormat="false" ht="15" hidden="false" customHeight="false" outlineLevel="0" collapsed="false">
      <c r="A3051" s="2" t="s">
        <v>6370</v>
      </c>
      <c r="B3051" s="2" t="s">
        <v>6371</v>
      </c>
      <c r="C3051" s="2" t="n">
        <v>1</v>
      </c>
      <c r="D3051" s="2" t="s">
        <v>3225</v>
      </c>
      <c r="E3051" s="2" t="s">
        <v>5812</v>
      </c>
      <c r="F3051" s="3" t="n">
        <v>45958.9833333333</v>
      </c>
      <c r="G3051" s="2" t="s">
        <v>5813</v>
      </c>
      <c r="H3051" s="4" t="n">
        <v>0</v>
      </c>
      <c r="I3051" s="2" t="s">
        <v>18</v>
      </c>
      <c r="J3051" s="2" t="s">
        <v>37</v>
      </c>
      <c r="K3051" s="2" t="n">
        <v>1</v>
      </c>
      <c r="L3051" s="2" t="n">
        <v>1</v>
      </c>
      <c r="M3051" s="2" t="n">
        <v>0</v>
      </c>
    </row>
    <row r="3052" customFormat="false" ht="15" hidden="false" customHeight="false" outlineLevel="0" collapsed="false">
      <c r="A3052" s="2" t="s">
        <v>6372</v>
      </c>
      <c r="B3052" s="2" t="s">
        <v>6373</v>
      </c>
      <c r="C3052" s="2" t="n">
        <v>4</v>
      </c>
      <c r="D3052" s="2" t="s">
        <v>90</v>
      </c>
      <c r="E3052" s="2" t="s">
        <v>5812</v>
      </c>
      <c r="F3052" s="3" t="n">
        <v>45959.0256944444</v>
      </c>
      <c r="G3052" s="2" t="s">
        <v>5813</v>
      </c>
      <c r="H3052" s="4" t="n">
        <v>0.6249</v>
      </c>
      <c r="I3052" s="2" t="s">
        <v>23</v>
      </c>
      <c r="J3052" s="2" t="s">
        <v>37</v>
      </c>
      <c r="K3052" s="2" t="n">
        <v>3</v>
      </c>
      <c r="L3052" s="2" t="n">
        <v>0</v>
      </c>
      <c r="M3052" s="2" t="n">
        <v>0</v>
      </c>
    </row>
    <row r="3053" customFormat="false" ht="15" hidden="false" customHeight="false" outlineLevel="0" collapsed="false">
      <c r="A3053" s="2" t="s">
        <v>6374</v>
      </c>
      <c r="B3053" s="2" t="s">
        <v>6375</v>
      </c>
      <c r="C3053" s="2" t="n">
        <v>5</v>
      </c>
      <c r="D3053" s="2" t="s">
        <v>96</v>
      </c>
      <c r="E3053" s="2" t="s">
        <v>5812</v>
      </c>
      <c r="F3053" s="3" t="n">
        <v>45959.1673611111</v>
      </c>
      <c r="G3053" s="2" t="s">
        <v>5813</v>
      </c>
      <c r="H3053" s="4" t="n">
        <v>0.6369</v>
      </c>
      <c r="I3053" s="2" t="s">
        <v>23</v>
      </c>
      <c r="J3053" s="2" t="s">
        <v>19</v>
      </c>
      <c r="K3053" s="2" t="n">
        <v>8</v>
      </c>
      <c r="L3053" s="2" t="n">
        <v>0</v>
      </c>
      <c r="M3053" s="2" t="n">
        <v>0</v>
      </c>
    </row>
    <row r="3054" customFormat="false" ht="15" hidden="false" customHeight="false" outlineLevel="0" collapsed="false">
      <c r="A3054" s="2" t="s">
        <v>6376</v>
      </c>
      <c r="B3054" s="2" t="s">
        <v>6377</v>
      </c>
      <c r="C3054" s="2" t="n">
        <v>4</v>
      </c>
      <c r="D3054" s="2" t="s">
        <v>1996</v>
      </c>
      <c r="E3054" s="2" t="s">
        <v>5812</v>
      </c>
      <c r="F3054" s="3" t="n">
        <v>45959.5201388889</v>
      </c>
      <c r="G3054" s="2" t="s">
        <v>5813</v>
      </c>
      <c r="H3054" s="4" t="n">
        <v>-0.5448</v>
      </c>
      <c r="I3054" s="2" t="s">
        <v>84</v>
      </c>
      <c r="J3054" s="2" t="s">
        <v>33</v>
      </c>
      <c r="K3054" s="2" t="n">
        <v>0</v>
      </c>
      <c r="L3054" s="2" t="n">
        <v>0</v>
      </c>
      <c r="M3054" s="2" t="n">
        <v>0</v>
      </c>
    </row>
    <row r="3055" customFormat="false" ht="15" hidden="false" customHeight="false" outlineLevel="0" collapsed="false">
      <c r="A3055" s="2" t="s">
        <v>6378</v>
      </c>
      <c r="B3055" s="2" t="s">
        <v>6379</v>
      </c>
      <c r="C3055" s="2" t="n">
        <v>4</v>
      </c>
      <c r="D3055" s="2" t="s">
        <v>40</v>
      </c>
      <c r="E3055" s="2" t="s">
        <v>5812</v>
      </c>
      <c r="F3055" s="3" t="n">
        <v>45959.8416666667</v>
      </c>
      <c r="G3055" s="2" t="s">
        <v>5813</v>
      </c>
      <c r="H3055" s="4" t="n">
        <v>0.4019</v>
      </c>
      <c r="I3055" s="2" t="s">
        <v>23</v>
      </c>
      <c r="J3055" s="2" t="s">
        <v>33</v>
      </c>
      <c r="K3055" s="2" t="n">
        <v>2</v>
      </c>
      <c r="L3055" s="2" t="n">
        <v>0</v>
      </c>
      <c r="M3055" s="2" t="n">
        <v>0</v>
      </c>
    </row>
    <row r="3056" customFormat="false" ht="15" hidden="false" customHeight="false" outlineLevel="0" collapsed="false">
      <c r="A3056" s="2" t="s">
        <v>6380</v>
      </c>
      <c r="B3056" s="2" t="s">
        <v>6381</v>
      </c>
      <c r="C3056" s="2" t="n">
        <v>2</v>
      </c>
      <c r="D3056" s="2" t="s">
        <v>701</v>
      </c>
      <c r="E3056" s="2" t="s">
        <v>5812</v>
      </c>
      <c r="F3056" s="3" t="n">
        <v>45960.0881944444</v>
      </c>
      <c r="G3056" s="2" t="s">
        <v>5813</v>
      </c>
      <c r="H3056" s="4" t="n">
        <v>-0.7184</v>
      </c>
      <c r="I3056" s="2" t="s">
        <v>84</v>
      </c>
      <c r="J3056" s="2" t="s">
        <v>37</v>
      </c>
      <c r="K3056" s="2" t="n">
        <v>4</v>
      </c>
      <c r="L3056" s="2" t="n">
        <v>1</v>
      </c>
      <c r="M3056" s="2" t="n">
        <v>0</v>
      </c>
    </row>
    <row r="3057" customFormat="false" ht="15" hidden="false" customHeight="false" outlineLevel="0" collapsed="false">
      <c r="A3057" s="2" t="s">
        <v>6382</v>
      </c>
      <c r="B3057" s="2" t="s">
        <v>6383</v>
      </c>
      <c r="C3057" s="2" t="n">
        <v>5</v>
      </c>
      <c r="D3057" s="2" t="s">
        <v>1254</v>
      </c>
      <c r="E3057" s="2" t="s">
        <v>5812</v>
      </c>
      <c r="F3057" s="3" t="n">
        <v>45960.2743055556</v>
      </c>
      <c r="G3057" s="2" t="s">
        <v>5813</v>
      </c>
      <c r="H3057" s="4" t="n">
        <v>0</v>
      </c>
      <c r="I3057" s="2" t="s">
        <v>18</v>
      </c>
      <c r="J3057" s="2" t="s">
        <v>19</v>
      </c>
      <c r="K3057" s="2" t="n">
        <v>0</v>
      </c>
      <c r="L3057" s="2" t="n">
        <v>0</v>
      </c>
      <c r="M3057" s="2" t="n">
        <v>0</v>
      </c>
    </row>
    <row r="3058" customFormat="false" ht="15" hidden="false" customHeight="false" outlineLevel="0" collapsed="false">
      <c r="A3058" s="2" t="s">
        <v>6384</v>
      </c>
      <c r="B3058" s="2" t="s">
        <v>6385</v>
      </c>
      <c r="C3058" s="2" t="n">
        <v>5</v>
      </c>
      <c r="D3058" s="2" t="s">
        <v>90</v>
      </c>
      <c r="E3058" s="2" t="s">
        <v>5812</v>
      </c>
      <c r="F3058" s="3" t="n">
        <v>45960.4104166667</v>
      </c>
      <c r="G3058" s="2" t="s">
        <v>5813</v>
      </c>
      <c r="H3058" s="4" t="n">
        <v>0.6249</v>
      </c>
      <c r="I3058" s="2" t="s">
        <v>23</v>
      </c>
      <c r="J3058" s="2" t="s">
        <v>37</v>
      </c>
      <c r="K3058" s="2" t="n">
        <v>1</v>
      </c>
      <c r="L3058" s="2" t="n">
        <v>0</v>
      </c>
      <c r="M3058" s="2" t="n">
        <v>0</v>
      </c>
    </row>
    <row r="3059" customFormat="false" ht="15" hidden="false" customHeight="false" outlineLevel="0" collapsed="false">
      <c r="A3059" s="2" t="s">
        <v>6386</v>
      </c>
      <c r="B3059" s="2" t="s">
        <v>6387</v>
      </c>
      <c r="C3059" s="2" t="n">
        <v>5</v>
      </c>
      <c r="D3059" s="2" t="s">
        <v>127</v>
      </c>
      <c r="E3059" s="2" t="s">
        <v>5812</v>
      </c>
      <c r="F3059" s="3" t="n">
        <v>45960.5034722222</v>
      </c>
      <c r="G3059" s="2" t="s">
        <v>5813</v>
      </c>
      <c r="H3059" s="4" t="n">
        <v>0.9359</v>
      </c>
      <c r="I3059" s="2" t="s">
        <v>23</v>
      </c>
      <c r="J3059" s="2" t="s">
        <v>37</v>
      </c>
      <c r="K3059" s="2" t="n">
        <v>3</v>
      </c>
      <c r="L3059" s="2" t="n">
        <v>0</v>
      </c>
      <c r="M3059" s="2" t="n">
        <v>0</v>
      </c>
    </row>
    <row r="3060" customFormat="false" ht="15" hidden="false" customHeight="false" outlineLevel="0" collapsed="false">
      <c r="A3060" s="2" t="s">
        <v>6388</v>
      </c>
      <c r="B3060" s="2" t="s">
        <v>6389</v>
      </c>
      <c r="C3060" s="2" t="n">
        <v>5</v>
      </c>
      <c r="D3060" s="2" t="s">
        <v>325</v>
      </c>
      <c r="E3060" s="2" t="s">
        <v>5812</v>
      </c>
      <c r="F3060" s="3" t="n">
        <v>45960.5381944445</v>
      </c>
      <c r="G3060" s="2" t="s">
        <v>5813</v>
      </c>
      <c r="H3060" s="4" t="n">
        <v>0.9612</v>
      </c>
      <c r="I3060" s="2" t="s">
        <v>23</v>
      </c>
      <c r="J3060" s="2" t="s">
        <v>37</v>
      </c>
      <c r="K3060" s="2" t="n">
        <v>2</v>
      </c>
      <c r="L3060" s="2" t="n">
        <v>0</v>
      </c>
      <c r="M3060" s="2" t="n">
        <v>0</v>
      </c>
    </row>
    <row r="3061" customFormat="false" ht="15" hidden="false" customHeight="false" outlineLevel="0" collapsed="false">
      <c r="A3061" s="2" t="s">
        <v>6390</v>
      </c>
      <c r="B3061" s="2" t="s">
        <v>6391</v>
      </c>
      <c r="C3061" s="2" t="n">
        <v>4</v>
      </c>
      <c r="D3061" s="2" t="s">
        <v>1825</v>
      </c>
      <c r="E3061" s="2" t="s">
        <v>5812</v>
      </c>
      <c r="F3061" s="3" t="n">
        <v>45960.5472222222</v>
      </c>
      <c r="G3061" s="2" t="s">
        <v>5813</v>
      </c>
      <c r="H3061" s="4" t="n">
        <v>-0.6834</v>
      </c>
      <c r="I3061" s="2" t="s">
        <v>84</v>
      </c>
      <c r="J3061" s="2" t="s">
        <v>19</v>
      </c>
      <c r="K3061" s="2" t="n">
        <v>1</v>
      </c>
      <c r="L3061" s="2" t="n">
        <v>0</v>
      </c>
      <c r="M3061" s="2" t="n">
        <v>0</v>
      </c>
    </row>
    <row r="3062" customFormat="false" ht="15" hidden="false" customHeight="false" outlineLevel="0" collapsed="false">
      <c r="A3062" s="2" t="s">
        <v>6392</v>
      </c>
      <c r="B3062" s="2" t="s">
        <v>6393</v>
      </c>
      <c r="C3062" s="2" t="n">
        <v>4</v>
      </c>
      <c r="D3062" s="2" t="s">
        <v>87</v>
      </c>
      <c r="E3062" s="2" t="s">
        <v>5812</v>
      </c>
      <c r="F3062" s="3" t="n">
        <v>45960.5611111111</v>
      </c>
      <c r="G3062" s="2" t="s">
        <v>5813</v>
      </c>
      <c r="H3062" s="4" t="n">
        <v>0</v>
      </c>
      <c r="I3062" s="2" t="s">
        <v>18</v>
      </c>
      <c r="J3062" s="2" t="s">
        <v>19</v>
      </c>
      <c r="K3062" s="2" t="n">
        <v>6</v>
      </c>
      <c r="L3062" s="2" t="n">
        <v>0</v>
      </c>
      <c r="M3062" s="2" t="n">
        <v>0</v>
      </c>
    </row>
    <row r="3063" customFormat="false" ht="15" hidden="false" customHeight="false" outlineLevel="0" collapsed="false">
      <c r="A3063" s="2" t="s">
        <v>6394</v>
      </c>
      <c r="B3063" s="2" t="s">
        <v>6395</v>
      </c>
      <c r="C3063" s="2" t="n">
        <v>4</v>
      </c>
      <c r="D3063" s="2" t="s">
        <v>22</v>
      </c>
      <c r="E3063" s="2" t="s">
        <v>5812</v>
      </c>
      <c r="F3063" s="3" t="n">
        <v>45960.6340277778</v>
      </c>
      <c r="G3063" s="2" t="s">
        <v>5813</v>
      </c>
      <c r="H3063" s="4" t="n">
        <v>0.2023</v>
      </c>
      <c r="I3063" s="2" t="s">
        <v>23</v>
      </c>
      <c r="J3063" s="2" t="s">
        <v>19</v>
      </c>
      <c r="K3063" s="2" t="n">
        <v>13</v>
      </c>
      <c r="L3063" s="2" t="n">
        <v>0</v>
      </c>
      <c r="M3063" s="2" t="n">
        <v>0</v>
      </c>
    </row>
    <row r="3064" customFormat="false" ht="15" hidden="false" customHeight="false" outlineLevel="0" collapsed="false">
      <c r="A3064" s="2" t="s">
        <v>6396</v>
      </c>
      <c r="B3064" s="2" t="s">
        <v>6397</v>
      </c>
      <c r="C3064" s="2" t="n">
        <v>4</v>
      </c>
      <c r="D3064" s="2" t="s">
        <v>47</v>
      </c>
      <c r="E3064" s="2" t="s">
        <v>5812</v>
      </c>
      <c r="F3064" s="3" t="n">
        <v>45961.0805555556</v>
      </c>
      <c r="G3064" s="2" t="s">
        <v>5813</v>
      </c>
      <c r="H3064" s="4" t="n">
        <v>0.3089</v>
      </c>
      <c r="I3064" s="2" t="s">
        <v>23</v>
      </c>
      <c r="J3064" s="2" t="s">
        <v>19</v>
      </c>
      <c r="K3064" s="2" t="n">
        <v>2</v>
      </c>
      <c r="L3064" s="2" t="n">
        <v>0</v>
      </c>
      <c r="M3064" s="2" t="n">
        <v>0</v>
      </c>
    </row>
    <row r="3065" customFormat="false" ht="15" hidden="false" customHeight="false" outlineLevel="0" collapsed="false">
      <c r="A3065" s="2" t="s">
        <v>6398</v>
      </c>
      <c r="B3065" s="2" t="s">
        <v>6399</v>
      </c>
      <c r="C3065" s="2" t="n">
        <v>3</v>
      </c>
      <c r="D3065" s="2" t="s">
        <v>99</v>
      </c>
      <c r="E3065" s="2" t="s">
        <v>5812</v>
      </c>
      <c r="F3065" s="3" t="n">
        <v>45961.1423611111</v>
      </c>
      <c r="G3065" s="2" t="s">
        <v>5813</v>
      </c>
      <c r="H3065" s="4" t="n">
        <v>-0.3089</v>
      </c>
      <c r="I3065" s="2" t="s">
        <v>84</v>
      </c>
      <c r="J3065" s="2" t="s">
        <v>19</v>
      </c>
      <c r="K3065" s="2" t="n">
        <v>0</v>
      </c>
      <c r="L3065" s="2" t="n">
        <v>0</v>
      </c>
      <c r="M3065" s="2" t="n">
        <v>0</v>
      </c>
    </row>
    <row r="3066" customFormat="false" ht="15" hidden="false" customHeight="false" outlineLevel="0" collapsed="false">
      <c r="A3066" s="2" t="s">
        <v>6400</v>
      </c>
      <c r="B3066" s="2" t="s">
        <v>6401</v>
      </c>
      <c r="C3066" s="2" t="n">
        <v>5</v>
      </c>
      <c r="D3066" s="2" t="s">
        <v>958</v>
      </c>
      <c r="E3066" s="2" t="s">
        <v>5812</v>
      </c>
      <c r="F3066" s="3" t="n">
        <v>45961.1784722222</v>
      </c>
      <c r="G3066" s="2" t="s">
        <v>5813</v>
      </c>
      <c r="H3066" s="4" t="n">
        <v>0.6249</v>
      </c>
      <c r="I3066" s="2" t="s">
        <v>23</v>
      </c>
      <c r="J3066" s="2" t="s">
        <v>37</v>
      </c>
      <c r="K3066" s="2" t="n">
        <v>3</v>
      </c>
      <c r="L3066" s="2" t="n">
        <v>0</v>
      </c>
      <c r="M3066" s="2" t="n">
        <v>0</v>
      </c>
    </row>
    <row r="3067" customFormat="false" ht="15" hidden="false" customHeight="false" outlineLevel="0" collapsed="false">
      <c r="A3067" s="2" t="s">
        <v>6402</v>
      </c>
      <c r="B3067" s="2" t="s">
        <v>6403</v>
      </c>
      <c r="C3067" s="2" t="n">
        <v>2</v>
      </c>
      <c r="D3067" s="2" t="s">
        <v>6404</v>
      </c>
      <c r="E3067" s="2" t="s">
        <v>5812</v>
      </c>
      <c r="F3067" s="3" t="n">
        <v>45961.2284722222</v>
      </c>
      <c r="G3067" s="2" t="s">
        <v>5813</v>
      </c>
      <c r="H3067" s="4" t="n">
        <v>-0.3935</v>
      </c>
      <c r="I3067" s="2" t="s">
        <v>84</v>
      </c>
      <c r="J3067" s="2" t="s">
        <v>33</v>
      </c>
      <c r="K3067" s="2" t="n">
        <v>2</v>
      </c>
      <c r="L3067" s="2" t="n">
        <v>1</v>
      </c>
      <c r="M3067" s="2" t="n">
        <v>0</v>
      </c>
    </row>
    <row r="3068" customFormat="false" ht="15" hidden="false" customHeight="false" outlineLevel="0" collapsed="false">
      <c r="A3068" s="2" t="s">
        <v>6405</v>
      </c>
      <c r="B3068" s="2" t="s">
        <v>6406</v>
      </c>
      <c r="C3068" s="2" t="n">
        <v>3</v>
      </c>
      <c r="D3068" s="2" t="s">
        <v>710</v>
      </c>
      <c r="E3068" s="2" t="s">
        <v>5812</v>
      </c>
      <c r="F3068" s="3" t="n">
        <v>45961.3006944444</v>
      </c>
      <c r="G3068" s="2" t="s">
        <v>5813</v>
      </c>
      <c r="H3068" s="4" t="n">
        <v>0.5719</v>
      </c>
      <c r="I3068" s="2" t="s">
        <v>23</v>
      </c>
      <c r="J3068" s="2" t="s">
        <v>37</v>
      </c>
      <c r="K3068" s="2" t="n">
        <v>1</v>
      </c>
      <c r="L3068" s="2" t="n">
        <v>0</v>
      </c>
      <c r="M3068" s="2" t="n">
        <v>0</v>
      </c>
    </row>
    <row r="3069" customFormat="false" ht="15" hidden="false" customHeight="false" outlineLevel="0" collapsed="false">
      <c r="A3069" s="2" t="s">
        <v>6407</v>
      </c>
      <c r="B3069" s="2" t="s">
        <v>6408</v>
      </c>
      <c r="C3069" s="2" t="n">
        <v>5</v>
      </c>
      <c r="D3069" s="2" t="s">
        <v>47</v>
      </c>
      <c r="E3069" s="2" t="s">
        <v>5812</v>
      </c>
      <c r="F3069" s="3" t="n">
        <v>45961.4041666667</v>
      </c>
      <c r="G3069" s="2" t="s">
        <v>5813</v>
      </c>
      <c r="H3069" s="4" t="n">
        <v>0.3089</v>
      </c>
      <c r="I3069" s="2" t="s">
        <v>23</v>
      </c>
      <c r="J3069" s="2" t="s">
        <v>19</v>
      </c>
      <c r="K3069" s="2" t="n">
        <v>7</v>
      </c>
      <c r="L3069" s="2" t="n">
        <v>0</v>
      </c>
      <c r="M3069" s="2" t="n">
        <v>0</v>
      </c>
    </row>
    <row r="3070" customFormat="false" ht="15" hidden="false" customHeight="false" outlineLevel="0" collapsed="false">
      <c r="A3070" s="2" t="s">
        <v>6409</v>
      </c>
      <c r="B3070" s="2" t="s">
        <v>6410</v>
      </c>
      <c r="C3070" s="2" t="n">
        <v>4</v>
      </c>
      <c r="D3070" s="2" t="s">
        <v>22</v>
      </c>
      <c r="E3070" s="2" t="s">
        <v>5812</v>
      </c>
      <c r="F3070" s="3" t="n">
        <v>45961.4659722222</v>
      </c>
      <c r="G3070" s="2" t="s">
        <v>5813</v>
      </c>
      <c r="H3070" s="4" t="n">
        <v>0.2023</v>
      </c>
      <c r="I3070" s="2" t="s">
        <v>23</v>
      </c>
      <c r="J3070" s="2" t="s">
        <v>19</v>
      </c>
      <c r="K3070" s="2" t="n">
        <v>0</v>
      </c>
      <c r="L3070" s="2" t="n">
        <v>0</v>
      </c>
      <c r="M3070" s="2" t="n">
        <v>0</v>
      </c>
    </row>
    <row r="3071" customFormat="false" ht="15" hidden="false" customHeight="false" outlineLevel="0" collapsed="false">
      <c r="A3071" s="2" t="s">
        <v>6411</v>
      </c>
      <c r="B3071" s="2" t="s">
        <v>6412</v>
      </c>
      <c r="C3071" s="2" t="n">
        <v>5</v>
      </c>
      <c r="D3071" s="2" t="s">
        <v>127</v>
      </c>
      <c r="E3071" s="2" t="s">
        <v>5812</v>
      </c>
      <c r="F3071" s="3" t="n">
        <v>45961.5048611111</v>
      </c>
      <c r="G3071" s="2" t="s">
        <v>5813</v>
      </c>
      <c r="H3071" s="4" t="n">
        <v>0.9359</v>
      </c>
      <c r="I3071" s="2" t="s">
        <v>23</v>
      </c>
      <c r="J3071" s="2" t="s">
        <v>37</v>
      </c>
      <c r="K3071" s="2" t="n">
        <v>8</v>
      </c>
      <c r="L3071" s="2" t="n">
        <v>0</v>
      </c>
      <c r="M3071" s="2" t="n">
        <v>0</v>
      </c>
    </row>
    <row r="3072" customFormat="false" ht="15" hidden="false" customHeight="false" outlineLevel="0" collapsed="false">
      <c r="A3072" s="2" t="s">
        <v>6413</v>
      </c>
      <c r="B3072" s="2" t="s">
        <v>6414</v>
      </c>
      <c r="C3072" s="2" t="n">
        <v>5</v>
      </c>
      <c r="D3072" s="2" t="s">
        <v>1878</v>
      </c>
      <c r="E3072" s="2" t="s">
        <v>5812</v>
      </c>
      <c r="F3072" s="3" t="n">
        <v>45961.6138888889</v>
      </c>
      <c r="G3072" s="2" t="s">
        <v>5813</v>
      </c>
      <c r="H3072" s="4" t="n">
        <v>0.9516</v>
      </c>
      <c r="I3072" s="2" t="s">
        <v>23</v>
      </c>
      <c r="J3072" s="2" t="s">
        <v>37</v>
      </c>
      <c r="K3072" s="2" t="n">
        <v>1</v>
      </c>
      <c r="L3072" s="2" t="n">
        <v>0</v>
      </c>
      <c r="M3072" s="2" t="n">
        <v>0</v>
      </c>
    </row>
    <row r="3073" customFormat="false" ht="15" hidden="false" customHeight="false" outlineLevel="0" collapsed="false">
      <c r="A3073" s="2" t="s">
        <v>6415</v>
      </c>
      <c r="B3073" s="2" t="s">
        <v>6416</v>
      </c>
      <c r="C3073" s="2" t="n">
        <v>5</v>
      </c>
      <c r="D3073" s="2" t="s">
        <v>127</v>
      </c>
      <c r="E3073" s="2" t="s">
        <v>5812</v>
      </c>
      <c r="F3073" s="3" t="n">
        <v>45961.6236111111</v>
      </c>
      <c r="G3073" s="2" t="s">
        <v>5813</v>
      </c>
      <c r="H3073" s="4" t="n">
        <v>0.9359</v>
      </c>
      <c r="I3073" s="2" t="s">
        <v>23</v>
      </c>
      <c r="J3073" s="2" t="s">
        <v>37</v>
      </c>
      <c r="K3073" s="2" t="n">
        <v>3</v>
      </c>
      <c r="L3073" s="2" t="n">
        <v>0</v>
      </c>
      <c r="M3073" s="2" t="n">
        <v>0</v>
      </c>
    </row>
    <row r="3074" customFormat="false" ht="15" hidden="false" customHeight="false" outlineLevel="0" collapsed="false">
      <c r="A3074" s="2" t="s">
        <v>6417</v>
      </c>
      <c r="B3074" s="2" t="s">
        <v>6418</v>
      </c>
      <c r="C3074" s="2" t="n">
        <v>5</v>
      </c>
      <c r="D3074" s="2" t="s">
        <v>1095</v>
      </c>
      <c r="E3074" s="2" t="s">
        <v>5812</v>
      </c>
      <c r="F3074" s="3" t="n">
        <v>45961.8284722222</v>
      </c>
      <c r="G3074" s="2" t="s">
        <v>5813</v>
      </c>
      <c r="H3074" s="4" t="n">
        <v>0.7475</v>
      </c>
      <c r="I3074" s="2" t="s">
        <v>23</v>
      </c>
      <c r="J3074" s="2" t="s">
        <v>37</v>
      </c>
      <c r="K3074" s="2" t="n">
        <v>1</v>
      </c>
      <c r="L3074" s="2" t="n">
        <v>0</v>
      </c>
      <c r="M3074" s="2" t="n">
        <v>0</v>
      </c>
    </row>
    <row r="3075" customFormat="false" ht="15" hidden="false" customHeight="false" outlineLevel="0" collapsed="false">
      <c r="A3075" s="2" t="s">
        <v>6419</v>
      </c>
      <c r="B3075" s="2" t="s">
        <v>6420</v>
      </c>
      <c r="C3075" s="2" t="n">
        <v>5</v>
      </c>
      <c r="D3075" s="2" t="s">
        <v>1004</v>
      </c>
      <c r="E3075" s="2" t="s">
        <v>5812</v>
      </c>
      <c r="F3075" s="3" t="n">
        <v>45961.84375</v>
      </c>
      <c r="G3075" s="2" t="s">
        <v>5813</v>
      </c>
      <c r="H3075" s="4" t="n">
        <v>0.6249</v>
      </c>
      <c r="I3075" s="2" t="s">
        <v>23</v>
      </c>
      <c r="J3075" s="2" t="s">
        <v>37</v>
      </c>
      <c r="K3075" s="2" t="n">
        <v>2</v>
      </c>
      <c r="L3075" s="2" t="n">
        <v>0</v>
      </c>
      <c r="M3075" s="2" t="n">
        <v>0</v>
      </c>
    </row>
    <row r="3076" customFormat="false" ht="15" hidden="false" customHeight="false" outlineLevel="0" collapsed="false">
      <c r="A3076" s="2" t="s">
        <v>6421</v>
      </c>
      <c r="B3076" s="2" t="s">
        <v>6422</v>
      </c>
      <c r="C3076" s="2" t="n">
        <v>5</v>
      </c>
      <c r="D3076" s="2" t="s">
        <v>47</v>
      </c>
      <c r="E3076" s="2" t="s">
        <v>5812</v>
      </c>
      <c r="F3076" s="3" t="n">
        <v>45961.8770833333</v>
      </c>
      <c r="G3076" s="2" t="s">
        <v>5813</v>
      </c>
      <c r="H3076" s="4" t="n">
        <v>0.3089</v>
      </c>
      <c r="I3076" s="2" t="s">
        <v>23</v>
      </c>
      <c r="J3076" s="2" t="s">
        <v>19</v>
      </c>
      <c r="K3076" s="2" t="n">
        <v>9</v>
      </c>
      <c r="L3076" s="2" t="n">
        <v>0</v>
      </c>
      <c r="M3076" s="2" t="n">
        <v>0</v>
      </c>
    </row>
    <row r="3077" customFormat="false" ht="15" hidden="false" customHeight="false" outlineLevel="0" collapsed="false">
      <c r="A3077" s="2" t="s">
        <v>6423</v>
      </c>
      <c r="B3077" s="2" t="s">
        <v>6424</v>
      </c>
      <c r="C3077" s="2" t="n">
        <v>5</v>
      </c>
      <c r="D3077" s="2" t="s">
        <v>15</v>
      </c>
      <c r="E3077" s="2" t="s">
        <v>5812</v>
      </c>
      <c r="F3077" s="3" t="n">
        <v>45961.8770833333</v>
      </c>
      <c r="G3077" s="2" t="s">
        <v>5813</v>
      </c>
      <c r="H3077" s="4" t="n">
        <v>0</v>
      </c>
      <c r="I3077" s="2" t="s">
        <v>18</v>
      </c>
      <c r="J3077" s="2" t="s">
        <v>19</v>
      </c>
      <c r="K3077" s="2" t="n">
        <v>0</v>
      </c>
      <c r="L3077" s="2" t="n">
        <v>0</v>
      </c>
      <c r="M3077" s="2" t="n">
        <v>0</v>
      </c>
    </row>
    <row r="3078" customFormat="false" ht="15" hidden="false" customHeight="false" outlineLevel="0" collapsed="false">
      <c r="A3078" s="2" t="s">
        <v>6425</v>
      </c>
      <c r="B3078" s="2" t="s">
        <v>6426</v>
      </c>
      <c r="C3078" s="2" t="n">
        <v>1</v>
      </c>
      <c r="D3078" s="2" t="s">
        <v>3334</v>
      </c>
      <c r="E3078" s="2" t="s">
        <v>5812</v>
      </c>
      <c r="F3078" s="3" t="n">
        <v>45961.8979166667</v>
      </c>
      <c r="G3078" s="2" t="s">
        <v>5813</v>
      </c>
      <c r="H3078" s="4" t="n">
        <v>-0.0258</v>
      </c>
      <c r="I3078" s="2" t="s">
        <v>18</v>
      </c>
      <c r="J3078" s="2" t="s">
        <v>165</v>
      </c>
      <c r="K3078" s="2" t="n">
        <v>2</v>
      </c>
      <c r="L3078" s="2" t="n">
        <v>0</v>
      </c>
      <c r="M3078" s="2" t="n">
        <v>0</v>
      </c>
    </row>
    <row r="3079" customFormat="false" ht="15" hidden="false" customHeight="false" outlineLevel="0" collapsed="false">
      <c r="A3079" s="2" t="s">
        <v>6427</v>
      </c>
      <c r="B3079" s="2" t="s">
        <v>6428</v>
      </c>
      <c r="C3079" s="2" t="n">
        <v>2</v>
      </c>
      <c r="D3079" s="2" t="s">
        <v>168</v>
      </c>
      <c r="E3079" s="2" t="s">
        <v>5812</v>
      </c>
      <c r="F3079" s="3" t="n">
        <v>45961.9173611111</v>
      </c>
      <c r="G3079" s="2" t="s">
        <v>5813</v>
      </c>
      <c r="H3079" s="4" t="n">
        <v>-0.1027</v>
      </c>
      <c r="I3079" s="2" t="s">
        <v>84</v>
      </c>
      <c r="J3079" s="2" t="s">
        <v>33</v>
      </c>
      <c r="K3079" s="2" t="n">
        <v>3</v>
      </c>
      <c r="L3079" s="2" t="n">
        <v>1</v>
      </c>
      <c r="M3079" s="2" t="n">
        <v>0</v>
      </c>
    </row>
    <row r="3080" customFormat="false" ht="15" hidden="false" customHeight="false" outlineLevel="0" collapsed="false">
      <c r="A3080" s="2" t="s">
        <v>6429</v>
      </c>
      <c r="B3080" s="2" t="s">
        <v>6430</v>
      </c>
      <c r="C3080" s="2" t="n">
        <v>4</v>
      </c>
      <c r="D3080" s="2" t="s">
        <v>1167</v>
      </c>
      <c r="E3080" s="2" t="s">
        <v>5812</v>
      </c>
      <c r="F3080" s="3" t="n">
        <v>45962.08125</v>
      </c>
      <c r="G3080" s="2" t="s">
        <v>6431</v>
      </c>
      <c r="H3080" s="4" t="n">
        <v>0.8519</v>
      </c>
      <c r="I3080" s="2" t="s">
        <v>23</v>
      </c>
      <c r="J3080" s="2" t="s">
        <v>37</v>
      </c>
      <c r="K3080" s="2" t="n">
        <v>3</v>
      </c>
      <c r="L3080" s="2" t="n">
        <v>0</v>
      </c>
      <c r="M3080" s="2" t="n">
        <v>0</v>
      </c>
    </row>
    <row r="3081" customFormat="false" ht="15" hidden="false" customHeight="false" outlineLevel="0" collapsed="false">
      <c r="A3081" s="2" t="s">
        <v>6432</v>
      </c>
      <c r="B3081" s="2" t="s">
        <v>6433</v>
      </c>
      <c r="C3081" s="2" t="n">
        <v>5</v>
      </c>
      <c r="D3081" s="2" t="s">
        <v>40</v>
      </c>
      <c r="E3081" s="2" t="s">
        <v>5812</v>
      </c>
      <c r="F3081" s="3" t="n">
        <v>45962.2027777778</v>
      </c>
      <c r="G3081" s="2" t="s">
        <v>6431</v>
      </c>
      <c r="H3081" s="4" t="n">
        <v>0.4019</v>
      </c>
      <c r="I3081" s="2" t="s">
        <v>23</v>
      </c>
      <c r="J3081" s="2" t="s">
        <v>33</v>
      </c>
      <c r="K3081" s="2" t="n">
        <v>5</v>
      </c>
      <c r="L3081" s="2" t="n">
        <v>0</v>
      </c>
      <c r="M3081" s="2" t="n">
        <v>0</v>
      </c>
    </row>
    <row r="3082" customFormat="false" ht="15" hidden="false" customHeight="false" outlineLevel="0" collapsed="false">
      <c r="A3082" s="2" t="s">
        <v>6434</v>
      </c>
      <c r="B3082" s="2" t="s">
        <v>6435</v>
      </c>
      <c r="C3082" s="2" t="n">
        <v>5</v>
      </c>
      <c r="D3082" s="2" t="s">
        <v>62</v>
      </c>
      <c r="E3082" s="2" t="s">
        <v>5812</v>
      </c>
      <c r="F3082" s="3" t="n">
        <v>45962.2270833333</v>
      </c>
      <c r="G3082" s="2" t="s">
        <v>6431</v>
      </c>
      <c r="H3082" s="4" t="n">
        <v>0.7088</v>
      </c>
      <c r="I3082" s="2" t="s">
        <v>23</v>
      </c>
      <c r="J3082" s="2" t="s">
        <v>19</v>
      </c>
      <c r="K3082" s="2" t="n">
        <v>2</v>
      </c>
      <c r="L3082" s="2" t="n">
        <v>0</v>
      </c>
      <c r="M3082" s="2" t="n">
        <v>0</v>
      </c>
    </row>
    <row r="3083" customFormat="false" ht="15" hidden="false" customHeight="false" outlineLevel="0" collapsed="false">
      <c r="A3083" s="2" t="s">
        <v>6436</v>
      </c>
      <c r="B3083" s="2" t="s">
        <v>6437</v>
      </c>
      <c r="C3083" s="2" t="n">
        <v>5</v>
      </c>
      <c r="D3083" s="2" t="s">
        <v>875</v>
      </c>
      <c r="E3083" s="2" t="s">
        <v>5812</v>
      </c>
      <c r="F3083" s="3" t="n">
        <v>45962.3847222222</v>
      </c>
      <c r="G3083" s="2" t="s">
        <v>6431</v>
      </c>
      <c r="H3083" s="4" t="n">
        <v>0.7992</v>
      </c>
      <c r="I3083" s="2" t="s">
        <v>23</v>
      </c>
      <c r="J3083" s="2" t="s">
        <v>19</v>
      </c>
      <c r="K3083" s="2" t="n">
        <v>0</v>
      </c>
      <c r="L3083" s="2" t="n">
        <v>0</v>
      </c>
      <c r="M3083" s="2" t="n">
        <v>0</v>
      </c>
    </row>
    <row r="3084" customFormat="false" ht="15" hidden="false" customHeight="false" outlineLevel="0" collapsed="false">
      <c r="A3084" s="2" t="s">
        <v>6438</v>
      </c>
      <c r="B3084" s="2" t="s">
        <v>6439</v>
      </c>
      <c r="C3084" s="2" t="n">
        <v>5</v>
      </c>
      <c r="D3084" s="2" t="s">
        <v>420</v>
      </c>
      <c r="E3084" s="2" t="s">
        <v>5812</v>
      </c>
      <c r="F3084" s="3" t="n">
        <v>45962.4</v>
      </c>
      <c r="G3084" s="2" t="s">
        <v>6431</v>
      </c>
      <c r="H3084" s="4" t="n">
        <v>0.7845</v>
      </c>
      <c r="I3084" s="2" t="s">
        <v>23</v>
      </c>
      <c r="J3084" s="2" t="s">
        <v>33</v>
      </c>
      <c r="K3084" s="2" t="n">
        <v>0</v>
      </c>
      <c r="L3084" s="2" t="n">
        <v>0</v>
      </c>
      <c r="M3084" s="2" t="n">
        <v>0</v>
      </c>
    </row>
    <row r="3085" customFormat="false" ht="15" hidden="false" customHeight="false" outlineLevel="0" collapsed="false">
      <c r="A3085" s="2" t="s">
        <v>6440</v>
      </c>
      <c r="B3085" s="2" t="s">
        <v>6441</v>
      </c>
      <c r="C3085" s="2" t="n">
        <v>4</v>
      </c>
      <c r="D3085" s="2" t="s">
        <v>96</v>
      </c>
      <c r="E3085" s="2" t="s">
        <v>5812</v>
      </c>
      <c r="F3085" s="3" t="n">
        <v>45962.6694444444</v>
      </c>
      <c r="G3085" s="2" t="s">
        <v>6431</v>
      </c>
      <c r="H3085" s="4" t="n">
        <v>0.6369</v>
      </c>
      <c r="I3085" s="2" t="s">
        <v>23</v>
      </c>
      <c r="J3085" s="2" t="s">
        <v>19</v>
      </c>
      <c r="K3085" s="2" t="n">
        <v>12</v>
      </c>
      <c r="L3085" s="2" t="n">
        <v>0</v>
      </c>
      <c r="M3085" s="2" t="n">
        <v>0</v>
      </c>
    </row>
    <row r="3086" customFormat="false" ht="15" hidden="false" customHeight="false" outlineLevel="0" collapsed="false">
      <c r="A3086" s="2" t="s">
        <v>6442</v>
      </c>
      <c r="B3086" s="2" t="s">
        <v>6443</v>
      </c>
      <c r="C3086" s="2" t="n">
        <v>5</v>
      </c>
      <c r="D3086" s="2" t="s">
        <v>90</v>
      </c>
      <c r="E3086" s="2" t="s">
        <v>5812</v>
      </c>
      <c r="F3086" s="3" t="n">
        <v>45962.6819444444</v>
      </c>
      <c r="G3086" s="2" t="s">
        <v>6431</v>
      </c>
      <c r="H3086" s="4" t="n">
        <v>0.6249</v>
      </c>
      <c r="I3086" s="2" t="s">
        <v>23</v>
      </c>
      <c r="J3086" s="2" t="s">
        <v>37</v>
      </c>
      <c r="K3086" s="2" t="n">
        <v>3</v>
      </c>
      <c r="L3086" s="2" t="n">
        <v>0</v>
      </c>
      <c r="M3086" s="2" t="n">
        <v>0</v>
      </c>
    </row>
    <row r="3087" customFormat="false" ht="15" hidden="false" customHeight="false" outlineLevel="0" collapsed="false">
      <c r="A3087" s="2" t="s">
        <v>6444</v>
      </c>
      <c r="B3087" s="2" t="s">
        <v>6445</v>
      </c>
      <c r="C3087" s="2" t="n">
        <v>1</v>
      </c>
      <c r="D3087" s="2" t="s">
        <v>83</v>
      </c>
      <c r="E3087" s="2" t="s">
        <v>5812</v>
      </c>
      <c r="F3087" s="3" t="n">
        <v>45962.7736111111</v>
      </c>
      <c r="G3087" s="2" t="s">
        <v>6431</v>
      </c>
      <c r="H3087" s="4" t="n">
        <v>-0.6166</v>
      </c>
      <c r="I3087" s="2" t="s">
        <v>84</v>
      </c>
      <c r="J3087" s="2" t="s">
        <v>59</v>
      </c>
      <c r="K3087" s="2" t="n">
        <v>6</v>
      </c>
      <c r="L3087" s="2" t="n">
        <v>1</v>
      </c>
      <c r="M3087" s="2" t="n">
        <v>0</v>
      </c>
    </row>
    <row r="3088" customFormat="false" ht="15" hidden="false" customHeight="false" outlineLevel="0" collapsed="false">
      <c r="A3088" s="2" t="s">
        <v>6446</v>
      </c>
      <c r="B3088" s="2" t="s">
        <v>6447</v>
      </c>
      <c r="C3088" s="2" t="n">
        <v>1</v>
      </c>
      <c r="D3088" s="2" t="s">
        <v>109</v>
      </c>
      <c r="E3088" s="2" t="s">
        <v>5812</v>
      </c>
      <c r="F3088" s="3" t="n">
        <v>45962.8513888889</v>
      </c>
      <c r="G3088" s="2" t="s">
        <v>6431</v>
      </c>
      <c r="H3088" s="4" t="n">
        <v>0</v>
      </c>
      <c r="I3088" s="2" t="s">
        <v>18</v>
      </c>
      <c r="J3088" s="2" t="s">
        <v>110</v>
      </c>
      <c r="K3088" s="2" t="n">
        <v>7</v>
      </c>
      <c r="L3088" s="2" t="n">
        <v>0</v>
      </c>
      <c r="M3088" s="2" t="n">
        <v>0</v>
      </c>
    </row>
    <row r="3089" customFormat="false" ht="15" hidden="false" customHeight="false" outlineLevel="0" collapsed="false">
      <c r="A3089" s="2" t="s">
        <v>6448</v>
      </c>
      <c r="B3089" s="2" t="s">
        <v>6449</v>
      </c>
      <c r="C3089" s="2" t="n">
        <v>2</v>
      </c>
      <c r="D3089" s="2" t="s">
        <v>6450</v>
      </c>
      <c r="E3089" s="2" t="s">
        <v>5812</v>
      </c>
      <c r="F3089" s="3" t="n">
        <v>45962.91875</v>
      </c>
      <c r="G3089" s="2" t="s">
        <v>6431</v>
      </c>
      <c r="H3089" s="4" t="n">
        <v>-0.6166</v>
      </c>
      <c r="I3089" s="2" t="s">
        <v>84</v>
      </c>
      <c r="J3089" s="2" t="s">
        <v>59</v>
      </c>
      <c r="K3089" s="2" t="n">
        <v>6</v>
      </c>
      <c r="L3089" s="2" t="n">
        <v>1</v>
      </c>
      <c r="M3089" s="2" t="n">
        <v>0</v>
      </c>
    </row>
    <row r="3090" customFormat="false" ht="15" hidden="false" customHeight="false" outlineLevel="0" collapsed="false">
      <c r="A3090" s="2" t="s">
        <v>6451</v>
      </c>
      <c r="B3090" s="2" t="s">
        <v>6452</v>
      </c>
      <c r="C3090" s="2" t="n">
        <v>4</v>
      </c>
      <c r="D3090" s="2" t="s">
        <v>96</v>
      </c>
      <c r="E3090" s="2" t="s">
        <v>5812</v>
      </c>
      <c r="F3090" s="3" t="n">
        <v>45962.9680555556</v>
      </c>
      <c r="G3090" s="2" t="s">
        <v>6431</v>
      </c>
      <c r="H3090" s="4" t="n">
        <v>0.6369</v>
      </c>
      <c r="I3090" s="2" t="s">
        <v>23</v>
      </c>
      <c r="J3090" s="2" t="s">
        <v>19</v>
      </c>
      <c r="K3090" s="2" t="n">
        <v>0</v>
      </c>
      <c r="L3090" s="2" t="n">
        <v>0</v>
      </c>
      <c r="M3090" s="2" t="n">
        <v>0</v>
      </c>
    </row>
    <row r="3091" customFormat="false" ht="15" hidden="false" customHeight="false" outlineLevel="0" collapsed="false">
      <c r="A3091" s="2" t="s">
        <v>6453</v>
      </c>
      <c r="B3091" s="2" t="s">
        <v>6454</v>
      </c>
      <c r="C3091" s="2" t="n">
        <v>4</v>
      </c>
      <c r="D3091" s="2" t="s">
        <v>40</v>
      </c>
      <c r="E3091" s="2" t="s">
        <v>5812</v>
      </c>
      <c r="F3091" s="3" t="n">
        <v>45963.0402777778</v>
      </c>
      <c r="G3091" s="2" t="s">
        <v>6431</v>
      </c>
      <c r="H3091" s="4" t="n">
        <v>0.4019</v>
      </c>
      <c r="I3091" s="2" t="s">
        <v>23</v>
      </c>
      <c r="J3091" s="2" t="s">
        <v>33</v>
      </c>
      <c r="K3091" s="2" t="n">
        <v>2</v>
      </c>
      <c r="L3091" s="2" t="n">
        <v>0</v>
      </c>
      <c r="M3091" s="2" t="n">
        <v>0</v>
      </c>
    </row>
    <row r="3092" customFormat="false" ht="15" hidden="false" customHeight="false" outlineLevel="0" collapsed="false">
      <c r="A3092" s="2" t="s">
        <v>6455</v>
      </c>
      <c r="B3092" s="2" t="s">
        <v>6456</v>
      </c>
      <c r="C3092" s="2" t="n">
        <v>4</v>
      </c>
      <c r="D3092" s="2" t="s">
        <v>1797</v>
      </c>
      <c r="E3092" s="2" t="s">
        <v>5812</v>
      </c>
      <c r="F3092" s="3" t="n">
        <v>45963.1743055556</v>
      </c>
      <c r="G3092" s="2" t="s">
        <v>6431</v>
      </c>
      <c r="H3092" s="4" t="n">
        <v>0.4019</v>
      </c>
      <c r="I3092" s="2" t="s">
        <v>23</v>
      </c>
      <c r="J3092" s="2" t="s">
        <v>33</v>
      </c>
      <c r="K3092" s="2" t="n">
        <v>0</v>
      </c>
      <c r="L3092" s="2" t="n">
        <v>0</v>
      </c>
      <c r="M3092" s="2" t="n">
        <v>0</v>
      </c>
    </row>
    <row r="3093" customFormat="false" ht="15" hidden="false" customHeight="false" outlineLevel="0" collapsed="false">
      <c r="A3093" s="2" t="s">
        <v>6457</v>
      </c>
      <c r="B3093" s="2" t="s">
        <v>6458</v>
      </c>
      <c r="C3093" s="2" t="n">
        <v>1</v>
      </c>
      <c r="D3093" s="2" t="s">
        <v>721</v>
      </c>
      <c r="E3093" s="2" t="s">
        <v>5812</v>
      </c>
      <c r="F3093" s="3" t="n">
        <v>45963.1993055556</v>
      </c>
      <c r="G3093" s="2" t="s">
        <v>6431</v>
      </c>
      <c r="H3093" s="4" t="n">
        <v>-0.4588</v>
      </c>
      <c r="I3093" s="2" t="s">
        <v>84</v>
      </c>
      <c r="J3093" s="2" t="s">
        <v>37</v>
      </c>
      <c r="K3093" s="2" t="n">
        <v>1</v>
      </c>
      <c r="L3093" s="2" t="n">
        <v>1</v>
      </c>
      <c r="M3093" s="2" t="n">
        <v>0</v>
      </c>
    </row>
    <row r="3094" customFormat="false" ht="15" hidden="false" customHeight="false" outlineLevel="0" collapsed="false">
      <c r="A3094" s="2" t="s">
        <v>6459</v>
      </c>
      <c r="B3094" s="2" t="s">
        <v>6460</v>
      </c>
      <c r="C3094" s="2" t="n">
        <v>4</v>
      </c>
      <c r="D3094" s="2" t="s">
        <v>90</v>
      </c>
      <c r="E3094" s="2" t="s">
        <v>5812</v>
      </c>
      <c r="F3094" s="3" t="n">
        <v>45963.2319444444</v>
      </c>
      <c r="G3094" s="2" t="s">
        <v>6431</v>
      </c>
      <c r="H3094" s="4" t="n">
        <v>0.6249</v>
      </c>
      <c r="I3094" s="2" t="s">
        <v>23</v>
      </c>
      <c r="J3094" s="2" t="s">
        <v>37</v>
      </c>
      <c r="K3094" s="2" t="n">
        <v>7</v>
      </c>
      <c r="L3094" s="2" t="n">
        <v>0</v>
      </c>
      <c r="M3094" s="2" t="n">
        <v>0</v>
      </c>
    </row>
    <row r="3095" customFormat="false" ht="15" hidden="false" customHeight="false" outlineLevel="0" collapsed="false">
      <c r="A3095" s="2" t="s">
        <v>6461</v>
      </c>
      <c r="B3095" s="2" t="s">
        <v>6462</v>
      </c>
      <c r="C3095" s="2" t="n">
        <v>4</v>
      </c>
      <c r="D3095" s="2" t="s">
        <v>1286</v>
      </c>
      <c r="E3095" s="2" t="s">
        <v>5812</v>
      </c>
      <c r="F3095" s="3" t="n">
        <v>45963.2854166667</v>
      </c>
      <c r="G3095" s="2" t="s">
        <v>6431</v>
      </c>
      <c r="H3095" s="4" t="n">
        <v>0.4019</v>
      </c>
      <c r="I3095" s="2" t="s">
        <v>23</v>
      </c>
      <c r="J3095" s="2" t="s">
        <v>33</v>
      </c>
      <c r="K3095" s="2" t="n">
        <v>0</v>
      </c>
      <c r="L3095" s="2" t="n">
        <v>0</v>
      </c>
      <c r="M3095" s="2" t="n">
        <v>0</v>
      </c>
    </row>
    <row r="3096" customFormat="false" ht="15" hidden="false" customHeight="false" outlineLevel="0" collapsed="false">
      <c r="A3096" s="2" t="s">
        <v>6463</v>
      </c>
      <c r="B3096" s="2" t="s">
        <v>5781</v>
      </c>
      <c r="C3096" s="2" t="n">
        <v>1</v>
      </c>
      <c r="D3096" s="2" t="s">
        <v>179</v>
      </c>
      <c r="E3096" s="2" t="s">
        <v>5812</v>
      </c>
      <c r="F3096" s="3" t="n">
        <v>45963.3923611111</v>
      </c>
      <c r="G3096" s="2" t="s">
        <v>6431</v>
      </c>
      <c r="H3096" s="4" t="n">
        <v>-0.0258</v>
      </c>
      <c r="I3096" s="2" t="s">
        <v>18</v>
      </c>
      <c r="J3096" s="2" t="s">
        <v>59</v>
      </c>
      <c r="K3096" s="2" t="n">
        <v>4</v>
      </c>
      <c r="L3096" s="2" t="n">
        <v>1</v>
      </c>
      <c r="M3096" s="2" t="n">
        <v>0</v>
      </c>
    </row>
    <row r="3097" customFormat="false" ht="15" hidden="false" customHeight="false" outlineLevel="0" collapsed="false">
      <c r="A3097" s="2" t="s">
        <v>6464</v>
      </c>
      <c r="B3097" s="2" t="s">
        <v>6465</v>
      </c>
      <c r="C3097" s="2" t="n">
        <v>5</v>
      </c>
      <c r="D3097" s="2" t="s">
        <v>62</v>
      </c>
      <c r="E3097" s="2" t="s">
        <v>5812</v>
      </c>
      <c r="F3097" s="3" t="n">
        <v>45963.5395833333</v>
      </c>
      <c r="G3097" s="2" t="s">
        <v>6431</v>
      </c>
      <c r="H3097" s="4" t="n">
        <v>0.7088</v>
      </c>
      <c r="I3097" s="2" t="s">
        <v>23</v>
      </c>
      <c r="J3097" s="2" t="s">
        <v>19</v>
      </c>
      <c r="K3097" s="2" t="n">
        <v>1</v>
      </c>
      <c r="L3097" s="2" t="n">
        <v>0</v>
      </c>
      <c r="M3097" s="2" t="n">
        <v>0</v>
      </c>
    </row>
    <row r="3098" customFormat="false" ht="15" hidden="false" customHeight="false" outlineLevel="0" collapsed="false">
      <c r="A3098" s="2" t="s">
        <v>6466</v>
      </c>
      <c r="B3098" s="2" t="s">
        <v>6467</v>
      </c>
      <c r="C3098" s="2" t="n">
        <v>4</v>
      </c>
      <c r="D3098" s="2" t="s">
        <v>22</v>
      </c>
      <c r="E3098" s="2" t="s">
        <v>5812</v>
      </c>
      <c r="F3098" s="3" t="n">
        <v>45963.5777777778</v>
      </c>
      <c r="G3098" s="2" t="s">
        <v>6431</v>
      </c>
      <c r="H3098" s="4" t="n">
        <v>0.2023</v>
      </c>
      <c r="I3098" s="2" t="s">
        <v>23</v>
      </c>
      <c r="J3098" s="2" t="s">
        <v>19</v>
      </c>
      <c r="K3098" s="2" t="n">
        <v>0</v>
      </c>
      <c r="L3098" s="2" t="n">
        <v>0</v>
      </c>
      <c r="M3098" s="2" t="n">
        <v>0</v>
      </c>
    </row>
    <row r="3099" customFormat="false" ht="15" hidden="false" customHeight="false" outlineLevel="0" collapsed="false">
      <c r="A3099" s="2" t="s">
        <v>6468</v>
      </c>
      <c r="B3099" s="2" t="s">
        <v>6469</v>
      </c>
      <c r="C3099" s="2" t="n">
        <v>1</v>
      </c>
      <c r="D3099" s="2" t="s">
        <v>482</v>
      </c>
      <c r="E3099" s="2" t="s">
        <v>5812</v>
      </c>
      <c r="F3099" s="3" t="n">
        <v>45963.76875</v>
      </c>
      <c r="G3099" s="2" t="s">
        <v>6431</v>
      </c>
      <c r="H3099" s="4" t="n">
        <v>-0.6808</v>
      </c>
      <c r="I3099" s="2" t="s">
        <v>84</v>
      </c>
      <c r="J3099" s="2" t="s">
        <v>110</v>
      </c>
      <c r="K3099" s="2" t="n">
        <v>2</v>
      </c>
      <c r="L3099" s="2" t="n">
        <v>1</v>
      </c>
      <c r="M3099" s="2" t="n">
        <v>0</v>
      </c>
    </row>
    <row r="3100" customFormat="false" ht="15" hidden="false" customHeight="false" outlineLevel="0" collapsed="false">
      <c r="A3100" s="2" t="s">
        <v>6470</v>
      </c>
      <c r="B3100" s="2" t="s">
        <v>6471</v>
      </c>
      <c r="C3100" s="2" t="n">
        <v>5</v>
      </c>
      <c r="D3100" s="2" t="s">
        <v>15</v>
      </c>
      <c r="E3100" s="2" t="s">
        <v>5812</v>
      </c>
      <c r="F3100" s="3" t="n">
        <v>45963.7791666667</v>
      </c>
      <c r="G3100" s="2" t="s">
        <v>6431</v>
      </c>
      <c r="H3100" s="4" t="n">
        <v>0</v>
      </c>
      <c r="I3100" s="2" t="s">
        <v>18</v>
      </c>
      <c r="J3100" s="2" t="s">
        <v>19</v>
      </c>
      <c r="K3100" s="2" t="n">
        <v>0</v>
      </c>
      <c r="L3100" s="2" t="n">
        <v>0</v>
      </c>
      <c r="M3100" s="2" t="n">
        <v>0</v>
      </c>
    </row>
    <row r="3101" customFormat="false" ht="15" hidden="false" customHeight="false" outlineLevel="0" collapsed="false">
      <c r="A3101" s="2" t="s">
        <v>6472</v>
      </c>
      <c r="B3101" s="2" t="s">
        <v>6473</v>
      </c>
      <c r="C3101" s="2" t="n">
        <v>5</v>
      </c>
      <c r="D3101" s="2" t="s">
        <v>692</v>
      </c>
      <c r="E3101" s="2" t="s">
        <v>5812</v>
      </c>
      <c r="F3101" s="3" t="n">
        <v>45963.90625</v>
      </c>
      <c r="G3101" s="2" t="s">
        <v>6431</v>
      </c>
      <c r="H3101" s="4" t="n">
        <v>0.9516</v>
      </c>
      <c r="I3101" s="2" t="s">
        <v>23</v>
      </c>
      <c r="J3101" s="2" t="s">
        <v>37</v>
      </c>
      <c r="K3101" s="2" t="n">
        <v>12</v>
      </c>
      <c r="L3101" s="2" t="n">
        <v>0</v>
      </c>
      <c r="M3101" s="2" t="n">
        <v>0</v>
      </c>
    </row>
    <row r="3102" customFormat="false" ht="15" hidden="false" customHeight="false" outlineLevel="0" collapsed="false">
      <c r="A3102" s="2" t="s">
        <v>6474</v>
      </c>
      <c r="B3102" s="2" t="s">
        <v>6475</v>
      </c>
      <c r="C3102" s="2" t="n">
        <v>2</v>
      </c>
      <c r="D3102" s="2" t="s">
        <v>6476</v>
      </c>
      <c r="E3102" s="2" t="s">
        <v>5812</v>
      </c>
      <c r="F3102" s="3" t="n">
        <v>45963.9701388889</v>
      </c>
      <c r="G3102" s="2" t="s">
        <v>6431</v>
      </c>
      <c r="H3102" s="4" t="n">
        <v>0.4404</v>
      </c>
      <c r="I3102" s="2" t="s">
        <v>23</v>
      </c>
      <c r="J3102" s="2" t="s">
        <v>165</v>
      </c>
      <c r="K3102" s="2" t="n">
        <v>1</v>
      </c>
      <c r="L3102" s="2" t="n">
        <v>0</v>
      </c>
      <c r="M3102" s="2" t="n">
        <v>0</v>
      </c>
    </row>
    <row r="3103" customFormat="false" ht="15" hidden="false" customHeight="false" outlineLevel="0" collapsed="false">
      <c r="A3103" s="2" t="s">
        <v>6477</v>
      </c>
      <c r="B3103" s="2" t="s">
        <v>6478</v>
      </c>
      <c r="C3103" s="2" t="n">
        <v>5</v>
      </c>
      <c r="D3103" s="2" t="s">
        <v>15</v>
      </c>
      <c r="E3103" s="2" t="s">
        <v>5812</v>
      </c>
      <c r="F3103" s="3" t="n">
        <v>45963.9888888889</v>
      </c>
      <c r="G3103" s="2" t="s">
        <v>6431</v>
      </c>
      <c r="H3103" s="4" t="n">
        <v>0</v>
      </c>
      <c r="I3103" s="2" t="s">
        <v>18</v>
      </c>
      <c r="J3103" s="2" t="s">
        <v>19</v>
      </c>
      <c r="K3103" s="2" t="n">
        <v>1</v>
      </c>
      <c r="L3103" s="2" t="n">
        <v>0</v>
      </c>
      <c r="M3103" s="2" t="n">
        <v>0</v>
      </c>
    </row>
    <row r="3104" customFormat="false" ht="15" hidden="false" customHeight="false" outlineLevel="0" collapsed="false">
      <c r="A3104" s="2" t="s">
        <v>6479</v>
      </c>
      <c r="B3104" s="2" t="s">
        <v>6480</v>
      </c>
      <c r="C3104" s="2" t="n">
        <v>5</v>
      </c>
      <c r="D3104" s="2" t="s">
        <v>90</v>
      </c>
      <c r="E3104" s="2" t="s">
        <v>5812</v>
      </c>
      <c r="F3104" s="3" t="n">
        <v>45964.1819444444</v>
      </c>
      <c r="G3104" s="2" t="s">
        <v>6431</v>
      </c>
      <c r="H3104" s="4" t="n">
        <v>0.6249</v>
      </c>
      <c r="I3104" s="2" t="s">
        <v>23</v>
      </c>
      <c r="J3104" s="2" t="s">
        <v>37</v>
      </c>
      <c r="K3104" s="2" t="n">
        <v>1</v>
      </c>
      <c r="L3104" s="2" t="n">
        <v>0</v>
      </c>
      <c r="M3104" s="2" t="n">
        <v>0</v>
      </c>
    </row>
    <row r="3105" customFormat="false" ht="15" hidden="false" customHeight="false" outlineLevel="0" collapsed="false">
      <c r="A3105" s="2" t="s">
        <v>6481</v>
      </c>
      <c r="B3105" s="2" t="s">
        <v>6482</v>
      </c>
      <c r="C3105" s="2" t="n">
        <v>5</v>
      </c>
      <c r="D3105" s="2" t="s">
        <v>15</v>
      </c>
      <c r="E3105" s="2" t="s">
        <v>5812</v>
      </c>
      <c r="F3105" s="3" t="n">
        <v>45964.2055555556</v>
      </c>
      <c r="G3105" s="2" t="s">
        <v>6431</v>
      </c>
      <c r="H3105" s="4" t="n">
        <v>0</v>
      </c>
      <c r="I3105" s="2" t="s">
        <v>18</v>
      </c>
      <c r="J3105" s="2" t="s">
        <v>19</v>
      </c>
      <c r="K3105" s="2" t="n">
        <v>4</v>
      </c>
      <c r="L3105" s="2" t="n">
        <v>0</v>
      </c>
      <c r="M3105" s="2" t="n">
        <v>0</v>
      </c>
    </row>
    <row r="3106" customFormat="false" ht="15" hidden="false" customHeight="false" outlineLevel="0" collapsed="false">
      <c r="A3106" s="2" t="s">
        <v>6483</v>
      </c>
      <c r="B3106" s="2" t="s">
        <v>6484</v>
      </c>
      <c r="C3106" s="2" t="n">
        <v>5</v>
      </c>
      <c r="D3106" s="2" t="s">
        <v>96</v>
      </c>
      <c r="E3106" s="2" t="s">
        <v>5812</v>
      </c>
      <c r="F3106" s="3" t="n">
        <v>45964.2340277778</v>
      </c>
      <c r="G3106" s="2" t="s">
        <v>6431</v>
      </c>
      <c r="H3106" s="4" t="n">
        <v>0.6369</v>
      </c>
      <c r="I3106" s="2" t="s">
        <v>23</v>
      </c>
      <c r="J3106" s="2" t="s">
        <v>19</v>
      </c>
      <c r="K3106" s="2" t="n">
        <v>1</v>
      </c>
      <c r="L3106" s="2" t="n">
        <v>0</v>
      </c>
      <c r="M3106" s="2" t="n">
        <v>0</v>
      </c>
    </row>
    <row r="3107" customFormat="false" ht="15" hidden="false" customHeight="false" outlineLevel="0" collapsed="false">
      <c r="A3107" s="2" t="s">
        <v>6485</v>
      </c>
      <c r="B3107" s="2" t="s">
        <v>6486</v>
      </c>
      <c r="C3107" s="2" t="n">
        <v>1</v>
      </c>
      <c r="D3107" s="2" t="s">
        <v>455</v>
      </c>
      <c r="E3107" s="2" t="s">
        <v>5812</v>
      </c>
      <c r="F3107" s="3" t="n">
        <v>45964.2666666667</v>
      </c>
      <c r="G3107" s="2" t="s">
        <v>6431</v>
      </c>
      <c r="H3107" s="4" t="n">
        <v>-0.2263</v>
      </c>
      <c r="I3107" s="2" t="s">
        <v>84</v>
      </c>
      <c r="J3107" s="2" t="s">
        <v>165</v>
      </c>
      <c r="K3107" s="2" t="n">
        <v>3</v>
      </c>
      <c r="L3107" s="2" t="n">
        <v>0</v>
      </c>
      <c r="M3107" s="2" t="n">
        <v>0</v>
      </c>
    </row>
    <row r="3108" customFormat="false" ht="15" hidden="false" customHeight="false" outlineLevel="0" collapsed="false">
      <c r="A3108" s="2" t="s">
        <v>6487</v>
      </c>
      <c r="B3108" s="2" t="s">
        <v>6488</v>
      </c>
      <c r="C3108" s="2" t="n">
        <v>4</v>
      </c>
      <c r="D3108" s="2" t="s">
        <v>40</v>
      </c>
      <c r="E3108" s="2" t="s">
        <v>5812</v>
      </c>
      <c r="F3108" s="3" t="n">
        <v>45964.2722222222</v>
      </c>
      <c r="G3108" s="2" t="s">
        <v>6431</v>
      </c>
      <c r="H3108" s="4" t="n">
        <v>0.4019</v>
      </c>
      <c r="I3108" s="2" t="s">
        <v>23</v>
      </c>
      <c r="J3108" s="2" t="s">
        <v>33</v>
      </c>
      <c r="K3108" s="2" t="n">
        <v>2</v>
      </c>
      <c r="L3108" s="2" t="n">
        <v>0</v>
      </c>
      <c r="M3108" s="2" t="n">
        <v>0</v>
      </c>
    </row>
    <row r="3109" customFormat="false" ht="15" hidden="false" customHeight="false" outlineLevel="0" collapsed="false">
      <c r="A3109" s="2" t="s">
        <v>6489</v>
      </c>
      <c r="B3109" s="2" t="s">
        <v>6490</v>
      </c>
      <c r="C3109" s="2" t="n">
        <v>5</v>
      </c>
      <c r="D3109" s="2" t="s">
        <v>15</v>
      </c>
      <c r="E3109" s="2" t="s">
        <v>5812</v>
      </c>
      <c r="F3109" s="3" t="n">
        <v>45964.3423611111</v>
      </c>
      <c r="G3109" s="2" t="s">
        <v>6431</v>
      </c>
      <c r="H3109" s="4" t="n">
        <v>0</v>
      </c>
      <c r="I3109" s="2" t="s">
        <v>18</v>
      </c>
      <c r="J3109" s="2" t="s">
        <v>19</v>
      </c>
      <c r="K3109" s="2" t="n">
        <v>0</v>
      </c>
      <c r="L3109" s="2" t="n">
        <v>0</v>
      </c>
      <c r="M3109" s="2" t="n">
        <v>0</v>
      </c>
    </row>
    <row r="3110" customFormat="false" ht="15" hidden="false" customHeight="false" outlineLevel="0" collapsed="false">
      <c r="A3110" s="2" t="s">
        <v>6491</v>
      </c>
      <c r="B3110" s="2" t="s">
        <v>6492</v>
      </c>
      <c r="C3110" s="2" t="n">
        <v>4</v>
      </c>
      <c r="D3110" s="2" t="s">
        <v>1167</v>
      </c>
      <c r="E3110" s="2" t="s">
        <v>5812</v>
      </c>
      <c r="F3110" s="3" t="n">
        <v>45964.55</v>
      </c>
      <c r="G3110" s="2" t="s">
        <v>6431</v>
      </c>
      <c r="H3110" s="4" t="n">
        <v>0.8519</v>
      </c>
      <c r="I3110" s="2" t="s">
        <v>23</v>
      </c>
      <c r="J3110" s="2" t="s">
        <v>37</v>
      </c>
      <c r="K3110" s="2" t="n">
        <v>2</v>
      </c>
      <c r="L3110" s="2" t="n">
        <v>0</v>
      </c>
      <c r="M3110" s="2" t="n">
        <v>0</v>
      </c>
    </row>
    <row r="3111" customFormat="false" ht="15" hidden="false" customHeight="false" outlineLevel="0" collapsed="false">
      <c r="A3111" s="2" t="s">
        <v>6493</v>
      </c>
      <c r="B3111" s="2" t="s">
        <v>6494</v>
      </c>
      <c r="C3111" s="2" t="n">
        <v>5</v>
      </c>
      <c r="D3111" s="2" t="s">
        <v>90</v>
      </c>
      <c r="E3111" s="2" t="s">
        <v>5812</v>
      </c>
      <c r="F3111" s="3" t="n">
        <v>45964.5611111111</v>
      </c>
      <c r="G3111" s="2" t="s">
        <v>6431</v>
      </c>
      <c r="H3111" s="4" t="n">
        <v>0.6249</v>
      </c>
      <c r="I3111" s="2" t="s">
        <v>23</v>
      </c>
      <c r="J3111" s="2" t="s">
        <v>37</v>
      </c>
      <c r="K3111" s="2" t="n">
        <v>6</v>
      </c>
      <c r="L3111" s="2" t="n">
        <v>0</v>
      </c>
      <c r="M3111" s="2" t="n">
        <v>0</v>
      </c>
    </row>
    <row r="3112" customFormat="false" ht="15" hidden="false" customHeight="false" outlineLevel="0" collapsed="false">
      <c r="A3112" s="2" t="s">
        <v>6495</v>
      </c>
      <c r="B3112" s="2" t="s">
        <v>6496</v>
      </c>
      <c r="C3112" s="2" t="n">
        <v>5</v>
      </c>
      <c r="D3112" s="2" t="s">
        <v>40</v>
      </c>
      <c r="E3112" s="2" t="s">
        <v>5812</v>
      </c>
      <c r="F3112" s="3" t="n">
        <v>45964.6159722222</v>
      </c>
      <c r="G3112" s="2" t="s">
        <v>6431</v>
      </c>
      <c r="H3112" s="4" t="n">
        <v>0.4019</v>
      </c>
      <c r="I3112" s="2" t="s">
        <v>23</v>
      </c>
      <c r="J3112" s="2" t="s">
        <v>33</v>
      </c>
      <c r="K3112" s="2" t="n">
        <v>1</v>
      </c>
      <c r="L3112" s="2" t="n">
        <v>0</v>
      </c>
      <c r="M3112" s="2" t="n">
        <v>0</v>
      </c>
    </row>
    <row r="3113" customFormat="false" ht="15" hidden="false" customHeight="false" outlineLevel="0" collapsed="false">
      <c r="A3113" s="2" t="s">
        <v>6497</v>
      </c>
      <c r="B3113" s="2" t="s">
        <v>6498</v>
      </c>
      <c r="C3113" s="2" t="n">
        <v>1</v>
      </c>
      <c r="D3113" s="2" t="s">
        <v>58</v>
      </c>
      <c r="E3113" s="2" t="s">
        <v>5812</v>
      </c>
      <c r="F3113" s="3" t="n">
        <v>45964.6180555556</v>
      </c>
      <c r="G3113" s="2" t="s">
        <v>6431</v>
      </c>
      <c r="H3113" s="4" t="n">
        <v>0</v>
      </c>
      <c r="I3113" s="2" t="s">
        <v>18</v>
      </c>
      <c r="J3113" s="2" t="s">
        <v>59</v>
      </c>
      <c r="K3113" s="2" t="n">
        <v>4</v>
      </c>
      <c r="L3113" s="2" t="n">
        <v>1</v>
      </c>
      <c r="M3113" s="2" t="n">
        <v>0</v>
      </c>
    </row>
    <row r="3114" customFormat="false" ht="15" hidden="false" customHeight="false" outlineLevel="0" collapsed="false">
      <c r="A3114" s="2" t="s">
        <v>6499</v>
      </c>
      <c r="B3114" s="2" t="s">
        <v>6500</v>
      </c>
      <c r="C3114" s="2" t="n">
        <v>4</v>
      </c>
      <c r="D3114" s="2" t="s">
        <v>76</v>
      </c>
      <c r="E3114" s="2" t="s">
        <v>5812</v>
      </c>
      <c r="F3114" s="3" t="n">
        <v>45964.6256944445</v>
      </c>
      <c r="G3114" s="2" t="s">
        <v>6431</v>
      </c>
      <c r="H3114" s="4" t="n">
        <v>0.607</v>
      </c>
      <c r="I3114" s="2" t="s">
        <v>23</v>
      </c>
      <c r="J3114" s="2" t="s">
        <v>33</v>
      </c>
      <c r="K3114" s="2" t="n">
        <v>1</v>
      </c>
      <c r="L3114" s="2" t="n">
        <v>0</v>
      </c>
      <c r="M3114" s="2" t="n">
        <v>0</v>
      </c>
    </row>
    <row r="3115" customFormat="false" ht="15" hidden="false" customHeight="false" outlineLevel="0" collapsed="false">
      <c r="A3115" s="2" t="s">
        <v>6501</v>
      </c>
      <c r="B3115" s="2" t="s">
        <v>6502</v>
      </c>
      <c r="C3115" s="2" t="n">
        <v>5</v>
      </c>
      <c r="D3115" s="2" t="s">
        <v>127</v>
      </c>
      <c r="E3115" s="2" t="s">
        <v>5812</v>
      </c>
      <c r="F3115" s="3" t="n">
        <v>45964.6423611111</v>
      </c>
      <c r="G3115" s="2" t="s">
        <v>6431</v>
      </c>
      <c r="H3115" s="4" t="n">
        <v>0.9359</v>
      </c>
      <c r="I3115" s="2" t="s">
        <v>23</v>
      </c>
      <c r="J3115" s="2" t="s">
        <v>37</v>
      </c>
      <c r="K3115" s="2" t="n">
        <v>0</v>
      </c>
      <c r="L3115" s="2" t="n">
        <v>0</v>
      </c>
      <c r="M3115" s="2" t="n">
        <v>0</v>
      </c>
    </row>
    <row r="3116" customFormat="false" ht="15" hidden="false" customHeight="false" outlineLevel="0" collapsed="false">
      <c r="A3116" s="2" t="s">
        <v>6503</v>
      </c>
      <c r="B3116" s="2" t="s">
        <v>6504</v>
      </c>
      <c r="C3116" s="2" t="n">
        <v>5</v>
      </c>
      <c r="D3116" s="2" t="s">
        <v>15</v>
      </c>
      <c r="E3116" s="2" t="s">
        <v>5812</v>
      </c>
      <c r="F3116" s="3" t="n">
        <v>45964.7388888889</v>
      </c>
      <c r="G3116" s="2" t="s">
        <v>6431</v>
      </c>
      <c r="H3116" s="4" t="n">
        <v>0</v>
      </c>
      <c r="I3116" s="2" t="s">
        <v>18</v>
      </c>
      <c r="J3116" s="2" t="s">
        <v>19</v>
      </c>
      <c r="K3116" s="2" t="n">
        <v>4</v>
      </c>
      <c r="L3116" s="2" t="n">
        <v>0</v>
      </c>
      <c r="M3116" s="2" t="n">
        <v>0</v>
      </c>
    </row>
    <row r="3117" customFormat="false" ht="15" hidden="false" customHeight="false" outlineLevel="0" collapsed="false">
      <c r="A3117" s="2" t="s">
        <v>6505</v>
      </c>
      <c r="B3117" s="2" t="s">
        <v>6506</v>
      </c>
      <c r="C3117" s="2" t="n">
        <v>4</v>
      </c>
      <c r="D3117" s="2" t="s">
        <v>87</v>
      </c>
      <c r="E3117" s="2" t="s">
        <v>5812</v>
      </c>
      <c r="F3117" s="3" t="n">
        <v>45964.7402777778</v>
      </c>
      <c r="G3117" s="2" t="s">
        <v>6431</v>
      </c>
      <c r="H3117" s="4" t="n">
        <v>0</v>
      </c>
      <c r="I3117" s="2" t="s">
        <v>18</v>
      </c>
      <c r="J3117" s="2" t="s">
        <v>19</v>
      </c>
      <c r="K3117" s="2" t="n">
        <v>0</v>
      </c>
      <c r="L3117" s="2" t="n">
        <v>0</v>
      </c>
      <c r="M3117" s="2" t="n">
        <v>0</v>
      </c>
    </row>
    <row r="3118" customFormat="false" ht="15" hidden="false" customHeight="false" outlineLevel="0" collapsed="false">
      <c r="A3118" s="2" t="s">
        <v>6507</v>
      </c>
      <c r="B3118" s="2" t="s">
        <v>6508</v>
      </c>
      <c r="C3118" s="2" t="n">
        <v>1</v>
      </c>
      <c r="D3118" s="2" t="s">
        <v>804</v>
      </c>
      <c r="E3118" s="2" t="s">
        <v>5812</v>
      </c>
      <c r="F3118" s="3" t="n">
        <v>45964.9277777778</v>
      </c>
      <c r="G3118" s="2" t="s">
        <v>6431</v>
      </c>
      <c r="H3118" s="4" t="n">
        <v>0.2263</v>
      </c>
      <c r="I3118" s="2" t="s">
        <v>23</v>
      </c>
      <c r="J3118" s="2" t="s">
        <v>37</v>
      </c>
      <c r="K3118" s="2" t="n">
        <v>5</v>
      </c>
      <c r="L3118" s="2" t="n">
        <v>0</v>
      </c>
      <c r="M3118" s="2" t="n">
        <v>0</v>
      </c>
    </row>
    <row r="3119" customFormat="false" ht="15" hidden="false" customHeight="false" outlineLevel="0" collapsed="false">
      <c r="A3119" s="2" t="s">
        <v>6509</v>
      </c>
      <c r="B3119" s="2" t="s">
        <v>6510</v>
      </c>
      <c r="C3119" s="2" t="n">
        <v>3</v>
      </c>
      <c r="D3119" s="2" t="s">
        <v>22</v>
      </c>
      <c r="E3119" s="2" t="s">
        <v>5812</v>
      </c>
      <c r="F3119" s="3" t="n">
        <v>45964.9993055556</v>
      </c>
      <c r="G3119" s="2" t="s">
        <v>6431</v>
      </c>
      <c r="H3119" s="4" t="n">
        <v>0.2023</v>
      </c>
      <c r="I3119" s="2" t="s">
        <v>23</v>
      </c>
      <c r="J3119" s="2" t="s">
        <v>19</v>
      </c>
      <c r="K3119" s="2" t="n">
        <v>6</v>
      </c>
      <c r="L3119" s="2" t="n">
        <v>0</v>
      </c>
      <c r="M3119" s="2" t="n">
        <v>0</v>
      </c>
    </row>
    <row r="3120" customFormat="false" ht="15" hidden="false" customHeight="false" outlineLevel="0" collapsed="false">
      <c r="A3120" s="2" t="s">
        <v>6511</v>
      </c>
      <c r="B3120" s="2" t="s">
        <v>6512</v>
      </c>
      <c r="C3120" s="2" t="n">
        <v>4</v>
      </c>
      <c r="D3120" s="2" t="s">
        <v>87</v>
      </c>
      <c r="E3120" s="2" t="s">
        <v>5812</v>
      </c>
      <c r="F3120" s="3" t="n">
        <v>45965.075</v>
      </c>
      <c r="G3120" s="2" t="s">
        <v>6431</v>
      </c>
      <c r="H3120" s="4" t="n">
        <v>0</v>
      </c>
      <c r="I3120" s="2" t="s">
        <v>18</v>
      </c>
      <c r="J3120" s="2" t="s">
        <v>19</v>
      </c>
      <c r="K3120" s="2" t="n">
        <v>1</v>
      </c>
      <c r="L3120" s="2" t="n">
        <v>0</v>
      </c>
      <c r="M3120" s="2" t="n">
        <v>0</v>
      </c>
    </row>
    <row r="3121" customFormat="false" ht="15" hidden="false" customHeight="false" outlineLevel="0" collapsed="false">
      <c r="A3121" s="2" t="s">
        <v>6513</v>
      </c>
      <c r="B3121" s="2" t="s">
        <v>6514</v>
      </c>
      <c r="C3121" s="2" t="n">
        <v>5</v>
      </c>
      <c r="D3121" s="2" t="s">
        <v>15</v>
      </c>
      <c r="E3121" s="2" t="s">
        <v>5812</v>
      </c>
      <c r="F3121" s="3" t="n">
        <v>45965.1618055556</v>
      </c>
      <c r="G3121" s="2" t="s">
        <v>6431</v>
      </c>
      <c r="H3121" s="4" t="n">
        <v>0</v>
      </c>
      <c r="I3121" s="2" t="s">
        <v>18</v>
      </c>
      <c r="J3121" s="2" t="s">
        <v>19</v>
      </c>
      <c r="K3121" s="2" t="n">
        <v>1</v>
      </c>
      <c r="L3121" s="2" t="n">
        <v>0</v>
      </c>
      <c r="M3121" s="2" t="n">
        <v>0</v>
      </c>
    </row>
    <row r="3122" customFormat="false" ht="15" hidden="false" customHeight="false" outlineLevel="0" collapsed="false">
      <c r="A3122" s="2" t="s">
        <v>6515</v>
      </c>
      <c r="B3122" s="2" t="s">
        <v>6516</v>
      </c>
      <c r="C3122" s="2" t="n">
        <v>2</v>
      </c>
      <c r="D3122" s="2" t="s">
        <v>823</v>
      </c>
      <c r="E3122" s="2" t="s">
        <v>5812</v>
      </c>
      <c r="F3122" s="3" t="n">
        <v>45965.4104166667</v>
      </c>
      <c r="G3122" s="2" t="s">
        <v>6431</v>
      </c>
      <c r="H3122" s="4" t="n">
        <v>-0.6997</v>
      </c>
      <c r="I3122" s="2" t="s">
        <v>84</v>
      </c>
      <c r="J3122" s="2" t="s">
        <v>19</v>
      </c>
      <c r="K3122" s="2" t="n">
        <v>1</v>
      </c>
      <c r="L3122" s="2" t="n">
        <v>1</v>
      </c>
      <c r="M3122" s="2" t="n">
        <v>0</v>
      </c>
    </row>
    <row r="3123" customFormat="false" ht="15" hidden="false" customHeight="false" outlineLevel="0" collapsed="false">
      <c r="A3123" s="2" t="s">
        <v>6517</v>
      </c>
      <c r="B3123" s="2" t="s">
        <v>6518</v>
      </c>
      <c r="C3123" s="2" t="n">
        <v>3</v>
      </c>
      <c r="D3123" s="2" t="s">
        <v>22</v>
      </c>
      <c r="E3123" s="2" t="s">
        <v>5812</v>
      </c>
      <c r="F3123" s="3" t="n">
        <v>45965.4368055556</v>
      </c>
      <c r="G3123" s="2" t="s">
        <v>6431</v>
      </c>
      <c r="H3123" s="4" t="n">
        <v>0.2023</v>
      </c>
      <c r="I3123" s="2" t="s">
        <v>23</v>
      </c>
      <c r="J3123" s="2" t="s">
        <v>19</v>
      </c>
      <c r="K3123" s="2" t="n">
        <v>5</v>
      </c>
      <c r="L3123" s="2" t="n">
        <v>0</v>
      </c>
      <c r="M3123" s="2" t="n">
        <v>0</v>
      </c>
    </row>
    <row r="3124" customFormat="false" ht="15" hidden="false" customHeight="false" outlineLevel="0" collapsed="false">
      <c r="A3124" s="2" t="s">
        <v>6519</v>
      </c>
      <c r="B3124" s="2" t="s">
        <v>6520</v>
      </c>
      <c r="C3124" s="2" t="n">
        <v>4</v>
      </c>
      <c r="D3124" s="2" t="s">
        <v>22</v>
      </c>
      <c r="E3124" s="2" t="s">
        <v>5812</v>
      </c>
      <c r="F3124" s="3" t="n">
        <v>45965.5590277778</v>
      </c>
      <c r="G3124" s="2" t="s">
        <v>6431</v>
      </c>
      <c r="H3124" s="4" t="n">
        <v>0.2023</v>
      </c>
      <c r="I3124" s="2" t="s">
        <v>23</v>
      </c>
      <c r="J3124" s="2" t="s">
        <v>19</v>
      </c>
      <c r="K3124" s="2" t="n">
        <v>2</v>
      </c>
      <c r="L3124" s="2" t="n">
        <v>0</v>
      </c>
      <c r="M3124" s="2" t="n">
        <v>0</v>
      </c>
    </row>
    <row r="3125" customFormat="false" ht="15" hidden="false" customHeight="false" outlineLevel="0" collapsed="false">
      <c r="A3125" s="2" t="s">
        <v>6521</v>
      </c>
      <c r="B3125" s="2" t="s">
        <v>6522</v>
      </c>
      <c r="C3125" s="2" t="n">
        <v>5</v>
      </c>
      <c r="D3125" s="2" t="s">
        <v>1249</v>
      </c>
      <c r="E3125" s="2" t="s">
        <v>5812</v>
      </c>
      <c r="F3125" s="3" t="n">
        <v>45965.5722222222</v>
      </c>
      <c r="G3125" s="2" t="s">
        <v>6431</v>
      </c>
      <c r="H3125" s="4" t="n">
        <v>0.8519</v>
      </c>
      <c r="I3125" s="2" t="s">
        <v>23</v>
      </c>
      <c r="J3125" s="2" t="s">
        <v>37</v>
      </c>
      <c r="K3125" s="2" t="n">
        <v>1</v>
      </c>
      <c r="L3125" s="2" t="n">
        <v>0</v>
      </c>
      <c r="M3125" s="2" t="n">
        <v>0</v>
      </c>
    </row>
    <row r="3126" customFormat="false" ht="15" hidden="false" customHeight="false" outlineLevel="0" collapsed="false">
      <c r="A3126" s="2" t="s">
        <v>6523</v>
      </c>
      <c r="B3126" s="2" t="s">
        <v>6524</v>
      </c>
      <c r="C3126" s="2" t="n">
        <v>5</v>
      </c>
      <c r="D3126" s="2" t="s">
        <v>47</v>
      </c>
      <c r="E3126" s="2" t="s">
        <v>5812</v>
      </c>
      <c r="F3126" s="3" t="n">
        <v>45965.6034722222</v>
      </c>
      <c r="G3126" s="2" t="s">
        <v>6431</v>
      </c>
      <c r="H3126" s="4" t="n">
        <v>0.3089</v>
      </c>
      <c r="I3126" s="2" t="s">
        <v>23</v>
      </c>
      <c r="J3126" s="2" t="s">
        <v>19</v>
      </c>
      <c r="K3126" s="2" t="n">
        <v>1</v>
      </c>
      <c r="L3126" s="2" t="n">
        <v>0</v>
      </c>
      <c r="M3126" s="2" t="n">
        <v>0</v>
      </c>
    </row>
    <row r="3127" customFormat="false" ht="15" hidden="false" customHeight="false" outlineLevel="0" collapsed="false">
      <c r="A3127" s="2" t="s">
        <v>6525</v>
      </c>
      <c r="B3127" s="2" t="s">
        <v>6526</v>
      </c>
      <c r="C3127" s="2" t="n">
        <v>5</v>
      </c>
      <c r="D3127" s="2" t="s">
        <v>127</v>
      </c>
      <c r="E3127" s="2" t="s">
        <v>5812</v>
      </c>
      <c r="F3127" s="3" t="n">
        <v>45965.7868055556</v>
      </c>
      <c r="G3127" s="2" t="s">
        <v>6431</v>
      </c>
      <c r="H3127" s="4" t="n">
        <v>0.9359</v>
      </c>
      <c r="I3127" s="2" t="s">
        <v>23</v>
      </c>
      <c r="J3127" s="2" t="s">
        <v>37</v>
      </c>
      <c r="K3127" s="2" t="n">
        <v>5</v>
      </c>
      <c r="L3127" s="2" t="n">
        <v>0</v>
      </c>
      <c r="M3127" s="2" t="n">
        <v>0</v>
      </c>
    </row>
    <row r="3128" customFormat="false" ht="15" hidden="false" customHeight="false" outlineLevel="0" collapsed="false">
      <c r="A3128" s="2" t="s">
        <v>6527</v>
      </c>
      <c r="B3128" s="2" t="s">
        <v>6528</v>
      </c>
      <c r="C3128" s="2" t="n">
        <v>4</v>
      </c>
      <c r="D3128" s="2" t="s">
        <v>15</v>
      </c>
      <c r="E3128" s="2" t="s">
        <v>5812</v>
      </c>
      <c r="F3128" s="3" t="n">
        <v>45965.9097222222</v>
      </c>
      <c r="G3128" s="2" t="s">
        <v>6431</v>
      </c>
      <c r="H3128" s="4" t="n">
        <v>0</v>
      </c>
      <c r="I3128" s="2" t="s">
        <v>18</v>
      </c>
      <c r="J3128" s="2" t="s">
        <v>19</v>
      </c>
      <c r="K3128" s="2" t="n">
        <v>0</v>
      </c>
      <c r="L3128" s="2" t="n">
        <v>0</v>
      </c>
      <c r="M3128" s="2" t="n">
        <v>0</v>
      </c>
    </row>
    <row r="3129" customFormat="false" ht="15" hidden="false" customHeight="false" outlineLevel="0" collapsed="false">
      <c r="A3129" s="2" t="s">
        <v>6529</v>
      </c>
      <c r="B3129" s="2" t="s">
        <v>6530</v>
      </c>
      <c r="C3129" s="2" t="n">
        <v>5</v>
      </c>
      <c r="D3129" s="2" t="s">
        <v>127</v>
      </c>
      <c r="E3129" s="2" t="s">
        <v>5812</v>
      </c>
      <c r="F3129" s="3" t="n">
        <v>45966.3930555556</v>
      </c>
      <c r="G3129" s="2" t="s">
        <v>6431</v>
      </c>
      <c r="H3129" s="4" t="n">
        <v>0.9359</v>
      </c>
      <c r="I3129" s="2" t="s">
        <v>23</v>
      </c>
      <c r="J3129" s="2" t="s">
        <v>37</v>
      </c>
      <c r="K3129" s="2" t="n">
        <v>1</v>
      </c>
      <c r="L3129" s="2" t="n">
        <v>0</v>
      </c>
      <c r="M3129" s="2" t="n">
        <v>0</v>
      </c>
    </row>
    <row r="3130" customFormat="false" ht="15" hidden="false" customHeight="false" outlineLevel="0" collapsed="false">
      <c r="A3130" s="2" t="s">
        <v>6531</v>
      </c>
      <c r="B3130" s="2" t="s">
        <v>6532</v>
      </c>
      <c r="C3130" s="2" t="n">
        <v>5</v>
      </c>
      <c r="D3130" s="2" t="s">
        <v>62</v>
      </c>
      <c r="E3130" s="2" t="s">
        <v>5812</v>
      </c>
      <c r="F3130" s="3" t="n">
        <v>45966.4916666667</v>
      </c>
      <c r="G3130" s="2" t="s">
        <v>6431</v>
      </c>
      <c r="H3130" s="4" t="n">
        <v>0.7088</v>
      </c>
      <c r="I3130" s="2" t="s">
        <v>23</v>
      </c>
      <c r="J3130" s="2" t="s">
        <v>19</v>
      </c>
      <c r="K3130" s="2" t="n">
        <v>9</v>
      </c>
      <c r="L3130" s="2" t="n">
        <v>0</v>
      </c>
      <c r="M3130" s="2" t="n">
        <v>0</v>
      </c>
    </row>
    <row r="3131" customFormat="false" ht="15" hidden="false" customHeight="false" outlineLevel="0" collapsed="false">
      <c r="A3131" s="2" t="s">
        <v>6533</v>
      </c>
      <c r="B3131" s="2" t="s">
        <v>6534</v>
      </c>
      <c r="C3131" s="2" t="n">
        <v>1</v>
      </c>
      <c r="D3131" s="2" t="s">
        <v>6535</v>
      </c>
      <c r="E3131" s="2" t="s">
        <v>5812</v>
      </c>
      <c r="F3131" s="3" t="n">
        <v>45966.8826388889</v>
      </c>
      <c r="G3131" s="2" t="s">
        <v>6431</v>
      </c>
      <c r="H3131" s="4" t="n">
        <v>0.2023</v>
      </c>
      <c r="I3131" s="2" t="s">
        <v>23</v>
      </c>
      <c r="J3131" s="2" t="s">
        <v>33</v>
      </c>
      <c r="K3131" s="2" t="n">
        <v>1</v>
      </c>
      <c r="L3131" s="2" t="n">
        <v>1</v>
      </c>
      <c r="M3131" s="2" t="n">
        <v>0</v>
      </c>
    </row>
    <row r="3132" customFormat="false" ht="15" hidden="false" customHeight="false" outlineLevel="0" collapsed="false">
      <c r="A3132" s="2" t="s">
        <v>6536</v>
      </c>
      <c r="B3132" s="2" t="s">
        <v>6537</v>
      </c>
      <c r="C3132" s="2" t="n">
        <v>5</v>
      </c>
      <c r="D3132" s="2" t="s">
        <v>52</v>
      </c>
      <c r="E3132" s="2" t="s">
        <v>5812</v>
      </c>
      <c r="F3132" s="3" t="n">
        <v>45967.1020833333</v>
      </c>
      <c r="G3132" s="2" t="s">
        <v>6431</v>
      </c>
      <c r="H3132" s="4" t="n">
        <v>0.6369</v>
      </c>
      <c r="I3132" s="2" t="s">
        <v>23</v>
      </c>
      <c r="J3132" s="2" t="s">
        <v>19</v>
      </c>
      <c r="K3132" s="2" t="n">
        <v>4</v>
      </c>
      <c r="L3132" s="2" t="n">
        <v>0</v>
      </c>
      <c r="M3132" s="2" t="n">
        <v>0</v>
      </c>
    </row>
    <row r="3133" customFormat="false" ht="15" hidden="false" customHeight="false" outlineLevel="0" collapsed="false">
      <c r="A3133" s="2" t="s">
        <v>6538</v>
      </c>
      <c r="B3133" s="2" t="s">
        <v>6539</v>
      </c>
      <c r="C3133" s="2" t="n">
        <v>5</v>
      </c>
      <c r="D3133" s="2" t="s">
        <v>47</v>
      </c>
      <c r="E3133" s="2" t="s">
        <v>5812</v>
      </c>
      <c r="F3133" s="3" t="n">
        <v>45967.1645833333</v>
      </c>
      <c r="G3133" s="2" t="s">
        <v>6431</v>
      </c>
      <c r="H3133" s="4" t="n">
        <v>0.3089</v>
      </c>
      <c r="I3133" s="2" t="s">
        <v>23</v>
      </c>
      <c r="J3133" s="2" t="s">
        <v>19</v>
      </c>
      <c r="K3133" s="2" t="n">
        <v>6</v>
      </c>
      <c r="L3133" s="2" t="n">
        <v>0</v>
      </c>
      <c r="M3133" s="2" t="n">
        <v>0</v>
      </c>
    </row>
    <row r="3134" customFormat="false" ht="15" hidden="false" customHeight="false" outlineLevel="0" collapsed="false">
      <c r="A3134" s="2" t="s">
        <v>6540</v>
      </c>
      <c r="B3134" s="2" t="s">
        <v>6541</v>
      </c>
      <c r="C3134" s="2" t="n">
        <v>1</v>
      </c>
      <c r="D3134" s="2" t="s">
        <v>168</v>
      </c>
      <c r="E3134" s="2" t="s">
        <v>5812</v>
      </c>
      <c r="F3134" s="3" t="n">
        <v>45967.1708333333</v>
      </c>
      <c r="G3134" s="2" t="s">
        <v>6431</v>
      </c>
      <c r="H3134" s="4" t="n">
        <v>-0.1027</v>
      </c>
      <c r="I3134" s="2" t="s">
        <v>84</v>
      </c>
      <c r="J3134" s="2" t="s">
        <v>33</v>
      </c>
      <c r="K3134" s="2" t="n">
        <v>0</v>
      </c>
      <c r="L3134" s="2" t="n">
        <v>0</v>
      </c>
      <c r="M3134" s="2" t="n">
        <v>0</v>
      </c>
    </row>
    <row r="3135" customFormat="false" ht="15" hidden="false" customHeight="false" outlineLevel="0" collapsed="false">
      <c r="A3135" s="2" t="s">
        <v>6542</v>
      </c>
      <c r="B3135" s="2" t="s">
        <v>6543</v>
      </c>
      <c r="C3135" s="2" t="n">
        <v>5</v>
      </c>
      <c r="D3135" s="2" t="s">
        <v>52</v>
      </c>
      <c r="E3135" s="2" t="s">
        <v>5812</v>
      </c>
      <c r="F3135" s="3" t="n">
        <v>45967.2090277778</v>
      </c>
      <c r="G3135" s="2" t="s">
        <v>6431</v>
      </c>
      <c r="H3135" s="4" t="n">
        <v>0.6369</v>
      </c>
      <c r="I3135" s="2" t="s">
        <v>23</v>
      </c>
      <c r="J3135" s="2" t="s">
        <v>19</v>
      </c>
      <c r="K3135" s="2" t="n">
        <v>3</v>
      </c>
      <c r="L3135" s="2" t="n">
        <v>0</v>
      </c>
      <c r="M3135" s="2" t="n">
        <v>0</v>
      </c>
    </row>
    <row r="3136" customFormat="false" ht="15" hidden="false" customHeight="false" outlineLevel="0" collapsed="false">
      <c r="A3136" s="2" t="s">
        <v>6544</v>
      </c>
      <c r="B3136" s="2" t="s">
        <v>6545</v>
      </c>
      <c r="C3136" s="2" t="n">
        <v>5</v>
      </c>
      <c r="D3136" s="2" t="s">
        <v>15</v>
      </c>
      <c r="E3136" s="2" t="s">
        <v>5812</v>
      </c>
      <c r="F3136" s="3" t="n">
        <v>45967.2777777778</v>
      </c>
      <c r="G3136" s="2" t="s">
        <v>6431</v>
      </c>
      <c r="H3136" s="4" t="n">
        <v>0</v>
      </c>
      <c r="I3136" s="2" t="s">
        <v>18</v>
      </c>
      <c r="J3136" s="2" t="s">
        <v>19</v>
      </c>
      <c r="K3136" s="2" t="n">
        <v>3</v>
      </c>
      <c r="L3136" s="2" t="n">
        <v>0</v>
      </c>
      <c r="M3136" s="2" t="n">
        <v>0</v>
      </c>
    </row>
    <row r="3137" customFormat="false" ht="15" hidden="false" customHeight="false" outlineLevel="0" collapsed="false">
      <c r="A3137" s="2" t="s">
        <v>6546</v>
      </c>
      <c r="B3137" s="2" t="s">
        <v>6547</v>
      </c>
      <c r="C3137" s="2" t="n">
        <v>5</v>
      </c>
      <c r="D3137" s="2" t="s">
        <v>47</v>
      </c>
      <c r="E3137" s="2" t="s">
        <v>5812</v>
      </c>
      <c r="F3137" s="3" t="n">
        <v>45967.3472222222</v>
      </c>
      <c r="G3137" s="2" t="s">
        <v>6431</v>
      </c>
      <c r="H3137" s="4" t="n">
        <v>0.3089</v>
      </c>
      <c r="I3137" s="2" t="s">
        <v>23</v>
      </c>
      <c r="J3137" s="2" t="s">
        <v>19</v>
      </c>
      <c r="K3137" s="2" t="n">
        <v>0</v>
      </c>
      <c r="L3137" s="2" t="n">
        <v>0</v>
      </c>
      <c r="M3137" s="2" t="n">
        <v>0</v>
      </c>
    </row>
    <row r="3138" customFormat="false" ht="15" hidden="false" customHeight="false" outlineLevel="0" collapsed="false">
      <c r="A3138" s="2" t="s">
        <v>6548</v>
      </c>
      <c r="B3138" s="2" t="s">
        <v>6549</v>
      </c>
      <c r="C3138" s="2" t="n">
        <v>5</v>
      </c>
      <c r="D3138" s="2" t="s">
        <v>40</v>
      </c>
      <c r="E3138" s="2" t="s">
        <v>5812</v>
      </c>
      <c r="F3138" s="3" t="n">
        <v>45967.3555555556</v>
      </c>
      <c r="G3138" s="2" t="s">
        <v>6431</v>
      </c>
      <c r="H3138" s="4" t="n">
        <v>0.4019</v>
      </c>
      <c r="I3138" s="2" t="s">
        <v>23</v>
      </c>
      <c r="J3138" s="2" t="s">
        <v>33</v>
      </c>
      <c r="K3138" s="2" t="n">
        <v>1</v>
      </c>
      <c r="L3138" s="2" t="n">
        <v>0</v>
      </c>
      <c r="M3138" s="2" t="n">
        <v>0</v>
      </c>
    </row>
    <row r="3139" customFormat="false" ht="15" hidden="false" customHeight="false" outlineLevel="0" collapsed="false">
      <c r="A3139" s="2" t="s">
        <v>6550</v>
      </c>
      <c r="B3139" s="2" t="s">
        <v>6551</v>
      </c>
      <c r="C3139" s="2" t="n">
        <v>5</v>
      </c>
      <c r="D3139" s="2" t="s">
        <v>52</v>
      </c>
      <c r="E3139" s="2" t="s">
        <v>5812</v>
      </c>
      <c r="F3139" s="3" t="n">
        <v>45967.6006944445</v>
      </c>
      <c r="G3139" s="2" t="s">
        <v>6431</v>
      </c>
      <c r="H3139" s="4" t="n">
        <v>0.6369</v>
      </c>
      <c r="I3139" s="2" t="s">
        <v>23</v>
      </c>
      <c r="J3139" s="2" t="s">
        <v>19</v>
      </c>
      <c r="K3139" s="2" t="n">
        <v>5</v>
      </c>
      <c r="L3139" s="2" t="n">
        <v>0</v>
      </c>
      <c r="M3139" s="2" t="n">
        <v>0</v>
      </c>
    </row>
    <row r="3140" customFormat="false" ht="15" hidden="false" customHeight="false" outlineLevel="0" collapsed="false">
      <c r="A3140" s="2" t="s">
        <v>6552</v>
      </c>
      <c r="B3140" s="2" t="s">
        <v>6553</v>
      </c>
      <c r="C3140" s="2" t="n">
        <v>5</v>
      </c>
      <c r="D3140" s="2" t="s">
        <v>40</v>
      </c>
      <c r="E3140" s="2" t="s">
        <v>5812</v>
      </c>
      <c r="F3140" s="3" t="n">
        <v>45967.6201388889</v>
      </c>
      <c r="G3140" s="2" t="s">
        <v>6431</v>
      </c>
      <c r="H3140" s="4" t="n">
        <v>0.4019</v>
      </c>
      <c r="I3140" s="2" t="s">
        <v>23</v>
      </c>
      <c r="J3140" s="2" t="s">
        <v>33</v>
      </c>
      <c r="K3140" s="2" t="n">
        <v>0</v>
      </c>
      <c r="L3140" s="2" t="n">
        <v>0</v>
      </c>
      <c r="M3140" s="2" t="n">
        <v>0</v>
      </c>
    </row>
    <row r="3141" customFormat="false" ht="15" hidden="false" customHeight="false" outlineLevel="0" collapsed="false">
      <c r="A3141" s="2" t="s">
        <v>6554</v>
      </c>
      <c r="B3141" s="2" t="s">
        <v>6555</v>
      </c>
      <c r="C3141" s="2" t="n">
        <v>1</v>
      </c>
      <c r="D3141" s="2" t="s">
        <v>231</v>
      </c>
      <c r="E3141" s="2" t="s">
        <v>5812</v>
      </c>
      <c r="F3141" s="3" t="n">
        <v>45967.6583333333</v>
      </c>
      <c r="G3141" s="2" t="s">
        <v>6431</v>
      </c>
      <c r="H3141" s="4" t="n">
        <v>-0.3593</v>
      </c>
      <c r="I3141" s="2" t="s">
        <v>84</v>
      </c>
      <c r="J3141" s="2" t="s">
        <v>33</v>
      </c>
      <c r="K3141" s="2" t="n">
        <v>4</v>
      </c>
      <c r="L3141" s="2" t="n">
        <v>0</v>
      </c>
      <c r="M3141" s="2" t="n">
        <v>0</v>
      </c>
    </row>
    <row r="3142" customFormat="false" ht="15" hidden="false" customHeight="false" outlineLevel="0" collapsed="false">
      <c r="A3142" s="2" t="s">
        <v>6556</v>
      </c>
      <c r="B3142" s="2" t="s">
        <v>6557</v>
      </c>
      <c r="C3142" s="2" t="n">
        <v>5</v>
      </c>
      <c r="D3142" s="2" t="s">
        <v>738</v>
      </c>
      <c r="E3142" s="2" t="s">
        <v>5812</v>
      </c>
      <c r="F3142" s="3" t="n">
        <v>45967.7243055556</v>
      </c>
      <c r="G3142" s="2" t="s">
        <v>6431</v>
      </c>
      <c r="H3142" s="4" t="n">
        <v>0.9612</v>
      </c>
      <c r="I3142" s="2" t="s">
        <v>23</v>
      </c>
      <c r="J3142" s="2" t="s">
        <v>37</v>
      </c>
      <c r="K3142" s="2" t="n">
        <v>3</v>
      </c>
      <c r="L3142" s="2" t="n">
        <v>0</v>
      </c>
      <c r="M3142" s="2" t="n">
        <v>0</v>
      </c>
    </row>
    <row r="3143" customFormat="false" ht="15" hidden="false" customHeight="false" outlineLevel="0" collapsed="false">
      <c r="A3143" s="2" t="s">
        <v>6558</v>
      </c>
      <c r="B3143" s="2" t="s">
        <v>6559</v>
      </c>
      <c r="C3143" s="2" t="n">
        <v>1</v>
      </c>
      <c r="D3143" s="2" t="s">
        <v>6560</v>
      </c>
      <c r="E3143" s="2" t="s">
        <v>5812</v>
      </c>
      <c r="F3143" s="3" t="n">
        <v>45967.8173611111</v>
      </c>
      <c r="G3143" s="2" t="s">
        <v>6431</v>
      </c>
      <c r="H3143" s="4" t="n">
        <v>0.0516</v>
      </c>
      <c r="I3143" s="2" t="s">
        <v>23</v>
      </c>
      <c r="J3143" s="2" t="s">
        <v>37</v>
      </c>
      <c r="K3143" s="2" t="n">
        <v>2</v>
      </c>
      <c r="L3143" s="2" t="n">
        <v>1</v>
      </c>
      <c r="M3143" s="2" t="n">
        <v>0</v>
      </c>
    </row>
    <row r="3144" customFormat="false" ht="15" hidden="false" customHeight="false" outlineLevel="0" collapsed="false">
      <c r="A3144" s="2" t="s">
        <v>6561</v>
      </c>
      <c r="B3144" s="2" t="s">
        <v>6562</v>
      </c>
      <c r="C3144" s="2" t="n">
        <v>5</v>
      </c>
      <c r="D3144" s="2" t="s">
        <v>62</v>
      </c>
      <c r="E3144" s="2" t="s">
        <v>5812</v>
      </c>
      <c r="F3144" s="3" t="n">
        <v>45967.8791666667</v>
      </c>
      <c r="G3144" s="2" t="s">
        <v>6431</v>
      </c>
      <c r="H3144" s="4" t="n">
        <v>0.7088</v>
      </c>
      <c r="I3144" s="2" t="s">
        <v>23</v>
      </c>
      <c r="J3144" s="2" t="s">
        <v>19</v>
      </c>
      <c r="K3144" s="2" t="n">
        <v>2</v>
      </c>
      <c r="L3144" s="2" t="n">
        <v>0</v>
      </c>
      <c r="M3144" s="2" t="n">
        <v>0</v>
      </c>
    </row>
    <row r="3145" customFormat="false" ht="15" hidden="false" customHeight="false" outlineLevel="0" collapsed="false">
      <c r="A3145" s="2" t="s">
        <v>6563</v>
      </c>
      <c r="B3145" s="2" t="s">
        <v>6564</v>
      </c>
      <c r="C3145" s="2" t="n">
        <v>2</v>
      </c>
      <c r="D3145" s="2" t="s">
        <v>234</v>
      </c>
      <c r="E3145" s="2" t="s">
        <v>5812</v>
      </c>
      <c r="F3145" s="3" t="n">
        <v>45967.9270833333</v>
      </c>
      <c r="G3145" s="2" t="s">
        <v>6431</v>
      </c>
      <c r="H3145" s="4" t="n">
        <v>0</v>
      </c>
      <c r="I3145" s="2" t="s">
        <v>18</v>
      </c>
      <c r="J3145" s="2" t="s">
        <v>165</v>
      </c>
      <c r="K3145" s="2" t="n">
        <v>1</v>
      </c>
      <c r="L3145" s="2" t="n">
        <v>0</v>
      </c>
      <c r="M3145" s="2" t="n">
        <v>0</v>
      </c>
    </row>
    <row r="3146" customFormat="false" ht="15" hidden="false" customHeight="false" outlineLevel="0" collapsed="false">
      <c r="A3146" s="2" t="s">
        <v>6565</v>
      </c>
      <c r="B3146" s="2" t="s">
        <v>6566</v>
      </c>
      <c r="C3146" s="2" t="n">
        <v>2</v>
      </c>
      <c r="D3146" s="2" t="s">
        <v>701</v>
      </c>
      <c r="E3146" s="2" t="s">
        <v>5812</v>
      </c>
      <c r="F3146" s="3" t="n">
        <v>45967.9361111111</v>
      </c>
      <c r="G3146" s="2" t="s">
        <v>6431</v>
      </c>
      <c r="H3146" s="4" t="n">
        <v>-0.7184</v>
      </c>
      <c r="I3146" s="2" t="s">
        <v>84</v>
      </c>
      <c r="J3146" s="2" t="s">
        <v>37</v>
      </c>
      <c r="K3146" s="2" t="n">
        <v>3</v>
      </c>
      <c r="L3146" s="2" t="n">
        <v>1</v>
      </c>
      <c r="M3146" s="2" t="n">
        <v>0</v>
      </c>
    </row>
    <row r="3147" customFormat="false" ht="15" hidden="false" customHeight="false" outlineLevel="0" collapsed="false">
      <c r="A3147" s="2" t="s">
        <v>6567</v>
      </c>
      <c r="B3147" s="2" t="s">
        <v>6568</v>
      </c>
      <c r="C3147" s="2" t="n">
        <v>3</v>
      </c>
      <c r="D3147" s="2" t="s">
        <v>1674</v>
      </c>
      <c r="E3147" s="2" t="s">
        <v>5812</v>
      </c>
      <c r="F3147" s="3" t="n">
        <v>45968.1493055556</v>
      </c>
      <c r="G3147" s="2" t="s">
        <v>6431</v>
      </c>
      <c r="H3147" s="4" t="n">
        <v>-0.438</v>
      </c>
      <c r="I3147" s="2" t="s">
        <v>84</v>
      </c>
      <c r="J3147" s="2" t="s">
        <v>19</v>
      </c>
      <c r="K3147" s="2" t="n">
        <v>0</v>
      </c>
      <c r="L3147" s="2" t="n">
        <v>0</v>
      </c>
      <c r="M3147" s="2" t="n">
        <v>0</v>
      </c>
    </row>
    <row r="3148" customFormat="false" ht="15" hidden="false" customHeight="false" outlineLevel="0" collapsed="false">
      <c r="A3148" s="2" t="s">
        <v>6569</v>
      </c>
      <c r="B3148" s="2" t="s">
        <v>6570</v>
      </c>
      <c r="C3148" s="2" t="n">
        <v>4</v>
      </c>
      <c r="D3148" s="2" t="s">
        <v>127</v>
      </c>
      <c r="E3148" s="2" t="s">
        <v>5812</v>
      </c>
      <c r="F3148" s="3" t="n">
        <v>45968.25625</v>
      </c>
      <c r="G3148" s="2" t="s">
        <v>6431</v>
      </c>
      <c r="H3148" s="4" t="n">
        <v>0.9359</v>
      </c>
      <c r="I3148" s="2" t="s">
        <v>23</v>
      </c>
      <c r="J3148" s="2" t="s">
        <v>37</v>
      </c>
      <c r="K3148" s="2" t="n">
        <v>5</v>
      </c>
      <c r="L3148" s="2" t="n">
        <v>0</v>
      </c>
      <c r="M3148" s="2" t="n">
        <v>0</v>
      </c>
    </row>
    <row r="3149" customFormat="false" ht="15" hidden="false" customHeight="false" outlineLevel="0" collapsed="false">
      <c r="A3149" s="2" t="s">
        <v>6571</v>
      </c>
      <c r="B3149" s="2" t="s">
        <v>6572</v>
      </c>
      <c r="C3149" s="2" t="n">
        <v>3</v>
      </c>
      <c r="D3149" s="2" t="s">
        <v>99</v>
      </c>
      <c r="E3149" s="2" t="s">
        <v>5812</v>
      </c>
      <c r="F3149" s="3" t="n">
        <v>45968.2743055556</v>
      </c>
      <c r="G3149" s="2" t="s">
        <v>6431</v>
      </c>
      <c r="H3149" s="4" t="n">
        <v>-0.3089</v>
      </c>
      <c r="I3149" s="2" t="s">
        <v>84</v>
      </c>
      <c r="J3149" s="2" t="s">
        <v>19</v>
      </c>
      <c r="K3149" s="2" t="n">
        <v>4</v>
      </c>
      <c r="L3149" s="2" t="n">
        <v>0</v>
      </c>
      <c r="M3149" s="2" t="n">
        <v>0</v>
      </c>
    </row>
    <row r="3150" customFormat="false" ht="15" hidden="false" customHeight="false" outlineLevel="0" collapsed="false">
      <c r="A3150" s="2" t="s">
        <v>6573</v>
      </c>
      <c r="B3150" s="2" t="s">
        <v>6574</v>
      </c>
      <c r="C3150" s="2" t="n">
        <v>4</v>
      </c>
      <c r="D3150" s="2" t="s">
        <v>301</v>
      </c>
      <c r="E3150" s="2" t="s">
        <v>5812</v>
      </c>
      <c r="F3150" s="3" t="n">
        <v>45968.2798611111</v>
      </c>
      <c r="G3150" s="2" t="s">
        <v>6431</v>
      </c>
      <c r="H3150" s="4" t="n">
        <v>0.2263</v>
      </c>
      <c r="I3150" s="2" t="s">
        <v>23</v>
      </c>
      <c r="J3150" s="2" t="s">
        <v>19</v>
      </c>
      <c r="K3150" s="2" t="n">
        <v>0</v>
      </c>
      <c r="L3150" s="2" t="n">
        <v>0</v>
      </c>
      <c r="M3150" s="2" t="n">
        <v>0</v>
      </c>
    </row>
    <row r="3151" customFormat="false" ht="15" hidden="false" customHeight="false" outlineLevel="0" collapsed="false">
      <c r="A3151" s="2" t="s">
        <v>6575</v>
      </c>
      <c r="B3151" s="2" t="s">
        <v>6576</v>
      </c>
      <c r="C3151" s="2" t="n">
        <v>4</v>
      </c>
      <c r="D3151" s="2" t="s">
        <v>325</v>
      </c>
      <c r="E3151" s="2" t="s">
        <v>5812</v>
      </c>
      <c r="F3151" s="3" t="n">
        <v>45968.5527777778</v>
      </c>
      <c r="G3151" s="2" t="s">
        <v>6431</v>
      </c>
      <c r="H3151" s="4" t="n">
        <v>0.9612</v>
      </c>
      <c r="I3151" s="2" t="s">
        <v>23</v>
      </c>
      <c r="J3151" s="2" t="s">
        <v>37</v>
      </c>
      <c r="K3151" s="2" t="n">
        <v>0</v>
      </c>
      <c r="L3151" s="2" t="n">
        <v>0</v>
      </c>
      <c r="M3151" s="2" t="n">
        <v>0</v>
      </c>
    </row>
    <row r="3152" customFormat="false" ht="15" hidden="false" customHeight="false" outlineLevel="0" collapsed="false">
      <c r="A3152" s="2" t="s">
        <v>6577</v>
      </c>
      <c r="B3152" s="2" t="s">
        <v>6578</v>
      </c>
      <c r="C3152" s="2" t="n">
        <v>2</v>
      </c>
      <c r="D3152" s="2" t="s">
        <v>733</v>
      </c>
      <c r="E3152" s="2" t="s">
        <v>5812</v>
      </c>
      <c r="F3152" s="3" t="n">
        <v>45968.64375</v>
      </c>
      <c r="G3152" s="2" t="s">
        <v>6431</v>
      </c>
      <c r="H3152" s="4" t="n">
        <v>-0.2846</v>
      </c>
      <c r="I3152" s="2" t="s">
        <v>84</v>
      </c>
      <c r="J3152" s="2" t="s">
        <v>37</v>
      </c>
      <c r="K3152" s="2" t="n">
        <v>3</v>
      </c>
      <c r="L3152" s="2" t="n">
        <v>0</v>
      </c>
      <c r="M3152" s="2" t="n">
        <v>0</v>
      </c>
    </row>
    <row r="3153" customFormat="false" ht="15" hidden="false" customHeight="false" outlineLevel="0" collapsed="false">
      <c r="A3153" s="2" t="s">
        <v>6579</v>
      </c>
      <c r="B3153" s="2" t="s">
        <v>6580</v>
      </c>
      <c r="C3153" s="2" t="n">
        <v>2</v>
      </c>
      <c r="D3153" s="2" t="s">
        <v>1942</v>
      </c>
      <c r="E3153" s="2" t="s">
        <v>5812</v>
      </c>
      <c r="F3153" s="3" t="n">
        <v>45969.3020833333</v>
      </c>
      <c r="G3153" s="2" t="s">
        <v>6431</v>
      </c>
      <c r="H3153" s="4" t="n">
        <v>0</v>
      </c>
      <c r="I3153" s="2" t="s">
        <v>18</v>
      </c>
      <c r="J3153" s="2" t="s">
        <v>165</v>
      </c>
      <c r="K3153" s="2" t="n">
        <v>7</v>
      </c>
      <c r="L3153" s="2" t="n">
        <v>0</v>
      </c>
      <c r="M3153" s="2" t="n">
        <v>0</v>
      </c>
    </row>
    <row r="3154" customFormat="false" ht="15" hidden="false" customHeight="false" outlineLevel="0" collapsed="false">
      <c r="A3154" s="2" t="s">
        <v>6581</v>
      </c>
      <c r="B3154" s="2" t="s">
        <v>6582</v>
      </c>
      <c r="C3154" s="2" t="n">
        <v>3</v>
      </c>
      <c r="D3154" s="2" t="s">
        <v>99</v>
      </c>
      <c r="E3154" s="2" t="s">
        <v>5812</v>
      </c>
      <c r="F3154" s="3" t="n">
        <v>45969.3208333333</v>
      </c>
      <c r="G3154" s="2" t="s">
        <v>6431</v>
      </c>
      <c r="H3154" s="4" t="n">
        <v>-0.3089</v>
      </c>
      <c r="I3154" s="2" t="s">
        <v>84</v>
      </c>
      <c r="J3154" s="2" t="s">
        <v>19</v>
      </c>
      <c r="K3154" s="2" t="n">
        <v>5</v>
      </c>
      <c r="L3154" s="2" t="n">
        <v>0</v>
      </c>
      <c r="M3154" s="2" t="n">
        <v>0</v>
      </c>
    </row>
    <row r="3155" customFormat="false" ht="15" hidden="false" customHeight="false" outlineLevel="0" collapsed="false">
      <c r="A3155" s="2" t="s">
        <v>6583</v>
      </c>
      <c r="B3155" s="2" t="s">
        <v>6584</v>
      </c>
      <c r="C3155" s="2" t="n">
        <v>4</v>
      </c>
      <c r="D3155" s="2" t="s">
        <v>52</v>
      </c>
      <c r="E3155" s="2" t="s">
        <v>5812</v>
      </c>
      <c r="F3155" s="3" t="n">
        <v>45969.4340277778</v>
      </c>
      <c r="G3155" s="2" t="s">
        <v>6431</v>
      </c>
      <c r="H3155" s="4" t="n">
        <v>0.6369</v>
      </c>
      <c r="I3155" s="2" t="s">
        <v>23</v>
      </c>
      <c r="J3155" s="2" t="s">
        <v>19</v>
      </c>
      <c r="K3155" s="2" t="n">
        <v>0</v>
      </c>
      <c r="L3155" s="2" t="n">
        <v>0</v>
      </c>
      <c r="M3155" s="2" t="n">
        <v>0</v>
      </c>
    </row>
    <row r="3156" customFormat="false" ht="15" hidden="false" customHeight="false" outlineLevel="0" collapsed="false">
      <c r="A3156" s="2" t="s">
        <v>6585</v>
      </c>
      <c r="B3156" s="2" t="s">
        <v>6586</v>
      </c>
      <c r="C3156" s="2" t="n">
        <v>1</v>
      </c>
      <c r="D3156" s="2" t="s">
        <v>397</v>
      </c>
      <c r="E3156" s="2" t="s">
        <v>5812</v>
      </c>
      <c r="F3156" s="3" t="n">
        <v>45969.55625</v>
      </c>
      <c r="G3156" s="2" t="s">
        <v>6431</v>
      </c>
      <c r="H3156" s="4" t="n">
        <v>0</v>
      </c>
      <c r="I3156" s="2" t="s">
        <v>18</v>
      </c>
      <c r="J3156" s="2" t="s">
        <v>110</v>
      </c>
      <c r="K3156" s="2" t="n">
        <v>5</v>
      </c>
      <c r="L3156" s="2" t="n">
        <v>1</v>
      </c>
      <c r="M3156" s="2" t="n">
        <v>0</v>
      </c>
    </row>
    <row r="3157" customFormat="false" ht="15" hidden="false" customHeight="false" outlineLevel="0" collapsed="false">
      <c r="A3157" s="2" t="s">
        <v>6587</v>
      </c>
      <c r="B3157" s="2" t="s">
        <v>6588</v>
      </c>
      <c r="C3157" s="2" t="n">
        <v>5</v>
      </c>
      <c r="D3157" s="2" t="s">
        <v>40</v>
      </c>
      <c r="E3157" s="2" t="s">
        <v>5812</v>
      </c>
      <c r="F3157" s="3" t="n">
        <v>45969.5993055556</v>
      </c>
      <c r="G3157" s="2" t="s">
        <v>6431</v>
      </c>
      <c r="H3157" s="4" t="n">
        <v>0.4019</v>
      </c>
      <c r="I3157" s="2" t="s">
        <v>23</v>
      </c>
      <c r="J3157" s="2" t="s">
        <v>33</v>
      </c>
      <c r="K3157" s="2" t="n">
        <v>6</v>
      </c>
      <c r="L3157" s="2" t="n">
        <v>0</v>
      </c>
      <c r="M3157" s="2" t="n">
        <v>0</v>
      </c>
    </row>
    <row r="3158" customFormat="false" ht="15" hidden="false" customHeight="false" outlineLevel="0" collapsed="false">
      <c r="A3158" s="2" t="s">
        <v>6589</v>
      </c>
      <c r="B3158" s="2" t="s">
        <v>6590</v>
      </c>
      <c r="C3158" s="2" t="n">
        <v>4</v>
      </c>
      <c r="D3158" s="2" t="s">
        <v>40</v>
      </c>
      <c r="E3158" s="2" t="s">
        <v>5812</v>
      </c>
      <c r="F3158" s="3" t="n">
        <v>45969.6173611111</v>
      </c>
      <c r="G3158" s="2" t="s">
        <v>6431</v>
      </c>
      <c r="H3158" s="4" t="n">
        <v>0.4019</v>
      </c>
      <c r="I3158" s="2" t="s">
        <v>23</v>
      </c>
      <c r="J3158" s="2" t="s">
        <v>33</v>
      </c>
      <c r="K3158" s="2" t="n">
        <v>1</v>
      </c>
      <c r="L3158" s="2" t="n">
        <v>0</v>
      </c>
      <c r="M3158" s="2" t="n">
        <v>0</v>
      </c>
    </row>
    <row r="3159" customFormat="false" ht="15" hidden="false" customHeight="false" outlineLevel="0" collapsed="false">
      <c r="A3159" s="2" t="s">
        <v>6591</v>
      </c>
      <c r="B3159" s="2" t="s">
        <v>6592</v>
      </c>
      <c r="C3159" s="2" t="n">
        <v>2</v>
      </c>
      <c r="D3159" s="2" t="s">
        <v>234</v>
      </c>
      <c r="E3159" s="2" t="s">
        <v>5812</v>
      </c>
      <c r="F3159" s="3" t="n">
        <v>45969.6423611111</v>
      </c>
      <c r="G3159" s="2" t="s">
        <v>6431</v>
      </c>
      <c r="H3159" s="4" t="n">
        <v>0</v>
      </c>
      <c r="I3159" s="2" t="s">
        <v>18</v>
      </c>
      <c r="J3159" s="2" t="s">
        <v>165</v>
      </c>
      <c r="K3159" s="2" t="n">
        <v>12</v>
      </c>
      <c r="L3159" s="2" t="n">
        <v>0</v>
      </c>
      <c r="M3159" s="2" t="n">
        <v>0</v>
      </c>
    </row>
    <row r="3160" customFormat="false" ht="15" hidden="false" customHeight="false" outlineLevel="0" collapsed="false">
      <c r="A3160" s="2" t="s">
        <v>6593</v>
      </c>
      <c r="B3160" s="2" t="s">
        <v>6594</v>
      </c>
      <c r="C3160" s="2" t="n">
        <v>5</v>
      </c>
      <c r="D3160" s="2" t="s">
        <v>127</v>
      </c>
      <c r="E3160" s="2" t="s">
        <v>5812</v>
      </c>
      <c r="F3160" s="3" t="n">
        <v>45969.6430555556</v>
      </c>
      <c r="G3160" s="2" t="s">
        <v>6431</v>
      </c>
      <c r="H3160" s="4" t="n">
        <v>0.9359</v>
      </c>
      <c r="I3160" s="2" t="s">
        <v>23</v>
      </c>
      <c r="J3160" s="2" t="s">
        <v>37</v>
      </c>
      <c r="K3160" s="2" t="n">
        <v>9</v>
      </c>
      <c r="L3160" s="2" t="n">
        <v>0</v>
      </c>
      <c r="M3160" s="2" t="n">
        <v>0</v>
      </c>
    </row>
    <row r="3161" customFormat="false" ht="15" hidden="false" customHeight="false" outlineLevel="0" collapsed="false">
      <c r="A3161" s="2" t="s">
        <v>6595</v>
      </c>
      <c r="B3161" s="2" t="s">
        <v>6596</v>
      </c>
      <c r="C3161" s="2" t="n">
        <v>1</v>
      </c>
      <c r="D3161" s="2" t="s">
        <v>83</v>
      </c>
      <c r="E3161" s="2" t="s">
        <v>5812</v>
      </c>
      <c r="F3161" s="3" t="n">
        <v>45969.6611111111</v>
      </c>
      <c r="G3161" s="2" t="s">
        <v>6431</v>
      </c>
      <c r="H3161" s="4" t="n">
        <v>-0.6166</v>
      </c>
      <c r="I3161" s="2" t="s">
        <v>84</v>
      </c>
      <c r="J3161" s="2" t="s">
        <v>59</v>
      </c>
      <c r="K3161" s="2" t="n">
        <v>1</v>
      </c>
      <c r="L3161" s="2" t="n">
        <v>0</v>
      </c>
      <c r="M3161" s="2" t="n">
        <v>0</v>
      </c>
    </row>
    <row r="3162" customFormat="false" ht="15" hidden="false" customHeight="false" outlineLevel="0" collapsed="false">
      <c r="A3162" s="2" t="s">
        <v>6597</v>
      </c>
      <c r="B3162" s="2" t="s">
        <v>6598</v>
      </c>
      <c r="C3162" s="2" t="n">
        <v>5</v>
      </c>
      <c r="D3162" s="2" t="s">
        <v>127</v>
      </c>
      <c r="E3162" s="2" t="s">
        <v>5812</v>
      </c>
      <c r="F3162" s="3" t="n">
        <v>45969.69375</v>
      </c>
      <c r="G3162" s="2" t="s">
        <v>6431</v>
      </c>
      <c r="H3162" s="4" t="n">
        <v>0.9359</v>
      </c>
      <c r="I3162" s="2" t="s">
        <v>23</v>
      </c>
      <c r="J3162" s="2" t="s">
        <v>37</v>
      </c>
      <c r="K3162" s="2" t="n">
        <v>0</v>
      </c>
      <c r="L3162" s="2" t="n">
        <v>0</v>
      </c>
      <c r="M3162" s="2" t="n">
        <v>0</v>
      </c>
    </row>
    <row r="3163" customFormat="false" ht="15" hidden="false" customHeight="false" outlineLevel="0" collapsed="false">
      <c r="A3163" s="2" t="s">
        <v>6599</v>
      </c>
      <c r="B3163" s="2" t="s">
        <v>6600</v>
      </c>
      <c r="C3163" s="2" t="n">
        <v>5</v>
      </c>
      <c r="D3163" s="2" t="s">
        <v>15</v>
      </c>
      <c r="E3163" s="2" t="s">
        <v>5812</v>
      </c>
      <c r="F3163" s="3" t="n">
        <v>45969.7583333333</v>
      </c>
      <c r="G3163" s="2" t="s">
        <v>6431</v>
      </c>
      <c r="H3163" s="4" t="n">
        <v>0</v>
      </c>
      <c r="I3163" s="2" t="s">
        <v>18</v>
      </c>
      <c r="J3163" s="2" t="s">
        <v>19</v>
      </c>
      <c r="K3163" s="2" t="n">
        <v>1</v>
      </c>
      <c r="L3163" s="2" t="n">
        <v>0</v>
      </c>
      <c r="M3163" s="2" t="n">
        <v>0</v>
      </c>
    </row>
    <row r="3164" customFormat="false" ht="15" hidden="false" customHeight="false" outlineLevel="0" collapsed="false">
      <c r="A3164" s="2" t="s">
        <v>6601</v>
      </c>
      <c r="B3164" s="2" t="s">
        <v>6602</v>
      </c>
      <c r="C3164" s="2" t="n">
        <v>5</v>
      </c>
      <c r="D3164" s="2" t="s">
        <v>40</v>
      </c>
      <c r="E3164" s="2" t="s">
        <v>5812</v>
      </c>
      <c r="F3164" s="3" t="n">
        <v>45969.8194444445</v>
      </c>
      <c r="G3164" s="2" t="s">
        <v>6431</v>
      </c>
      <c r="H3164" s="4" t="n">
        <v>0.4019</v>
      </c>
      <c r="I3164" s="2" t="s">
        <v>23</v>
      </c>
      <c r="J3164" s="2" t="s">
        <v>33</v>
      </c>
      <c r="K3164" s="2" t="n">
        <v>2</v>
      </c>
      <c r="L3164" s="2" t="n">
        <v>0</v>
      </c>
      <c r="M3164" s="2" t="n">
        <v>0</v>
      </c>
    </row>
    <row r="3165" customFormat="false" ht="15" hidden="false" customHeight="false" outlineLevel="0" collapsed="false">
      <c r="A3165" s="2" t="s">
        <v>6603</v>
      </c>
      <c r="B3165" s="2" t="s">
        <v>6604</v>
      </c>
      <c r="C3165" s="2" t="n">
        <v>4</v>
      </c>
      <c r="D3165" s="2" t="s">
        <v>475</v>
      </c>
      <c r="E3165" s="2" t="s">
        <v>5812</v>
      </c>
      <c r="F3165" s="3" t="n">
        <v>45969.9340277778</v>
      </c>
      <c r="G3165" s="2" t="s">
        <v>6431</v>
      </c>
      <c r="H3165" s="4" t="n">
        <v>0.7845</v>
      </c>
      <c r="I3165" s="2" t="s">
        <v>23</v>
      </c>
      <c r="J3165" s="2" t="s">
        <v>33</v>
      </c>
      <c r="K3165" s="2" t="n">
        <v>0</v>
      </c>
      <c r="L3165" s="2" t="n">
        <v>0</v>
      </c>
      <c r="M3165" s="2" t="n">
        <v>0</v>
      </c>
    </row>
    <row r="3166" customFormat="false" ht="15" hidden="false" customHeight="false" outlineLevel="0" collapsed="false">
      <c r="A3166" s="2" t="s">
        <v>6605</v>
      </c>
      <c r="B3166" s="2" t="s">
        <v>6606</v>
      </c>
      <c r="C3166" s="2" t="n">
        <v>5</v>
      </c>
      <c r="D3166" s="2" t="s">
        <v>15</v>
      </c>
      <c r="E3166" s="2" t="s">
        <v>5812</v>
      </c>
      <c r="F3166" s="3" t="n">
        <v>45969.9555555556</v>
      </c>
      <c r="G3166" s="2" t="s">
        <v>6431</v>
      </c>
      <c r="H3166" s="4" t="n">
        <v>0</v>
      </c>
      <c r="I3166" s="2" t="s">
        <v>18</v>
      </c>
      <c r="J3166" s="2" t="s">
        <v>19</v>
      </c>
      <c r="K3166" s="2" t="n">
        <v>0</v>
      </c>
      <c r="L3166" s="2" t="n">
        <v>0</v>
      </c>
      <c r="M3166" s="2" t="n">
        <v>0</v>
      </c>
    </row>
    <row r="3167" customFormat="false" ht="15" hidden="false" customHeight="false" outlineLevel="0" collapsed="false">
      <c r="A3167" s="2" t="s">
        <v>6607</v>
      </c>
      <c r="B3167" s="2" t="s">
        <v>6608</v>
      </c>
      <c r="C3167" s="2" t="n">
        <v>5</v>
      </c>
      <c r="D3167" s="2" t="s">
        <v>96</v>
      </c>
      <c r="E3167" s="2" t="s">
        <v>5812</v>
      </c>
      <c r="F3167" s="3" t="n">
        <v>45970.0090277778</v>
      </c>
      <c r="G3167" s="2" t="s">
        <v>6431</v>
      </c>
      <c r="H3167" s="4" t="n">
        <v>0.6369</v>
      </c>
      <c r="I3167" s="2" t="s">
        <v>23</v>
      </c>
      <c r="J3167" s="2" t="s">
        <v>19</v>
      </c>
      <c r="K3167" s="2" t="n">
        <v>5</v>
      </c>
      <c r="L3167" s="2" t="n">
        <v>0</v>
      </c>
      <c r="M3167" s="2" t="n">
        <v>0</v>
      </c>
    </row>
    <row r="3168" customFormat="false" ht="15" hidden="false" customHeight="false" outlineLevel="0" collapsed="false">
      <c r="A3168" s="2" t="s">
        <v>6609</v>
      </c>
      <c r="B3168" s="2" t="s">
        <v>6610</v>
      </c>
      <c r="C3168" s="2" t="n">
        <v>4</v>
      </c>
      <c r="D3168" s="2" t="s">
        <v>127</v>
      </c>
      <c r="E3168" s="2" t="s">
        <v>5812</v>
      </c>
      <c r="F3168" s="3" t="n">
        <v>45970.0888888889</v>
      </c>
      <c r="G3168" s="2" t="s">
        <v>6431</v>
      </c>
      <c r="H3168" s="4" t="n">
        <v>0.9359</v>
      </c>
      <c r="I3168" s="2" t="s">
        <v>23</v>
      </c>
      <c r="J3168" s="2" t="s">
        <v>37</v>
      </c>
      <c r="K3168" s="2" t="n">
        <v>3</v>
      </c>
      <c r="L3168" s="2" t="n">
        <v>0</v>
      </c>
      <c r="M3168" s="2" t="n">
        <v>0</v>
      </c>
    </row>
    <row r="3169" customFormat="false" ht="15" hidden="false" customHeight="false" outlineLevel="0" collapsed="false">
      <c r="A3169" s="2" t="s">
        <v>6611</v>
      </c>
      <c r="B3169" s="2" t="s">
        <v>6612</v>
      </c>
      <c r="C3169" s="2" t="n">
        <v>5</v>
      </c>
      <c r="D3169" s="2" t="s">
        <v>127</v>
      </c>
      <c r="E3169" s="2" t="s">
        <v>5812</v>
      </c>
      <c r="F3169" s="3" t="n">
        <v>45970.1472222222</v>
      </c>
      <c r="G3169" s="2" t="s">
        <v>6431</v>
      </c>
      <c r="H3169" s="4" t="n">
        <v>0.9359</v>
      </c>
      <c r="I3169" s="2" t="s">
        <v>23</v>
      </c>
      <c r="J3169" s="2" t="s">
        <v>37</v>
      </c>
      <c r="K3169" s="2" t="n">
        <v>2</v>
      </c>
      <c r="L3169" s="2" t="n">
        <v>0</v>
      </c>
      <c r="M3169" s="2" t="n">
        <v>0</v>
      </c>
    </row>
    <row r="3170" customFormat="false" ht="15" hidden="false" customHeight="false" outlineLevel="0" collapsed="false">
      <c r="A3170" s="2" t="s">
        <v>6613</v>
      </c>
      <c r="B3170" s="2" t="s">
        <v>6614</v>
      </c>
      <c r="C3170" s="2" t="n">
        <v>5</v>
      </c>
      <c r="D3170" s="2" t="s">
        <v>40</v>
      </c>
      <c r="E3170" s="2" t="s">
        <v>5812</v>
      </c>
      <c r="F3170" s="3" t="n">
        <v>45970.3305555556</v>
      </c>
      <c r="G3170" s="2" t="s">
        <v>6431</v>
      </c>
      <c r="H3170" s="4" t="n">
        <v>0.4019</v>
      </c>
      <c r="I3170" s="2" t="s">
        <v>23</v>
      </c>
      <c r="J3170" s="2" t="s">
        <v>33</v>
      </c>
      <c r="K3170" s="2" t="n">
        <v>1</v>
      </c>
      <c r="L3170" s="2" t="n">
        <v>0</v>
      </c>
      <c r="M3170" s="2" t="n">
        <v>0</v>
      </c>
    </row>
    <row r="3171" customFormat="false" ht="15" hidden="false" customHeight="false" outlineLevel="0" collapsed="false">
      <c r="A3171" s="2" t="s">
        <v>6615</v>
      </c>
      <c r="B3171" s="2" t="s">
        <v>6616</v>
      </c>
      <c r="C3171" s="2" t="n">
        <v>5</v>
      </c>
      <c r="D3171" s="2" t="s">
        <v>52</v>
      </c>
      <c r="E3171" s="2" t="s">
        <v>5812</v>
      </c>
      <c r="F3171" s="3" t="n">
        <v>45970.3354166667</v>
      </c>
      <c r="G3171" s="2" t="s">
        <v>6431</v>
      </c>
      <c r="H3171" s="4" t="n">
        <v>0.6369</v>
      </c>
      <c r="I3171" s="2" t="s">
        <v>23</v>
      </c>
      <c r="J3171" s="2" t="s">
        <v>19</v>
      </c>
      <c r="K3171" s="2" t="n">
        <v>3</v>
      </c>
      <c r="L3171" s="2" t="n">
        <v>0</v>
      </c>
      <c r="M3171" s="2" t="n">
        <v>0</v>
      </c>
    </row>
    <row r="3172" customFormat="false" ht="15" hidden="false" customHeight="false" outlineLevel="0" collapsed="false">
      <c r="A3172" s="2" t="s">
        <v>6617</v>
      </c>
      <c r="B3172" s="2" t="s">
        <v>6618</v>
      </c>
      <c r="C3172" s="2" t="n">
        <v>4</v>
      </c>
      <c r="D3172" s="2" t="s">
        <v>62</v>
      </c>
      <c r="E3172" s="2" t="s">
        <v>5812</v>
      </c>
      <c r="F3172" s="3" t="n">
        <v>45970.3736111111</v>
      </c>
      <c r="G3172" s="2" t="s">
        <v>6431</v>
      </c>
      <c r="H3172" s="4" t="n">
        <v>0.7088</v>
      </c>
      <c r="I3172" s="2" t="s">
        <v>23</v>
      </c>
      <c r="J3172" s="2" t="s">
        <v>19</v>
      </c>
      <c r="K3172" s="2" t="n">
        <v>10</v>
      </c>
      <c r="L3172" s="2" t="n">
        <v>0</v>
      </c>
      <c r="M3172" s="2" t="n">
        <v>0</v>
      </c>
    </row>
    <row r="3173" customFormat="false" ht="15" hidden="false" customHeight="false" outlineLevel="0" collapsed="false">
      <c r="A3173" s="2" t="s">
        <v>6619</v>
      </c>
      <c r="B3173" s="2" t="s">
        <v>6620</v>
      </c>
      <c r="C3173" s="2" t="n">
        <v>4</v>
      </c>
      <c r="D3173" s="2" t="s">
        <v>96</v>
      </c>
      <c r="E3173" s="2" t="s">
        <v>5812</v>
      </c>
      <c r="F3173" s="3" t="n">
        <v>45970.4597222222</v>
      </c>
      <c r="G3173" s="2" t="s">
        <v>6431</v>
      </c>
      <c r="H3173" s="4" t="n">
        <v>0.6369</v>
      </c>
      <c r="I3173" s="2" t="s">
        <v>23</v>
      </c>
      <c r="J3173" s="2" t="s">
        <v>19</v>
      </c>
      <c r="K3173" s="2" t="n">
        <v>2</v>
      </c>
      <c r="L3173" s="2" t="n">
        <v>1</v>
      </c>
      <c r="M3173" s="2" t="n">
        <v>0</v>
      </c>
    </row>
    <row r="3174" customFormat="false" ht="15" hidden="false" customHeight="false" outlineLevel="0" collapsed="false">
      <c r="A3174" s="2" t="s">
        <v>6621</v>
      </c>
      <c r="B3174" s="2" t="s">
        <v>6622</v>
      </c>
      <c r="C3174" s="2" t="n">
        <v>4</v>
      </c>
      <c r="D3174" s="2" t="s">
        <v>301</v>
      </c>
      <c r="E3174" s="2" t="s">
        <v>5812</v>
      </c>
      <c r="F3174" s="3" t="n">
        <v>45970.5972222222</v>
      </c>
      <c r="G3174" s="2" t="s">
        <v>6431</v>
      </c>
      <c r="H3174" s="4" t="n">
        <v>0.2263</v>
      </c>
      <c r="I3174" s="2" t="s">
        <v>23</v>
      </c>
      <c r="J3174" s="2" t="s">
        <v>19</v>
      </c>
      <c r="K3174" s="2" t="n">
        <v>1</v>
      </c>
      <c r="L3174" s="2" t="n">
        <v>0</v>
      </c>
      <c r="M3174" s="2" t="n">
        <v>0</v>
      </c>
    </row>
    <row r="3175" customFormat="false" ht="15" hidden="false" customHeight="false" outlineLevel="0" collapsed="false">
      <c r="A3175" s="2" t="s">
        <v>6623</v>
      </c>
      <c r="B3175" s="2" t="s">
        <v>6624</v>
      </c>
      <c r="C3175" s="2" t="n">
        <v>5</v>
      </c>
      <c r="D3175" s="2" t="s">
        <v>96</v>
      </c>
      <c r="E3175" s="2" t="s">
        <v>5812</v>
      </c>
      <c r="F3175" s="3" t="n">
        <v>45970.6013888889</v>
      </c>
      <c r="G3175" s="2" t="s">
        <v>6431</v>
      </c>
      <c r="H3175" s="4" t="n">
        <v>0.6369</v>
      </c>
      <c r="I3175" s="2" t="s">
        <v>23</v>
      </c>
      <c r="J3175" s="2" t="s">
        <v>19</v>
      </c>
      <c r="K3175" s="2" t="n">
        <v>1</v>
      </c>
      <c r="L3175" s="2" t="n">
        <v>0</v>
      </c>
      <c r="M3175" s="2" t="n">
        <v>0</v>
      </c>
    </row>
    <row r="3176" customFormat="false" ht="15" hidden="false" customHeight="false" outlineLevel="0" collapsed="false">
      <c r="A3176" s="2" t="s">
        <v>6625</v>
      </c>
      <c r="B3176" s="2" t="s">
        <v>6626</v>
      </c>
      <c r="C3176" s="2" t="n">
        <v>5</v>
      </c>
      <c r="D3176" s="2" t="s">
        <v>116</v>
      </c>
      <c r="E3176" s="2" t="s">
        <v>5812</v>
      </c>
      <c r="F3176" s="3" t="n">
        <v>45970.6361111111</v>
      </c>
      <c r="G3176" s="2" t="s">
        <v>6431</v>
      </c>
      <c r="H3176" s="4" t="n">
        <v>0.9359</v>
      </c>
      <c r="I3176" s="2" t="s">
        <v>23</v>
      </c>
      <c r="J3176" s="2" t="s">
        <v>37</v>
      </c>
      <c r="K3176" s="2" t="n">
        <v>0</v>
      </c>
      <c r="L3176" s="2" t="n">
        <v>0</v>
      </c>
      <c r="M3176" s="2" t="n">
        <v>0</v>
      </c>
    </row>
    <row r="3177" customFormat="false" ht="15" hidden="false" customHeight="false" outlineLevel="0" collapsed="false">
      <c r="A3177" s="2" t="s">
        <v>6627</v>
      </c>
      <c r="B3177" s="2" t="s">
        <v>6628</v>
      </c>
      <c r="C3177" s="2" t="n">
        <v>5</v>
      </c>
      <c r="D3177" s="2" t="s">
        <v>420</v>
      </c>
      <c r="E3177" s="2" t="s">
        <v>5812</v>
      </c>
      <c r="F3177" s="3" t="n">
        <v>45970.8881944444</v>
      </c>
      <c r="G3177" s="2" t="s">
        <v>6431</v>
      </c>
      <c r="H3177" s="4" t="n">
        <v>0.7845</v>
      </c>
      <c r="I3177" s="2" t="s">
        <v>23</v>
      </c>
      <c r="J3177" s="2" t="s">
        <v>33</v>
      </c>
      <c r="K3177" s="2" t="n">
        <v>1</v>
      </c>
      <c r="L3177" s="2" t="n">
        <v>0</v>
      </c>
      <c r="M3177" s="2" t="n">
        <v>0</v>
      </c>
    </row>
    <row r="3178" customFormat="false" ht="15" hidden="false" customHeight="false" outlineLevel="0" collapsed="false">
      <c r="A3178" s="2" t="s">
        <v>6629</v>
      </c>
      <c r="B3178" s="2" t="s">
        <v>6630</v>
      </c>
      <c r="C3178" s="2" t="n">
        <v>5</v>
      </c>
      <c r="D3178" s="2" t="s">
        <v>40</v>
      </c>
      <c r="E3178" s="2" t="s">
        <v>5812</v>
      </c>
      <c r="F3178" s="3" t="n">
        <v>45970.9229166667</v>
      </c>
      <c r="G3178" s="2" t="s">
        <v>6431</v>
      </c>
      <c r="H3178" s="4" t="n">
        <v>0.4019</v>
      </c>
      <c r="I3178" s="2" t="s">
        <v>23</v>
      </c>
      <c r="J3178" s="2" t="s">
        <v>33</v>
      </c>
      <c r="K3178" s="2" t="n">
        <v>0</v>
      </c>
      <c r="L3178" s="2" t="n">
        <v>0</v>
      </c>
      <c r="M3178" s="2" t="n">
        <v>0</v>
      </c>
    </row>
    <row r="3179" customFormat="false" ht="15" hidden="false" customHeight="false" outlineLevel="0" collapsed="false">
      <c r="A3179" s="2" t="s">
        <v>6631</v>
      </c>
      <c r="B3179" s="2" t="s">
        <v>6632</v>
      </c>
      <c r="C3179" s="2" t="n">
        <v>5</v>
      </c>
      <c r="D3179" s="2" t="s">
        <v>40</v>
      </c>
      <c r="E3179" s="2" t="s">
        <v>5812</v>
      </c>
      <c r="F3179" s="3" t="n">
        <v>45970.9340277778</v>
      </c>
      <c r="G3179" s="2" t="s">
        <v>6431</v>
      </c>
      <c r="H3179" s="4" t="n">
        <v>0.4019</v>
      </c>
      <c r="I3179" s="2" t="s">
        <v>23</v>
      </c>
      <c r="J3179" s="2" t="s">
        <v>33</v>
      </c>
      <c r="K3179" s="2" t="n">
        <v>1</v>
      </c>
      <c r="L3179" s="2" t="n">
        <v>0</v>
      </c>
      <c r="M3179" s="2" t="n">
        <v>0</v>
      </c>
    </row>
    <row r="3180" customFormat="false" ht="15" hidden="false" customHeight="false" outlineLevel="0" collapsed="false">
      <c r="A3180" s="2" t="s">
        <v>6633</v>
      </c>
      <c r="B3180" s="2" t="s">
        <v>6634</v>
      </c>
      <c r="C3180" s="2" t="n">
        <v>1</v>
      </c>
      <c r="D3180" s="2" t="s">
        <v>32</v>
      </c>
      <c r="E3180" s="2" t="s">
        <v>5812</v>
      </c>
      <c r="F3180" s="3" t="n">
        <v>45971.0493055556</v>
      </c>
      <c r="G3180" s="2" t="s">
        <v>6431</v>
      </c>
      <c r="H3180" s="4" t="n">
        <v>0.2023</v>
      </c>
      <c r="I3180" s="2" t="s">
        <v>23</v>
      </c>
      <c r="J3180" s="2" t="s">
        <v>33</v>
      </c>
      <c r="K3180" s="2" t="n">
        <v>2</v>
      </c>
      <c r="L3180" s="2" t="n">
        <v>0</v>
      </c>
      <c r="M3180" s="2" t="n">
        <v>0</v>
      </c>
    </row>
    <row r="3181" customFormat="false" ht="15" hidden="false" customHeight="false" outlineLevel="0" collapsed="false">
      <c r="A3181" s="2" t="s">
        <v>6635</v>
      </c>
      <c r="B3181" s="2" t="s">
        <v>6636</v>
      </c>
      <c r="C3181" s="2" t="n">
        <v>5</v>
      </c>
      <c r="D3181" s="2" t="s">
        <v>96</v>
      </c>
      <c r="E3181" s="2" t="s">
        <v>5812</v>
      </c>
      <c r="F3181" s="3" t="n">
        <v>45971.1104166667</v>
      </c>
      <c r="G3181" s="2" t="s">
        <v>6431</v>
      </c>
      <c r="H3181" s="4" t="n">
        <v>0.6369</v>
      </c>
      <c r="I3181" s="2" t="s">
        <v>23</v>
      </c>
      <c r="J3181" s="2" t="s">
        <v>19</v>
      </c>
      <c r="K3181" s="2" t="n">
        <v>3</v>
      </c>
      <c r="L3181" s="2" t="n">
        <v>0</v>
      </c>
      <c r="M3181" s="2" t="n">
        <v>0</v>
      </c>
    </row>
    <row r="3182" customFormat="false" ht="15" hidden="false" customHeight="false" outlineLevel="0" collapsed="false">
      <c r="A3182" s="2" t="s">
        <v>6637</v>
      </c>
      <c r="B3182" s="2" t="s">
        <v>6638</v>
      </c>
      <c r="C3182" s="2" t="n">
        <v>4</v>
      </c>
      <c r="D3182" s="2" t="s">
        <v>62</v>
      </c>
      <c r="E3182" s="2" t="s">
        <v>5812</v>
      </c>
      <c r="F3182" s="3" t="n">
        <v>45971.1930555556</v>
      </c>
      <c r="G3182" s="2" t="s">
        <v>6431</v>
      </c>
      <c r="H3182" s="4" t="n">
        <v>0.7088</v>
      </c>
      <c r="I3182" s="2" t="s">
        <v>23</v>
      </c>
      <c r="J3182" s="2" t="s">
        <v>19</v>
      </c>
      <c r="K3182" s="2" t="n">
        <v>0</v>
      </c>
      <c r="L3182" s="2" t="n">
        <v>0</v>
      </c>
      <c r="M3182" s="2" t="n">
        <v>0</v>
      </c>
    </row>
    <row r="3183" customFormat="false" ht="15" hidden="false" customHeight="false" outlineLevel="0" collapsed="false">
      <c r="A3183" s="2" t="s">
        <v>6639</v>
      </c>
      <c r="B3183" s="2" t="s">
        <v>6640</v>
      </c>
      <c r="C3183" s="2" t="n">
        <v>4</v>
      </c>
      <c r="D3183" s="2" t="s">
        <v>40</v>
      </c>
      <c r="E3183" s="2" t="s">
        <v>5812</v>
      </c>
      <c r="F3183" s="3" t="n">
        <v>45971.2729166667</v>
      </c>
      <c r="G3183" s="2" t="s">
        <v>6431</v>
      </c>
      <c r="H3183" s="4" t="n">
        <v>0.4019</v>
      </c>
      <c r="I3183" s="2" t="s">
        <v>23</v>
      </c>
      <c r="J3183" s="2" t="s">
        <v>33</v>
      </c>
      <c r="K3183" s="2" t="n">
        <v>3</v>
      </c>
      <c r="L3183" s="2" t="n">
        <v>0</v>
      </c>
      <c r="M3183" s="2" t="n">
        <v>0</v>
      </c>
    </row>
    <row r="3184" customFormat="false" ht="15" hidden="false" customHeight="false" outlineLevel="0" collapsed="false">
      <c r="A3184" s="2" t="s">
        <v>6641</v>
      </c>
      <c r="B3184" s="2" t="s">
        <v>6642</v>
      </c>
      <c r="C3184" s="2" t="n">
        <v>5</v>
      </c>
      <c r="D3184" s="2" t="s">
        <v>90</v>
      </c>
      <c r="E3184" s="2" t="s">
        <v>5812</v>
      </c>
      <c r="F3184" s="3" t="n">
        <v>45971.3465277778</v>
      </c>
      <c r="G3184" s="2" t="s">
        <v>6431</v>
      </c>
      <c r="H3184" s="4" t="n">
        <v>0.6249</v>
      </c>
      <c r="I3184" s="2" t="s">
        <v>23</v>
      </c>
      <c r="J3184" s="2" t="s">
        <v>37</v>
      </c>
      <c r="K3184" s="2" t="n">
        <v>1</v>
      </c>
      <c r="L3184" s="2" t="n">
        <v>0</v>
      </c>
      <c r="M3184" s="2" t="n">
        <v>0</v>
      </c>
    </row>
    <row r="3185" customFormat="false" ht="15" hidden="false" customHeight="false" outlineLevel="0" collapsed="false">
      <c r="A3185" s="2" t="s">
        <v>6643</v>
      </c>
      <c r="B3185" s="2" t="s">
        <v>6644</v>
      </c>
      <c r="C3185" s="2" t="n">
        <v>5</v>
      </c>
      <c r="D3185" s="2" t="s">
        <v>555</v>
      </c>
      <c r="E3185" s="2" t="s">
        <v>5812</v>
      </c>
      <c r="F3185" s="3" t="n">
        <v>45971.3784722222</v>
      </c>
      <c r="G3185" s="2" t="s">
        <v>6431</v>
      </c>
      <c r="H3185" s="4" t="n">
        <v>0.8221</v>
      </c>
      <c r="I3185" s="2" t="s">
        <v>23</v>
      </c>
      <c r="J3185" s="2" t="s">
        <v>33</v>
      </c>
      <c r="K3185" s="2" t="n">
        <v>4</v>
      </c>
      <c r="L3185" s="2" t="n">
        <v>0</v>
      </c>
      <c r="M3185" s="2" t="n">
        <v>0</v>
      </c>
    </row>
    <row r="3186" customFormat="false" ht="15" hidden="false" customHeight="false" outlineLevel="0" collapsed="false">
      <c r="A3186" s="2" t="s">
        <v>6645</v>
      </c>
      <c r="B3186" s="2" t="s">
        <v>6646</v>
      </c>
      <c r="C3186" s="2" t="n">
        <v>4</v>
      </c>
      <c r="D3186" s="2" t="s">
        <v>1622</v>
      </c>
      <c r="E3186" s="2" t="s">
        <v>5812</v>
      </c>
      <c r="F3186" s="3" t="n">
        <v>45971.3909722222</v>
      </c>
      <c r="G3186" s="2" t="s">
        <v>6431</v>
      </c>
      <c r="H3186" s="4" t="n">
        <v>0.8555</v>
      </c>
      <c r="I3186" s="2" t="s">
        <v>23</v>
      </c>
      <c r="J3186" s="2" t="s">
        <v>19</v>
      </c>
      <c r="K3186" s="2" t="n">
        <v>1</v>
      </c>
      <c r="L3186" s="2" t="n">
        <v>0</v>
      </c>
      <c r="M3186" s="2" t="n">
        <v>0</v>
      </c>
    </row>
    <row r="3187" customFormat="false" ht="15" hidden="false" customHeight="false" outlineLevel="0" collapsed="false">
      <c r="A3187" s="2" t="s">
        <v>6647</v>
      </c>
      <c r="B3187" s="2" t="s">
        <v>6648</v>
      </c>
      <c r="C3187" s="2" t="n">
        <v>1</v>
      </c>
      <c r="D3187" s="2" t="s">
        <v>83</v>
      </c>
      <c r="E3187" s="2" t="s">
        <v>5812</v>
      </c>
      <c r="F3187" s="3" t="n">
        <v>45971.4763888889</v>
      </c>
      <c r="G3187" s="2" t="s">
        <v>6431</v>
      </c>
      <c r="H3187" s="4" t="n">
        <v>-0.6166</v>
      </c>
      <c r="I3187" s="2" t="s">
        <v>84</v>
      </c>
      <c r="J3187" s="2" t="s">
        <v>59</v>
      </c>
      <c r="K3187" s="2" t="n">
        <v>5</v>
      </c>
      <c r="L3187" s="2" t="n">
        <v>1</v>
      </c>
      <c r="M3187" s="2" t="n">
        <v>0</v>
      </c>
    </row>
    <row r="3188" customFormat="false" ht="15" hidden="false" customHeight="false" outlineLevel="0" collapsed="false">
      <c r="A3188" s="2" t="s">
        <v>6649</v>
      </c>
      <c r="B3188" s="2" t="s">
        <v>6650</v>
      </c>
      <c r="C3188" s="2" t="n">
        <v>5</v>
      </c>
      <c r="D3188" s="2" t="s">
        <v>15</v>
      </c>
      <c r="E3188" s="2" t="s">
        <v>5812</v>
      </c>
      <c r="F3188" s="3" t="n">
        <v>45971.6597222222</v>
      </c>
      <c r="G3188" s="2" t="s">
        <v>6431</v>
      </c>
      <c r="H3188" s="4" t="n">
        <v>0</v>
      </c>
      <c r="I3188" s="2" t="s">
        <v>18</v>
      </c>
      <c r="J3188" s="2" t="s">
        <v>19</v>
      </c>
      <c r="K3188" s="2" t="n">
        <v>3</v>
      </c>
      <c r="L3188" s="2" t="n">
        <v>0</v>
      </c>
      <c r="M3188" s="2" t="n">
        <v>0</v>
      </c>
    </row>
    <row r="3189" customFormat="false" ht="15" hidden="false" customHeight="false" outlineLevel="0" collapsed="false">
      <c r="A3189" s="2" t="s">
        <v>6651</v>
      </c>
      <c r="B3189" s="2" t="s">
        <v>6652</v>
      </c>
      <c r="C3189" s="2" t="n">
        <v>2</v>
      </c>
      <c r="D3189" s="2" t="s">
        <v>965</v>
      </c>
      <c r="E3189" s="2" t="s">
        <v>5812</v>
      </c>
      <c r="F3189" s="3" t="n">
        <v>45971.6708333333</v>
      </c>
      <c r="G3189" s="2" t="s">
        <v>6431</v>
      </c>
      <c r="H3189" s="4" t="n">
        <v>0.2023</v>
      </c>
      <c r="I3189" s="2" t="s">
        <v>23</v>
      </c>
      <c r="J3189" s="2" t="s">
        <v>110</v>
      </c>
      <c r="K3189" s="2" t="n">
        <v>11</v>
      </c>
      <c r="L3189" s="2" t="n">
        <v>1</v>
      </c>
      <c r="M3189" s="2" t="n">
        <v>0</v>
      </c>
    </row>
    <row r="3190" customFormat="false" ht="15" hidden="false" customHeight="false" outlineLevel="0" collapsed="false">
      <c r="A3190" s="2" t="s">
        <v>6653</v>
      </c>
      <c r="B3190" s="2" t="s">
        <v>6654</v>
      </c>
      <c r="C3190" s="2" t="n">
        <v>3</v>
      </c>
      <c r="D3190" s="2" t="s">
        <v>2825</v>
      </c>
      <c r="E3190" s="2" t="s">
        <v>5812</v>
      </c>
      <c r="F3190" s="3" t="n">
        <v>45971.7208333333</v>
      </c>
      <c r="G3190" s="2" t="s">
        <v>6431</v>
      </c>
      <c r="H3190" s="4" t="n">
        <v>-0.4398</v>
      </c>
      <c r="I3190" s="2" t="s">
        <v>84</v>
      </c>
      <c r="J3190" s="2" t="s">
        <v>19</v>
      </c>
      <c r="K3190" s="2" t="n">
        <v>2</v>
      </c>
      <c r="L3190" s="2" t="n">
        <v>0</v>
      </c>
      <c r="M3190" s="2" t="n">
        <v>0</v>
      </c>
    </row>
    <row r="3191" customFormat="false" ht="15" hidden="false" customHeight="false" outlineLevel="0" collapsed="false">
      <c r="A3191" s="2" t="s">
        <v>6655</v>
      </c>
      <c r="B3191" s="2" t="s">
        <v>6656</v>
      </c>
      <c r="C3191" s="2" t="n">
        <v>3</v>
      </c>
      <c r="D3191" s="2" t="s">
        <v>36</v>
      </c>
      <c r="E3191" s="2" t="s">
        <v>5812</v>
      </c>
      <c r="F3191" s="3" t="n">
        <v>45971.8131944445</v>
      </c>
      <c r="G3191" s="2" t="s">
        <v>6431</v>
      </c>
      <c r="H3191" s="4" t="n">
        <v>0.4404</v>
      </c>
      <c r="I3191" s="2" t="s">
        <v>23</v>
      </c>
      <c r="J3191" s="2" t="s">
        <v>37</v>
      </c>
      <c r="K3191" s="2" t="n">
        <v>4</v>
      </c>
      <c r="L3191" s="2" t="n">
        <v>0</v>
      </c>
      <c r="M3191" s="2" t="n">
        <v>0</v>
      </c>
    </row>
    <row r="3192" customFormat="false" ht="15" hidden="false" customHeight="false" outlineLevel="0" collapsed="false">
      <c r="A3192" s="2" t="s">
        <v>6657</v>
      </c>
      <c r="B3192" s="2" t="s">
        <v>6658</v>
      </c>
      <c r="C3192" s="2" t="n">
        <v>5</v>
      </c>
      <c r="D3192" s="2" t="s">
        <v>47</v>
      </c>
      <c r="E3192" s="2" t="s">
        <v>5812</v>
      </c>
      <c r="F3192" s="3" t="n">
        <v>45971.8277777778</v>
      </c>
      <c r="G3192" s="2" t="s">
        <v>6431</v>
      </c>
      <c r="H3192" s="4" t="n">
        <v>0.3089</v>
      </c>
      <c r="I3192" s="2" t="s">
        <v>23</v>
      </c>
      <c r="J3192" s="2" t="s">
        <v>19</v>
      </c>
      <c r="K3192" s="2" t="n">
        <v>0</v>
      </c>
      <c r="L3192" s="2" t="n">
        <v>0</v>
      </c>
      <c r="M3192" s="2" t="n">
        <v>0</v>
      </c>
    </row>
    <row r="3193" customFormat="false" ht="15" hidden="false" customHeight="false" outlineLevel="0" collapsed="false">
      <c r="A3193" s="2" t="s">
        <v>6659</v>
      </c>
      <c r="B3193" s="2" t="s">
        <v>2502</v>
      </c>
      <c r="C3193" s="2" t="n">
        <v>5</v>
      </c>
      <c r="D3193" s="2" t="s">
        <v>90</v>
      </c>
      <c r="E3193" s="2" t="s">
        <v>5812</v>
      </c>
      <c r="F3193" s="3" t="n">
        <v>45972.3361111111</v>
      </c>
      <c r="G3193" s="2" t="s">
        <v>6431</v>
      </c>
      <c r="H3193" s="4" t="n">
        <v>0.6249</v>
      </c>
      <c r="I3193" s="2" t="s">
        <v>23</v>
      </c>
      <c r="J3193" s="2" t="s">
        <v>37</v>
      </c>
      <c r="K3193" s="2" t="n">
        <v>1</v>
      </c>
      <c r="L3193" s="2" t="n">
        <v>1</v>
      </c>
      <c r="M3193" s="2" t="n">
        <v>0</v>
      </c>
    </row>
    <row r="3194" customFormat="false" ht="15" hidden="false" customHeight="false" outlineLevel="0" collapsed="false">
      <c r="A3194" s="2" t="s">
        <v>6660</v>
      </c>
      <c r="B3194" s="2" t="s">
        <v>6661</v>
      </c>
      <c r="C3194" s="2" t="n">
        <v>5</v>
      </c>
      <c r="D3194" s="2" t="s">
        <v>213</v>
      </c>
      <c r="E3194" s="2" t="s">
        <v>5812</v>
      </c>
      <c r="F3194" s="3" t="n">
        <v>45972.4569444444</v>
      </c>
      <c r="G3194" s="2" t="s">
        <v>6431</v>
      </c>
      <c r="H3194" s="4" t="n">
        <v>0.8651</v>
      </c>
      <c r="I3194" s="2" t="s">
        <v>23</v>
      </c>
      <c r="J3194" s="2" t="s">
        <v>19</v>
      </c>
      <c r="K3194" s="2" t="n">
        <v>1</v>
      </c>
      <c r="L3194" s="2" t="n">
        <v>0</v>
      </c>
      <c r="M3194" s="2" t="n">
        <v>0</v>
      </c>
    </row>
    <row r="3195" customFormat="false" ht="15" hidden="false" customHeight="false" outlineLevel="0" collapsed="false">
      <c r="A3195" s="2" t="s">
        <v>6662</v>
      </c>
      <c r="B3195" s="2" t="s">
        <v>6663</v>
      </c>
      <c r="C3195" s="2" t="n">
        <v>5</v>
      </c>
      <c r="D3195" s="2" t="s">
        <v>62</v>
      </c>
      <c r="E3195" s="2" t="s">
        <v>5812</v>
      </c>
      <c r="F3195" s="3" t="n">
        <v>45972.8569444444</v>
      </c>
      <c r="G3195" s="2" t="s">
        <v>6431</v>
      </c>
      <c r="H3195" s="4" t="n">
        <v>0.7088</v>
      </c>
      <c r="I3195" s="2" t="s">
        <v>23</v>
      </c>
      <c r="J3195" s="2" t="s">
        <v>19</v>
      </c>
      <c r="K3195" s="2" t="n">
        <v>0</v>
      </c>
      <c r="L3195" s="2" t="n">
        <v>1</v>
      </c>
      <c r="M3195" s="2" t="n">
        <v>0</v>
      </c>
    </row>
    <row r="3196" customFormat="false" ht="15" hidden="false" customHeight="false" outlineLevel="0" collapsed="false">
      <c r="A3196" s="2" t="s">
        <v>6664</v>
      </c>
      <c r="B3196" s="2" t="s">
        <v>6665</v>
      </c>
      <c r="C3196" s="2" t="n">
        <v>4</v>
      </c>
      <c r="D3196" s="2" t="s">
        <v>204</v>
      </c>
      <c r="E3196" s="2" t="s">
        <v>5812</v>
      </c>
      <c r="F3196" s="3" t="n">
        <v>45972.9256944444</v>
      </c>
      <c r="G3196" s="2" t="s">
        <v>6431</v>
      </c>
      <c r="H3196" s="4" t="n">
        <v>0.7712</v>
      </c>
      <c r="I3196" s="2" t="s">
        <v>23</v>
      </c>
      <c r="J3196" s="2" t="s">
        <v>19</v>
      </c>
      <c r="K3196" s="2" t="n">
        <v>0</v>
      </c>
      <c r="L3196" s="2" t="n">
        <v>0</v>
      </c>
      <c r="M3196" s="2" t="n">
        <v>0</v>
      </c>
    </row>
    <row r="3197" customFormat="false" ht="15" hidden="false" customHeight="false" outlineLevel="0" collapsed="false">
      <c r="A3197" s="2" t="s">
        <v>6666</v>
      </c>
      <c r="B3197" s="2" t="s">
        <v>6667</v>
      </c>
      <c r="C3197" s="2" t="n">
        <v>5</v>
      </c>
      <c r="D3197" s="2" t="s">
        <v>40</v>
      </c>
      <c r="E3197" s="2" t="s">
        <v>5812</v>
      </c>
      <c r="F3197" s="3" t="n">
        <v>45972.9298611111</v>
      </c>
      <c r="G3197" s="2" t="s">
        <v>6431</v>
      </c>
      <c r="H3197" s="4" t="n">
        <v>0.4019</v>
      </c>
      <c r="I3197" s="2" t="s">
        <v>23</v>
      </c>
      <c r="J3197" s="2" t="s">
        <v>33</v>
      </c>
      <c r="K3197" s="2" t="n">
        <v>4</v>
      </c>
      <c r="L3197" s="2" t="n">
        <v>0</v>
      </c>
      <c r="M3197" s="2" t="n">
        <v>0</v>
      </c>
    </row>
    <row r="3198" customFormat="false" ht="15" hidden="false" customHeight="false" outlineLevel="0" collapsed="false">
      <c r="A3198" s="2" t="s">
        <v>6668</v>
      </c>
      <c r="B3198" s="2" t="s">
        <v>6669</v>
      </c>
      <c r="C3198" s="2" t="n">
        <v>5</v>
      </c>
      <c r="D3198" s="2" t="s">
        <v>15</v>
      </c>
      <c r="E3198" s="2" t="s">
        <v>6670</v>
      </c>
      <c r="F3198" s="3" t="n">
        <v>45973.2666666667</v>
      </c>
      <c r="G3198" s="2" t="s">
        <v>6431</v>
      </c>
      <c r="H3198" s="4" t="n">
        <v>0</v>
      </c>
      <c r="I3198" s="2" t="s">
        <v>18</v>
      </c>
      <c r="J3198" s="2" t="s">
        <v>19</v>
      </c>
      <c r="K3198" s="2" t="n">
        <v>3</v>
      </c>
      <c r="L3198" s="2" t="n">
        <v>0</v>
      </c>
      <c r="M3198" s="2" t="n">
        <v>1</v>
      </c>
    </row>
    <row r="3199" customFormat="false" ht="15" hidden="false" customHeight="false" outlineLevel="0" collapsed="false">
      <c r="A3199" s="2" t="s">
        <v>6671</v>
      </c>
      <c r="B3199" s="2" t="s">
        <v>6672</v>
      </c>
      <c r="C3199" s="2" t="n">
        <v>2</v>
      </c>
      <c r="D3199" s="2" t="s">
        <v>455</v>
      </c>
      <c r="E3199" s="2" t="s">
        <v>6670</v>
      </c>
      <c r="F3199" s="3" t="n">
        <v>45973.4784722222</v>
      </c>
      <c r="G3199" s="2" t="s">
        <v>6431</v>
      </c>
      <c r="H3199" s="4" t="n">
        <v>-0.2263</v>
      </c>
      <c r="I3199" s="2" t="s">
        <v>84</v>
      </c>
      <c r="J3199" s="2" t="s">
        <v>165</v>
      </c>
      <c r="K3199" s="2" t="n">
        <v>0</v>
      </c>
      <c r="L3199" s="2" t="n">
        <v>1</v>
      </c>
      <c r="M3199" s="2" t="n">
        <v>1</v>
      </c>
    </row>
    <row r="3200" customFormat="false" ht="15" hidden="false" customHeight="false" outlineLevel="0" collapsed="false">
      <c r="A3200" s="2" t="s">
        <v>6673</v>
      </c>
      <c r="B3200" s="2" t="s">
        <v>6674</v>
      </c>
      <c r="C3200" s="2" t="n">
        <v>1</v>
      </c>
      <c r="D3200" s="2" t="s">
        <v>721</v>
      </c>
      <c r="E3200" s="2" t="s">
        <v>6670</v>
      </c>
      <c r="F3200" s="3" t="n">
        <v>45973.81875</v>
      </c>
      <c r="G3200" s="2" t="s">
        <v>6431</v>
      </c>
      <c r="H3200" s="4" t="n">
        <v>-0.4588</v>
      </c>
      <c r="I3200" s="2" t="s">
        <v>84</v>
      </c>
      <c r="J3200" s="2" t="s">
        <v>37</v>
      </c>
      <c r="K3200" s="2" t="n">
        <v>1</v>
      </c>
      <c r="L3200" s="2" t="n">
        <v>0</v>
      </c>
      <c r="M3200" s="2" t="n">
        <v>1</v>
      </c>
    </row>
    <row r="3201" customFormat="false" ht="15" hidden="false" customHeight="false" outlineLevel="0" collapsed="false">
      <c r="A3201" s="2" t="s">
        <v>6675</v>
      </c>
      <c r="B3201" s="2" t="s">
        <v>6676</v>
      </c>
      <c r="C3201" s="2" t="n">
        <v>5</v>
      </c>
      <c r="D3201" s="2" t="s">
        <v>47</v>
      </c>
      <c r="E3201" s="2" t="s">
        <v>6670</v>
      </c>
      <c r="F3201" s="3" t="n">
        <v>45973.8430555556</v>
      </c>
      <c r="G3201" s="2" t="s">
        <v>6431</v>
      </c>
      <c r="H3201" s="4" t="n">
        <v>0.3089</v>
      </c>
      <c r="I3201" s="2" t="s">
        <v>23</v>
      </c>
      <c r="J3201" s="2" t="s">
        <v>19</v>
      </c>
      <c r="K3201" s="2" t="n">
        <v>1</v>
      </c>
      <c r="L3201" s="2" t="n">
        <v>0</v>
      </c>
      <c r="M3201" s="2" t="n">
        <v>1</v>
      </c>
    </row>
    <row r="3202" customFormat="false" ht="15" hidden="false" customHeight="false" outlineLevel="0" collapsed="false">
      <c r="A3202" s="2" t="s">
        <v>6677</v>
      </c>
      <c r="B3202" s="2" t="s">
        <v>6678</v>
      </c>
      <c r="C3202" s="2" t="n">
        <v>5</v>
      </c>
      <c r="D3202" s="2" t="s">
        <v>127</v>
      </c>
      <c r="E3202" s="2" t="s">
        <v>6670</v>
      </c>
      <c r="F3202" s="3" t="n">
        <v>45973.9111111111</v>
      </c>
      <c r="G3202" s="2" t="s">
        <v>6431</v>
      </c>
      <c r="H3202" s="4" t="n">
        <v>0.9359</v>
      </c>
      <c r="I3202" s="2" t="s">
        <v>23</v>
      </c>
      <c r="J3202" s="2" t="s">
        <v>37</v>
      </c>
      <c r="K3202" s="2" t="n">
        <v>2</v>
      </c>
      <c r="L3202" s="2" t="n">
        <v>0</v>
      </c>
      <c r="M3202" s="2" t="n">
        <v>1</v>
      </c>
    </row>
    <row r="3203" customFormat="false" ht="15" hidden="false" customHeight="false" outlineLevel="0" collapsed="false">
      <c r="A3203" s="2" t="s">
        <v>6679</v>
      </c>
      <c r="B3203" s="2" t="s">
        <v>6680</v>
      </c>
      <c r="C3203" s="2" t="n">
        <v>5</v>
      </c>
      <c r="D3203" s="2" t="s">
        <v>52</v>
      </c>
      <c r="E3203" s="2" t="s">
        <v>6670</v>
      </c>
      <c r="F3203" s="3" t="n">
        <v>45973.9555555556</v>
      </c>
      <c r="G3203" s="2" t="s">
        <v>6431</v>
      </c>
      <c r="H3203" s="4" t="n">
        <v>0.6369</v>
      </c>
      <c r="I3203" s="2" t="s">
        <v>23</v>
      </c>
      <c r="J3203" s="2" t="s">
        <v>19</v>
      </c>
      <c r="K3203" s="2" t="n">
        <v>2</v>
      </c>
      <c r="L3203" s="2" t="n">
        <v>0</v>
      </c>
      <c r="M3203" s="2" t="n">
        <v>1</v>
      </c>
    </row>
    <row r="3204" customFormat="false" ht="15" hidden="false" customHeight="false" outlineLevel="0" collapsed="false">
      <c r="A3204" s="2" t="s">
        <v>6681</v>
      </c>
      <c r="B3204" s="2" t="s">
        <v>6682</v>
      </c>
      <c r="C3204" s="2" t="n">
        <v>3</v>
      </c>
      <c r="D3204" s="2" t="s">
        <v>6683</v>
      </c>
      <c r="E3204" s="2" t="s">
        <v>6670</v>
      </c>
      <c r="F3204" s="3" t="n">
        <v>45974.1368055556</v>
      </c>
      <c r="G3204" s="2" t="s">
        <v>6431</v>
      </c>
      <c r="H3204" s="4" t="n">
        <v>0.4019</v>
      </c>
      <c r="I3204" s="2" t="s">
        <v>23</v>
      </c>
      <c r="J3204" s="2" t="s">
        <v>33</v>
      </c>
      <c r="K3204" s="2" t="n">
        <v>0</v>
      </c>
      <c r="L3204" s="2" t="n">
        <v>0</v>
      </c>
      <c r="M3204" s="2" t="n">
        <v>1</v>
      </c>
    </row>
    <row r="3205" customFormat="false" ht="15" hidden="false" customHeight="false" outlineLevel="0" collapsed="false">
      <c r="A3205" s="2" t="s">
        <v>6684</v>
      </c>
      <c r="B3205" s="2" t="s">
        <v>6685</v>
      </c>
      <c r="C3205" s="2" t="n">
        <v>2</v>
      </c>
      <c r="D3205" s="2" t="s">
        <v>133</v>
      </c>
      <c r="E3205" s="2" t="s">
        <v>6670</v>
      </c>
      <c r="F3205" s="3" t="n">
        <v>45974.1944444445</v>
      </c>
      <c r="G3205" s="2" t="s">
        <v>6431</v>
      </c>
      <c r="H3205" s="4" t="n">
        <v>-0.5719</v>
      </c>
      <c r="I3205" s="2" t="s">
        <v>84</v>
      </c>
      <c r="J3205" s="2" t="s">
        <v>33</v>
      </c>
      <c r="K3205" s="2" t="n">
        <v>6</v>
      </c>
      <c r="L3205" s="2" t="n">
        <v>0</v>
      </c>
      <c r="M3205" s="2" t="n">
        <v>1</v>
      </c>
    </row>
    <row r="3206" customFormat="false" ht="15" hidden="false" customHeight="false" outlineLevel="0" collapsed="false">
      <c r="A3206" s="2" t="s">
        <v>6686</v>
      </c>
      <c r="B3206" s="2" t="s">
        <v>6687</v>
      </c>
      <c r="C3206" s="2" t="n">
        <v>2</v>
      </c>
      <c r="D3206" s="2" t="s">
        <v>109</v>
      </c>
      <c r="E3206" s="2" t="s">
        <v>6670</v>
      </c>
      <c r="F3206" s="3" t="n">
        <v>45974.2305555556</v>
      </c>
      <c r="G3206" s="2" t="s">
        <v>6431</v>
      </c>
      <c r="H3206" s="4" t="n">
        <v>0</v>
      </c>
      <c r="I3206" s="2" t="s">
        <v>18</v>
      </c>
      <c r="J3206" s="2" t="s">
        <v>110</v>
      </c>
      <c r="K3206" s="2" t="n">
        <v>4</v>
      </c>
      <c r="L3206" s="2" t="n">
        <v>0</v>
      </c>
      <c r="M3206" s="2" t="n">
        <v>1</v>
      </c>
    </row>
    <row r="3207" customFormat="false" ht="15" hidden="false" customHeight="false" outlineLevel="0" collapsed="false">
      <c r="A3207" s="2" t="s">
        <v>6688</v>
      </c>
      <c r="B3207" s="2" t="s">
        <v>6689</v>
      </c>
      <c r="C3207" s="2" t="n">
        <v>3</v>
      </c>
      <c r="D3207" s="2" t="s">
        <v>301</v>
      </c>
      <c r="E3207" s="2" t="s">
        <v>6670</v>
      </c>
      <c r="F3207" s="3" t="n">
        <v>45974.3534722222</v>
      </c>
      <c r="G3207" s="2" t="s">
        <v>6431</v>
      </c>
      <c r="H3207" s="4" t="n">
        <v>0.2263</v>
      </c>
      <c r="I3207" s="2" t="s">
        <v>23</v>
      </c>
      <c r="J3207" s="2" t="s">
        <v>19</v>
      </c>
      <c r="K3207" s="2" t="n">
        <v>2</v>
      </c>
      <c r="L3207" s="2" t="n">
        <v>0</v>
      </c>
      <c r="M3207" s="2" t="n">
        <v>1</v>
      </c>
    </row>
    <row r="3208" customFormat="false" ht="15" hidden="false" customHeight="false" outlineLevel="0" collapsed="false">
      <c r="A3208" s="2" t="s">
        <v>6690</v>
      </c>
      <c r="B3208" s="2" t="s">
        <v>6691</v>
      </c>
      <c r="C3208" s="2" t="n">
        <v>3</v>
      </c>
      <c r="D3208" s="2" t="s">
        <v>1605</v>
      </c>
      <c r="E3208" s="2" t="s">
        <v>6670</v>
      </c>
      <c r="F3208" s="3" t="n">
        <v>45974.4694444445</v>
      </c>
      <c r="G3208" s="2" t="s">
        <v>6431</v>
      </c>
      <c r="H3208" s="4" t="n">
        <v>-0.5448</v>
      </c>
      <c r="I3208" s="2" t="s">
        <v>84</v>
      </c>
      <c r="J3208" s="2" t="s">
        <v>19</v>
      </c>
      <c r="K3208" s="2" t="n">
        <v>2</v>
      </c>
      <c r="L3208" s="2" t="n">
        <v>0</v>
      </c>
      <c r="M3208" s="2" t="n">
        <v>1</v>
      </c>
    </row>
    <row r="3209" customFormat="false" ht="15" hidden="false" customHeight="false" outlineLevel="0" collapsed="false">
      <c r="A3209" s="2" t="s">
        <v>6692</v>
      </c>
      <c r="B3209" s="2" t="s">
        <v>6693</v>
      </c>
      <c r="C3209" s="2" t="n">
        <v>5</v>
      </c>
      <c r="D3209" s="2" t="s">
        <v>52</v>
      </c>
      <c r="E3209" s="2" t="s">
        <v>6670</v>
      </c>
      <c r="F3209" s="3" t="n">
        <v>45974.6326388889</v>
      </c>
      <c r="G3209" s="2" t="s">
        <v>6431</v>
      </c>
      <c r="H3209" s="4" t="n">
        <v>0.6369</v>
      </c>
      <c r="I3209" s="2" t="s">
        <v>23</v>
      </c>
      <c r="J3209" s="2" t="s">
        <v>19</v>
      </c>
      <c r="K3209" s="2" t="n">
        <v>4</v>
      </c>
      <c r="L3209" s="2" t="n">
        <v>0</v>
      </c>
      <c r="M3209" s="2" t="n">
        <v>1</v>
      </c>
    </row>
    <row r="3210" customFormat="false" ht="15" hidden="false" customHeight="false" outlineLevel="0" collapsed="false">
      <c r="A3210" s="2" t="s">
        <v>6694</v>
      </c>
      <c r="B3210" s="2" t="s">
        <v>6695</v>
      </c>
      <c r="C3210" s="2" t="n">
        <v>5</v>
      </c>
      <c r="D3210" s="2" t="s">
        <v>52</v>
      </c>
      <c r="E3210" s="2" t="s">
        <v>6670</v>
      </c>
      <c r="F3210" s="3" t="n">
        <v>45974.6756944444</v>
      </c>
      <c r="G3210" s="2" t="s">
        <v>6431</v>
      </c>
      <c r="H3210" s="4" t="n">
        <v>0.6369</v>
      </c>
      <c r="I3210" s="2" t="s">
        <v>23</v>
      </c>
      <c r="J3210" s="2" t="s">
        <v>19</v>
      </c>
      <c r="K3210" s="2" t="n">
        <v>0</v>
      </c>
      <c r="L3210" s="2" t="n">
        <v>0</v>
      </c>
      <c r="M3210" s="2" t="n">
        <v>1</v>
      </c>
    </row>
    <row r="3211" customFormat="false" ht="15" hidden="false" customHeight="false" outlineLevel="0" collapsed="false">
      <c r="A3211" s="2" t="s">
        <v>6696</v>
      </c>
      <c r="B3211" s="2" t="s">
        <v>6697</v>
      </c>
      <c r="C3211" s="2" t="n">
        <v>3</v>
      </c>
      <c r="D3211" s="2" t="s">
        <v>36</v>
      </c>
      <c r="E3211" s="2" t="s">
        <v>6670</v>
      </c>
      <c r="F3211" s="3" t="n">
        <v>45974.7444444444</v>
      </c>
      <c r="G3211" s="2" t="s">
        <v>6431</v>
      </c>
      <c r="H3211" s="4" t="n">
        <v>0.4404</v>
      </c>
      <c r="I3211" s="2" t="s">
        <v>23</v>
      </c>
      <c r="J3211" s="2" t="s">
        <v>37</v>
      </c>
      <c r="K3211" s="2" t="n">
        <v>17</v>
      </c>
      <c r="L3211" s="2" t="n">
        <v>0</v>
      </c>
      <c r="M3211" s="2" t="n">
        <v>1</v>
      </c>
    </row>
    <row r="3212" customFormat="false" ht="15" hidden="false" customHeight="false" outlineLevel="0" collapsed="false">
      <c r="A3212" s="2" t="s">
        <v>6698</v>
      </c>
      <c r="B3212" s="2" t="s">
        <v>6699</v>
      </c>
      <c r="C3212" s="2" t="n">
        <v>3</v>
      </c>
      <c r="D3212" s="2" t="s">
        <v>87</v>
      </c>
      <c r="E3212" s="2" t="s">
        <v>6670</v>
      </c>
      <c r="F3212" s="3" t="n">
        <v>45974.8402777778</v>
      </c>
      <c r="G3212" s="2" t="s">
        <v>6431</v>
      </c>
      <c r="H3212" s="4" t="n">
        <v>0</v>
      </c>
      <c r="I3212" s="2" t="s">
        <v>18</v>
      </c>
      <c r="J3212" s="2" t="s">
        <v>19</v>
      </c>
      <c r="K3212" s="2" t="n">
        <v>4</v>
      </c>
      <c r="L3212" s="2" t="n">
        <v>0</v>
      </c>
      <c r="M3212" s="2" t="n">
        <v>1</v>
      </c>
    </row>
    <row r="3213" customFormat="false" ht="15" hidden="false" customHeight="false" outlineLevel="0" collapsed="false">
      <c r="A3213" s="2" t="s">
        <v>6700</v>
      </c>
      <c r="B3213" s="2" t="s">
        <v>6701</v>
      </c>
      <c r="C3213" s="2" t="n">
        <v>2</v>
      </c>
      <c r="D3213" s="2" t="s">
        <v>32</v>
      </c>
      <c r="E3213" s="2" t="s">
        <v>6670</v>
      </c>
      <c r="F3213" s="3" t="n">
        <v>45974.9479166667</v>
      </c>
      <c r="G3213" s="2" t="s">
        <v>6431</v>
      </c>
      <c r="H3213" s="4" t="n">
        <v>0.2023</v>
      </c>
      <c r="I3213" s="2" t="s">
        <v>23</v>
      </c>
      <c r="J3213" s="2" t="s">
        <v>33</v>
      </c>
      <c r="K3213" s="2" t="n">
        <v>1</v>
      </c>
      <c r="L3213" s="2" t="n">
        <v>0</v>
      </c>
      <c r="M3213" s="2" t="n">
        <v>1</v>
      </c>
    </row>
    <row r="3214" customFormat="false" ht="15" hidden="false" customHeight="false" outlineLevel="0" collapsed="false">
      <c r="A3214" s="2" t="s">
        <v>6702</v>
      </c>
      <c r="B3214" s="2" t="s">
        <v>6703</v>
      </c>
      <c r="C3214" s="2" t="n">
        <v>2</v>
      </c>
      <c r="D3214" s="2" t="s">
        <v>1912</v>
      </c>
      <c r="E3214" s="2" t="s">
        <v>6670</v>
      </c>
      <c r="F3214" s="3" t="n">
        <v>45974.9583333333</v>
      </c>
      <c r="G3214" s="2" t="s">
        <v>6431</v>
      </c>
      <c r="H3214" s="4" t="n">
        <v>-0.4404</v>
      </c>
      <c r="I3214" s="2" t="s">
        <v>84</v>
      </c>
      <c r="J3214" s="2" t="s">
        <v>33</v>
      </c>
      <c r="K3214" s="2" t="n">
        <v>2</v>
      </c>
      <c r="L3214" s="2" t="n">
        <v>1</v>
      </c>
      <c r="M3214" s="2" t="n">
        <v>1</v>
      </c>
    </row>
    <row r="3215" customFormat="false" ht="15" hidden="false" customHeight="false" outlineLevel="0" collapsed="false">
      <c r="A3215" s="2" t="s">
        <v>6704</v>
      </c>
      <c r="B3215" s="2" t="s">
        <v>6705</v>
      </c>
      <c r="C3215" s="2" t="n">
        <v>5</v>
      </c>
      <c r="D3215" s="2" t="s">
        <v>15</v>
      </c>
      <c r="E3215" s="2" t="s">
        <v>6670</v>
      </c>
      <c r="F3215" s="3" t="n">
        <v>45975.0652777778</v>
      </c>
      <c r="G3215" s="2" t="s">
        <v>6431</v>
      </c>
      <c r="H3215" s="4" t="n">
        <v>0</v>
      </c>
      <c r="I3215" s="2" t="s">
        <v>18</v>
      </c>
      <c r="J3215" s="2" t="s">
        <v>19</v>
      </c>
      <c r="K3215" s="2" t="n">
        <v>2</v>
      </c>
      <c r="L3215" s="2" t="n">
        <v>0</v>
      </c>
      <c r="M3215" s="2" t="n">
        <v>1</v>
      </c>
    </row>
    <row r="3216" customFormat="false" ht="15" hidden="false" customHeight="false" outlineLevel="0" collapsed="false">
      <c r="A3216" s="2" t="s">
        <v>6706</v>
      </c>
      <c r="B3216" s="2" t="s">
        <v>6707</v>
      </c>
      <c r="C3216" s="2" t="n">
        <v>1</v>
      </c>
      <c r="D3216" s="2" t="s">
        <v>133</v>
      </c>
      <c r="E3216" s="2" t="s">
        <v>6670</v>
      </c>
      <c r="F3216" s="3" t="n">
        <v>45975.1395833333</v>
      </c>
      <c r="G3216" s="2" t="s">
        <v>6431</v>
      </c>
      <c r="H3216" s="4" t="n">
        <v>-0.5719</v>
      </c>
      <c r="I3216" s="2" t="s">
        <v>84</v>
      </c>
      <c r="J3216" s="2" t="s">
        <v>33</v>
      </c>
      <c r="K3216" s="2" t="n">
        <v>4</v>
      </c>
      <c r="L3216" s="2" t="n">
        <v>0</v>
      </c>
      <c r="M3216" s="2" t="n">
        <v>1</v>
      </c>
    </row>
    <row r="3217" customFormat="false" ht="15" hidden="false" customHeight="false" outlineLevel="0" collapsed="false">
      <c r="A3217" s="2" t="s">
        <v>6708</v>
      </c>
      <c r="B3217" s="2" t="s">
        <v>6709</v>
      </c>
      <c r="C3217" s="2" t="n">
        <v>3</v>
      </c>
      <c r="D3217" s="2" t="s">
        <v>1400</v>
      </c>
      <c r="E3217" s="2" t="s">
        <v>6670</v>
      </c>
      <c r="F3217" s="3" t="n">
        <v>45975.2381944444</v>
      </c>
      <c r="G3217" s="2" t="s">
        <v>6431</v>
      </c>
      <c r="H3217" s="4" t="n">
        <v>0.4019</v>
      </c>
      <c r="I3217" s="2" t="s">
        <v>23</v>
      </c>
      <c r="J3217" s="2" t="s">
        <v>19</v>
      </c>
      <c r="K3217" s="2" t="n">
        <v>1</v>
      </c>
      <c r="L3217" s="2" t="n">
        <v>0</v>
      </c>
      <c r="M3217" s="2" t="n">
        <v>1</v>
      </c>
    </row>
    <row r="3218" customFormat="false" ht="15" hidden="false" customHeight="false" outlineLevel="0" collapsed="false">
      <c r="A3218" s="2" t="s">
        <v>6710</v>
      </c>
      <c r="B3218" s="2" t="s">
        <v>6711</v>
      </c>
      <c r="C3218" s="2" t="n">
        <v>2</v>
      </c>
      <c r="D3218" s="2" t="s">
        <v>32</v>
      </c>
      <c r="E3218" s="2" t="s">
        <v>6670</v>
      </c>
      <c r="F3218" s="3" t="n">
        <v>45975.3388888889</v>
      </c>
      <c r="G3218" s="2" t="s">
        <v>6431</v>
      </c>
      <c r="H3218" s="4" t="n">
        <v>0.2023</v>
      </c>
      <c r="I3218" s="2" t="s">
        <v>23</v>
      </c>
      <c r="J3218" s="2" t="s">
        <v>33</v>
      </c>
      <c r="K3218" s="2" t="n">
        <v>1</v>
      </c>
      <c r="L3218" s="2" t="n">
        <v>0</v>
      </c>
      <c r="M3218" s="2" t="n">
        <v>1</v>
      </c>
    </row>
    <row r="3219" customFormat="false" ht="15" hidden="false" customHeight="false" outlineLevel="0" collapsed="false">
      <c r="A3219" s="2" t="s">
        <v>6712</v>
      </c>
      <c r="B3219" s="2" t="s">
        <v>6713</v>
      </c>
      <c r="C3219" s="2" t="n">
        <v>3</v>
      </c>
      <c r="D3219" s="2" t="s">
        <v>357</v>
      </c>
      <c r="E3219" s="2" t="s">
        <v>6670</v>
      </c>
      <c r="F3219" s="3" t="n">
        <v>45975.4520833333</v>
      </c>
      <c r="G3219" s="2" t="s">
        <v>6431</v>
      </c>
      <c r="H3219" s="4" t="n">
        <v>0</v>
      </c>
      <c r="I3219" s="2" t="s">
        <v>18</v>
      </c>
      <c r="J3219" s="2" t="s">
        <v>165</v>
      </c>
      <c r="K3219" s="2" t="n">
        <v>2</v>
      </c>
      <c r="L3219" s="2" t="n">
        <v>0</v>
      </c>
      <c r="M3219" s="2" t="n">
        <v>1</v>
      </c>
    </row>
    <row r="3220" customFormat="false" ht="15" hidden="false" customHeight="false" outlineLevel="0" collapsed="false">
      <c r="A3220" s="2" t="s">
        <v>6714</v>
      </c>
      <c r="B3220" s="2" t="s">
        <v>6715</v>
      </c>
      <c r="C3220" s="2" t="n">
        <v>2</v>
      </c>
      <c r="D3220" s="2" t="s">
        <v>295</v>
      </c>
      <c r="E3220" s="2" t="s">
        <v>6670</v>
      </c>
      <c r="F3220" s="3" t="n">
        <v>45975.4625</v>
      </c>
      <c r="G3220" s="2" t="s">
        <v>6431</v>
      </c>
      <c r="H3220" s="4" t="n">
        <v>-0.5023</v>
      </c>
      <c r="I3220" s="2" t="s">
        <v>84</v>
      </c>
      <c r="J3220" s="2" t="s">
        <v>33</v>
      </c>
      <c r="K3220" s="2" t="n">
        <v>2</v>
      </c>
      <c r="L3220" s="2" t="n">
        <v>1</v>
      </c>
      <c r="M3220" s="2" t="n">
        <v>1</v>
      </c>
    </row>
    <row r="3221" customFormat="false" ht="15" hidden="false" customHeight="false" outlineLevel="0" collapsed="false">
      <c r="A3221" s="2" t="s">
        <v>6716</v>
      </c>
      <c r="B3221" s="2" t="s">
        <v>6693</v>
      </c>
      <c r="C3221" s="2" t="n">
        <v>3</v>
      </c>
      <c r="D3221" s="2" t="s">
        <v>3393</v>
      </c>
      <c r="E3221" s="2" t="s">
        <v>6670</v>
      </c>
      <c r="F3221" s="3" t="n">
        <v>45975.5798611111</v>
      </c>
      <c r="G3221" s="2" t="s">
        <v>6431</v>
      </c>
      <c r="H3221" s="4" t="n">
        <v>0.4215</v>
      </c>
      <c r="I3221" s="2" t="s">
        <v>23</v>
      </c>
      <c r="J3221" s="2" t="s">
        <v>19</v>
      </c>
      <c r="K3221" s="2" t="n">
        <v>7</v>
      </c>
      <c r="L3221" s="2" t="n">
        <v>0</v>
      </c>
      <c r="M3221" s="2" t="n">
        <v>1</v>
      </c>
    </row>
    <row r="3222" customFormat="false" ht="15" hidden="false" customHeight="false" outlineLevel="0" collapsed="false">
      <c r="A3222" s="2" t="s">
        <v>6717</v>
      </c>
      <c r="B3222" s="2" t="s">
        <v>6718</v>
      </c>
      <c r="C3222" s="2" t="n">
        <v>2</v>
      </c>
      <c r="D3222" s="2" t="s">
        <v>133</v>
      </c>
      <c r="E3222" s="2" t="s">
        <v>6670</v>
      </c>
      <c r="F3222" s="3" t="n">
        <v>45975.6493055556</v>
      </c>
      <c r="G3222" s="2" t="s">
        <v>6431</v>
      </c>
      <c r="H3222" s="4" t="n">
        <v>-0.5719</v>
      </c>
      <c r="I3222" s="2" t="s">
        <v>84</v>
      </c>
      <c r="J3222" s="2" t="s">
        <v>33</v>
      </c>
      <c r="K3222" s="2" t="n">
        <v>8</v>
      </c>
      <c r="L3222" s="2" t="n">
        <v>1</v>
      </c>
      <c r="M3222" s="2" t="n">
        <v>1</v>
      </c>
    </row>
    <row r="3223" customFormat="false" ht="15" hidden="false" customHeight="false" outlineLevel="0" collapsed="false">
      <c r="A3223" s="2" t="s">
        <v>6719</v>
      </c>
      <c r="B3223" s="2" t="s">
        <v>6720</v>
      </c>
      <c r="C3223" s="2" t="n">
        <v>4</v>
      </c>
      <c r="D3223" s="2" t="s">
        <v>3798</v>
      </c>
      <c r="E3223" s="2" t="s">
        <v>6670</v>
      </c>
      <c r="F3223" s="3" t="n">
        <v>45975.65625</v>
      </c>
      <c r="G3223" s="2" t="s">
        <v>6431</v>
      </c>
      <c r="H3223" s="4" t="n">
        <v>0.7549</v>
      </c>
      <c r="I3223" s="2" t="s">
        <v>23</v>
      </c>
      <c r="J3223" s="2" t="s">
        <v>19</v>
      </c>
      <c r="K3223" s="2" t="n">
        <v>1</v>
      </c>
      <c r="L3223" s="2" t="n">
        <v>0</v>
      </c>
      <c r="M3223" s="2" t="n">
        <v>1</v>
      </c>
    </row>
    <row r="3224" customFormat="false" ht="15" hidden="false" customHeight="false" outlineLevel="0" collapsed="false">
      <c r="A3224" s="2" t="s">
        <v>6721</v>
      </c>
      <c r="B3224" s="2" t="s">
        <v>6722</v>
      </c>
      <c r="C3224" s="2" t="n">
        <v>1</v>
      </c>
      <c r="D3224" s="2" t="s">
        <v>733</v>
      </c>
      <c r="E3224" s="2" t="s">
        <v>6670</v>
      </c>
      <c r="F3224" s="3" t="n">
        <v>45976.0375</v>
      </c>
      <c r="G3224" s="2" t="s">
        <v>6431</v>
      </c>
      <c r="H3224" s="4" t="n">
        <v>-0.2846</v>
      </c>
      <c r="I3224" s="2" t="s">
        <v>84</v>
      </c>
      <c r="J3224" s="2" t="s">
        <v>37</v>
      </c>
      <c r="K3224" s="2" t="n">
        <v>10</v>
      </c>
      <c r="L3224" s="2" t="n">
        <v>0</v>
      </c>
      <c r="M3224" s="2" t="n">
        <v>1</v>
      </c>
    </row>
    <row r="3225" customFormat="false" ht="15" hidden="false" customHeight="false" outlineLevel="0" collapsed="false">
      <c r="A3225" s="2" t="s">
        <v>6723</v>
      </c>
      <c r="B3225" s="2" t="s">
        <v>6724</v>
      </c>
      <c r="C3225" s="2" t="n">
        <v>2</v>
      </c>
      <c r="D3225" s="2" t="s">
        <v>58</v>
      </c>
      <c r="E3225" s="2" t="s">
        <v>6670</v>
      </c>
      <c r="F3225" s="3" t="n">
        <v>45976.0388888889</v>
      </c>
      <c r="G3225" s="2" t="s">
        <v>6431</v>
      </c>
      <c r="H3225" s="4" t="n">
        <v>0</v>
      </c>
      <c r="I3225" s="2" t="s">
        <v>18</v>
      </c>
      <c r="J3225" s="2" t="s">
        <v>59</v>
      </c>
      <c r="K3225" s="2" t="n">
        <v>1</v>
      </c>
      <c r="L3225" s="2" t="n">
        <v>0</v>
      </c>
      <c r="M3225" s="2" t="n">
        <v>1</v>
      </c>
    </row>
    <row r="3226" customFormat="false" ht="15" hidden="false" customHeight="false" outlineLevel="0" collapsed="false">
      <c r="A3226" s="2" t="s">
        <v>6725</v>
      </c>
      <c r="B3226" s="2" t="s">
        <v>6726</v>
      </c>
      <c r="C3226" s="2" t="n">
        <v>1</v>
      </c>
      <c r="D3226" s="2" t="s">
        <v>32</v>
      </c>
      <c r="E3226" s="2" t="s">
        <v>6670</v>
      </c>
      <c r="F3226" s="3" t="n">
        <v>45976.0861111111</v>
      </c>
      <c r="G3226" s="2" t="s">
        <v>6431</v>
      </c>
      <c r="H3226" s="4" t="n">
        <v>0.2023</v>
      </c>
      <c r="I3226" s="2" t="s">
        <v>23</v>
      </c>
      <c r="J3226" s="2" t="s">
        <v>33</v>
      </c>
      <c r="K3226" s="2" t="n">
        <v>5</v>
      </c>
      <c r="L3226" s="2" t="n">
        <v>1</v>
      </c>
      <c r="M3226" s="2" t="n">
        <v>1</v>
      </c>
    </row>
    <row r="3227" customFormat="false" ht="15" hidden="false" customHeight="false" outlineLevel="0" collapsed="false">
      <c r="A3227" s="2" t="s">
        <v>6727</v>
      </c>
      <c r="B3227" s="2" t="s">
        <v>6728</v>
      </c>
      <c r="C3227" s="2" t="n">
        <v>2</v>
      </c>
      <c r="D3227" s="2" t="s">
        <v>168</v>
      </c>
      <c r="E3227" s="2" t="s">
        <v>6670</v>
      </c>
      <c r="F3227" s="3" t="n">
        <v>45976.2861111111</v>
      </c>
      <c r="G3227" s="2" t="s">
        <v>6431</v>
      </c>
      <c r="H3227" s="4" t="n">
        <v>-0.1027</v>
      </c>
      <c r="I3227" s="2" t="s">
        <v>84</v>
      </c>
      <c r="J3227" s="2" t="s">
        <v>33</v>
      </c>
      <c r="K3227" s="2" t="n">
        <v>6</v>
      </c>
      <c r="L3227" s="2" t="n">
        <v>0</v>
      </c>
      <c r="M3227" s="2" t="n">
        <v>1</v>
      </c>
    </row>
    <row r="3228" customFormat="false" ht="15" hidden="false" customHeight="false" outlineLevel="0" collapsed="false">
      <c r="A3228" s="2" t="s">
        <v>6729</v>
      </c>
      <c r="B3228" s="2" t="s">
        <v>6730</v>
      </c>
      <c r="C3228" s="2" t="n">
        <v>2</v>
      </c>
      <c r="D3228" s="2" t="s">
        <v>482</v>
      </c>
      <c r="E3228" s="2" t="s">
        <v>6670</v>
      </c>
      <c r="F3228" s="3" t="n">
        <v>45976.325</v>
      </c>
      <c r="G3228" s="2" t="s">
        <v>6431</v>
      </c>
      <c r="H3228" s="4" t="n">
        <v>-0.6808</v>
      </c>
      <c r="I3228" s="2" t="s">
        <v>84</v>
      </c>
      <c r="J3228" s="2" t="s">
        <v>110</v>
      </c>
      <c r="K3228" s="2" t="n">
        <v>0</v>
      </c>
      <c r="L3228" s="2" t="n">
        <v>1</v>
      </c>
      <c r="M3228" s="2" t="n">
        <v>1</v>
      </c>
    </row>
    <row r="3229" customFormat="false" ht="15" hidden="false" customHeight="false" outlineLevel="0" collapsed="false">
      <c r="A3229" s="2" t="s">
        <v>6731</v>
      </c>
      <c r="B3229" s="2" t="s">
        <v>6732</v>
      </c>
      <c r="C3229" s="2" t="n">
        <v>4</v>
      </c>
      <c r="D3229" s="2" t="s">
        <v>36</v>
      </c>
      <c r="E3229" s="2" t="s">
        <v>6670</v>
      </c>
      <c r="F3229" s="3" t="n">
        <v>45976.3263888889</v>
      </c>
      <c r="G3229" s="2" t="s">
        <v>6431</v>
      </c>
      <c r="H3229" s="4" t="n">
        <v>0.4404</v>
      </c>
      <c r="I3229" s="2" t="s">
        <v>23</v>
      </c>
      <c r="J3229" s="2" t="s">
        <v>37</v>
      </c>
      <c r="K3229" s="2" t="n">
        <v>4</v>
      </c>
      <c r="L3229" s="2" t="n">
        <v>0</v>
      </c>
      <c r="M3229" s="2" t="n">
        <v>1</v>
      </c>
    </row>
    <row r="3230" customFormat="false" ht="15" hidden="false" customHeight="false" outlineLevel="0" collapsed="false">
      <c r="A3230" s="2" t="s">
        <v>6733</v>
      </c>
      <c r="B3230" s="2" t="s">
        <v>6734</v>
      </c>
      <c r="C3230" s="2" t="n">
        <v>3</v>
      </c>
      <c r="D3230" s="2" t="s">
        <v>295</v>
      </c>
      <c r="E3230" s="2" t="s">
        <v>6670</v>
      </c>
      <c r="F3230" s="3" t="n">
        <v>45976.3569444444</v>
      </c>
      <c r="G3230" s="2" t="s">
        <v>6431</v>
      </c>
      <c r="H3230" s="4" t="n">
        <v>-0.5023</v>
      </c>
      <c r="I3230" s="2" t="s">
        <v>84</v>
      </c>
      <c r="J3230" s="2" t="s">
        <v>33</v>
      </c>
      <c r="K3230" s="2" t="n">
        <v>1</v>
      </c>
      <c r="L3230" s="2" t="n">
        <v>0</v>
      </c>
      <c r="M3230" s="2" t="n">
        <v>1</v>
      </c>
    </row>
    <row r="3231" customFormat="false" ht="15" hidden="false" customHeight="false" outlineLevel="0" collapsed="false">
      <c r="A3231" s="2" t="s">
        <v>6735</v>
      </c>
      <c r="B3231" s="2" t="s">
        <v>6736</v>
      </c>
      <c r="C3231" s="2" t="n">
        <v>4</v>
      </c>
      <c r="D3231" s="2" t="s">
        <v>127</v>
      </c>
      <c r="E3231" s="2" t="s">
        <v>6670</v>
      </c>
      <c r="F3231" s="3" t="n">
        <v>45976.4527777778</v>
      </c>
      <c r="G3231" s="2" t="s">
        <v>6431</v>
      </c>
      <c r="H3231" s="4" t="n">
        <v>0.9359</v>
      </c>
      <c r="I3231" s="2" t="s">
        <v>23</v>
      </c>
      <c r="J3231" s="2" t="s">
        <v>37</v>
      </c>
      <c r="K3231" s="2" t="n">
        <v>11</v>
      </c>
      <c r="L3231" s="2" t="n">
        <v>0</v>
      </c>
      <c r="M3231" s="2" t="n">
        <v>1</v>
      </c>
    </row>
    <row r="3232" customFormat="false" ht="15" hidden="false" customHeight="false" outlineLevel="0" collapsed="false">
      <c r="A3232" s="2" t="s">
        <v>6737</v>
      </c>
      <c r="B3232" s="2" t="s">
        <v>6738</v>
      </c>
      <c r="C3232" s="2" t="n">
        <v>5</v>
      </c>
      <c r="D3232" s="2" t="s">
        <v>186</v>
      </c>
      <c r="E3232" s="2" t="s">
        <v>6670</v>
      </c>
      <c r="F3232" s="3" t="n">
        <v>45976.4854166667</v>
      </c>
      <c r="G3232" s="2" t="s">
        <v>6431</v>
      </c>
      <c r="H3232" s="4" t="n">
        <v>0.8777</v>
      </c>
      <c r="I3232" s="2" t="s">
        <v>23</v>
      </c>
      <c r="J3232" s="2" t="s">
        <v>19</v>
      </c>
      <c r="K3232" s="2" t="n">
        <v>1</v>
      </c>
      <c r="L3232" s="2" t="n">
        <v>0</v>
      </c>
      <c r="M3232" s="2" t="n">
        <v>1</v>
      </c>
    </row>
    <row r="3233" customFormat="false" ht="15" hidden="false" customHeight="false" outlineLevel="0" collapsed="false">
      <c r="A3233" s="2" t="s">
        <v>6739</v>
      </c>
      <c r="B3233" s="2" t="s">
        <v>6740</v>
      </c>
      <c r="C3233" s="2" t="n">
        <v>2</v>
      </c>
      <c r="D3233" s="2" t="s">
        <v>32</v>
      </c>
      <c r="E3233" s="2" t="s">
        <v>6670</v>
      </c>
      <c r="F3233" s="3" t="n">
        <v>45976.5388888889</v>
      </c>
      <c r="G3233" s="2" t="s">
        <v>6431</v>
      </c>
      <c r="H3233" s="4" t="n">
        <v>0.2023</v>
      </c>
      <c r="I3233" s="2" t="s">
        <v>23</v>
      </c>
      <c r="J3233" s="2" t="s">
        <v>33</v>
      </c>
      <c r="K3233" s="2" t="n">
        <v>4</v>
      </c>
      <c r="L3233" s="2" t="n">
        <v>1</v>
      </c>
      <c r="M3233" s="2" t="n">
        <v>1</v>
      </c>
    </row>
    <row r="3234" customFormat="false" ht="15" hidden="false" customHeight="false" outlineLevel="0" collapsed="false">
      <c r="A3234" s="2" t="s">
        <v>6741</v>
      </c>
      <c r="B3234" s="2" t="s">
        <v>6742</v>
      </c>
      <c r="C3234" s="2" t="n">
        <v>5</v>
      </c>
      <c r="D3234" s="2" t="s">
        <v>96</v>
      </c>
      <c r="E3234" s="2" t="s">
        <v>6670</v>
      </c>
      <c r="F3234" s="3" t="n">
        <v>45976.78125</v>
      </c>
      <c r="G3234" s="2" t="s">
        <v>6431</v>
      </c>
      <c r="H3234" s="4" t="n">
        <v>0.6369</v>
      </c>
      <c r="I3234" s="2" t="s">
        <v>23</v>
      </c>
      <c r="J3234" s="2" t="s">
        <v>19</v>
      </c>
      <c r="K3234" s="2" t="n">
        <v>6</v>
      </c>
      <c r="L3234" s="2" t="n">
        <v>0</v>
      </c>
      <c r="M3234" s="2" t="n">
        <v>1</v>
      </c>
    </row>
    <row r="3235" customFormat="false" ht="15" hidden="false" customHeight="false" outlineLevel="0" collapsed="false">
      <c r="A3235" s="2" t="s">
        <v>6743</v>
      </c>
      <c r="B3235" s="2" t="s">
        <v>6744</v>
      </c>
      <c r="C3235" s="2" t="n">
        <v>3</v>
      </c>
      <c r="D3235" s="2" t="s">
        <v>1942</v>
      </c>
      <c r="E3235" s="2" t="s">
        <v>6670</v>
      </c>
      <c r="F3235" s="3" t="n">
        <v>45976.8208333333</v>
      </c>
      <c r="G3235" s="2" t="s">
        <v>6431</v>
      </c>
      <c r="H3235" s="4" t="n">
        <v>0</v>
      </c>
      <c r="I3235" s="2" t="s">
        <v>18</v>
      </c>
      <c r="J3235" s="2" t="s">
        <v>165</v>
      </c>
      <c r="K3235" s="2" t="n">
        <v>10</v>
      </c>
      <c r="L3235" s="2" t="n">
        <v>0</v>
      </c>
      <c r="M3235" s="2" t="n">
        <v>1</v>
      </c>
    </row>
    <row r="3236" customFormat="false" ht="15" hidden="false" customHeight="false" outlineLevel="0" collapsed="false">
      <c r="A3236" s="2" t="s">
        <v>6745</v>
      </c>
      <c r="B3236" s="2" t="s">
        <v>6746</v>
      </c>
      <c r="C3236" s="2" t="n">
        <v>1</v>
      </c>
      <c r="D3236" s="2" t="s">
        <v>1380</v>
      </c>
      <c r="E3236" s="2" t="s">
        <v>6670</v>
      </c>
      <c r="F3236" s="3" t="n">
        <v>45976.8548611111</v>
      </c>
      <c r="G3236" s="2" t="s">
        <v>6431</v>
      </c>
      <c r="H3236" s="4" t="n">
        <v>0</v>
      </c>
      <c r="I3236" s="2" t="s">
        <v>18</v>
      </c>
      <c r="J3236" s="2" t="s">
        <v>110</v>
      </c>
      <c r="K3236" s="2" t="n">
        <v>1</v>
      </c>
      <c r="L3236" s="2" t="n">
        <v>1</v>
      </c>
      <c r="M3236" s="2" t="n">
        <v>1</v>
      </c>
    </row>
    <row r="3237" customFormat="false" ht="15" hidden="false" customHeight="false" outlineLevel="0" collapsed="false">
      <c r="A3237" s="2" t="s">
        <v>6747</v>
      </c>
      <c r="B3237" s="2" t="s">
        <v>6748</v>
      </c>
      <c r="C3237" s="2" t="n">
        <v>2</v>
      </c>
      <c r="D3237" s="2" t="s">
        <v>168</v>
      </c>
      <c r="E3237" s="2" t="s">
        <v>6670</v>
      </c>
      <c r="F3237" s="3" t="n">
        <v>45976.9423611111</v>
      </c>
      <c r="G3237" s="2" t="s">
        <v>6431</v>
      </c>
      <c r="H3237" s="4" t="n">
        <v>-0.1027</v>
      </c>
      <c r="I3237" s="2" t="s">
        <v>84</v>
      </c>
      <c r="J3237" s="2" t="s">
        <v>33</v>
      </c>
      <c r="K3237" s="2" t="n">
        <v>0</v>
      </c>
      <c r="L3237" s="2" t="n">
        <v>1</v>
      </c>
      <c r="M3237" s="2" t="n">
        <v>1</v>
      </c>
    </row>
    <row r="3238" customFormat="false" ht="15" hidden="false" customHeight="false" outlineLevel="0" collapsed="false">
      <c r="A3238" s="2" t="s">
        <v>6749</v>
      </c>
      <c r="B3238" s="2" t="s">
        <v>6750</v>
      </c>
      <c r="C3238" s="2" t="n">
        <v>2</v>
      </c>
      <c r="D3238" s="2" t="s">
        <v>32</v>
      </c>
      <c r="E3238" s="2" t="s">
        <v>6670</v>
      </c>
      <c r="F3238" s="3" t="n">
        <v>45977.2743055556</v>
      </c>
      <c r="G3238" s="2" t="s">
        <v>6431</v>
      </c>
      <c r="H3238" s="4" t="n">
        <v>0.2023</v>
      </c>
      <c r="I3238" s="2" t="s">
        <v>23</v>
      </c>
      <c r="J3238" s="2" t="s">
        <v>33</v>
      </c>
      <c r="K3238" s="2" t="n">
        <v>2</v>
      </c>
      <c r="L3238" s="2" t="n">
        <v>1</v>
      </c>
      <c r="M3238" s="2" t="n">
        <v>1</v>
      </c>
    </row>
    <row r="3239" customFormat="false" ht="15" hidden="false" customHeight="false" outlineLevel="0" collapsed="false">
      <c r="A3239" s="2" t="s">
        <v>6751</v>
      </c>
      <c r="B3239" s="2" t="s">
        <v>6752</v>
      </c>
      <c r="C3239" s="2" t="n">
        <v>1</v>
      </c>
      <c r="D3239" s="2" t="s">
        <v>58</v>
      </c>
      <c r="E3239" s="2" t="s">
        <v>6670</v>
      </c>
      <c r="F3239" s="3" t="n">
        <v>45977.3145833333</v>
      </c>
      <c r="G3239" s="2" t="s">
        <v>6431</v>
      </c>
      <c r="H3239" s="4" t="n">
        <v>0</v>
      </c>
      <c r="I3239" s="2" t="s">
        <v>18</v>
      </c>
      <c r="J3239" s="2" t="s">
        <v>59</v>
      </c>
      <c r="K3239" s="2" t="n">
        <v>1</v>
      </c>
      <c r="L3239" s="2" t="n">
        <v>1</v>
      </c>
      <c r="M3239" s="2" t="n">
        <v>1</v>
      </c>
    </row>
    <row r="3240" customFormat="false" ht="15" hidden="false" customHeight="false" outlineLevel="0" collapsed="false">
      <c r="A3240" s="2" t="s">
        <v>6753</v>
      </c>
      <c r="B3240" s="2" t="s">
        <v>6754</v>
      </c>
      <c r="C3240" s="2" t="n">
        <v>2</v>
      </c>
      <c r="D3240" s="2" t="s">
        <v>498</v>
      </c>
      <c r="E3240" s="2" t="s">
        <v>6670</v>
      </c>
      <c r="F3240" s="3" t="n">
        <v>45977.3354166667</v>
      </c>
      <c r="G3240" s="2" t="s">
        <v>6431</v>
      </c>
      <c r="H3240" s="4" t="n">
        <v>0</v>
      </c>
      <c r="I3240" s="2" t="s">
        <v>18</v>
      </c>
      <c r="J3240" s="2" t="s">
        <v>165</v>
      </c>
      <c r="K3240" s="2" t="n">
        <v>1</v>
      </c>
      <c r="L3240" s="2" t="n">
        <v>0</v>
      </c>
      <c r="M3240" s="2" t="n">
        <v>1</v>
      </c>
    </row>
    <row r="3241" customFormat="false" ht="15" hidden="false" customHeight="false" outlineLevel="0" collapsed="false">
      <c r="A3241" s="2" t="s">
        <v>6755</v>
      </c>
      <c r="B3241" s="2" t="s">
        <v>6756</v>
      </c>
      <c r="C3241" s="2" t="n">
        <v>3</v>
      </c>
      <c r="D3241" s="2" t="s">
        <v>4258</v>
      </c>
      <c r="E3241" s="2" t="s">
        <v>6670</v>
      </c>
      <c r="F3241" s="3" t="n">
        <v>45977.3923611111</v>
      </c>
      <c r="G3241" s="2" t="s">
        <v>6431</v>
      </c>
      <c r="H3241" s="4" t="n">
        <v>0.1635</v>
      </c>
      <c r="I3241" s="2" t="s">
        <v>23</v>
      </c>
      <c r="J3241" s="2" t="s">
        <v>37</v>
      </c>
      <c r="K3241" s="2" t="n">
        <v>5</v>
      </c>
      <c r="L3241" s="2" t="n">
        <v>0</v>
      </c>
      <c r="M3241" s="2" t="n">
        <v>1</v>
      </c>
    </row>
    <row r="3242" customFormat="false" ht="15" hidden="false" customHeight="false" outlineLevel="0" collapsed="false">
      <c r="A3242" s="2" t="s">
        <v>6757</v>
      </c>
      <c r="B3242" s="2" t="s">
        <v>6758</v>
      </c>
      <c r="C3242" s="2" t="n">
        <v>2</v>
      </c>
      <c r="D3242" s="2" t="s">
        <v>32</v>
      </c>
      <c r="E3242" s="2" t="s">
        <v>6670</v>
      </c>
      <c r="F3242" s="3" t="n">
        <v>45977.4875</v>
      </c>
      <c r="G3242" s="2" t="s">
        <v>6431</v>
      </c>
      <c r="H3242" s="4" t="n">
        <v>0.2023</v>
      </c>
      <c r="I3242" s="2" t="s">
        <v>23</v>
      </c>
      <c r="J3242" s="2" t="s">
        <v>33</v>
      </c>
      <c r="K3242" s="2" t="n">
        <v>1</v>
      </c>
      <c r="L3242" s="2" t="n">
        <v>0</v>
      </c>
      <c r="M3242" s="2" t="n">
        <v>1</v>
      </c>
    </row>
    <row r="3243" customFormat="false" ht="15" hidden="false" customHeight="false" outlineLevel="0" collapsed="false">
      <c r="A3243" s="2" t="s">
        <v>6759</v>
      </c>
      <c r="B3243" s="2" t="s">
        <v>6760</v>
      </c>
      <c r="C3243" s="2" t="n">
        <v>1</v>
      </c>
      <c r="D3243" s="2" t="s">
        <v>1725</v>
      </c>
      <c r="E3243" s="2" t="s">
        <v>6670</v>
      </c>
      <c r="F3243" s="3" t="n">
        <v>45977.5402777778</v>
      </c>
      <c r="G3243" s="2" t="s">
        <v>6431</v>
      </c>
      <c r="H3243" s="4" t="n">
        <v>0.4404</v>
      </c>
      <c r="I3243" s="2" t="s">
        <v>23</v>
      </c>
      <c r="J3243" s="2" t="s">
        <v>59</v>
      </c>
      <c r="K3243" s="2" t="n">
        <v>0</v>
      </c>
      <c r="L3243" s="2" t="n">
        <v>0</v>
      </c>
      <c r="M3243" s="2" t="n">
        <v>1</v>
      </c>
    </row>
    <row r="3244" customFormat="false" ht="15" hidden="false" customHeight="false" outlineLevel="0" collapsed="false">
      <c r="A3244" s="2" t="s">
        <v>6761</v>
      </c>
      <c r="B3244" s="2" t="s">
        <v>6762</v>
      </c>
      <c r="C3244" s="2" t="n">
        <v>1</v>
      </c>
      <c r="D3244" s="2" t="s">
        <v>179</v>
      </c>
      <c r="E3244" s="2" t="s">
        <v>6670</v>
      </c>
      <c r="F3244" s="3" t="n">
        <v>45977.5951388889</v>
      </c>
      <c r="G3244" s="2" t="s">
        <v>6431</v>
      </c>
      <c r="H3244" s="4" t="n">
        <v>-0.0258</v>
      </c>
      <c r="I3244" s="2" t="s">
        <v>18</v>
      </c>
      <c r="J3244" s="2" t="s">
        <v>59</v>
      </c>
      <c r="K3244" s="2" t="n">
        <v>5</v>
      </c>
      <c r="L3244" s="2" t="n">
        <v>0</v>
      </c>
      <c r="M3244" s="2" t="n">
        <v>1</v>
      </c>
    </row>
    <row r="3245" customFormat="false" ht="15" hidden="false" customHeight="false" outlineLevel="0" collapsed="false">
      <c r="A3245" s="2" t="s">
        <v>6763</v>
      </c>
      <c r="B3245" s="2" t="s">
        <v>6764</v>
      </c>
      <c r="C3245" s="2" t="n">
        <v>2</v>
      </c>
      <c r="D3245" s="2" t="s">
        <v>133</v>
      </c>
      <c r="E3245" s="2" t="s">
        <v>6670</v>
      </c>
      <c r="F3245" s="3" t="n">
        <v>45977.6215277778</v>
      </c>
      <c r="G3245" s="2" t="s">
        <v>6431</v>
      </c>
      <c r="H3245" s="4" t="n">
        <v>-0.5719</v>
      </c>
      <c r="I3245" s="2" t="s">
        <v>84</v>
      </c>
      <c r="J3245" s="2" t="s">
        <v>33</v>
      </c>
      <c r="K3245" s="2" t="n">
        <v>8</v>
      </c>
      <c r="L3245" s="2" t="n">
        <v>0</v>
      </c>
      <c r="M3245" s="2" t="n">
        <v>1</v>
      </c>
    </row>
    <row r="3246" customFormat="false" ht="15" hidden="false" customHeight="false" outlineLevel="0" collapsed="false">
      <c r="A3246" s="2" t="s">
        <v>6765</v>
      </c>
      <c r="B3246" s="2" t="s">
        <v>6766</v>
      </c>
      <c r="C3246" s="2" t="n">
        <v>1</v>
      </c>
      <c r="D3246" s="2" t="s">
        <v>591</v>
      </c>
      <c r="E3246" s="2" t="s">
        <v>6670</v>
      </c>
      <c r="F3246" s="3" t="n">
        <v>45977.68125</v>
      </c>
      <c r="G3246" s="2" t="s">
        <v>6431</v>
      </c>
      <c r="H3246" s="4" t="n">
        <v>0</v>
      </c>
      <c r="I3246" s="2" t="s">
        <v>18</v>
      </c>
      <c r="J3246" s="2" t="s">
        <v>37</v>
      </c>
      <c r="K3246" s="2" t="n">
        <v>2</v>
      </c>
      <c r="L3246" s="2" t="n">
        <v>0</v>
      </c>
      <c r="M3246" s="2" t="n">
        <v>1</v>
      </c>
    </row>
    <row r="3247" customFormat="false" ht="15" hidden="false" customHeight="false" outlineLevel="0" collapsed="false">
      <c r="A3247" s="2" t="s">
        <v>6767</v>
      </c>
      <c r="B3247" s="2" t="s">
        <v>6768</v>
      </c>
      <c r="C3247" s="2" t="n">
        <v>2</v>
      </c>
      <c r="D3247" s="2" t="s">
        <v>498</v>
      </c>
      <c r="E3247" s="2" t="s">
        <v>6670</v>
      </c>
      <c r="F3247" s="3" t="n">
        <v>45977.7715277778</v>
      </c>
      <c r="G3247" s="2" t="s">
        <v>6431</v>
      </c>
      <c r="H3247" s="4" t="n">
        <v>0</v>
      </c>
      <c r="I3247" s="2" t="s">
        <v>18</v>
      </c>
      <c r="J3247" s="2" t="s">
        <v>165</v>
      </c>
      <c r="K3247" s="2" t="n">
        <v>0</v>
      </c>
      <c r="L3247" s="2" t="n">
        <v>0</v>
      </c>
      <c r="M3247" s="2" t="n">
        <v>1</v>
      </c>
    </row>
    <row r="3248" customFormat="false" ht="15" hidden="false" customHeight="false" outlineLevel="0" collapsed="false">
      <c r="A3248" s="2" t="s">
        <v>6769</v>
      </c>
      <c r="B3248" s="2" t="s">
        <v>6770</v>
      </c>
      <c r="C3248" s="2" t="n">
        <v>1</v>
      </c>
      <c r="D3248" s="2" t="s">
        <v>133</v>
      </c>
      <c r="E3248" s="2" t="s">
        <v>6670</v>
      </c>
      <c r="F3248" s="3" t="n">
        <v>45977.8256944444</v>
      </c>
      <c r="G3248" s="2" t="s">
        <v>6431</v>
      </c>
      <c r="H3248" s="4" t="n">
        <v>-0.5719</v>
      </c>
      <c r="I3248" s="2" t="s">
        <v>84</v>
      </c>
      <c r="J3248" s="2" t="s">
        <v>33</v>
      </c>
      <c r="K3248" s="2" t="n">
        <v>5</v>
      </c>
      <c r="L3248" s="2" t="n">
        <v>1</v>
      </c>
      <c r="M3248" s="2" t="n">
        <v>1</v>
      </c>
    </row>
    <row r="3249" customFormat="false" ht="15" hidden="false" customHeight="false" outlineLevel="0" collapsed="false">
      <c r="A3249" s="2" t="s">
        <v>6771</v>
      </c>
      <c r="B3249" s="2" t="s">
        <v>6772</v>
      </c>
      <c r="C3249" s="2" t="n">
        <v>1</v>
      </c>
      <c r="D3249" s="2" t="s">
        <v>133</v>
      </c>
      <c r="E3249" s="2" t="s">
        <v>6670</v>
      </c>
      <c r="F3249" s="3" t="n">
        <v>45977.9888888889</v>
      </c>
      <c r="G3249" s="2" t="s">
        <v>6431</v>
      </c>
      <c r="H3249" s="4" t="n">
        <v>-0.5719</v>
      </c>
      <c r="I3249" s="2" t="s">
        <v>84</v>
      </c>
      <c r="J3249" s="2" t="s">
        <v>33</v>
      </c>
      <c r="K3249" s="2" t="n">
        <v>2</v>
      </c>
      <c r="L3249" s="2" t="n">
        <v>0</v>
      </c>
      <c r="M3249" s="2" t="n">
        <v>1</v>
      </c>
    </row>
    <row r="3250" customFormat="false" ht="15" hidden="false" customHeight="false" outlineLevel="0" collapsed="false">
      <c r="A3250" s="2" t="s">
        <v>6773</v>
      </c>
      <c r="B3250" s="2" t="s">
        <v>6774</v>
      </c>
      <c r="C3250" s="2" t="n">
        <v>4</v>
      </c>
      <c r="D3250" s="2" t="s">
        <v>116</v>
      </c>
      <c r="E3250" s="2" t="s">
        <v>6670</v>
      </c>
      <c r="F3250" s="3" t="n">
        <v>45978.0173611111</v>
      </c>
      <c r="G3250" s="2" t="s">
        <v>6431</v>
      </c>
      <c r="H3250" s="4" t="n">
        <v>0.9359</v>
      </c>
      <c r="I3250" s="2" t="s">
        <v>23</v>
      </c>
      <c r="J3250" s="2" t="s">
        <v>37</v>
      </c>
      <c r="K3250" s="2" t="n">
        <v>1</v>
      </c>
      <c r="L3250" s="2" t="n">
        <v>0</v>
      </c>
      <c r="M3250" s="2" t="n">
        <v>1</v>
      </c>
    </row>
    <row r="3251" customFormat="false" ht="15" hidden="false" customHeight="false" outlineLevel="0" collapsed="false">
      <c r="A3251" s="2" t="s">
        <v>6775</v>
      </c>
      <c r="B3251" s="2" t="s">
        <v>6776</v>
      </c>
      <c r="C3251" s="2" t="n">
        <v>4</v>
      </c>
      <c r="D3251" s="2" t="s">
        <v>301</v>
      </c>
      <c r="E3251" s="2" t="s">
        <v>6670</v>
      </c>
      <c r="F3251" s="3" t="n">
        <v>45978.0284722222</v>
      </c>
      <c r="G3251" s="2" t="s">
        <v>6431</v>
      </c>
      <c r="H3251" s="4" t="n">
        <v>0.2263</v>
      </c>
      <c r="I3251" s="2" t="s">
        <v>23</v>
      </c>
      <c r="J3251" s="2" t="s">
        <v>19</v>
      </c>
      <c r="K3251" s="2" t="n">
        <v>1</v>
      </c>
      <c r="L3251" s="2" t="n">
        <v>0</v>
      </c>
      <c r="M3251" s="2" t="n">
        <v>1</v>
      </c>
    </row>
    <row r="3252" customFormat="false" ht="15" hidden="false" customHeight="false" outlineLevel="0" collapsed="false">
      <c r="A3252" s="2" t="s">
        <v>6777</v>
      </c>
      <c r="B3252" s="2" t="s">
        <v>6778</v>
      </c>
      <c r="C3252" s="2" t="n">
        <v>4</v>
      </c>
      <c r="D3252" s="2" t="s">
        <v>1973</v>
      </c>
      <c r="E3252" s="2" t="s">
        <v>6670</v>
      </c>
      <c r="F3252" s="3" t="n">
        <v>45978.2194444445</v>
      </c>
      <c r="G3252" s="2" t="s">
        <v>6431</v>
      </c>
      <c r="H3252" s="4" t="n">
        <v>0.9612</v>
      </c>
      <c r="I3252" s="2" t="s">
        <v>23</v>
      </c>
      <c r="J3252" s="2" t="s">
        <v>37</v>
      </c>
      <c r="K3252" s="2" t="n">
        <v>6</v>
      </c>
      <c r="L3252" s="2" t="n">
        <v>0</v>
      </c>
      <c r="M3252" s="2" t="n">
        <v>1</v>
      </c>
    </row>
    <row r="3253" customFormat="false" ht="15" hidden="false" customHeight="false" outlineLevel="0" collapsed="false">
      <c r="A3253" s="2" t="s">
        <v>6779</v>
      </c>
      <c r="B3253" s="2" t="s">
        <v>6780</v>
      </c>
      <c r="C3253" s="2" t="n">
        <v>3</v>
      </c>
      <c r="D3253" s="2" t="s">
        <v>2143</v>
      </c>
      <c r="E3253" s="2" t="s">
        <v>6670</v>
      </c>
      <c r="F3253" s="3" t="n">
        <v>45978.2506944445</v>
      </c>
      <c r="G3253" s="2" t="s">
        <v>6431</v>
      </c>
      <c r="H3253" s="4" t="n">
        <v>0.6448</v>
      </c>
      <c r="I3253" s="2" t="s">
        <v>23</v>
      </c>
      <c r="J3253" s="2" t="s">
        <v>37</v>
      </c>
      <c r="K3253" s="2" t="n">
        <v>2</v>
      </c>
      <c r="L3253" s="2" t="n">
        <v>0</v>
      </c>
      <c r="M3253" s="2" t="n">
        <v>1</v>
      </c>
    </row>
    <row r="3254" customFormat="false" ht="15" hidden="false" customHeight="false" outlineLevel="0" collapsed="false">
      <c r="A3254" s="2" t="s">
        <v>6781</v>
      </c>
      <c r="B3254" s="2" t="s">
        <v>6782</v>
      </c>
      <c r="C3254" s="2" t="n">
        <v>3</v>
      </c>
      <c r="D3254" s="2" t="s">
        <v>99</v>
      </c>
      <c r="E3254" s="2" t="s">
        <v>6670</v>
      </c>
      <c r="F3254" s="3" t="n">
        <v>45978.3131944445</v>
      </c>
      <c r="G3254" s="2" t="s">
        <v>6431</v>
      </c>
      <c r="H3254" s="4" t="n">
        <v>-0.3089</v>
      </c>
      <c r="I3254" s="2" t="s">
        <v>84</v>
      </c>
      <c r="J3254" s="2" t="s">
        <v>19</v>
      </c>
      <c r="K3254" s="2" t="n">
        <v>5</v>
      </c>
      <c r="L3254" s="2" t="n">
        <v>0</v>
      </c>
      <c r="M3254" s="2" t="n">
        <v>1</v>
      </c>
    </row>
    <row r="3255" customFormat="false" ht="15" hidden="false" customHeight="false" outlineLevel="0" collapsed="false">
      <c r="A3255" s="2" t="s">
        <v>6783</v>
      </c>
      <c r="B3255" s="2" t="s">
        <v>6784</v>
      </c>
      <c r="C3255" s="2" t="n">
        <v>5</v>
      </c>
      <c r="D3255" s="2" t="s">
        <v>40</v>
      </c>
      <c r="E3255" s="2" t="s">
        <v>6670</v>
      </c>
      <c r="F3255" s="3" t="n">
        <v>45978.5027777778</v>
      </c>
      <c r="G3255" s="2" t="s">
        <v>6431</v>
      </c>
      <c r="H3255" s="4" t="n">
        <v>0.4019</v>
      </c>
      <c r="I3255" s="2" t="s">
        <v>23</v>
      </c>
      <c r="J3255" s="2" t="s">
        <v>33</v>
      </c>
      <c r="K3255" s="2" t="n">
        <v>0</v>
      </c>
      <c r="L3255" s="2" t="n">
        <v>0</v>
      </c>
      <c r="M3255" s="2" t="n">
        <v>1</v>
      </c>
    </row>
    <row r="3256" customFormat="false" ht="15" hidden="false" customHeight="false" outlineLevel="0" collapsed="false">
      <c r="A3256" s="2" t="s">
        <v>6785</v>
      </c>
      <c r="B3256" s="2" t="s">
        <v>6786</v>
      </c>
      <c r="C3256" s="2" t="n">
        <v>2</v>
      </c>
      <c r="D3256" s="2" t="s">
        <v>133</v>
      </c>
      <c r="E3256" s="2" t="s">
        <v>6670</v>
      </c>
      <c r="F3256" s="3" t="n">
        <v>45978.5819444444</v>
      </c>
      <c r="G3256" s="2" t="s">
        <v>6431</v>
      </c>
      <c r="H3256" s="4" t="n">
        <v>-0.5719</v>
      </c>
      <c r="I3256" s="2" t="s">
        <v>84</v>
      </c>
      <c r="J3256" s="2" t="s">
        <v>33</v>
      </c>
      <c r="K3256" s="2" t="n">
        <v>1</v>
      </c>
      <c r="L3256" s="2" t="n">
        <v>1</v>
      </c>
      <c r="M3256" s="2" t="n">
        <v>1</v>
      </c>
    </row>
    <row r="3257" customFormat="false" ht="15" hidden="false" customHeight="false" outlineLevel="0" collapsed="false">
      <c r="A3257" s="2" t="s">
        <v>6787</v>
      </c>
      <c r="B3257" s="2" t="s">
        <v>6788</v>
      </c>
      <c r="C3257" s="2" t="n">
        <v>3</v>
      </c>
      <c r="D3257" s="2" t="s">
        <v>1237</v>
      </c>
      <c r="E3257" s="2" t="s">
        <v>6670</v>
      </c>
      <c r="F3257" s="3" t="n">
        <v>45978.6090277778</v>
      </c>
      <c r="G3257" s="2" t="s">
        <v>6431</v>
      </c>
      <c r="H3257" s="4" t="n">
        <v>-0.3089</v>
      </c>
      <c r="I3257" s="2" t="s">
        <v>84</v>
      </c>
      <c r="J3257" s="2" t="s">
        <v>19</v>
      </c>
      <c r="K3257" s="2" t="n">
        <v>7</v>
      </c>
      <c r="L3257" s="2" t="n">
        <v>0</v>
      </c>
      <c r="M3257" s="2" t="n">
        <v>1</v>
      </c>
    </row>
    <row r="3258" customFormat="false" ht="15" hidden="false" customHeight="false" outlineLevel="0" collapsed="false">
      <c r="A3258" s="2" t="s">
        <v>6789</v>
      </c>
      <c r="B3258" s="2" t="s">
        <v>6790</v>
      </c>
      <c r="C3258" s="2" t="n">
        <v>1</v>
      </c>
      <c r="D3258" s="2" t="s">
        <v>133</v>
      </c>
      <c r="E3258" s="2" t="s">
        <v>6670</v>
      </c>
      <c r="F3258" s="3" t="n">
        <v>45978.8111111111</v>
      </c>
      <c r="G3258" s="2" t="s">
        <v>6431</v>
      </c>
      <c r="H3258" s="4" t="n">
        <v>-0.5719</v>
      </c>
      <c r="I3258" s="2" t="s">
        <v>84</v>
      </c>
      <c r="J3258" s="2" t="s">
        <v>33</v>
      </c>
      <c r="K3258" s="2" t="n">
        <v>9</v>
      </c>
      <c r="L3258" s="2" t="n">
        <v>0</v>
      </c>
      <c r="M3258" s="2" t="n">
        <v>1</v>
      </c>
    </row>
    <row r="3259" customFormat="false" ht="15" hidden="false" customHeight="false" outlineLevel="0" collapsed="false">
      <c r="A3259" s="2" t="s">
        <v>6791</v>
      </c>
      <c r="B3259" s="2" t="s">
        <v>6792</v>
      </c>
      <c r="C3259" s="2" t="n">
        <v>5</v>
      </c>
      <c r="D3259" s="2" t="s">
        <v>96</v>
      </c>
      <c r="E3259" s="2" t="s">
        <v>6670</v>
      </c>
      <c r="F3259" s="3" t="n">
        <v>45979.0298611111</v>
      </c>
      <c r="G3259" s="2" t="s">
        <v>6431</v>
      </c>
      <c r="H3259" s="4" t="n">
        <v>0.6369</v>
      </c>
      <c r="I3259" s="2" t="s">
        <v>23</v>
      </c>
      <c r="J3259" s="2" t="s">
        <v>19</v>
      </c>
      <c r="K3259" s="2" t="n">
        <v>2</v>
      </c>
      <c r="L3259" s="2" t="n">
        <v>0</v>
      </c>
      <c r="M3259" s="2" t="n">
        <v>1</v>
      </c>
    </row>
    <row r="3260" customFormat="false" ht="15" hidden="false" customHeight="false" outlineLevel="0" collapsed="false">
      <c r="A3260" s="2" t="s">
        <v>6793</v>
      </c>
      <c r="B3260" s="2" t="s">
        <v>6794</v>
      </c>
      <c r="C3260" s="2" t="n">
        <v>5</v>
      </c>
      <c r="D3260" s="2" t="s">
        <v>3798</v>
      </c>
      <c r="E3260" s="2" t="s">
        <v>6670</v>
      </c>
      <c r="F3260" s="3" t="n">
        <v>45979.0319444445</v>
      </c>
      <c r="G3260" s="2" t="s">
        <v>6431</v>
      </c>
      <c r="H3260" s="4" t="n">
        <v>0.7549</v>
      </c>
      <c r="I3260" s="2" t="s">
        <v>23</v>
      </c>
      <c r="J3260" s="2" t="s">
        <v>19</v>
      </c>
      <c r="K3260" s="2" t="n">
        <v>2</v>
      </c>
      <c r="L3260" s="2" t="n">
        <v>0</v>
      </c>
      <c r="M3260" s="2" t="n">
        <v>1</v>
      </c>
    </row>
    <row r="3261" customFormat="false" ht="15" hidden="false" customHeight="false" outlineLevel="0" collapsed="false">
      <c r="A3261" s="2" t="s">
        <v>6795</v>
      </c>
      <c r="B3261" s="2" t="s">
        <v>6796</v>
      </c>
      <c r="C3261" s="2" t="n">
        <v>1</v>
      </c>
      <c r="D3261" s="2" t="s">
        <v>109</v>
      </c>
      <c r="E3261" s="2" t="s">
        <v>6670</v>
      </c>
      <c r="F3261" s="3" t="n">
        <v>45979.2729166667</v>
      </c>
      <c r="G3261" s="2" t="s">
        <v>6431</v>
      </c>
      <c r="H3261" s="4" t="n">
        <v>0</v>
      </c>
      <c r="I3261" s="2" t="s">
        <v>18</v>
      </c>
      <c r="J3261" s="2" t="s">
        <v>110</v>
      </c>
      <c r="K3261" s="2" t="n">
        <v>3</v>
      </c>
      <c r="L3261" s="2" t="n">
        <v>1</v>
      </c>
      <c r="M3261" s="2" t="n">
        <v>1</v>
      </c>
    </row>
    <row r="3262" customFormat="false" ht="15" hidden="false" customHeight="false" outlineLevel="0" collapsed="false">
      <c r="A3262" s="2" t="s">
        <v>6797</v>
      </c>
      <c r="B3262" s="2" t="s">
        <v>6798</v>
      </c>
      <c r="C3262" s="2" t="n">
        <v>4</v>
      </c>
      <c r="D3262" s="2" t="s">
        <v>52</v>
      </c>
      <c r="E3262" s="2" t="s">
        <v>6670</v>
      </c>
      <c r="F3262" s="3" t="n">
        <v>45979.325</v>
      </c>
      <c r="G3262" s="2" t="s">
        <v>6431</v>
      </c>
      <c r="H3262" s="4" t="n">
        <v>0.6369</v>
      </c>
      <c r="I3262" s="2" t="s">
        <v>23</v>
      </c>
      <c r="J3262" s="2" t="s">
        <v>19</v>
      </c>
      <c r="K3262" s="2" t="n">
        <v>4</v>
      </c>
      <c r="L3262" s="2" t="n">
        <v>0</v>
      </c>
      <c r="M3262" s="2" t="n">
        <v>1</v>
      </c>
    </row>
    <row r="3263" customFormat="false" ht="15" hidden="false" customHeight="false" outlineLevel="0" collapsed="false">
      <c r="A3263" s="2" t="s">
        <v>6799</v>
      </c>
      <c r="B3263" s="2" t="s">
        <v>6800</v>
      </c>
      <c r="C3263" s="2" t="n">
        <v>1</v>
      </c>
      <c r="D3263" s="2" t="s">
        <v>133</v>
      </c>
      <c r="E3263" s="2" t="s">
        <v>6670</v>
      </c>
      <c r="F3263" s="3" t="n">
        <v>45979.3611111111</v>
      </c>
      <c r="G3263" s="2" t="s">
        <v>6431</v>
      </c>
      <c r="H3263" s="4" t="n">
        <v>-0.5719</v>
      </c>
      <c r="I3263" s="2" t="s">
        <v>84</v>
      </c>
      <c r="J3263" s="2" t="s">
        <v>33</v>
      </c>
      <c r="K3263" s="2" t="n">
        <v>14</v>
      </c>
      <c r="L3263" s="2" t="n">
        <v>1</v>
      </c>
      <c r="M3263" s="2" t="n">
        <v>1</v>
      </c>
    </row>
    <row r="3264" customFormat="false" ht="15" hidden="false" customHeight="false" outlineLevel="0" collapsed="false">
      <c r="A3264" s="2" t="s">
        <v>6801</v>
      </c>
      <c r="B3264" s="2" t="s">
        <v>6802</v>
      </c>
      <c r="C3264" s="2" t="n">
        <v>3</v>
      </c>
      <c r="D3264" s="2" t="s">
        <v>22</v>
      </c>
      <c r="E3264" s="2" t="s">
        <v>6670</v>
      </c>
      <c r="F3264" s="3" t="n">
        <v>45979.3743055556</v>
      </c>
      <c r="G3264" s="2" t="s">
        <v>6431</v>
      </c>
      <c r="H3264" s="4" t="n">
        <v>0.2023</v>
      </c>
      <c r="I3264" s="2" t="s">
        <v>23</v>
      </c>
      <c r="J3264" s="2" t="s">
        <v>19</v>
      </c>
      <c r="K3264" s="2" t="n">
        <v>4</v>
      </c>
      <c r="L3264" s="2" t="n">
        <v>0</v>
      </c>
      <c r="M3264" s="2" t="n">
        <v>1</v>
      </c>
    </row>
    <row r="3265" customFormat="false" ht="15" hidden="false" customHeight="false" outlineLevel="0" collapsed="false">
      <c r="A3265" s="2" t="s">
        <v>6803</v>
      </c>
      <c r="B3265" s="2" t="s">
        <v>6804</v>
      </c>
      <c r="C3265" s="2" t="n">
        <v>5</v>
      </c>
      <c r="D3265" s="2" t="s">
        <v>389</v>
      </c>
      <c r="E3265" s="2" t="s">
        <v>6670</v>
      </c>
      <c r="F3265" s="3" t="n">
        <v>45979.3847222222</v>
      </c>
      <c r="G3265" s="2" t="s">
        <v>6431</v>
      </c>
      <c r="H3265" s="4" t="n">
        <v>0.8519</v>
      </c>
      <c r="I3265" s="2" t="s">
        <v>23</v>
      </c>
      <c r="J3265" s="2" t="s">
        <v>37</v>
      </c>
      <c r="K3265" s="2" t="n">
        <v>1</v>
      </c>
      <c r="L3265" s="2" t="n">
        <v>0</v>
      </c>
      <c r="M3265" s="2" t="n">
        <v>1</v>
      </c>
    </row>
    <row r="3266" customFormat="false" ht="15" hidden="false" customHeight="false" outlineLevel="0" collapsed="false">
      <c r="A3266" s="2" t="s">
        <v>6805</v>
      </c>
      <c r="B3266" s="2" t="s">
        <v>6806</v>
      </c>
      <c r="C3266" s="2" t="n">
        <v>5</v>
      </c>
      <c r="D3266" s="2" t="s">
        <v>15</v>
      </c>
      <c r="E3266" s="2" t="s">
        <v>6670</v>
      </c>
      <c r="F3266" s="3" t="n">
        <v>45979.4263888889</v>
      </c>
      <c r="G3266" s="2" t="s">
        <v>6431</v>
      </c>
      <c r="H3266" s="4" t="n">
        <v>0</v>
      </c>
      <c r="I3266" s="2" t="s">
        <v>18</v>
      </c>
      <c r="J3266" s="2" t="s">
        <v>19</v>
      </c>
      <c r="K3266" s="2" t="n">
        <v>12</v>
      </c>
      <c r="L3266" s="2" t="n">
        <v>0</v>
      </c>
      <c r="M3266" s="2" t="n">
        <v>1</v>
      </c>
    </row>
    <row r="3267" customFormat="false" ht="15" hidden="false" customHeight="false" outlineLevel="0" collapsed="false">
      <c r="A3267" s="2" t="s">
        <v>6807</v>
      </c>
      <c r="B3267" s="2" t="s">
        <v>6808</v>
      </c>
      <c r="C3267" s="2" t="n">
        <v>1</v>
      </c>
      <c r="D3267" s="2" t="s">
        <v>6809</v>
      </c>
      <c r="E3267" s="2" t="s">
        <v>6670</v>
      </c>
      <c r="F3267" s="3" t="n">
        <v>45979.5</v>
      </c>
      <c r="G3267" s="2" t="s">
        <v>6431</v>
      </c>
      <c r="H3267" s="4" t="n">
        <v>-0.1509</v>
      </c>
      <c r="I3267" s="2" t="s">
        <v>84</v>
      </c>
      <c r="J3267" s="2" t="s">
        <v>33</v>
      </c>
      <c r="K3267" s="2" t="n">
        <v>3</v>
      </c>
      <c r="L3267" s="2" t="n">
        <v>0</v>
      </c>
      <c r="M3267" s="2" t="n">
        <v>1</v>
      </c>
    </row>
    <row r="3268" customFormat="false" ht="15" hidden="false" customHeight="false" outlineLevel="0" collapsed="false">
      <c r="A3268" s="2" t="s">
        <v>6810</v>
      </c>
      <c r="B3268" s="2" t="s">
        <v>6811</v>
      </c>
      <c r="C3268" s="2" t="n">
        <v>1</v>
      </c>
      <c r="D3268" s="2" t="s">
        <v>295</v>
      </c>
      <c r="E3268" s="2" t="s">
        <v>6670</v>
      </c>
      <c r="F3268" s="3" t="n">
        <v>45979.6625</v>
      </c>
      <c r="G3268" s="2" t="s">
        <v>6431</v>
      </c>
      <c r="H3268" s="4" t="n">
        <v>-0.5023</v>
      </c>
      <c r="I3268" s="2" t="s">
        <v>84</v>
      </c>
      <c r="J3268" s="2" t="s">
        <v>33</v>
      </c>
      <c r="K3268" s="2" t="n">
        <v>3</v>
      </c>
      <c r="L3268" s="2" t="n">
        <v>1</v>
      </c>
      <c r="M3268" s="2" t="n">
        <v>1</v>
      </c>
    </row>
    <row r="3269" customFormat="false" ht="15" hidden="false" customHeight="false" outlineLevel="0" collapsed="false">
      <c r="A3269" s="2" t="s">
        <v>6812</v>
      </c>
      <c r="B3269" s="2" t="s">
        <v>6813</v>
      </c>
      <c r="C3269" s="2" t="n">
        <v>4</v>
      </c>
      <c r="D3269" s="2" t="s">
        <v>62</v>
      </c>
      <c r="E3269" s="2" t="s">
        <v>6670</v>
      </c>
      <c r="F3269" s="3" t="n">
        <v>45979.7118055556</v>
      </c>
      <c r="G3269" s="2" t="s">
        <v>6431</v>
      </c>
      <c r="H3269" s="4" t="n">
        <v>0.7088</v>
      </c>
      <c r="I3269" s="2" t="s">
        <v>23</v>
      </c>
      <c r="J3269" s="2" t="s">
        <v>19</v>
      </c>
      <c r="K3269" s="2" t="n">
        <v>0</v>
      </c>
      <c r="L3269" s="2" t="n">
        <v>0</v>
      </c>
      <c r="M3269" s="2" t="n">
        <v>1</v>
      </c>
    </row>
    <row r="3270" customFormat="false" ht="15" hidden="false" customHeight="false" outlineLevel="0" collapsed="false">
      <c r="A3270" s="2" t="s">
        <v>6814</v>
      </c>
      <c r="B3270" s="2" t="s">
        <v>6815</v>
      </c>
      <c r="C3270" s="2" t="n">
        <v>4</v>
      </c>
      <c r="D3270" s="2" t="s">
        <v>301</v>
      </c>
      <c r="E3270" s="2" t="s">
        <v>6670</v>
      </c>
      <c r="F3270" s="3" t="n">
        <v>45979.7465277778</v>
      </c>
      <c r="G3270" s="2" t="s">
        <v>6431</v>
      </c>
      <c r="H3270" s="4" t="n">
        <v>0.2263</v>
      </c>
      <c r="I3270" s="2" t="s">
        <v>23</v>
      </c>
      <c r="J3270" s="2" t="s">
        <v>19</v>
      </c>
      <c r="K3270" s="2" t="n">
        <v>0</v>
      </c>
      <c r="L3270" s="2" t="n">
        <v>0</v>
      </c>
      <c r="M3270" s="2" t="n">
        <v>1</v>
      </c>
    </row>
    <row r="3271" customFormat="false" ht="15" hidden="false" customHeight="false" outlineLevel="0" collapsed="false">
      <c r="A3271" s="2" t="s">
        <v>6816</v>
      </c>
      <c r="B3271" s="2" t="s">
        <v>6817</v>
      </c>
      <c r="C3271" s="2" t="n">
        <v>5</v>
      </c>
      <c r="D3271" s="2" t="s">
        <v>52</v>
      </c>
      <c r="E3271" s="2" t="s">
        <v>6670</v>
      </c>
      <c r="F3271" s="3" t="n">
        <v>45979.7930555556</v>
      </c>
      <c r="G3271" s="2" t="s">
        <v>6431</v>
      </c>
      <c r="H3271" s="4" t="n">
        <v>0.6369</v>
      </c>
      <c r="I3271" s="2" t="s">
        <v>23</v>
      </c>
      <c r="J3271" s="2" t="s">
        <v>19</v>
      </c>
      <c r="K3271" s="2" t="n">
        <v>8</v>
      </c>
      <c r="L3271" s="2" t="n">
        <v>0</v>
      </c>
      <c r="M3271" s="2" t="n">
        <v>1</v>
      </c>
    </row>
    <row r="3272" customFormat="false" ht="15" hidden="false" customHeight="false" outlineLevel="0" collapsed="false">
      <c r="A3272" s="2" t="s">
        <v>6818</v>
      </c>
      <c r="B3272" s="2" t="s">
        <v>6819</v>
      </c>
      <c r="C3272" s="2" t="n">
        <v>2</v>
      </c>
      <c r="D3272" s="2" t="s">
        <v>133</v>
      </c>
      <c r="E3272" s="2" t="s">
        <v>6670</v>
      </c>
      <c r="F3272" s="3" t="n">
        <v>45979.8638888889</v>
      </c>
      <c r="G3272" s="2" t="s">
        <v>6431</v>
      </c>
      <c r="H3272" s="4" t="n">
        <v>-0.5719</v>
      </c>
      <c r="I3272" s="2" t="s">
        <v>84</v>
      </c>
      <c r="J3272" s="2" t="s">
        <v>33</v>
      </c>
      <c r="K3272" s="2" t="n">
        <v>0</v>
      </c>
      <c r="L3272" s="2" t="n">
        <v>1</v>
      </c>
      <c r="M3272" s="2" t="n">
        <v>1</v>
      </c>
    </row>
    <row r="3273" customFormat="false" ht="15" hidden="false" customHeight="false" outlineLevel="0" collapsed="false">
      <c r="A3273" s="2" t="s">
        <v>6820</v>
      </c>
      <c r="B3273" s="2" t="s">
        <v>6821</v>
      </c>
      <c r="C3273" s="2" t="n">
        <v>1</v>
      </c>
      <c r="D3273" s="2" t="s">
        <v>83</v>
      </c>
      <c r="E3273" s="2" t="s">
        <v>6670</v>
      </c>
      <c r="F3273" s="3" t="n">
        <v>45979.9645833333</v>
      </c>
      <c r="G3273" s="2" t="s">
        <v>6431</v>
      </c>
      <c r="H3273" s="4" t="n">
        <v>-0.6166</v>
      </c>
      <c r="I3273" s="2" t="s">
        <v>84</v>
      </c>
      <c r="J3273" s="2" t="s">
        <v>59</v>
      </c>
      <c r="K3273" s="2" t="n">
        <v>2</v>
      </c>
      <c r="L3273" s="2" t="n">
        <v>1</v>
      </c>
      <c r="M3273" s="2" t="n">
        <v>1</v>
      </c>
    </row>
    <row r="3274" customFormat="false" ht="15" hidden="false" customHeight="false" outlineLevel="0" collapsed="false">
      <c r="A3274" s="2" t="s">
        <v>6822</v>
      </c>
      <c r="B3274" s="2" t="s">
        <v>6823</v>
      </c>
      <c r="C3274" s="2" t="n">
        <v>2</v>
      </c>
      <c r="D3274" s="2" t="s">
        <v>32</v>
      </c>
      <c r="E3274" s="2" t="s">
        <v>6670</v>
      </c>
      <c r="F3274" s="3" t="n">
        <v>45980.0284722222</v>
      </c>
      <c r="G3274" s="2" t="s">
        <v>6431</v>
      </c>
      <c r="H3274" s="4" t="n">
        <v>0.2023</v>
      </c>
      <c r="I3274" s="2" t="s">
        <v>23</v>
      </c>
      <c r="J3274" s="2" t="s">
        <v>33</v>
      </c>
      <c r="K3274" s="2" t="n">
        <v>3</v>
      </c>
      <c r="L3274" s="2" t="n">
        <v>0</v>
      </c>
      <c r="M3274" s="2" t="n">
        <v>1</v>
      </c>
    </row>
    <row r="3275" customFormat="false" ht="15" hidden="false" customHeight="false" outlineLevel="0" collapsed="false">
      <c r="A3275" s="2" t="s">
        <v>6824</v>
      </c>
      <c r="B3275" s="2" t="s">
        <v>6825</v>
      </c>
      <c r="C3275" s="2" t="n">
        <v>5</v>
      </c>
      <c r="D3275" s="2" t="s">
        <v>834</v>
      </c>
      <c r="E3275" s="2" t="s">
        <v>6670</v>
      </c>
      <c r="F3275" s="3" t="n">
        <v>45980.0840277778</v>
      </c>
      <c r="G3275" s="2" t="s">
        <v>6431</v>
      </c>
      <c r="H3275" s="4" t="n">
        <v>0.9481</v>
      </c>
      <c r="I3275" s="2" t="s">
        <v>23</v>
      </c>
      <c r="J3275" s="2" t="s">
        <v>37</v>
      </c>
      <c r="K3275" s="2" t="n">
        <v>6</v>
      </c>
      <c r="L3275" s="2" t="n">
        <v>0</v>
      </c>
      <c r="M3275" s="2" t="n">
        <v>1</v>
      </c>
    </row>
    <row r="3276" customFormat="false" ht="15" hidden="false" customHeight="false" outlineLevel="0" collapsed="false">
      <c r="A3276" s="2" t="s">
        <v>6826</v>
      </c>
      <c r="B3276" s="2" t="s">
        <v>6827</v>
      </c>
      <c r="C3276" s="2" t="n">
        <v>1</v>
      </c>
      <c r="D3276" s="2" t="s">
        <v>6828</v>
      </c>
      <c r="E3276" s="2" t="s">
        <v>6670</v>
      </c>
      <c r="F3276" s="3" t="n">
        <v>45980.1993055556</v>
      </c>
      <c r="G3276" s="2" t="s">
        <v>6431</v>
      </c>
      <c r="H3276" s="4" t="n">
        <v>0.1531</v>
      </c>
      <c r="I3276" s="2" t="s">
        <v>23</v>
      </c>
      <c r="J3276" s="2" t="s">
        <v>37</v>
      </c>
      <c r="K3276" s="2" t="n">
        <v>4</v>
      </c>
      <c r="L3276" s="2" t="n">
        <v>1</v>
      </c>
      <c r="M3276" s="2" t="n">
        <v>1</v>
      </c>
    </row>
    <row r="3277" customFormat="false" ht="15" hidden="false" customHeight="false" outlineLevel="0" collapsed="false">
      <c r="A3277" s="2" t="s">
        <v>6829</v>
      </c>
      <c r="B3277" s="2" t="s">
        <v>6830</v>
      </c>
      <c r="C3277" s="2" t="n">
        <v>3</v>
      </c>
      <c r="D3277" s="2" t="s">
        <v>32</v>
      </c>
      <c r="E3277" s="2" t="s">
        <v>6670</v>
      </c>
      <c r="F3277" s="3" t="n">
        <v>45980.2270833333</v>
      </c>
      <c r="G3277" s="2" t="s">
        <v>6431</v>
      </c>
      <c r="H3277" s="4" t="n">
        <v>0.2023</v>
      </c>
      <c r="I3277" s="2" t="s">
        <v>23</v>
      </c>
      <c r="J3277" s="2" t="s">
        <v>33</v>
      </c>
      <c r="K3277" s="2" t="n">
        <v>4</v>
      </c>
      <c r="L3277" s="2" t="n">
        <v>0</v>
      </c>
      <c r="M3277" s="2" t="n">
        <v>1</v>
      </c>
    </row>
    <row r="3278" customFormat="false" ht="15" hidden="false" customHeight="false" outlineLevel="0" collapsed="false">
      <c r="A3278" s="2" t="s">
        <v>6831</v>
      </c>
      <c r="B3278" s="2" t="s">
        <v>6832</v>
      </c>
      <c r="C3278" s="2" t="n">
        <v>5</v>
      </c>
      <c r="D3278" s="2" t="s">
        <v>40</v>
      </c>
      <c r="E3278" s="2" t="s">
        <v>6670</v>
      </c>
      <c r="F3278" s="3" t="n">
        <v>45980.2888888889</v>
      </c>
      <c r="G3278" s="2" t="s">
        <v>6431</v>
      </c>
      <c r="H3278" s="4" t="n">
        <v>0.4019</v>
      </c>
      <c r="I3278" s="2" t="s">
        <v>23</v>
      </c>
      <c r="J3278" s="2" t="s">
        <v>33</v>
      </c>
      <c r="K3278" s="2" t="n">
        <v>2</v>
      </c>
      <c r="L3278" s="2" t="n">
        <v>0</v>
      </c>
      <c r="M3278" s="2" t="n">
        <v>1</v>
      </c>
    </row>
    <row r="3279" customFormat="false" ht="15" hidden="false" customHeight="false" outlineLevel="0" collapsed="false">
      <c r="A3279" s="2" t="s">
        <v>6833</v>
      </c>
      <c r="B3279" s="2" t="s">
        <v>6834</v>
      </c>
      <c r="C3279" s="2" t="n">
        <v>4</v>
      </c>
      <c r="D3279" s="2" t="s">
        <v>40</v>
      </c>
      <c r="E3279" s="2" t="s">
        <v>6670</v>
      </c>
      <c r="F3279" s="3" t="n">
        <v>45980.3368055556</v>
      </c>
      <c r="G3279" s="2" t="s">
        <v>6431</v>
      </c>
      <c r="H3279" s="4" t="n">
        <v>0.4019</v>
      </c>
      <c r="I3279" s="2" t="s">
        <v>23</v>
      </c>
      <c r="J3279" s="2" t="s">
        <v>33</v>
      </c>
      <c r="K3279" s="2" t="n">
        <v>2</v>
      </c>
      <c r="L3279" s="2" t="n">
        <v>0</v>
      </c>
      <c r="M3279" s="2" t="n">
        <v>1</v>
      </c>
    </row>
    <row r="3280" customFormat="false" ht="15" hidden="false" customHeight="false" outlineLevel="0" collapsed="false">
      <c r="A3280" s="2" t="s">
        <v>6835</v>
      </c>
      <c r="B3280" s="2" t="s">
        <v>6836</v>
      </c>
      <c r="C3280" s="2" t="n">
        <v>5</v>
      </c>
      <c r="D3280" s="2" t="s">
        <v>127</v>
      </c>
      <c r="E3280" s="2" t="s">
        <v>6670</v>
      </c>
      <c r="F3280" s="3" t="n">
        <v>45980.3708333333</v>
      </c>
      <c r="G3280" s="2" t="s">
        <v>6431</v>
      </c>
      <c r="H3280" s="4" t="n">
        <v>0.9359</v>
      </c>
      <c r="I3280" s="2" t="s">
        <v>23</v>
      </c>
      <c r="J3280" s="2" t="s">
        <v>37</v>
      </c>
      <c r="K3280" s="2" t="n">
        <v>0</v>
      </c>
      <c r="L3280" s="2" t="n">
        <v>0</v>
      </c>
      <c r="M3280" s="2" t="n">
        <v>1</v>
      </c>
    </row>
    <row r="3281" customFormat="false" ht="15" hidden="false" customHeight="false" outlineLevel="0" collapsed="false">
      <c r="A3281" s="2" t="s">
        <v>6837</v>
      </c>
      <c r="B3281" s="2" t="s">
        <v>6838</v>
      </c>
      <c r="C3281" s="2" t="n">
        <v>4</v>
      </c>
      <c r="D3281" s="2" t="s">
        <v>1222</v>
      </c>
      <c r="E3281" s="2" t="s">
        <v>6670</v>
      </c>
      <c r="F3281" s="3" t="n">
        <v>45980.5659722222</v>
      </c>
      <c r="G3281" s="2" t="s">
        <v>6431</v>
      </c>
      <c r="H3281" s="4" t="n">
        <v>0.8221</v>
      </c>
      <c r="I3281" s="2" t="s">
        <v>23</v>
      </c>
      <c r="J3281" s="2" t="s">
        <v>33</v>
      </c>
      <c r="K3281" s="2" t="n">
        <v>5</v>
      </c>
      <c r="L3281" s="2" t="n">
        <v>0</v>
      </c>
      <c r="M3281" s="2" t="n">
        <v>1</v>
      </c>
    </row>
    <row r="3282" customFormat="false" ht="15" hidden="false" customHeight="false" outlineLevel="0" collapsed="false">
      <c r="A3282" s="2" t="s">
        <v>6839</v>
      </c>
      <c r="B3282" s="2" t="s">
        <v>2329</v>
      </c>
      <c r="C3282" s="2" t="n">
        <v>5</v>
      </c>
      <c r="D3282" s="2" t="s">
        <v>127</v>
      </c>
      <c r="E3282" s="2" t="s">
        <v>6670</v>
      </c>
      <c r="F3282" s="3" t="n">
        <v>45980.6041666667</v>
      </c>
      <c r="G3282" s="2" t="s">
        <v>6431</v>
      </c>
      <c r="H3282" s="4" t="n">
        <v>0.9359</v>
      </c>
      <c r="I3282" s="2" t="s">
        <v>23</v>
      </c>
      <c r="J3282" s="2" t="s">
        <v>37</v>
      </c>
      <c r="K3282" s="2" t="n">
        <v>2</v>
      </c>
      <c r="L3282" s="2" t="n">
        <v>0</v>
      </c>
      <c r="M3282" s="2" t="n">
        <v>1</v>
      </c>
    </row>
    <row r="3283" customFormat="false" ht="15" hidden="false" customHeight="false" outlineLevel="0" collapsed="false">
      <c r="A3283" s="2" t="s">
        <v>6840</v>
      </c>
      <c r="B3283" s="2" t="s">
        <v>6841</v>
      </c>
      <c r="C3283" s="2" t="n">
        <v>2</v>
      </c>
      <c r="D3283" s="2" t="s">
        <v>231</v>
      </c>
      <c r="E3283" s="2" t="s">
        <v>6670</v>
      </c>
      <c r="F3283" s="3" t="n">
        <v>45980.7097222222</v>
      </c>
      <c r="G3283" s="2" t="s">
        <v>6431</v>
      </c>
      <c r="H3283" s="4" t="n">
        <v>-0.3593</v>
      </c>
      <c r="I3283" s="2" t="s">
        <v>84</v>
      </c>
      <c r="J3283" s="2" t="s">
        <v>33</v>
      </c>
      <c r="K3283" s="2" t="n">
        <v>0</v>
      </c>
      <c r="L3283" s="2" t="n">
        <v>1</v>
      </c>
      <c r="M3283" s="2" t="n">
        <v>1</v>
      </c>
    </row>
    <row r="3284" customFormat="false" ht="15" hidden="false" customHeight="false" outlineLevel="0" collapsed="false">
      <c r="A3284" s="2" t="s">
        <v>6842</v>
      </c>
      <c r="B3284" s="2" t="s">
        <v>1585</v>
      </c>
      <c r="C3284" s="2" t="n">
        <v>4</v>
      </c>
      <c r="D3284" s="2" t="s">
        <v>194</v>
      </c>
      <c r="E3284" s="2" t="s">
        <v>6670</v>
      </c>
      <c r="F3284" s="3" t="n">
        <v>45980.85</v>
      </c>
      <c r="G3284" s="2" t="s">
        <v>6431</v>
      </c>
      <c r="H3284" s="4" t="n">
        <v>0.2263</v>
      </c>
      <c r="I3284" s="2" t="s">
        <v>23</v>
      </c>
      <c r="J3284" s="2" t="s">
        <v>19</v>
      </c>
      <c r="K3284" s="2" t="n">
        <v>0</v>
      </c>
      <c r="L3284" s="2" t="n">
        <v>0</v>
      </c>
      <c r="M3284" s="2" t="n">
        <v>1</v>
      </c>
    </row>
    <row r="3285" customFormat="false" ht="15" hidden="false" customHeight="false" outlineLevel="0" collapsed="false">
      <c r="A3285" s="2" t="s">
        <v>6843</v>
      </c>
      <c r="B3285" s="2" t="s">
        <v>6844</v>
      </c>
      <c r="C3285" s="2" t="n">
        <v>5</v>
      </c>
      <c r="D3285" s="2" t="s">
        <v>90</v>
      </c>
      <c r="E3285" s="2" t="s">
        <v>6670</v>
      </c>
      <c r="F3285" s="3" t="n">
        <v>45981.1236111111</v>
      </c>
      <c r="G3285" s="2" t="s">
        <v>6431</v>
      </c>
      <c r="H3285" s="4" t="n">
        <v>0.6249</v>
      </c>
      <c r="I3285" s="2" t="s">
        <v>23</v>
      </c>
      <c r="J3285" s="2" t="s">
        <v>37</v>
      </c>
      <c r="K3285" s="2" t="n">
        <v>3</v>
      </c>
      <c r="L3285" s="2" t="n">
        <v>0</v>
      </c>
      <c r="M3285" s="2" t="n">
        <v>1</v>
      </c>
    </row>
    <row r="3286" customFormat="false" ht="15" hidden="false" customHeight="false" outlineLevel="0" collapsed="false">
      <c r="A3286" s="2" t="s">
        <v>6845</v>
      </c>
      <c r="B3286" s="2" t="s">
        <v>6846</v>
      </c>
      <c r="C3286" s="2" t="n">
        <v>4</v>
      </c>
      <c r="D3286" s="2" t="s">
        <v>389</v>
      </c>
      <c r="E3286" s="2" t="s">
        <v>6670</v>
      </c>
      <c r="F3286" s="3" t="n">
        <v>45981.1868055556</v>
      </c>
      <c r="G3286" s="2" t="s">
        <v>6431</v>
      </c>
      <c r="H3286" s="4" t="n">
        <v>0.8519</v>
      </c>
      <c r="I3286" s="2" t="s">
        <v>23</v>
      </c>
      <c r="J3286" s="2" t="s">
        <v>37</v>
      </c>
      <c r="K3286" s="2" t="n">
        <v>1</v>
      </c>
      <c r="L3286" s="2" t="n">
        <v>0</v>
      </c>
      <c r="M3286" s="2" t="n">
        <v>1</v>
      </c>
    </row>
    <row r="3287" customFormat="false" ht="15" hidden="false" customHeight="false" outlineLevel="0" collapsed="false">
      <c r="A3287" s="2" t="s">
        <v>6847</v>
      </c>
      <c r="B3287" s="2" t="s">
        <v>6848</v>
      </c>
      <c r="C3287" s="2" t="n">
        <v>3</v>
      </c>
      <c r="D3287" s="2" t="s">
        <v>99</v>
      </c>
      <c r="E3287" s="2" t="s">
        <v>6670</v>
      </c>
      <c r="F3287" s="3" t="n">
        <v>45981.1895833333</v>
      </c>
      <c r="G3287" s="2" t="s">
        <v>6431</v>
      </c>
      <c r="H3287" s="4" t="n">
        <v>-0.3089</v>
      </c>
      <c r="I3287" s="2" t="s">
        <v>84</v>
      </c>
      <c r="J3287" s="2" t="s">
        <v>19</v>
      </c>
      <c r="K3287" s="2" t="n">
        <v>16</v>
      </c>
      <c r="L3287" s="2" t="n">
        <v>0</v>
      </c>
      <c r="M3287" s="2" t="n">
        <v>1</v>
      </c>
    </row>
    <row r="3288" customFormat="false" ht="15" hidden="false" customHeight="false" outlineLevel="0" collapsed="false">
      <c r="A3288" s="2" t="s">
        <v>6849</v>
      </c>
      <c r="B3288" s="2" t="s">
        <v>6850</v>
      </c>
      <c r="C3288" s="2" t="n">
        <v>1</v>
      </c>
      <c r="D3288" s="2" t="s">
        <v>295</v>
      </c>
      <c r="E3288" s="2" t="s">
        <v>6670</v>
      </c>
      <c r="F3288" s="3" t="n">
        <v>45981.2263888889</v>
      </c>
      <c r="G3288" s="2" t="s">
        <v>6431</v>
      </c>
      <c r="H3288" s="4" t="n">
        <v>-0.5023</v>
      </c>
      <c r="I3288" s="2" t="s">
        <v>84</v>
      </c>
      <c r="J3288" s="2" t="s">
        <v>33</v>
      </c>
      <c r="K3288" s="2" t="n">
        <v>12</v>
      </c>
      <c r="L3288" s="2" t="n">
        <v>0</v>
      </c>
      <c r="M3288" s="2" t="n">
        <v>1</v>
      </c>
    </row>
    <row r="3289" customFormat="false" ht="15" hidden="false" customHeight="false" outlineLevel="0" collapsed="false">
      <c r="A3289" s="2" t="s">
        <v>6851</v>
      </c>
      <c r="B3289" s="2" t="s">
        <v>6852</v>
      </c>
      <c r="C3289" s="2" t="n">
        <v>1</v>
      </c>
      <c r="D3289" s="2" t="s">
        <v>3569</v>
      </c>
      <c r="E3289" s="2" t="s">
        <v>6670</v>
      </c>
      <c r="F3289" s="3" t="n">
        <v>45981.2402777778</v>
      </c>
      <c r="G3289" s="2" t="s">
        <v>6431</v>
      </c>
      <c r="H3289" s="4" t="n">
        <v>-0.2617</v>
      </c>
      <c r="I3289" s="2" t="s">
        <v>84</v>
      </c>
      <c r="J3289" s="2" t="s">
        <v>33</v>
      </c>
      <c r="K3289" s="2" t="n">
        <v>3</v>
      </c>
      <c r="L3289" s="2" t="n">
        <v>0</v>
      </c>
      <c r="M3289" s="2" t="n">
        <v>1</v>
      </c>
    </row>
    <row r="3290" customFormat="false" ht="15" hidden="false" customHeight="false" outlineLevel="0" collapsed="false">
      <c r="A3290" s="2" t="s">
        <v>6853</v>
      </c>
      <c r="B3290" s="2" t="s">
        <v>6854</v>
      </c>
      <c r="C3290" s="2" t="n">
        <v>4</v>
      </c>
      <c r="D3290" s="2" t="s">
        <v>301</v>
      </c>
      <c r="E3290" s="2" t="s">
        <v>6670</v>
      </c>
      <c r="F3290" s="3" t="n">
        <v>45981.4229166667</v>
      </c>
      <c r="G3290" s="2" t="s">
        <v>6431</v>
      </c>
      <c r="H3290" s="4" t="n">
        <v>0.2263</v>
      </c>
      <c r="I3290" s="2" t="s">
        <v>23</v>
      </c>
      <c r="J3290" s="2" t="s">
        <v>19</v>
      </c>
      <c r="K3290" s="2" t="n">
        <v>0</v>
      </c>
      <c r="L3290" s="2" t="n">
        <v>0</v>
      </c>
      <c r="M3290" s="2" t="n">
        <v>1</v>
      </c>
    </row>
    <row r="3291" customFormat="false" ht="15" hidden="false" customHeight="false" outlineLevel="0" collapsed="false">
      <c r="A3291" s="2" t="s">
        <v>6855</v>
      </c>
      <c r="B3291" s="2" t="s">
        <v>6856</v>
      </c>
      <c r="C3291" s="2" t="n">
        <v>2</v>
      </c>
      <c r="D3291" s="2" t="s">
        <v>1912</v>
      </c>
      <c r="E3291" s="2" t="s">
        <v>6670</v>
      </c>
      <c r="F3291" s="3" t="n">
        <v>45981.7118055556</v>
      </c>
      <c r="G3291" s="2" t="s">
        <v>6431</v>
      </c>
      <c r="H3291" s="4" t="n">
        <v>-0.4404</v>
      </c>
      <c r="I3291" s="2" t="s">
        <v>84</v>
      </c>
      <c r="J3291" s="2" t="s">
        <v>33</v>
      </c>
      <c r="K3291" s="2" t="n">
        <v>0</v>
      </c>
      <c r="L3291" s="2" t="n">
        <v>1</v>
      </c>
      <c r="M3291" s="2" t="n">
        <v>1</v>
      </c>
    </row>
    <row r="3292" customFormat="false" ht="15" hidden="false" customHeight="false" outlineLevel="0" collapsed="false">
      <c r="A3292" s="2" t="s">
        <v>6857</v>
      </c>
      <c r="B3292" s="2" t="s">
        <v>6858</v>
      </c>
      <c r="C3292" s="2" t="n">
        <v>4</v>
      </c>
      <c r="D3292" s="2" t="s">
        <v>52</v>
      </c>
      <c r="E3292" s="2" t="s">
        <v>6670</v>
      </c>
      <c r="F3292" s="3" t="n">
        <v>45981.7979166667</v>
      </c>
      <c r="G3292" s="2" t="s">
        <v>6431</v>
      </c>
      <c r="H3292" s="4" t="n">
        <v>0.6369</v>
      </c>
      <c r="I3292" s="2" t="s">
        <v>23</v>
      </c>
      <c r="J3292" s="2" t="s">
        <v>19</v>
      </c>
      <c r="K3292" s="2" t="n">
        <v>15</v>
      </c>
      <c r="L3292" s="2" t="n">
        <v>0</v>
      </c>
      <c r="M3292" s="2" t="n">
        <v>1</v>
      </c>
    </row>
    <row r="3293" customFormat="false" ht="15" hidden="false" customHeight="false" outlineLevel="0" collapsed="false">
      <c r="A3293" s="2" t="s">
        <v>6859</v>
      </c>
      <c r="B3293" s="2" t="s">
        <v>6860</v>
      </c>
      <c r="C3293" s="2" t="n">
        <v>5</v>
      </c>
      <c r="D3293" s="2" t="s">
        <v>15</v>
      </c>
      <c r="E3293" s="2" t="s">
        <v>6670</v>
      </c>
      <c r="F3293" s="3" t="n">
        <v>45981.9215277778</v>
      </c>
      <c r="G3293" s="2" t="s">
        <v>6431</v>
      </c>
      <c r="H3293" s="4" t="n">
        <v>0</v>
      </c>
      <c r="I3293" s="2" t="s">
        <v>18</v>
      </c>
      <c r="J3293" s="2" t="s">
        <v>19</v>
      </c>
      <c r="K3293" s="2" t="n">
        <v>9</v>
      </c>
      <c r="L3293" s="2" t="n">
        <v>0</v>
      </c>
      <c r="M3293" s="2" t="n">
        <v>1</v>
      </c>
    </row>
    <row r="3294" customFormat="false" ht="15" hidden="false" customHeight="false" outlineLevel="0" collapsed="false">
      <c r="A3294" s="2" t="s">
        <v>6861</v>
      </c>
      <c r="B3294" s="2" t="s">
        <v>2943</v>
      </c>
      <c r="C3294" s="2" t="n">
        <v>5</v>
      </c>
      <c r="D3294" s="2" t="s">
        <v>52</v>
      </c>
      <c r="E3294" s="2" t="s">
        <v>6670</v>
      </c>
      <c r="F3294" s="3" t="n">
        <v>45981.9375</v>
      </c>
      <c r="G3294" s="2" t="s">
        <v>6431</v>
      </c>
      <c r="H3294" s="4" t="n">
        <v>0.6369</v>
      </c>
      <c r="I3294" s="2" t="s">
        <v>23</v>
      </c>
      <c r="J3294" s="2" t="s">
        <v>19</v>
      </c>
      <c r="K3294" s="2" t="n">
        <v>2</v>
      </c>
      <c r="L3294" s="2" t="n">
        <v>0</v>
      </c>
      <c r="M3294" s="2" t="n">
        <v>1</v>
      </c>
    </row>
    <row r="3295" customFormat="false" ht="15" hidden="false" customHeight="false" outlineLevel="0" collapsed="false">
      <c r="A3295" s="2" t="s">
        <v>6862</v>
      </c>
      <c r="B3295" s="2" t="s">
        <v>6863</v>
      </c>
      <c r="C3295" s="2" t="n">
        <v>5</v>
      </c>
      <c r="D3295" s="2" t="s">
        <v>62</v>
      </c>
      <c r="E3295" s="2" t="s">
        <v>6670</v>
      </c>
      <c r="F3295" s="3" t="n">
        <v>45982.025</v>
      </c>
      <c r="G3295" s="2" t="s">
        <v>6431</v>
      </c>
      <c r="H3295" s="4" t="n">
        <v>0.7088</v>
      </c>
      <c r="I3295" s="2" t="s">
        <v>23</v>
      </c>
      <c r="J3295" s="2" t="s">
        <v>19</v>
      </c>
      <c r="K3295" s="2" t="n">
        <v>1</v>
      </c>
      <c r="L3295" s="2" t="n">
        <v>0</v>
      </c>
      <c r="M3295" s="2" t="n">
        <v>1</v>
      </c>
    </row>
    <row r="3296" customFormat="false" ht="15" hidden="false" customHeight="false" outlineLevel="0" collapsed="false">
      <c r="A3296" s="2" t="s">
        <v>6864</v>
      </c>
      <c r="B3296" s="2" t="s">
        <v>6865</v>
      </c>
      <c r="C3296" s="2" t="n">
        <v>1</v>
      </c>
      <c r="D3296" s="2" t="s">
        <v>231</v>
      </c>
      <c r="E3296" s="2" t="s">
        <v>6670</v>
      </c>
      <c r="F3296" s="3" t="n">
        <v>45982.1486111111</v>
      </c>
      <c r="G3296" s="2" t="s">
        <v>6431</v>
      </c>
      <c r="H3296" s="4" t="n">
        <v>-0.3593</v>
      </c>
      <c r="I3296" s="2" t="s">
        <v>84</v>
      </c>
      <c r="J3296" s="2" t="s">
        <v>33</v>
      </c>
      <c r="K3296" s="2" t="n">
        <v>4</v>
      </c>
      <c r="L3296" s="2" t="n">
        <v>0</v>
      </c>
      <c r="M3296" s="2" t="n">
        <v>1</v>
      </c>
    </row>
    <row r="3297" customFormat="false" ht="15" hidden="false" customHeight="false" outlineLevel="0" collapsed="false">
      <c r="A3297" s="2" t="s">
        <v>6866</v>
      </c>
      <c r="B3297" s="2" t="s">
        <v>6867</v>
      </c>
      <c r="C3297" s="2" t="n">
        <v>5</v>
      </c>
      <c r="D3297" s="2" t="s">
        <v>62</v>
      </c>
      <c r="E3297" s="2" t="s">
        <v>6670</v>
      </c>
      <c r="F3297" s="3" t="n">
        <v>45982.2597222222</v>
      </c>
      <c r="G3297" s="2" t="s">
        <v>6431</v>
      </c>
      <c r="H3297" s="4" t="n">
        <v>0.7088</v>
      </c>
      <c r="I3297" s="2" t="s">
        <v>23</v>
      </c>
      <c r="J3297" s="2" t="s">
        <v>19</v>
      </c>
      <c r="K3297" s="2" t="n">
        <v>1</v>
      </c>
      <c r="L3297" s="2" t="n">
        <v>0</v>
      </c>
      <c r="M3297" s="2" t="n">
        <v>1</v>
      </c>
    </row>
    <row r="3298" customFormat="false" ht="15" hidden="false" customHeight="false" outlineLevel="0" collapsed="false">
      <c r="A3298" s="2" t="s">
        <v>6868</v>
      </c>
      <c r="B3298" s="2" t="s">
        <v>6869</v>
      </c>
      <c r="C3298" s="2" t="n">
        <v>1</v>
      </c>
      <c r="D3298" s="2" t="s">
        <v>32</v>
      </c>
      <c r="E3298" s="2" t="s">
        <v>6670</v>
      </c>
      <c r="F3298" s="3" t="n">
        <v>45982.2618055556</v>
      </c>
      <c r="G3298" s="2" t="s">
        <v>6431</v>
      </c>
      <c r="H3298" s="4" t="n">
        <v>0.2023</v>
      </c>
      <c r="I3298" s="2" t="s">
        <v>23</v>
      </c>
      <c r="J3298" s="2" t="s">
        <v>33</v>
      </c>
      <c r="K3298" s="2" t="n">
        <v>8</v>
      </c>
      <c r="L3298" s="2" t="n">
        <v>0</v>
      </c>
      <c r="M3298" s="2" t="n">
        <v>1</v>
      </c>
    </row>
    <row r="3299" customFormat="false" ht="15" hidden="false" customHeight="false" outlineLevel="0" collapsed="false">
      <c r="A3299" s="2" t="s">
        <v>6870</v>
      </c>
      <c r="B3299" s="2" t="s">
        <v>6871</v>
      </c>
      <c r="C3299" s="2" t="n">
        <v>4</v>
      </c>
      <c r="D3299" s="2" t="s">
        <v>47</v>
      </c>
      <c r="E3299" s="2" t="s">
        <v>6670</v>
      </c>
      <c r="F3299" s="3" t="n">
        <v>45982.4354166667</v>
      </c>
      <c r="G3299" s="2" t="s">
        <v>6431</v>
      </c>
      <c r="H3299" s="4" t="n">
        <v>0.3089</v>
      </c>
      <c r="I3299" s="2" t="s">
        <v>23</v>
      </c>
      <c r="J3299" s="2" t="s">
        <v>19</v>
      </c>
      <c r="K3299" s="2" t="n">
        <v>2</v>
      </c>
      <c r="L3299" s="2" t="n">
        <v>0</v>
      </c>
      <c r="M3299" s="2" t="n">
        <v>1</v>
      </c>
    </row>
    <row r="3300" customFormat="false" ht="15" hidden="false" customHeight="false" outlineLevel="0" collapsed="false">
      <c r="A3300" s="2" t="s">
        <v>6872</v>
      </c>
      <c r="B3300" s="2" t="s">
        <v>6873</v>
      </c>
      <c r="C3300" s="2" t="n">
        <v>5</v>
      </c>
      <c r="D3300" s="2" t="s">
        <v>96</v>
      </c>
      <c r="E3300" s="2" t="s">
        <v>6670</v>
      </c>
      <c r="F3300" s="3" t="n">
        <v>45982.6833333333</v>
      </c>
      <c r="G3300" s="2" t="s">
        <v>6431</v>
      </c>
      <c r="H3300" s="4" t="n">
        <v>0.6369</v>
      </c>
      <c r="I3300" s="2" t="s">
        <v>23</v>
      </c>
      <c r="J3300" s="2" t="s">
        <v>19</v>
      </c>
      <c r="K3300" s="2" t="n">
        <v>0</v>
      </c>
      <c r="L3300" s="2" t="n">
        <v>0</v>
      </c>
      <c r="M3300" s="2" t="n">
        <v>1</v>
      </c>
    </row>
    <row r="3301" customFormat="false" ht="15" hidden="false" customHeight="false" outlineLevel="0" collapsed="false">
      <c r="A3301" s="2" t="s">
        <v>6874</v>
      </c>
      <c r="B3301" s="2" t="s">
        <v>3720</v>
      </c>
      <c r="C3301" s="2" t="n">
        <v>1</v>
      </c>
      <c r="D3301" s="2" t="s">
        <v>6875</v>
      </c>
      <c r="E3301" s="2" t="s">
        <v>6670</v>
      </c>
      <c r="F3301" s="3" t="n">
        <v>45982.7243055556</v>
      </c>
      <c r="G3301" s="2" t="s">
        <v>6431</v>
      </c>
      <c r="H3301" s="4" t="n">
        <v>-0.3593</v>
      </c>
      <c r="I3301" s="2" t="s">
        <v>84</v>
      </c>
      <c r="J3301" s="2" t="s">
        <v>33</v>
      </c>
      <c r="K3301" s="2" t="n">
        <v>2</v>
      </c>
      <c r="L3301" s="2" t="n">
        <v>1</v>
      </c>
      <c r="M3301" s="2" t="n">
        <v>1</v>
      </c>
    </row>
    <row r="3302" customFormat="false" ht="15" hidden="false" customHeight="false" outlineLevel="0" collapsed="false">
      <c r="A3302" s="2" t="s">
        <v>6876</v>
      </c>
      <c r="B3302" s="2" t="s">
        <v>6877</v>
      </c>
      <c r="C3302" s="2" t="n">
        <v>3</v>
      </c>
      <c r="D3302" s="2" t="s">
        <v>560</v>
      </c>
      <c r="E3302" s="2" t="s">
        <v>6670</v>
      </c>
      <c r="F3302" s="3" t="n">
        <v>45982.7798611111</v>
      </c>
      <c r="G3302" s="2" t="s">
        <v>6431</v>
      </c>
      <c r="H3302" s="4" t="n">
        <v>0</v>
      </c>
      <c r="I3302" s="2" t="s">
        <v>18</v>
      </c>
      <c r="J3302" s="2" t="s">
        <v>19</v>
      </c>
      <c r="K3302" s="2" t="n">
        <v>10</v>
      </c>
      <c r="L3302" s="2" t="n">
        <v>0</v>
      </c>
      <c r="M3302" s="2" t="n">
        <v>1</v>
      </c>
    </row>
    <row r="3303" customFormat="false" ht="15" hidden="false" customHeight="false" outlineLevel="0" collapsed="false">
      <c r="A3303" s="2" t="s">
        <v>6878</v>
      </c>
      <c r="B3303" s="2" t="s">
        <v>6879</v>
      </c>
      <c r="C3303" s="2" t="n">
        <v>3</v>
      </c>
      <c r="D3303" s="2" t="s">
        <v>733</v>
      </c>
      <c r="E3303" s="2" t="s">
        <v>6670</v>
      </c>
      <c r="F3303" s="3" t="n">
        <v>45982.8180555556</v>
      </c>
      <c r="G3303" s="2" t="s">
        <v>6431</v>
      </c>
      <c r="H3303" s="4" t="n">
        <v>-0.2846</v>
      </c>
      <c r="I3303" s="2" t="s">
        <v>84</v>
      </c>
      <c r="J3303" s="2" t="s">
        <v>37</v>
      </c>
      <c r="K3303" s="2" t="n">
        <v>0</v>
      </c>
      <c r="L3303" s="2" t="n">
        <v>0</v>
      </c>
      <c r="M3303" s="2" t="n">
        <v>1</v>
      </c>
    </row>
    <row r="3304" customFormat="false" ht="15" hidden="false" customHeight="false" outlineLevel="0" collapsed="false">
      <c r="A3304" s="2" t="s">
        <v>6880</v>
      </c>
      <c r="B3304" s="2" t="s">
        <v>6881</v>
      </c>
      <c r="C3304" s="2" t="n">
        <v>5</v>
      </c>
      <c r="D3304" s="2" t="s">
        <v>96</v>
      </c>
      <c r="E3304" s="2" t="s">
        <v>6670</v>
      </c>
      <c r="F3304" s="3" t="n">
        <v>45982.86875</v>
      </c>
      <c r="G3304" s="2" t="s">
        <v>6431</v>
      </c>
      <c r="H3304" s="4" t="n">
        <v>0.6369</v>
      </c>
      <c r="I3304" s="2" t="s">
        <v>23</v>
      </c>
      <c r="J3304" s="2" t="s">
        <v>19</v>
      </c>
      <c r="K3304" s="2" t="n">
        <v>1</v>
      </c>
      <c r="L3304" s="2" t="n">
        <v>0</v>
      </c>
      <c r="M3304" s="2" t="n">
        <v>1</v>
      </c>
    </row>
    <row r="3305" customFormat="false" ht="15" hidden="false" customHeight="false" outlineLevel="0" collapsed="false">
      <c r="A3305" s="2" t="s">
        <v>6882</v>
      </c>
      <c r="B3305" s="2" t="s">
        <v>6883</v>
      </c>
      <c r="C3305" s="2" t="n">
        <v>1</v>
      </c>
      <c r="D3305" s="2" t="s">
        <v>32</v>
      </c>
      <c r="E3305" s="2" t="s">
        <v>6670</v>
      </c>
      <c r="F3305" s="3" t="n">
        <v>45982.9194444444</v>
      </c>
      <c r="G3305" s="2" t="s">
        <v>6431</v>
      </c>
      <c r="H3305" s="4" t="n">
        <v>0.2023</v>
      </c>
      <c r="I3305" s="2" t="s">
        <v>23</v>
      </c>
      <c r="J3305" s="2" t="s">
        <v>33</v>
      </c>
      <c r="K3305" s="2" t="n">
        <v>0</v>
      </c>
      <c r="L3305" s="2" t="n">
        <v>1</v>
      </c>
      <c r="M3305" s="2" t="n">
        <v>1</v>
      </c>
    </row>
    <row r="3306" customFormat="false" ht="15" hidden="false" customHeight="false" outlineLevel="0" collapsed="false">
      <c r="A3306" s="2" t="s">
        <v>6884</v>
      </c>
      <c r="B3306" s="2" t="s">
        <v>6885</v>
      </c>
      <c r="C3306" s="2" t="n">
        <v>1</v>
      </c>
      <c r="D3306" s="2" t="s">
        <v>32</v>
      </c>
      <c r="E3306" s="2" t="s">
        <v>6670</v>
      </c>
      <c r="F3306" s="3" t="n">
        <v>45982.925</v>
      </c>
      <c r="G3306" s="2" t="s">
        <v>6431</v>
      </c>
      <c r="H3306" s="4" t="n">
        <v>0.2023</v>
      </c>
      <c r="I3306" s="2" t="s">
        <v>23</v>
      </c>
      <c r="J3306" s="2" t="s">
        <v>33</v>
      </c>
      <c r="K3306" s="2" t="n">
        <v>5</v>
      </c>
      <c r="L3306" s="2" t="n">
        <v>1</v>
      </c>
      <c r="M3306" s="2" t="n">
        <v>1</v>
      </c>
    </row>
    <row r="3307" customFormat="false" ht="15" hidden="false" customHeight="false" outlineLevel="0" collapsed="false">
      <c r="A3307" s="2" t="s">
        <v>6886</v>
      </c>
      <c r="B3307" s="2" t="s">
        <v>6887</v>
      </c>
      <c r="C3307" s="2" t="n">
        <v>3</v>
      </c>
      <c r="D3307" s="2" t="s">
        <v>301</v>
      </c>
      <c r="E3307" s="2" t="s">
        <v>6670</v>
      </c>
      <c r="F3307" s="3" t="n">
        <v>45982.9722222222</v>
      </c>
      <c r="G3307" s="2" t="s">
        <v>6431</v>
      </c>
      <c r="H3307" s="4" t="n">
        <v>0.2263</v>
      </c>
      <c r="I3307" s="2" t="s">
        <v>23</v>
      </c>
      <c r="J3307" s="2" t="s">
        <v>19</v>
      </c>
      <c r="K3307" s="2" t="n">
        <v>0</v>
      </c>
      <c r="L3307" s="2" t="n">
        <v>0</v>
      </c>
      <c r="M3307" s="2" t="n">
        <v>1</v>
      </c>
    </row>
    <row r="3308" customFormat="false" ht="15" hidden="false" customHeight="false" outlineLevel="0" collapsed="false">
      <c r="A3308" s="2" t="s">
        <v>6888</v>
      </c>
      <c r="B3308" s="2" t="s">
        <v>6889</v>
      </c>
      <c r="C3308" s="2" t="n">
        <v>1</v>
      </c>
      <c r="D3308" s="2" t="s">
        <v>295</v>
      </c>
      <c r="E3308" s="2" t="s">
        <v>6670</v>
      </c>
      <c r="F3308" s="3" t="n">
        <v>45983.0541666667</v>
      </c>
      <c r="G3308" s="2" t="s">
        <v>6431</v>
      </c>
      <c r="H3308" s="4" t="n">
        <v>-0.5023</v>
      </c>
      <c r="I3308" s="2" t="s">
        <v>84</v>
      </c>
      <c r="J3308" s="2" t="s">
        <v>33</v>
      </c>
      <c r="K3308" s="2" t="n">
        <v>12</v>
      </c>
      <c r="L3308" s="2" t="n">
        <v>0</v>
      </c>
      <c r="M3308" s="2" t="n">
        <v>1</v>
      </c>
    </row>
    <row r="3309" customFormat="false" ht="15" hidden="false" customHeight="false" outlineLevel="0" collapsed="false">
      <c r="A3309" s="2" t="s">
        <v>6890</v>
      </c>
      <c r="B3309" s="2" t="s">
        <v>6891</v>
      </c>
      <c r="C3309" s="2" t="n">
        <v>4</v>
      </c>
      <c r="D3309" s="2" t="s">
        <v>87</v>
      </c>
      <c r="E3309" s="2" t="s">
        <v>6670</v>
      </c>
      <c r="F3309" s="3" t="n">
        <v>45983.1993055556</v>
      </c>
      <c r="G3309" s="2" t="s">
        <v>6431</v>
      </c>
      <c r="H3309" s="4" t="n">
        <v>0</v>
      </c>
      <c r="I3309" s="2" t="s">
        <v>18</v>
      </c>
      <c r="J3309" s="2" t="s">
        <v>19</v>
      </c>
      <c r="K3309" s="2" t="n">
        <v>3</v>
      </c>
      <c r="L3309" s="2" t="n">
        <v>0</v>
      </c>
      <c r="M3309" s="2" t="n">
        <v>1</v>
      </c>
    </row>
    <row r="3310" customFormat="false" ht="15" hidden="false" customHeight="false" outlineLevel="0" collapsed="false">
      <c r="A3310" s="2" t="s">
        <v>6892</v>
      </c>
      <c r="B3310" s="2" t="s">
        <v>6893</v>
      </c>
      <c r="C3310" s="2" t="n">
        <v>2</v>
      </c>
      <c r="D3310" s="2" t="s">
        <v>591</v>
      </c>
      <c r="E3310" s="2" t="s">
        <v>6670</v>
      </c>
      <c r="F3310" s="3" t="n">
        <v>45983.2680555556</v>
      </c>
      <c r="G3310" s="2" t="s">
        <v>6431</v>
      </c>
      <c r="H3310" s="4" t="n">
        <v>0</v>
      </c>
      <c r="I3310" s="2" t="s">
        <v>18</v>
      </c>
      <c r="J3310" s="2" t="s">
        <v>37</v>
      </c>
      <c r="K3310" s="2" t="n">
        <v>7</v>
      </c>
      <c r="L3310" s="2" t="n">
        <v>0</v>
      </c>
      <c r="M3310" s="2" t="n">
        <v>1</v>
      </c>
    </row>
    <row r="3311" customFormat="false" ht="15" hidden="false" customHeight="false" outlineLevel="0" collapsed="false">
      <c r="A3311" s="2" t="s">
        <v>6894</v>
      </c>
      <c r="B3311" s="2" t="s">
        <v>2260</v>
      </c>
      <c r="C3311" s="2" t="n">
        <v>3</v>
      </c>
      <c r="D3311" s="2" t="s">
        <v>32</v>
      </c>
      <c r="E3311" s="2" t="s">
        <v>6670</v>
      </c>
      <c r="F3311" s="3" t="n">
        <v>45983.2833333333</v>
      </c>
      <c r="G3311" s="2" t="s">
        <v>6431</v>
      </c>
      <c r="H3311" s="4" t="n">
        <v>0.2023</v>
      </c>
      <c r="I3311" s="2" t="s">
        <v>23</v>
      </c>
      <c r="J3311" s="2" t="s">
        <v>33</v>
      </c>
      <c r="K3311" s="2" t="n">
        <v>0</v>
      </c>
      <c r="L3311" s="2" t="n">
        <v>0</v>
      </c>
      <c r="M3311" s="2" t="n">
        <v>1</v>
      </c>
    </row>
    <row r="3312" customFormat="false" ht="15" hidden="false" customHeight="false" outlineLevel="0" collapsed="false">
      <c r="A3312" s="2" t="s">
        <v>6895</v>
      </c>
      <c r="B3312" s="2" t="s">
        <v>6896</v>
      </c>
      <c r="C3312" s="2" t="n">
        <v>4</v>
      </c>
      <c r="D3312" s="2" t="s">
        <v>4836</v>
      </c>
      <c r="E3312" s="2" t="s">
        <v>6670</v>
      </c>
      <c r="F3312" s="3" t="n">
        <v>45983.3326388889</v>
      </c>
      <c r="G3312" s="2" t="s">
        <v>6431</v>
      </c>
      <c r="H3312" s="4" t="n">
        <v>0.5423</v>
      </c>
      <c r="I3312" s="2" t="s">
        <v>23</v>
      </c>
      <c r="J3312" s="2" t="s">
        <v>33</v>
      </c>
      <c r="K3312" s="2" t="n">
        <v>0</v>
      </c>
      <c r="L3312" s="2" t="n">
        <v>0</v>
      </c>
      <c r="M3312" s="2" t="n">
        <v>1</v>
      </c>
    </row>
    <row r="3313" customFormat="false" ht="15" hidden="false" customHeight="false" outlineLevel="0" collapsed="false">
      <c r="A3313" s="2" t="s">
        <v>6897</v>
      </c>
      <c r="B3313" s="2" t="s">
        <v>6898</v>
      </c>
      <c r="C3313" s="2" t="n">
        <v>1</v>
      </c>
      <c r="D3313" s="2" t="s">
        <v>234</v>
      </c>
      <c r="E3313" s="2" t="s">
        <v>6670</v>
      </c>
      <c r="F3313" s="3" t="n">
        <v>45983.4131944445</v>
      </c>
      <c r="G3313" s="2" t="s">
        <v>6431</v>
      </c>
      <c r="H3313" s="4" t="n">
        <v>0</v>
      </c>
      <c r="I3313" s="2" t="s">
        <v>18</v>
      </c>
      <c r="J3313" s="2" t="s">
        <v>165</v>
      </c>
      <c r="K3313" s="2" t="n">
        <v>3</v>
      </c>
      <c r="L3313" s="2" t="n">
        <v>0</v>
      </c>
      <c r="M3313" s="2" t="n">
        <v>1</v>
      </c>
    </row>
    <row r="3314" customFormat="false" ht="15" hidden="false" customHeight="false" outlineLevel="0" collapsed="false">
      <c r="A3314" s="2" t="s">
        <v>6899</v>
      </c>
      <c r="B3314" s="2" t="s">
        <v>6900</v>
      </c>
      <c r="C3314" s="2" t="n">
        <v>2</v>
      </c>
      <c r="D3314" s="2" t="s">
        <v>5049</v>
      </c>
      <c r="E3314" s="2" t="s">
        <v>6670</v>
      </c>
      <c r="F3314" s="3" t="n">
        <v>45983.4368055556</v>
      </c>
      <c r="G3314" s="2" t="s">
        <v>6431</v>
      </c>
      <c r="H3314" s="4" t="n">
        <v>0.2023</v>
      </c>
      <c r="I3314" s="2" t="s">
        <v>23</v>
      </c>
      <c r="J3314" s="2" t="s">
        <v>37</v>
      </c>
      <c r="K3314" s="2" t="n">
        <v>10</v>
      </c>
      <c r="L3314" s="2" t="n">
        <v>1</v>
      </c>
      <c r="M3314" s="2" t="n">
        <v>1</v>
      </c>
    </row>
    <row r="3315" customFormat="false" ht="15" hidden="false" customHeight="false" outlineLevel="0" collapsed="false">
      <c r="A3315" s="2" t="s">
        <v>6901</v>
      </c>
      <c r="B3315" s="2" t="s">
        <v>6902</v>
      </c>
      <c r="C3315" s="2" t="n">
        <v>3</v>
      </c>
      <c r="D3315" s="2" t="s">
        <v>36</v>
      </c>
      <c r="E3315" s="2" t="s">
        <v>6670</v>
      </c>
      <c r="F3315" s="3" t="n">
        <v>45983.5236111111</v>
      </c>
      <c r="G3315" s="2" t="s">
        <v>6431</v>
      </c>
      <c r="H3315" s="4" t="n">
        <v>0.4404</v>
      </c>
      <c r="I3315" s="2" t="s">
        <v>23</v>
      </c>
      <c r="J3315" s="2" t="s">
        <v>37</v>
      </c>
      <c r="K3315" s="2" t="n">
        <v>1</v>
      </c>
      <c r="L3315" s="2" t="n">
        <v>0</v>
      </c>
      <c r="M3315" s="2" t="n">
        <v>1</v>
      </c>
    </row>
    <row r="3316" customFormat="false" ht="15" hidden="false" customHeight="false" outlineLevel="0" collapsed="false">
      <c r="A3316" s="2" t="s">
        <v>6903</v>
      </c>
      <c r="B3316" s="2" t="s">
        <v>6904</v>
      </c>
      <c r="C3316" s="2" t="n">
        <v>5</v>
      </c>
      <c r="D3316" s="2" t="s">
        <v>62</v>
      </c>
      <c r="E3316" s="2" t="s">
        <v>6670</v>
      </c>
      <c r="F3316" s="3" t="n">
        <v>45983.525</v>
      </c>
      <c r="G3316" s="2" t="s">
        <v>6431</v>
      </c>
      <c r="H3316" s="4" t="n">
        <v>0.7088</v>
      </c>
      <c r="I3316" s="2" t="s">
        <v>23</v>
      </c>
      <c r="J3316" s="2" t="s">
        <v>19</v>
      </c>
      <c r="K3316" s="2" t="n">
        <v>1</v>
      </c>
      <c r="L3316" s="2" t="n">
        <v>0</v>
      </c>
      <c r="M3316" s="2" t="n">
        <v>1</v>
      </c>
    </row>
    <row r="3317" customFormat="false" ht="15" hidden="false" customHeight="false" outlineLevel="0" collapsed="false">
      <c r="A3317" s="2" t="s">
        <v>6905</v>
      </c>
      <c r="B3317" s="2" t="s">
        <v>6906</v>
      </c>
      <c r="C3317" s="2" t="n">
        <v>5</v>
      </c>
      <c r="D3317" s="2" t="s">
        <v>52</v>
      </c>
      <c r="E3317" s="2" t="s">
        <v>6670</v>
      </c>
      <c r="F3317" s="3" t="n">
        <v>45983.5555555556</v>
      </c>
      <c r="G3317" s="2" t="s">
        <v>6431</v>
      </c>
      <c r="H3317" s="4" t="n">
        <v>0.6369</v>
      </c>
      <c r="I3317" s="2" t="s">
        <v>23</v>
      </c>
      <c r="J3317" s="2" t="s">
        <v>19</v>
      </c>
      <c r="K3317" s="2" t="n">
        <v>2</v>
      </c>
      <c r="L3317" s="2" t="n">
        <v>0</v>
      </c>
      <c r="M3317" s="2" t="n">
        <v>1</v>
      </c>
    </row>
    <row r="3318" customFormat="false" ht="15" hidden="false" customHeight="false" outlineLevel="0" collapsed="false">
      <c r="A3318" s="2" t="s">
        <v>6907</v>
      </c>
      <c r="B3318" s="2" t="s">
        <v>6908</v>
      </c>
      <c r="C3318" s="2" t="n">
        <v>2</v>
      </c>
      <c r="D3318" s="2" t="s">
        <v>2193</v>
      </c>
      <c r="E3318" s="2" t="s">
        <v>6670</v>
      </c>
      <c r="F3318" s="3" t="n">
        <v>45983.5743055556</v>
      </c>
      <c r="G3318" s="2" t="s">
        <v>6431</v>
      </c>
      <c r="H3318" s="4" t="n">
        <v>-0.3291</v>
      </c>
      <c r="I3318" s="2" t="s">
        <v>84</v>
      </c>
      <c r="J3318" s="2" t="s">
        <v>33</v>
      </c>
      <c r="K3318" s="2" t="n">
        <v>6</v>
      </c>
      <c r="L3318" s="2" t="n">
        <v>0</v>
      </c>
      <c r="M3318" s="2" t="n">
        <v>1</v>
      </c>
    </row>
    <row r="3319" customFormat="false" ht="15" hidden="false" customHeight="false" outlineLevel="0" collapsed="false">
      <c r="A3319" s="2" t="s">
        <v>6909</v>
      </c>
      <c r="B3319" s="2" t="s">
        <v>6910</v>
      </c>
      <c r="C3319" s="2" t="n">
        <v>3</v>
      </c>
      <c r="D3319" s="2" t="s">
        <v>231</v>
      </c>
      <c r="E3319" s="2" t="s">
        <v>6670</v>
      </c>
      <c r="F3319" s="3" t="n">
        <v>45983.5798611111</v>
      </c>
      <c r="G3319" s="2" t="s">
        <v>6431</v>
      </c>
      <c r="H3319" s="4" t="n">
        <v>-0.3593</v>
      </c>
      <c r="I3319" s="2" t="s">
        <v>84</v>
      </c>
      <c r="J3319" s="2" t="s">
        <v>33</v>
      </c>
      <c r="K3319" s="2" t="n">
        <v>3</v>
      </c>
      <c r="L3319" s="2" t="n">
        <v>0</v>
      </c>
      <c r="M3319" s="2" t="n">
        <v>1</v>
      </c>
    </row>
    <row r="3320" customFormat="false" ht="15" hidden="false" customHeight="false" outlineLevel="0" collapsed="false">
      <c r="A3320" s="2" t="s">
        <v>6911</v>
      </c>
      <c r="B3320" s="2" t="s">
        <v>6912</v>
      </c>
      <c r="C3320" s="2" t="n">
        <v>1</v>
      </c>
      <c r="D3320" s="2" t="s">
        <v>234</v>
      </c>
      <c r="E3320" s="2" t="s">
        <v>6670</v>
      </c>
      <c r="F3320" s="3" t="n">
        <v>45983.6520833333</v>
      </c>
      <c r="G3320" s="2" t="s">
        <v>6431</v>
      </c>
      <c r="H3320" s="4" t="n">
        <v>0</v>
      </c>
      <c r="I3320" s="2" t="s">
        <v>18</v>
      </c>
      <c r="J3320" s="2" t="s">
        <v>165</v>
      </c>
      <c r="K3320" s="2" t="n">
        <v>2</v>
      </c>
      <c r="L3320" s="2" t="n">
        <v>0</v>
      </c>
      <c r="M3320" s="2" t="n">
        <v>1</v>
      </c>
    </row>
    <row r="3321" customFormat="false" ht="15" hidden="false" customHeight="false" outlineLevel="0" collapsed="false">
      <c r="A3321" s="2" t="s">
        <v>6913</v>
      </c>
      <c r="B3321" s="2" t="s">
        <v>6914</v>
      </c>
      <c r="C3321" s="2" t="n">
        <v>3</v>
      </c>
      <c r="D3321" s="2" t="s">
        <v>99</v>
      </c>
      <c r="E3321" s="2" t="s">
        <v>6670</v>
      </c>
      <c r="F3321" s="3" t="n">
        <v>45983.6576388889</v>
      </c>
      <c r="G3321" s="2" t="s">
        <v>6431</v>
      </c>
      <c r="H3321" s="4" t="n">
        <v>-0.3089</v>
      </c>
      <c r="I3321" s="2" t="s">
        <v>84</v>
      </c>
      <c r="J3321" s="2" t="s">
        <v>19</v>
      </c>
      <c r="K3321" s="2" t="n">
        <v>10</v>
      </c>
      <c r="L3321" s="2" t="n">
        <v>0</v>
      </c>
      <c r="M3321" s="2" t="n">
        <v>1</v>
      </c>
    </row>
    <row r="3322" customFormat="false" ht="15" hidden="false" customHeight="false" outlineLevel="0" collapsed="false">
      <c r="A3322" s="2" t="s">
        <v>6915</v>
      </c>
      <c r="B3322" s="2" t="s">
        <v>6916</v>
      </c>
      <c r="C3322" s="2" t="n">
        <v>3</v>
      </c>
      <c r="D3322" s="2" t="s">
        <v>133</v>
      </c>
      <c r="E3322" s="2" t="s">
        <v>6670</v>
      </c>
      <c r="F3322" s="3" t="n">
        <v>45983.6777777778</v>
      </c>
      <c r="G3322" s="2" t="s">
        <v>6431</v>
      </c>
      <c r="H3322" s="4" t="n">
        <v>-0.5719</v>
      </c>
      <c r="I3322" s="2" t="s">
        <v>84</v>
      </c>
      <c r="J3322" s="2" t="s">
        <v>33</v>
      </c>
      <c r="K3322" s="2" t="n">
        <v>3</v>
      </c>
      <c r="L3322" s="2" t="n">
        <v>0</v>
      </c>
      <c r="M3322" s="2" t="n">
        <v>1</v>
      </c>
    </row>
    <row r="3323" customFormat="false" ht="15" hidden="false" customHeight="false" outlineLevel="0" collapsed="false">
      <c r="A3323" s="2" t="s">
        <v>6917</v>
      </c>
      <c r="B3323" s="2" t="s">
        <v>6918</v>
      </c>
      <c r="C3323" s="2" t="n">
        <v>1</v>
      </c>
      <c r="D3323" s="2" t="s">
        <v>179</v>
      </c>
      <c r="E3323" s="2" t="s">
        <v>6670</v>
      </c>
      <c r="F3323" s="3" t="n">
        <v>45983.7104166667</v>
      </c>
      <c r="G3323" s="2" t="s">
        <v>6431</v>
      </c>
      <c r="H3323" s="4" t="n">
        <v>-0.0258</v>
      </c>
      <c r="I3323" s="2" t="s">
        <v>18</v>
      </c>
      <c r="J3323" s="2" t="s">
        <v>59</v>
      </c>
      <c r="K3323" s="2" t="n">
        <v>13</v>
      </c>
      <c r="L3323" s="2" t="n">
        <v>0</v>
      </c>
      <c r="M3323" s="2" t="n">
        <v>1</v>
      </c>
    </row>
    <row r="3324" customFormat="false" ht="15" hidden="false" customHeight="false" outlineLevel="0" collapsed="false">
      <c r="A3324" s="2" t="s">
        <v>6919</v>
      </c>
      <c r="B3324" s="2" t="s">
        <v>6920</v>
      </c>
      <c r="C3324" s="2" t="n">
        <v>2</v>
      </c>
      <c r="D3324" s="2" t="s">
        <v>133</v>
      </c>
      <c r="E3324" s="2" t="s">
        <v>6670</v>
      </c>
      <c r="F3324" s="3" t="n">
        <v>45983.7409722222</v>
      </c>
      <c r="G3324" s="2" t="s">
        <v>6431</v>
      </c>
      <c r="H3324" s="4" t="n">
        <v>-0.5719</v>
      </c>
      <c r="I3324" s="2" t="s">
        <v>84</v>
      </c>
      <c r="J3324" s="2" t="s">
        <v>33</v>
      </c>
      <c r="K3324" s="2" t="n">
        <v>3</v>
      </c>
      <c r="L3324" s="2" t="n">
        <v>0</v>
      </c>
      <c r="M3324" s="2" t="n">
        <v>1</v>
      </c>
    </row>
    <row r="3325" customFormat="false" ht="15" hidden="false" customHeight="false" outlineLevel="0" collapsed="false">
      <c r="A3325" s="2" t="s">
        <v>6921</v>
      </c>
      <c r="B3325" s="2" t="s">
        <v>6922</v>
      </c>
      <c r="C3325" s="2" t="n">
        <v>1</v>
      </c>
      <c r="D3325" s="2" t="s">
        <v>946</v>
      </c>
      <c r="E3325" s="2" t="s">
        <v>6670</v>
      </c>
      <c r="F3325" s="3" t="n">
        <v>45983.7444444444</v>
      </c>
      <c r="G3325" s="2" t="s">
        <v>6431</v>
      </c>
      <c r="H3325" s="4" t="n">
        <v>-0.25</v>
      </c>
      <c r="I3325" s="2" t="s">
        <v>84</v>
      </c>
      <c r="J3325" s="2" t="s">
        <v>37</v>
      </c>
      <c r="K3325" s="2" t="n">
        <v>1</v>
      </c>
      <c r="L3325" s="2" t="n">
        <v>1</v>
      </c>
      <c r="M3325" s="2" t="n">
        <v>1</v>
      </c>
    </row>
    <row r="3326" customFormat="false" ht="15" hidden="false" customHeight="false" outlineLevel="0" collapsed="false">
      <c r="A3326" s="2" t="s">
        <v>6923</v>
      </c>
      <c r="B3326" s="2" t="s">
        <v>6924</v>
      </c>
      <c r="C3326" s="2" t="n">
        <v>1</v>
      </c>
      <c r="D3326" s="2" t="s">
        <v>231</v>
      </c>
      <c r="E3326" s="2" t="s">
        <v>6670</v>
      </c>
      <c r="F3326" s="3" t="n">
        <v>45983.7673611111</v>
      </c>
      <c r="G3326" s="2" t="s">
        <v>6431</v>
      </c>
      <c r="H3326" s="4" t="n">
        <v>-0.3593</v>
      </c>
      <c r="I3326" s="2" t="s">
        <v>84</v>
      </c>
      <c r="J3326" s="2" t="s">
        <v>33</v>
      </c>
      <c r="K3326" s="2" t="n">
        <v>0</v>
      </c>
      <c r="L3326" s="2" t="n">
        <v>1</v>
      </c>
      <c r="M3326" s="2" t="n">
        <v>1</v>
      </c>
    </row>
    <row r="3327" customFormat="false" ht="15" hidden="false" customHeight="false" outlineLevel="0" collapsed="false">
      <c r="A3327" s="2" t="s">
        <v>6925</v>
      </c>
      <c r="B3327" s="2" t="s">
        <v>6926</v>
      </c>
      <c r="C3327" s="2" t="n">
        <v>5</v>
      </c>
      <c r="D3327" s="2" t="s">
        <v>40</v>
      </c>
      <c r="E3327" s="2" t="s">
        <v>6670</v>
      </c>
      <c r="F3327" s="3" t="n">
        <v>45983.76875</v>
      </c>
      <c r="G3327" s="2" t="s">
        <v>6431</v>
      </c>
      <c r="H3327" s="4" t="n">
        <v>0.4019</v>
      </c>
      <c r="I3327" s="2" t="s">
        <v>23</v>
      </c>
      <c r="J3327" s="2" t="s">
        <v>33</v>
      </c>
      <c r="K3327" s="2" t="n">
        <v>7</v>
      </c>
      <c r="L3327" s="2" t="n">
        <v>0</v>
      </c>
      <c r="M3327" s="2" t="n">
        <v>1</v>
      </c>
    </row>
    <row r="3328" customFormat="false" ht="15" hidden="false" customHeight="false" outlineLevel="0" collapsed="false">
      <c r="A3328" s="2" t="s">
        <v>6927</v>
      </c>
      <c r="B3328" s="2" t="s">
        <v>6928</v>
      </c>
      <c r="C3328" s="2" t="n">
        <v>5</v>
      </c>
      <c r="D3328" s="2" t="s">
        <v>52</v>
      </c>
      <c r="E3328" s="2" t="s">
        <v>6670</v>
      </c>
      <c r="F3328" s="3" t="n">
        <v>45983.7826388889</v>
      </c>
      <c r="G3328" s="2" t="s">
        <v>6431</v>
      </c>
      <c r="H3328" s="4" t="n">
        <v>0.6369</v>
      </c>
      <c r="I3328" s="2" t="s">
        <v>23</v>
      </c>
      <c r="J3328" s="2" t="s">
        <v>19</v>
      </c>
      <c r="K3328" s="2" t="n">
        <v>4</v>
      </c>
      <c r="L3328" s="2" t="n">
        <v>0</v>
      </c>
      <c r="M3328" s="2" t="n">
        <v>1</v>
      </c>
    </row>
    <row r="3329" customFormat="false" ht="15" hidden="false" customHeight="false" outlineLevel="0" collapsed="false">
      <c r="A3329" s="2" t="s">
        <v>6929</v>
      </c>
      <c r="B3329" s="2" t="s">
        <v>6930</v>
      </c>
      <c r="C3329" s="2" t="n">
        <v>5</v>
      </c>
      <c r="D3329" s="2" t="s">
        <v>1167</v>
      </c>
      <c r="E3329" s="2" t="s">
        <v>6670</v>
      </c>
      <c r="F3329" s="3" t="n">
        <v>45983.8180555556</v>
      </c>
      <c r="G3329" s="2" t="s">
        <v>6431</v>
      </c>
      <c r="H3329" s="4" t="n">
        <v>0.8519</v>
      </c>
      <c r="I3329" s="2" t="s">
        <v>23</v>
      </c>
      <c r="J3329" s="2" t="s">
        <v>37</v>
      </c>
      <c r="K3329" s="2" t="n">
        <v>0</v>
      </c>
      <c r="L3329" s="2" t="n">
        <v>0</v>
      </c>
      <c r="M3329" s="2" t="n">
        <v>1</v>
      </c>
    </row>
    <row r="3330" customFormat="false" ht="15" hidden="false" customHeight="false" outlineLevel="0" collapsed="false">
      <c r="A3330" s="2" t="s">
        <v>6931</v>
      </c>
      <c r="B3330" s="2" t="s">
        <v>6932</v>
      </c>
      <c r="C3330" s="2" t="n">
        <v>2</v>
      </c>
      <c r="D3330" s="2" t="s">
        <v>482</v>
      </c>
      <c r="E3330" s="2" t="s">
        <v>6670</v>
      </c>
      <c r="F3330" s="3" t="n">
        <v>45983.8645833333</v>
      </c>
      <c r="G3330" s="2" t="s">
        <v>6431</v>
      </c>
      <c r="H3330" s="4" t="n">
        <v>-0.6808</v>
      </c>
      <c r="I3330" s="2" t="s">
        <v>84</v>
      </c>
      <c r="J3330" s="2" t="s">
        <v>110</v>
      </c>
      <c r="K3330" s="2" t="n">
        <v>3</v>
      </c>
      <c r="L3330" s="2" t="n">
        <v>0</v>
      </c>
      <c r="M3330" s="2" t="n">
        <v>1</v>
      </c>
    </row>
    <row r="3331" customFormat="false" ht="15" hidden="false" customHeight="false" outlineLevel="0" collapsed="false">
      <c r="A3331" s="2" t="s">
        <v>6933</v>
      </c>
      <c r="B3331" s="2" t="s">
        <v>6934</v>
      </c>
      <c r="C3331" s="2" t="n">
        <v>5</v>
      </c>
      <c r="D3331" s="2" t="s">
        <v>96</v>
      </c>
      <c r="E3331" s="2" t="s">
        <v>6670</v>
      </c>
      <c r="F3331" s="3" t="n">
        <v>45984.1125</v>
      </c>
      <c r="G3331" s="2" t="s">
        <v>6431</v>
      </c>
      <c r="H3331" s="4" t="n">
        <v>0.6369</v>
      </c>
      <c r="I3331" s="2" t="s">
        <v>23</v>
      </c>
      <c r="J3331" s="2" t="s">
        <v>19</v>
      </c>
      <c r="K3331" s="2" t="n">
        <v>6</v>
      </c>
      <c r="L3331" s="2" t="n">
        <v>0</v>
      </c>
      <c r="M3331" s="2" t="n">
        <v>1</v>
      </c>
    </row>
    <row r="3332" customFormat="false" ht="15" hidden="false" customHeight="false" outlineLevel="0" collapsed="false">
      <c r="A3332" s="2" t="s">
        <v>6935</v>
      </c>
      <c r="B3332" s="2" t="s">
        <v>6936</v>
      </c>
      <c r="C3332" s="2" t="n">
        <v>3</v>
      </c>
      <c r="D3332" s="2" t="s">
        <v>99</v>
      </c>
      <c r="E3332" s="2" t="s">
        <v>6670</v>
      </c>
      <c r="F3332" s="3" t="n">
        <v>45984.1194444444</v>
      </c>
      <c r="G3332" s="2" t="s">
        <v>6431</v>
      </c>
      <c r="H3332" s="4" t="n">
        <v>-0.3089</v>
      </c>
      <c r="I3332" s="2" t="s">
        <v>84</v>
      </c>
      <c r="J3332" s="2" t="s">
        <v>19</v>
      </c>
      <c r="K3332" s="2" t="n">
        <v>2</v>
      </c>
      <c r="L3332" s="2" t="n">
        <v>0</v>
      </c>
      <c r="M3332" s="2" t="n">
        <v>1</v>
      </c>
    </row>
    <row r="3333" customFormat="false" ht="15" hidden="false" customHeight="false" outlineLevel="0" collapsed="false">
      <c r="A3333" s="2" t="s">
        <v>6937</v>
      </c>
      <c r="B3333" s="2" t="s">
        <v>6938</v>
      </c>
      <c r="C3333" s="2" t="n">
        <v>5</v>
      </c>
      <c r="D3333" s="2" t="s">
        <v>62</v>
      </c>
      <c r="E3333" s="2" t="s">
        <v>6670</v>
      </c>
      <c r="F3333" s="3" t="n">
        <v>45984.1625</v>
      </c>
      <c r="G3333" s="2" t="s">
        <v>6431</v>
      </c>
      <c r="H3333" s="4" t="n">
        <v>0.7088</v>
      </c>
      <c r="I3333" s="2" t="s">
        <v>23</v>
      </c>
      <c r="J3333" s="2" t="s">
        <v>19</v>
      </c>
      <c r="K3333" s="2" t="n">
        <v>1</v>
      </c>
      <c r="L3333" s="2" t="n">
        <v>0</v>
      </c>
      <c r="M3333" s="2" t="n">
        <v>1</v>
      </c>
    </row>
    <row r="3334" customFormat="false" ht="15" hidden="false" customHeight="false" outlineLevel="0" collapsed="false">
      <c r="A3334" s="2" t="s">
        <v>6939</v>
      </c>
      <c r="B3334" s="2" t="s">
        <v>6940</v>
      </c>
      <c r="C3334" s="2" t="n">
        <v>3</v>
      </c>
      <c r="D3334" s="2" t="s">
        <v>133</v>
      </c>
      <c r="E3334" s="2" t="s">
        <v>6670</v>
      </c>
      <c r="F3334" s="3" t="n">
        <v>45984.2375</v>
      </c>
      <c r="G3334" s="2" t="s">
        <v>6431</v>
      </c>
      <c r="H3334" s="4" t="n">
        <v>-0.5719</v>
      </c>
      <c r="I3334" s="2" t="s">
        <v>84</v>
      </c>
      <c r="J3334" s="2" t="s">
        <v>33</v>
      </c>
      <c r="K3334" s="2" t="n">
        <v>9</v>
      </c>
      <c r="L3334" s="2" t="n">
        <v>0</v>
      </c>
      <c r="M3334" s="2" t="n">
        <v>1</v>
      </c>
    </row>
    <row r="3335" customFormat="false" ht="15" hidden="false" customHeight="false" outlineLevel="0" collapsed="false">
      <c r="A3335" s="2" t="s">
        <v>6941</v>
      </c>
      <c r="B3335" s="2" t="s">
        <v>6942</v>
      </c>
      <c r="C3335" s="2" t="n">
        <v>5</v>
      </c>
      <c r="D3335" s="2" t="s">
        <v>47</v>
      </c>
      <c r="E3335" s="2" t="s">
        <v>6670</v>
      </c>
      <c r="F3335" s="3" t="n">
        <v>45984.4618055556</v>
      </c>
      <c r="G3335" s="2" t="s">
        <v>6431</v>
      </c>
      <c r="H3335" s="4" t="n">
        <v>0.3089</v>
      </c>
      <c r="I3335" s="2" t="s">
        <v>23</v>
      </c>
      <c r="J3335" s="2" t="s">
        <v>19</v>
      </c>
      <c r="K3335" s="2" t="n">
        <v>0</v>
      </c>
      <c r="L3335" s="2" t="n">
        <v>0</v>
      </c>
      <c r="M3335" s="2" t="n">
        <v>1</v>
      </c>
    </row>
    <row r="3336" customFormat="false" ht="15" hidden="false" customHeight="false" outlineLevel="0" collapsed="false">
      <c r="A3336" s="2" t="s">
        <v>6943</v>
      </c>
      <c r="B3336" s="2" t="s">
        <v>6944</v>
      </c>
      <c r="C3336" s="2" t="n">
        <v>3</v>
      </c>
      <c r="D3336" s="2" t="s">
        <v>1237</v>
      </c>
      <c r="E3336" s="2" t="s">
        <v>6670</v>
      </c>
      <c r="F3336" s="3" t="n">
        <v>45984.5125</v>
      </c>
      <c r="G3336" s="2" t="s">
        <v>6431</v>
      </c>
      <c r="H3336" s="4" t="n">
        <v>-0.3089</v>
      </c>
      <c r="I3336" s="2" t="s">
        <v>84</v>
      </c>
      <c r="J3336" s="2" t="s">
        <v>19</v>
      </c>
      <c r="K3336" s="2" t="n">
        <v>3</v>
      </c>
      <c r="L3336" s="2" t="n">
        <v>0</v>
      </c>
      <c r="M3336" s="2" t="n">
        <v>1</v>
      </c>
    </row>
    <row r="3337" customFormat="false" ht="15" hidden="false" customHeight="false" outlineLevel="0" collapsed="false">
      <c r="A3337" s="2" t="s">
        <v>6945</v>
      </c>
      <c r="B3337" s="2" t="s">
        <v>6946</v>
      </c>
      <c r="C3337" s="2" t="n">
        <v>5</v>
      </c>
      <c r="D3337" s="2" t="s">
        <v>90</v>
      </c>
      <c r="E3337" s="2" t="s">
        <v>6670</v>
      </c>
      <c r="F3337" s="3" t="n">
        <v>45984.5326388889</v>
      </c>
      <c r="G3337" s="2" t="s">
        <v>6431</v>
      </c>
      <c r="H3337" s="4" t="n">
        <v>0.6249</v>
      </c>
      <c r="I3337" s="2" t="s">
        <v>23</v>
      </c>
      <c r="J3337" s="2" t="s">
        <v>37</v>
      </c>
      <c r="K3337" s="2" t="n">
        <v>2</v>
      </c>
      <c r="L3337" s="2" t="n">
        <v>0</v>
      </c>
      <c r="M3337" s="2" t="n">
        <v>1</v>
      </c>
    </row>
    <row r="3338" customFormat="false" ht="15" hidden="false" customHeight="false" outlineLevel="0" collapsed="false">
      <c r="A3338" s="2" t="s">
        <v>6947</v>
      </c>
      <c r="B3338" s="2" t="s">
        <v>6948</v>
      </c>
      <c r="C3338" s="2" t="n">
        <v>1</v>
      </c>
      <c r="D3338" s="2" t="s">
        <v>231</v>
      </c>
      <c r="E3338" s="2" t="s">
        <v>6670</v>
      </c>
      <c r="F3338" s="3" t="n">
        <v>45984.8451388889</v>
      </c>
      <c r="G3338" s="2" t="s">
        <v>6431</v>
      </c>
      <c r="H3338" s="4" t="n">
        <v>-0.3593</v>
      </c>
      <c r="I3338" s="2" t="s">
        <v>84</v>
      </c>
      <c r="J3338" s="2" t="s">
        <v>33</v>
      </c>
      <c r="K3338" s="2" t="n">
        <v>10</v>
      </c>
      <c r="L3338" s="2" t="n">
        <v>0</v>
      </c>
      <c r="M3338" s="2" t="n">
        <v>1</v>
      </c>
    </row>
    <row r="3339" customFormat="false" ht="15" hidden="false" customHeight="false" outlineLevel="0" collapsed="false">
      <c r="A3339" s="2" t="s">
        <v>6949</v>
      </c>
      <c r="B3339" s="2" t="s">
        <v>6950</v>
      </c>
      <c r="C3339" s="2" t="n">
        <v>2</v>
      </c>
      <c r="D3339" s="2" t="s">
        <v>2463</v>
      </c>
      <c r="E3339" s="2" t="s">
        <v>6670</v>
      </c>
      <c r="F3339" s="3" t="n">
        <v>45984.8472222222</v>
      </c>
      <c r="G3339" s="2" t="s">
        <v>6431</v>
      </c>
      <c r="H3339" s="4" t="n">
        <v>-0.189</v>
      </c>
      <c r="I3339" s="2" t="s">
        <v>84</v>
      </c>
      <c r="J3339" s="2" t="s">
        <v>33</v>
      </c>
      <c r="K3339" s="2" t="n">
        <v>0</v>
      </c>
      <c r="L3339" s="2" t="n">
        <v>1</v>
      </c>
      <c r="M3339" s="2" t="n">
        <v>1</v>
      </c>
    </row>
    <row r="3340" customFormat="false" ht="15" hidden="false" customHeight="false" outlineLevel="0" collapsed="false">
      <c r="A3340" s="2" t="s">
        <v>6951</v>
      </c>
      <c r="B3340" s="2" t="s">
        <v>6952</v>
      </c>
      <c r="C3340" s="2" t="n">
        <v>3</v>
      </c>
      <c r="D3340" s="2" t="s">
        <v>295</v>
      </c>
      <c r="E3340" s="2" t="s">
        <v>6670</v>
      </c>
      <c r="F3340" s="3" t="n">
        <v>45984.9125</v>
      </c>
      <c r="G3340" s="2" t="s">
        <v>6431</v>
      </c>
      <c r="H3340" s="4" t="n">
        <v>-0.5023</v>
      </c>
      <c r="I3340" s="2" t="s">
        <v>84</v>
      </c>
      <c r="J3340" s="2" t="s">
        <v>33</v>
      </c>
      <c r="K3340" s="2" t="n">
        <v>2</v>
      </c>
      <c r="L3340" s="2" t="n">
        <v>0</v>
      </c>
      <c r="M3340" s="2" t="n">
        <v>1</v>
      </c>
    </row>
    <row r="3341" customFormat="false" ht="15" hidden="false" customHeight="false" outlineLevel="0" collapsed="false">
      <c r="A3341" s="2" t="s">
        <v>6953</v>
      </c>
      <c r="B3341" s="2" t="s">
        <v>6954</v>
      </c>
      <c r="C3341" s="2" t="n">
        <v>3</v>
      </c>
      <c r="D3341" s="2" t="s">
        <v>22</v>
      </c>
      <c r="E3341" s="2" t="s">
        <v>6670</v>
      </c>
      <c r="F3341" s="3" t="n">
        <v>45984.9479166667</v>
      </c>
      <c r="G3341" s="2" t="s">
        <v>6431</v>
      </c>
      <c r="H3341" s="4" t="n">
        <v>0.2023</v>
      </c>
      <c r="I3341" s="2" t="s">
        <v>23</v>
      </c>
      <c r="J3341" s="2" t="s">
        <v>19</v>
      </c>
      <c r="K3341" s="2" t="n">
        <v>0</v>
      </c>
      <c r="L3341" s="2" t="n">
        <v>0</v>
      </c>
      <c r="M3341" s="2" t="n">
        <v>1</v>
      </c>
    </row>
    <row r="3342" customFormat="false" ht="15" hidden="false" customHeight="false" outlineLevel="0" collapsed="false">
      <c r="A3342" s="2" t="s">
        <v>6955</v>
      </c>
      <c r="B3342" s="2" t="s">
        <v>6956</v>
      </c>
      <c r="C3342" s="2" t="n">
        <v>4</v>
      </c>
      <c r="D3342" s="2" t="s">
        <v>47</v>
      </c>
      <c r="E3342" s="2" t="s">
        <v>6670</v>
      </c>
      <c r="F3342" s="3" t="n">
        <v>45984.9604166667</v>
      </c>
      <c r="G3342" s="2" t="s">
        <v>6431</v>
      </c>
      <c r="H3342" s="4" t="n">
        <v>0.3089</v>
      </c>
      <c r="I3342" s="2" t="s">
        <v>23</v>
      </c>
      <c r="J3342" s="2" t="s">
        <v>19</v>
      </c>
      <c r="K3342" s="2" t="n">
        <v>4</v>
      </c>
      <c r="L3342" s="2" t="n">
        <v>0</v>
      </c>
      <c r="M3342" s="2" t="n">
        <v>1</v>
      </c>
    </row>
    <row r="3343" customFormat="false" ht="15" hidden="false" customHeight="false" outlineLevel="0" collapsed="false">
      <c r="A3343" s="2" t="s">
        <v>6957</v>
      </c>
      <c r="B3343" s="2" t="s">
        <v>6958</v>
      </c>
      <c r="C3343" s="2" t="n">
        <v>5</v>
      </c>
      <c r="D3343" s="2" t="s">
        <v>40</v>
      </c>
      <c r="E3343" s="2" t="s">
        <v>6670</v>
      </c>
      <c r="F3343" s="3" t="n">
        <v>45985.0090277778</v>
      </c>
      <c r="G3343" s="2" t="s">
        <v>6431</v>
      </c>
      <c r="H3343" s="4" t="n">
        <v>0.4019</v>
      </c>
      <c r="I3343" s="2" t="s">
        <v>23</v>
      </c>
      <c r="J3343" s="2" t="s">
        <v>33</v>
      </c>
      <c r="K3343" s="2" t="n">
        <v>4</v>
      </c>
      <c r="L3343" s="2" t="n">
        <v>0</v>
      </c>
      <c r="M3343" s="2" t="n">
        <v>1</v>
      </c>
    </row>
    <row r="3344" customFormat="false" ht="15" hidden="false" customHeight="false" outlineLevel="0" collapsed="false">
      <c r="A3344" s="2" t="s">
        <v>6959</v>
      </c>
      <c r="B3344" s="2" t="s">
        <v>6960</v>
      </c>
      <c r="C3344" s="2" t="n">
        <v>5</v>
      </c>
      <c r="D3344" s="2" t="s">
        <v>90</v>
      </c>
      <c r="E3344" s="2" t="s">
        <v>6670</v>
      </c>
      <c r="F3344" s="3" t="n">
        <v>45985.2444444444</v>
      </c>
      <c r="G3344" s="2" t="s">
        <v>6431</v>
      </c>
      <c r="H3344" s="4" t="n">
        <v>0.6249</v>
      </c>
      <c r="I3344" s="2" t="s">
        <v>23</v>
      </c>
      <c r="J3344" s="2" t="s">
        <v>37</v>
      </c>
      <c r="K3344" s="2" t="n">
        <v>0</v>
      </c>
      <c r="L3344" s="2" t="n">
        <v>0</v>
      </c>
      <c r="M3344" s="2" t="n">
        <v>1</v>
      </c>
    </row>
    <row r="3345" customFormat="false" ht="15" hidden="false" customHeight="false" outlineLevel="0" collapsed="false">
      <c r="A3345" s="2" t="s">
        <v>6961</v>
      </c>
      <c r="B3345" s="2" t="s">
        <v>6962</v>
      </c>
      <c r="C3345" s="2" t="n">
        <v>3</v>
      </c>
      <c r="D3345" s="2" t="s">
        <v>1674</v>
      </c>
      <c r="E3345" s="2" t="s">
        <v>6670</v>
      </c>
      <c r="F3345" s="3" t="n">
        <v>45985.4166666667</v>
      </c>
      <c r="G3345" s="2" t="s">
        <v>6431</v>
      </c>
      <c r="H3345" s="4" t="n">
        <v>-0.438</v>
      </c>
      <c r="I3345" s="2" t="s">
        <v>84</v>
      </c>
      <c r="J3345" s="2" t="s">
        <v>19</v>
      </c>
      <c r="K3345" s="2" t="n">
        <v>2</v>
      </c>
      <c r="L3345" s="2" t="n">
        <v>0</v>
      </c>
      <c r="M3345" s="2" t="n">
        <v>1</v>
      </c>
    </row>
    <row r="3346" customFormat="false" ht="15" hidden="false" customHeight="false" outlineLevel="0" collapsed="false">
      <c r="A3346" s="2" t="s">
        <v>6963</v>
      </c>
      <c r="B3346" s="2" t="s">
        <v>6964</v>
      </c>
      <c r="C3346" s="2" t="n">
        <v>5</v>
      </c>
      <c r="D3346" s="2" t="s">
        <v>40</v>
      </c>
      <c r="E3346" s="2" t="s">
        <v>6670</v>
      </c>
      <c r="F3346" s="3" t="n">
        <v>45986.0597222222</v>
      </c>
      <c r="G3346" s="2" t="s">
        <v>6431</v>
      </c>
      <c r="H3346" s="4" t="n">
        <v>0.4019</v>
      </c>
      <c r="I3346" s="2" t="s">
        <v>23</v>
      </c>
      <c r="J3346" s="2" t="s">
        <v>33</v>
      </c>
      <c r="K3346" s="2" t="n">
        <v>17</v>
      </c>
      <c r="L3346" s="2" t="n">
        <v>0</v>
      </c>
      <c r="M3346" s="2" t="n">
        <v>1</v>
      </c>
    </row>
    <row r="3347" customFormat="false" ht="15" hidden="false" customHeight="false" outlineLevel="0" collapsed="false">
      <c r="A3347" s="2" t="s">
        <v>6965</v>
      </c>
      <c r="B3347" s="2" t="s">
        <v>6966</v>
      </c>
      <c r="C3347" s="2" t="n">
        <v>3</v>
      </c>
      <c r="D3347" s="2" t="s">
        <v>99</v>
      </c>
      <c r="E3347" s="2" t="s">
        <v>6670</v>
      </c>
      <c r="F3347" s="3" t="n">
        <v>45986.1159722222</v>
      </c>
      <c r="G3347" s="2" t="s">
        <v>6431</v>
      </c>
      <c r="H3347" s="4" t="n">
        <v>-0.3089</v>
      </c>
      <c r="I3347" s="2" t="s">
        <v>84</v>
      </c>
      <c r="J3347" s="2" t="s">
        <v>19</v>
      </c>
      <c r="K3347" s="2" t="n">
        <v>0</v>
      </c>
      <c r="L3347" s="2" t="n">
        <v>0</v>
      </c>
      <c r="M3347" s="2" t="n">
        <v>1</v>
      </c>
    </row>
    <row r="3348" customFormat="false" ht="15" hidden="false" customHeight="false" outlineLevel="0" collapsed="false">
      <c r="A3348" s="2" t="s">
        <v>6967</v>
      </c>
      <c r="B3348" s="2" t="s">
        <v>6968</v>
      </c>
      <c r="C3348" s="2" t="n">
        <v>4</v>
      </c>
      <c r="D3348" s="2" t="s">
        <v>40</v>
      </c>
      <c r="E3348" s="2" t="s">
        <v>6670</v>
      </c>
      <c r="F3348" s="3" t="n">
        <v>45986.1270833333</v>
      </c>
      <c r="G3348" s="2" t="s">
        <v>6431</v>
      </c>
      <c r="H3348" s="4" t="n">
        <v>0.4019</v>
      </c>
      <c r="I3348" s="2" t="s">
        <v>23</v>
      </c>
      <c r="J3348" s="2" t="s">
        <v>33</v>
      </c>
      <c r="K3348" s="2" t="n">
        <v>1</v>
      </c>
      <c r="L3348" s="2" t="n">
        <v>0</v>
      </c>
      <c r="M3348" s="2" t="n">
        <v>1</v>
      </c>
    </row>
    <row r="3349" customFormat="false" ht="15" hidden="false" customHeight="false" outlineLevel="0" collapsed="false">
      <c r="A3349" s="2" t="s">
        <v>6969</v>
      </c>
      <c r="B3349" s="2" t="s">
        <v>6970</v>
      </c>
      <c r="C3349" s="2" t="n">
        <v>3</v>
      </c>
      <c r="D3349" s="2" t="s">
        <v>133</v>
      </c>
      <c r="E3349" s="2" t="s">
        <v>6670</v>
      </c>
      <c r="F3349" s="3" t="n">
        <v>45986.2020833333</v>
      </c>
      <c r="G3349" s="2" t="s">
        <v>6431</v>
      </c>
      <c r="H3349" s="4" t="n">
        <v>-0.5719</v>
      </c>
      <c r="I3349" s="2" t="s">
        <v>84</v>
      </c>
      <c r="J3349" s="2" t="s">
        <v>33</v>
      </c>
      <c r="K3349" s="2" t="n">
        <v>1</v>
      </c>
      <c r="L3349" s="2" t="n">
        <v>0</v>
      </c>
      <c r="M3349" s="2" t="n">
        <v>1</v>
      </c>
    </row>
    <row r="3350" customFormat="false" ht="15" hidden="false" customHeight="false" outlineLevel="0" collapsed="false">
      <c r="A3350" s="2" t="s">
        <v>6971</v>
      </c>
      <c r="B3350" s="2" t="s">
        <v>6972</v>
      </c>
      <c r="C3350" s="2" t="n">
        <v>1</v>
      </c>
      <c r="D3350" s="2" t="s">
        <v>133</v>
      </c>
      <c r="E3350" s="2" t="s">
        <v>6670</v>
      </c>
      <c r="F3350" s="3" t="n">
        <v>45986.2930555556</v>
      </c>
      <c r="G3350" s="2" t="s">
        <v>6431</v>
      </c>
      <c r="H3350" s="4" t="n">
        <v>-0.5719</v>
      </c>
      <c r="I3350" s="2" t="s">
        <v>84</v>
      </c>
      <c r="J3350" s="2" t="s">
        <v>33</v>
      </c>
      <c r="K3350" s="2" t="n">
        <v>2</v>
      </c>
      <c r="L3350" s="2" t="n">
        <v>0</v>
      </c>
      <c r="M3350" s="2" t="n">
        <v>1</v>
      </c>
    </row>
    <row r="3351" customFormat="false" ht="15" hidden="false" customHeight="false" outlineLevel="0" collapsed="false">
      <c r="A3351" s="2" t="s">
        <v>6973</v>
      </c>
      <c r="B3351" s="2" t="s">
        <v>6974</v>
      </c>
      <c r="C3351" s="2" t="n">
        <v>5</v>
      </c>
      <c r="D3351" s="2" t="s">
        <v>62</v>
      </c>
      <c r="E3351" s="2" t="s">
        <v>6670</v>
      </c>
      <c r="F3351" s="3" t="n">
        <v>45986.6840277778</v>
      </c>
      <c r="G3351" s="2" t="s">
        <v>6431</v>
      </c>
      <c r="H3351" s="4" t="n">
        <v>0.7088</v>
      </c>
      <c r="I3351" s="2" t="s">
        <v>23</v>
      </c>
      <c r="J3351" s="2" t="s">
        <v>19</v>
      </c>
      <c r="K3351" s="2" t="n">
        <v>5</v>
      </c>
      <c r="L3351" s="2" t="n">
        <v>1</v>
      </c>
      <c r="M3351" s="2" t="n">
        <v>1</v>
      </c>
    </row>
    <row r="3352" customFormat="false" ht="15" hidden="false" customHeight="false" outlineLevel="0" collapsed="false">
      <c r="A3352" s="2" t="s">
        <v>6975</v>
      </c>
      <c r="B3352" s="2" t="s">
        <v>6976</v>
      </c>
      <c r="C3352" s="2" t="n">
        <v>4</v>
      </c>
      <c r="D3352" s="2" t="s">
        <v>674</v>
      </c>
      <c r="E3352" s="2" t="s">
        <v>6670</v>
      </c>
      <c r="F3352" s="3" t="n">
        <v>45986.8243055556</v>
      </c>
      <c r="G3352" s="2" t="s">
        <v>6431</v>
      </c>
      <c r="H3352" s="4" t="n">
        <v>0.9481</v>
      </c>
      <c r="I3352" s="2" t="s">
        <v>23</v>
      </c>
      <c r="J3352" s="2" t="s">
        <v>37</v>
      </c>
      <c r="K3352" s="2" t="n">
        <v>0</v>
      </c>
      <c r="L3352" s="2" t="n">
        <v>0</v>
      </c>
      <c r="M3352" s="2" t="n">
        <v>1</v>
      </c>
    </row>
    <row r="3353" customFormat="false" ht="15" hidden="false" customHeight="false" outlineLevel="0" collapsed="false">
      <c r="A3353" s="2" t="s">
        <v>6977</v>
      </c>
      <c r="B3353" s="2" t="s">
        <v>5604</v>
      </c>
      <c r="C3353" s="2" t="n">
        <v>5</v>
      </c>
      <c r="D3353" s="2" t="s">
        <v>52</v>
      </c>
      <c r="E3353" s="2" t="s">
        <v>6670</v>
      </c>
      <c r="F3353" s="3" t="n">
        <v>45987.0159722222</v>
      </c>
      <c r="G3353" s="2" t="s">
        <v>6431</v>
      </c>
      <c r="H3353" s="4" t="n">
        <v>0.6369</v>
      </c>
      <c r="I3353" s="2" t="s">
        <v>23</v>
      </c>
      <c r="J3353" s="2" t="s">
        <v>19</v>
      </c>
      <c r="K3353" s="2" t="n">
        <v>2</v>
      </c>
      <c r="L3353" s="2" t="n">
        <v>0</v>
      </c>
      <c r="M3353" s="2" t="n">
        <v>1</v>
      </c>
    </row>
    <row r="3354" customFormat="false" ht="15" hidden="false" customHeight="false" outlineLevel="0" collapsed="false">
      <c r="A3354" s="2" t="s">
        <v>6978</v>
      </c>
      <c r="B3354" s="2" t="s">
        <v>6979</v>
      </c>
      <c r="C3354" s="2" t="n">
        <v>4</v>
      </c>
      <c r="D3354" s="2" t="s">
        <v>47</v>
      </c>
      <c r="E3354" s="2" t="s">
        <v>6670</v>
      </c>
      <c r="F3354" s="3" t="n">
        <v>45987.0659722222</v>
      </c>
      <c r="G3354" s="2" t="s">
        <v>6431</v>
      </c>
      <c r="H3354" s="4" t="n">
        <v>0.3089</v>
      </c>
      <c r="I3354" s="2" t="s">
        <v>23</v>
      </c>
      <c r="J3354" s="2" t="s">
        <v>19</v>
      </c>
      <c r="K3354" s="2" t="n">
        <v>4</v>
      </c>
      <c r="L3354" s="2" t="n">
        <v>1</v>
      </c>
      <c r="M3354" s="2" t="n">
        <v>1</v>
      </c>
    </row>
    <row r="3355" customFormat="false" ht="15" hidden="false" customHeight="false" outlineLevel="0" collapsed="false">
      <c r="A3355" s="2" t="s">
        <v>6980</v>
      </c>
      <c r="B3355" s="2" t="s">
        <v>6981</v>
      </c>
      <c r="C3355" s="2" t="n">
        <v>4</v>
      </c>
      <c r="D3355" s="2" t="s">
        <v>301</v>
      </c>
      <c r="E3355" s="2" t="s">
        <v>6670</v>
      </c>
      <c r="F3355" s="3" t="n">
        <v>45987.1180555556</v>
      </c>
      <c r="G3355" s="2" t="s">
        <v>6431</v>
      </c>
      <c r="H3355" s="4" t="n">
        <v>0.2263</v>
      </c>
      <c r="I3355" s="2" t="s">
        <v>23</v>
      </c>
      <c r="J3355" s="2" t="s">
        <v>19</v>
      </c>
      <c r="K3355" s="2" t="n">
        <v>3</v>
      </c>
      <c r="L3355" s="2" t="n">
        <v>0</v>
      </c>
      <c r="M3355" s="2" t="n">
        <v>1</v>
      </c>
    </row>
    <row r="3356" customFormat="false" ht="15" hidden="false" customHeight="false" outlineLevel="0" collapsed="false">
      <c r="A3356" s="2" t="s">
        <v>6982</v>
      </c>
      <c r="B3356" s="2" t="s">
        <v>6983</v>
      </c>
      <c r="C3356" s="2" t="n">
        <v>4</v>
      </c>
      <c r="D3356" s="2" t="s">
        <v>36</v>
      </c>
      <c r="E3356" s="2" t="s">
        <v>6670</v>
      </c>
      <c r="F3356" s="3" t="n">
        <v>45987.1979166667</v>
      </c>
      <c r="G3356" s="2" t="s">
        <v>6431</v>
      </c>
      <c r="H3356" s="4" t="n">
        <v>0.4404</v>
      </c>
      <c r="I3356" s="2" t="s">
        <v>23</v>
      </c>
      <c r="J3356" s="2" t="s">
        <v>37</v>
      </c>
      <c r="K3356" s="2" t="n">
        <v>2</v>
      </c>
      <c r="L3356" s="2" t="n">
        <v>0</v>
      </c>
      <c r="M3356" s="2" t="n">
        <v>1</v>
      </c>
    </row>
    <row r="3357" customFormat="false" ht="15" hidden="false" customHeight="false" outlineLevel="0" collapsed="false">
      <c r="A3357" s="2" t="s">
        <v>6984</v>
      </c>
      <c r="B3357" s="2" t="s">
        <v>6985</v>
      </c>
      <c r="C3357" s="2" t="n">
        <v>5</v>
      </c>
      <c r="D3357" s="2" t="s">
        <v>1387</v>
      </c>
      <c r="E3357" s="2" t="s">
        <v>6670</v>
      </c>
      <c r="F3357" s="3" t="n">
        <v>45987.2875</v>
      </c>
      <c r="G3357" s="2" t="s">
        <v>6431</v>
      </c>
      <c r="H3357" s="4" t="n">
        <v>0.9359</v>
      </c>
      <c r="I3357" s="2" t="s">
        <v>23</v>
      </c>
      <c r="J3357" s="2" t="s">
        <v>37</v>
      </c>
      <c r="K3357" s="2" t="n">
        <v>6</v>
      </c>
      <c r="L3357" s="2" t="n">
        <v>0</v>
      </c>
      <c r="M3357" s="2" t="n">
        <v>1</v>
      </c>
    </row>
    <row r="3358" customFormat="false" ht="15" hidden="false" customHeight="false" outlineLevel="0" collapsed="false">
      <c r="A3358" s="2" t="s">
        <v>6986</v>
      </c>
      <c r="B3358" s="2" t="s">
        <v>6987</v>
      </c>
      <c r="C3358" s="2" t="n">
        <v>5</v>
      </c>
      <c r="D3358" s="2" t="s">
        <v>52</v>
      </c>
      <c r="E3358" s="2" t="s">
        <v>6670</v>
      </c>
      <c r="F3358" s="3" t="n">
        <v>45987.35625</v>
      </c>
      <c r="G3358" s="2" t="s">
        <v>6431</v>
      </c>
      <c r="H3358" s="4" t="n">
        <v>0.6369</v>
      </c>
      <c r="I3358" s="2" t="s">
        <v>23</v>
      </c>
      <c r="J3358" s="2" t="s">
        <v>19</v>
      </c>
      <c r="K3358" s="2" t="n">
        <v>8</v>
      </c>
      <c r="L3358" s="2" t="n">
        <v>0</v>
      </c>
      <c r="M3358" s="2" t="n">
        <v>1</v>
      </c>
    </row>
    <row r="3359" customFormat="false" ht="15" hidden="false" customHeight="false" outlineLevel="0" collapsed="false">
      <c r="A3359" s="2" t="s">
        <v>6988</v>
      </c>
      <c r="B3359" s="2" t="s">
        <v>6989</v>
      </c>
      <c r="C3359" s="2" t="n">
        <v>1</v>
      </c>
      <c r="D3359" s="2" t="s">
        <v>231</v>
      </c>
      <c r="E3359" s="2" t="s">
        <v>6670</v>
      </c>
      <c r="F3359" s="3" t="n">
        <v>45987.4645833333</v>
      </c>
      <c r="G3359" s="2" t="s">
        <v>6431</v>
      </c>
      <c r="H3359" s="4" t="n">
        <v>-0.3593</v>
      </c>
      <c r="I3359" s="2" t="s">
        <v>84</v>
      </c>
      <c r="J3359" s="2" t="s">
        <v>33</v>
      </c>
      <c r="K3359" s="2" t="n">
        <v>3</v>
      </c>
      <c r="L3359" s="2" t="n">
        <v>1</v>
      </c>
      <c r="M3359" s="2" t="n">
        <v>1</v>
      </c>
    </row>
    <row r="3360" customFormat="false" ht="15" hidden="false" customHeight="false" outlineLevel="0" collapsed="false">
      <c r="A3360" s="2" t="s">
        <v>6990</v>
      </c>
      <c r="B3360" s="2" t="s">
        <v>6991</v>
      </c>
      <c r="C3360" s="2" t="n">
        <v>1</v>
      </c>
      <c r="D3360" s="2" t="s">
        <v>32</v>
      </c>
      <c r="E3360" s="2" t="s">
        <v>6670</v>
      </c>
      <c r="F3360" s="3" t="n">
        <v>45987.5513888889</v>
      </c>
      <c r="G3360" s="2" t="s">
        <v>6431</v>
      </c>
      <c r="H3360" s="4" t="n">
        <v>0.2023</v>
      </c>
      <c r="I3360" s="2" t="s">
        <v>23</v>
      </c>
      <c r="J3360" s="2" t="s">
        <v>33</v>
      </c>
      <c r="K3360" s="2" t="n">
        <v>0</v>
      </c>
      <c r="L3360" s="2" t="n">
        <v>1</v>
      </c>
      <c r="M3360" s="2" t="n">
        <v>1</v>
      </c>
    </row>
    <row r="3361" customFormat="false" ht="15" hidden="false" customHeight="false" outlineLevel="0" collapsed="false">
      <c r="A3361" s="2" t="s">
        <v>6992</v>
      </c>
      <c r="B3361" s="2" t="s">
        <v>6993</v>
      </c>
      <c r="C3361" s="2" t="n">
        <v>4</v>
      </c>
      <c r="D3361" s="2" t="s">
        <v>47</v>
      </c>
      <c r="E3361" s="2" t="s">
        <v>6670</v>
      </c>
      <c r="F3361" s="3" t="n">
        <v>45987.7548611111</v>
      </c>
      <c r="G3361" s="2" t="s">
        <v>6431</v>
      </c>
      <c r="H3361" s="4" t="n">
        <v>0.3089</v>
      </c>
      <c r="I3361" s="2" t="s">
        <v>23</v>
      </c>
      <c r="J3361" s="2" t="s">
        <v>19</v>
      </c>
      <c r="K3361" s="2" t="n">
        <v>2</v>
      </c>
      <c r="L3361" s="2" t="n">
        <v>0</v>
      </c>
      <c r="M3361" s="2" t="n">
        <v>1</v>
      </c>
    </row>
    <row r="3362" customFormat="false" ht="15" hidden="false" customHeight="false" outlineLevel="0" collapsed="false">
      <c r="A3362" s="2" t="s">
        <v>6994</v>
      </c>
      <c r="B3362" s="2" t="s">
        <v>6995</v>
      </c>
      <c r="C3362" s="2" t="n">
        <v>5</v>
      </c>
      <c r="D3362" s="2" t="s">
        <v>90</v>
      </c>
      <c r="E3362" s="2" t="s">
        <v>6670</v>
      </c>
      <c r="F3362" s="3" t="n">
        <v>45987.8604166667</v>
      </c>
      <c r="G3362" s="2" t="s">
        <v>6431</v>
      </c>
      <c r="H3362" s="4" t="n">
        <v>0.6249</v>
      </c>
      <c r="I3362" s="2" t="s">
        <v>23</v>
      </c>
      <c r="J3362" s="2" t="s">
        <v>37</v>
      </c>
      <c r="K3362" s="2" t="n">
        <v>0</v>
      </c>
      <c r="L3362" s="2" t="n">
        <v>1</v>
      </c>
      <c r="M3362" s="2" t="n">
        <v>1</v>
      </c>
    </row>
    <row r="3363" customFormat="false" ht="15" hidden="false" customHeight="false" outlineLevel="0" collapsed="false">
      <c r="A3363" s="2" t="s">
        <v>6996</v>
      </c>
      <c r="B3363" s="2" t="s">
        <v>6997</v>
      </c>
      <c r="C3363" s="2" t="n">
        <v>4</v>
      </c>
      <c r="D3363" s="2" t="s">
        <v>22</v>
      </c>
      <c r="E3363" s="2" t="s">
        <v>6670</v>
      </c>
      <c r="F3363" s="3" t="n">
        <v>45987.8868055556</v>
      </c>
      <c r="G3363" s="2" t="s">
        <v>6431</v>
      </c>
      <c r="H3363" s="4" t="n">
        <v>0.2023</v>
      </c>
      <c r="I3363" s="2" t="s">
        <v>23</v>
      </c>
      <c r="J3363" s="2" t="s">
        <v>19</v>
      </c>
      <c r="K3363" s="2" t="n">
        <v>0</v>
      </c>
      <c r="L3363" s="2" t="n">
        <v>0</v>
      </c>
      <c r="M3363" s="2" t="n">
        <v>1</v>
      </c>
    </row>
    <row r="3364" customFormat="false" ht="15" hidden="false" customHeight="false" outlineLevel="0" collapsed="false">
      <c r="A3364" s="2" t="s">
        <v>6998</v>
      </c>
      <c r="B3364" s="2" t="s">
        <v>6999</v>
      </c>
      <c r="C3364" s="2" t="n">
        <v>3</v>
      </c>
      <c r="D3364" s="2" t="s">
        <v>22</v>
      </c>
      <c r="E3364" s="2" t="s">
        <v>6670</v>
      </c>
      <c r="F3364" s="3" t="n">
        <v>45987.9236111111</v>
      </c>
      <c r="G3364" s="2" t="s">
        <v>6431</v>
      </c>
      <c r="H3364" s="4" t="n">
        <v>0.2023</v>
      </c>
      <c r="I3364" s="2" t="s">
        <v>23</v>
      </c>
      <c r="J3364" s="2" t="s">
        <v>19</v>
      </c>
      <c r="K3364" s="2" t="n">
        <v>2</v>
      </c>
      <c r="L3364" s="2" t="n">
        <v>0</v>
      </c>
      <c r="M3364" s="2" t="n">
        <v>1</v>
      </c>
    </row>
    <row r="3365" customFormat="false" ht="15" hidden="false" customHeight="false" outlineLevel="0" collapsed="false">
      <c r="A3365" s="2" t="s">
        <v>7000</v>
      </c>
      <c r="B3365" s="2" t="s">
        <v>7001</v>
      </c>
      <c r="C3365" s="2" t="n">
        <v>5</v>
      </c>
      <c r="D3365" s="2" t="s">
        <v>96</v>
      </c>
      <c r="E3365" s="2" t="s">
        <v>6670</v>
      </c>
      <c r="F3365" s="3" t="n">
        <v>45988.0034722222</v>
      </c>
      <c r="G3365" s="2" t="s">
        <v>6431</v>
      </c>
      <c r="H3365" s="4" t="n">
        <v>0.6369</v>
      </c>
      <c r="I3365" s="2" t="s">
        <v>23</v>
      </c>
      <c r="J3365" s="2" t="s">
        <v>19</v>
      </c>
      <c r="K3365" s="2" t="n">
        <v>7</v>
      </c>
      <c r="L3365" s="2" t="n">
        <v>1</v>
      </c>
      <c r="M3365" s="2" t="n">
        <v>0</v>
      </c>
    </row>
    <row r="3366" customFormat="false" ht="15" hidden="false" customHeight="false" outlineLevel="0" collapsed="false">
      <c r="A3366" s="2" t="s">
        <v>7002</v>
      </c>
      <c r="B3366" s="2" t="s">
        <v>7003</v>
      </c>
      <c r="C3366" s="2" t="n">
        <v>4</v>
      </c>
      <c r="D3366" s="2" t="s">
        <v>213</v>
      </c>
      <c r="E3366" s="2" t="s">
        <v>6670</v>
      </c>
      <c r="F3366" s="3" t="n">
        <v>45988.5138888889</v>
      </c>
      <c r="G3366" s="2" t="s">
        <v>6431</v>
      </c>
      <c r="H3366" s="4" t="n">
        <v>0.8651</v>
      </c>
      <c r="I3366" s="2" t="s">
        <v>23</v>
      </c>
      <c r="J3366" s="2" t="s">
        <v>19</v>
      </c>
      <c r="K3366" s="2" t="n">
        <v>2</v>
      </c>
      <c r="L3366" s="2" t="n">
        <v>0</v>
      </c>
      <c r="M3366" s="2" t="n">
        <v>0</v>
      </c>
    </row>
    <row r="3367" customFormat="false" ht="15" hidden="false" customHeight="false" outlineLevel="0" collapsed="false">
      <c r="A3367" s="2" t="s">
        <v>7004</v>
      </c>
      <c r="B3367" s="2" t="s">
        <v>7005</v>
      </c>
      <c r="C3367" s="2" t="n">
        <v>4</v>
      </c>
      <c r="D3367" s="2" t="s">
        <v>87</v>
      </c>
      <c r="E3367" s="2" t="s">
        <v>6670</v>
      </c>
      <c r="F3367" s="3" t="n">
        <v>45988.6409722222</v>
      </c>
      <c r="G3367" s="2" t="s">
        <v>6431</v>
      </c>
      <c r="H3367" s="4" t="n">
        <v>0</v>
      </c>
      <c r="I3367" s="2" t="s">
        <v>18</v>
      </c>
      <c r="J3367" s="2" t="s">
        <v>19</v>
      </c>
      <c r="K3367" s="2" t="n">
        <v>0</v>
      </c>
      <c r="L3367" s="2" t="n">
        <v>0</v>
      </c>
      <c r="M3367" s="2" t="n">
        <v>0</v>
      </c>
    </row>
    <row r="3368" customFormat="false" ht="15" hidden="false" customHeight="false" outlineLevel="0" collapsed="false">
      <c r="A3368" s="2" t="s">
        <v>7006</v>
      </c>
      <c r="B3368" s="2" t="s">
        <v>7007</v>
      </c>
      <c r="C3368" s="2" t="n">
        <v>5</v>
      </c>
      <c r="D3368" s="2" t="s">
        <v>2587</v>
      </c>
      <c r="E3368" s="2" t="s">
        <v>6670</v>
      </c>
      <c r="F3368" s="3" t="n">
        <v>45988.8354166667</v>
      </c>
      <c r="G3368" s="2" t="s">
        <v>6431</v>
      </c>
      <c r="H3368" s="4" t="n">
        <v>0.9828</v>
      </c>
      <c r="I3368" s="2" t="s">
        <v>23</v>
      </c>
      <c r="J3368" s="2" t="s">
        <v>37</v>
      </c>
      <c r="K3368" s="2" t="n">
        <v>6</v>
      </c>
      <c r="L3368" s="2" t="n">
        <v>0</v>
      </c>
      <c r="M3368" s="2" t="n">
        <v>0</v>
      </c>
    </row>
    <row r="3369" customFormat="false" ht="15" hidden="false" customHeight="false" outlineLevel="0" collapsed="false">
      <c r="A3369" s="2" t="s">
        <v>7008</v>
      </c>
      <c r="B3369" s="2" t="s">
        <v>7009</v>
      </c>
      <c r="C3369" s="2" t="n">
        <v>2</v>
      </c>
      <c r="D3369" s="2" t="s">
        <v>7010</v>
      </c>
      <c r="E3369" s="2" t="s">
        <v>6670</v>
      </c>
      <c r="F3369" s="3" t="n">
        <v>45988.9277777778</v>
      </c>
      <c r="G3369" s="2" t="s">
        <v>6431</v>
      </c>
      <c r="H3369" s="4" t="n">
        <v>0.1027</v>
      </c>
      <c r="I3369" s="2" t="s">
        <v>23</v>
      </c>
      <c r="J3369" s="2" t="s">
        <v>33</v>
      </c>
      <c r="K3369" s="2" t="n">
        <v>2</v>
      </c>
      <c r="L3369" s="2" t="n">
        <v>0</v>
      </c>
      <c r="M3369" s="2" t="n">
        <v>0</v>
      </c>
    </row>
    <row r="3370" customFormat="false" ht="15" hidden="false" customHeight="false" outlineLevel="0" collapsed="false">
      <c r="A3370" s="2" t="s">
        <v>7011</v>
      </c>
      <c r="B3370" s="2" t="s">
        <v>7012</v>
      </c>
      <c r="C3370" s="2" t="n">
        <v>1</v>
      </c>
      <c r="D3370" s="2" t="s">
        <v>1034</v>
      </c>
      <c r="E3370" s="2" t="s">
        <v>6670</v>
      </c>
      <c r="F3370" s="3" t="n">
        <v>45988.9333333333</v>
      </c>
      <c r="G3370" s="2" t="s">
        <v>6431</v>
      </c>
      <c r="H3370" s="4" t="n">
        <v>0</v>
      </c>
      <c r="I3370" s="2" t="s">
        <v>18</v>
      </c>
      <c r="J3370" s="2" t="s">
        <v>110</v>
      </c>
      <c r="K3370" s="2" t="n">
        <v>0</v>
      </c>
      <c r="L3370" s="2" t="n">
        <v>0</v>
      </c>
      <c r="M3370" s="2" t="n">
        <v>0</v>
      </c>
    </row>
    <row r="3371" customFormat="false" ht="15" hidden="false" customHeight="false" outlineLevel="0" collapsed="false">
      <c r="A3371" s="2" t="s">
        <v>7013</v>
      </c>
      <c r="B3371" s="2" t="s">
        <v>7014</v>
      </c>
      <c r="C3371" s="2" t="n">
        <v>5</v>
      </c>
      <c r="D3371" s="2" t="s">
        <v>1878</v>
      </c>
      <c r="E3371" s="2" t="s">
        <v>6670</v>
      </c>
      <c r="F3371" s="3" t="n">
        <v>45989.1111111111</v>
      </c>
      <c r="G3371" s="2" t="s">
        <v>6431</v>
      </c>
      <c r="H3371" s="4" t="n">
        <v>0.9516</v>
      </c>
      <c r="I3371" s="2" t="s">
        <v>23</v>
      </c>
      <c r="J3371" s="2" t="s">
        <v>37</v>
      </c>
      <c r="K3371" s="2" t="n">
        <v>2</v>
      </c>
      <c r="L3371" s="2" t="n">
        <v>0</v>
      </c>
      <c r="M3371" s="2" t="n">
        <v>0</v>
      </c>
    </row>
    <row r="3372" customFormat="false" ht="15" hidden="false" customHeight="false" outlineLevel="0" collapsed="false">
      <c r="A3372" s="2" t="s">
        <v>7015</v>
      </c>
      <c r="B3372" s="2" t="s">
        <v>7016</v>
      </c>
      <c r="C3372" s="2" t="n">
        <v>4</v>
      </c>
      <c r="D3372" s="2" t="s">
        <v>2140</v>
      </c>
      <c r="E3372" s="2" t="s">
        <v>6670</v>
      </c>
      <c r="F3372" s="3" t="n">
        <v>45989.2555555556</v>
      </c>
      <c r="G3372" s="2" t="s">
        <v>6431</v>
      </c>
      <c r="H3372" s="4" t="n">
        <v>0.8777</v>
      </c>
      <c r="I3372" s="2" t="s">
        <v>23</v>
      </c>
      <c r="J3372" s="2" t="s">
        <v>19</v>
      </c>
      <c r="K3372" s="2" t="n">
        <v>0</v>
      </c>
      <c r="L3372" s="2" t="n">
        <v>0</v>
      </c>
      <c r="M3372" s="2" t="n">
        <v>0</v>
      </c>
    </row>
    <row r="3373" customFormat="false" ht="15" hidden="false" customHeight="false" outlineLevel="0" collapsed="false">
      <c r="A3373" s="2" t="s">
        <v>7017</v>
      </c>
      <c r="B3373" s="2" t="s">
        <v>7018</v>
      </c>
      <c r="C3373" s="2" t="n">
        <v>1</v>
      </c>
      <c r="D3373" s="2" t="s">
        <v>6365</v>
      </c>
      <c r="E3373" s="2" t="s">
        <v>6670</v>
      </c>
      <c r="F3373" s="3" t="n">
        <v>45989.3118055556</v>
      </c>
      <c r="G3373" s="2" t="s">
        <v>6431</v>
      </c>
      <c r="H3373" s="4" t="n">
        <v>-0.1757</v>
      </c>
      <c r="I3373" s="2" t="s">
        <v>84</v>
      </c>
      <c r="J3373" s="2" t="s">
        <v>33</v>
      </c>
      <c r="K3373" s="2" t="n">
        <v>12</v>
      </c>
      <c r="L3373" s="2" t="n">
        <v>0</v>
      </c>
      <c r="M3373" s="2" t="n">
        <v>0</v>
      </c>
    </row>
    <row r="3374" customFormat="false" ht="15" hidden="false" customHeight="false" outlineLevel="0" collapsed="false">
      <c r="A3374" s="2" t="s">
        <v>7019</v>
      </c>
      <c r="B3374" s="2" t="s">
        <v>7020</v>
      </c>
      <c r="C3374" s="2" t="n">
        <v>2</v>
      </c>
      <c r="D3374" s="2" t="s">
        <v>32</v>
      </c>
      <c r="E3374" s="2" t="s">
        <v>6670</v>
      </c>
      <c r="F3374" s="3" t="n">
        <v>45989.5423611111</v>
      </c>
      <c r="G3374" s="2" t="s">
        <v>6431</v>
      </c>
      <c r="H3374" s="4" t="n">
        <v>0.2023</v>
      </c>
      <c r="I3374" s="2" t="s">
        <v>23</v>
      </c>
      <c r="J3374" s="2" t="s">
        <v>33</v>
      </c>
      <c r="K3374" s="2" t="n">
        <v>3</v>
      </c>
      <c r="L3374" s="2" t="n">
        <v>1</v>
      </c>
      <c r="M3374" s="2" t="n">
        <v>0</v>
      </c>
    </row>
    <row r="3375" customFormat="false" ht="15" hidden="false" customHeight="false" outlineLevel="0" collapsed="false">
      <c r="A3375" s="2" t="s">
        <v>7021</v>
      </c>
      <c r="B3375" s="2" t="s">
        <v>4268</v>
      </c>
      <c r="C3375" s="2" t="n">
        <v>5</v>
      </c>
      <c r="D3375" s="2" t="s">
        <v>62</v>
      </c>
      <c r="E3375" s="2" t="s">
        <v>6670</v>
      </c>
      <c r="F3375" s="3" t="n">
        <v>45989.6340277778</v>
      </c>
      <c r="G3375" s="2" t="s">
        <v>6431</v>
      </c>
      <c r="H3375" s="4" t="n">
        <v>0.7088</v>
      </c>
      <c r="I3375" s="2" t="s">
        <v>23</v>
      </c>
      <c r="J3375" s="2" t="s">
        <v>19</v>
      </c>
      <c r="K3375" s="2" t="n">
        <v>6</v>
      </c>
      <c r="L3375" s="2" t="n">
        <v>0</v>
      </c>
      <c r="M3375" s="2" t="n">
        <v>0</v>
      </c>
    </row>
    <row r="3376" customFormat="false" ht="15" hidden="false" customHeight="false" outlineLevel="0" collapsed="false">
      <c r="A3376" s="2" t="s">
        <v>7022</v>
      </c>
      <c r="B3376" s="2" t="s">
        <v>6305</v>
      </c>
      <c r="C3376" s="2" t="n">
        <v>3</v>
      </c>
      <c r="D3376" s="2" t="s">
        <v>3569</v>
      </c>
      <c r="E3376" s="2" t="s">
        <v>6670</v>
      </c>
      <c r="F3376" s="3" t="n">
        <v>45989.7631944444</v>
      </c>
      <c r="G3376" s="2" t="s">
        <v>6431</v>
      </c>
      <c r="H3376" s="4" t="n">
        <v>-0.2617</v>
      </c>
      <c r="I3376" s="2" t="s">
        <v>84</v>
      </c>
      <c r="J3376" s="2" t="s">
        <v>33</v>
      </c>
      <c r="K3376" s="2" t="n">
        <v>3</v>
      </c>
      <c r="L3376" s="2" t="n">
        <v>0</v>
      </c>
      <c r="M3376" s="2" t="n">
        <v>0</v>
      </c>
    </row>
    <row r="3377" customFormat="false" ht="15" hidden="false" customHeight="false" outlineLevel="0" collapsed="false">
      <c r="A3377" s="2" t="s">
        <v>7023</v>
      </c>
      <c r="B3377" s="2" t="s">
        <v>7024</v>
      </c>
      <c r="C3377" s="2" t="n">
        <v>5</v>
      </c>
      <c r="D3377" s="2" t="s">
        <v>62</v>
      </c>
      <c r="E3377" s="2" t="s">
        <v>6670</v>
      </c>
      <c r="F3377" s="3" t="n">
        <v>45989.7763888889</v>
      </c>
      <c r="G3377" s="2" t="s">
        <v>6431</v>
      </c>
      <c r="H3377" s="4" t="n">
        <v>0.7088</v>
      </c>
      <c r="I3377" s="2" t="s">
        <v>23</v>
      </c>
      <c r="J3377" s="2" t="s">
        <v>19</v>
      </c>
      <c r="K3377" s="2" t="n">
        <v>6</v>
      </c>
      <c r="L3377" s="2" t="n">
        <v>0</v>
      </c>
      <c r="M3377" s="2" t="n">
        <v>0</v>
      </c>
    </row>
    <row r="3378" customFormat="false" ht="15" hidden="false" customHeight="false" outlineLevel="0" collapsed="false">
      <c r="A3378" s="2" t="s">
        <v>7025</v>
      </c>
      <c r="B3378" s="2" t="s">
        <v>7026</v>
      </c>
      <c r="C3378" s="2" t="n">
        <v>5</v>
      </c>
      <c r="D3378" s="2" t="s">
        <v>1052</v>
      </c>
      <c r="E3378" s="2" t="s">
        <v>6670</v>
      </c>
      <c r="F3378" s="3" t="n">
        <v>45989.8006944444</v>
      </c>
      <c r="G3378" s="2" t="s">
        <v>6431</v>
      </c>
      <c r="H3378" s="4" t="n">
        <v>0.7088</v>
      </c>
      <c r="I3378" s="2" t="s">
        <v>23</v>
      </c>
      <c r="J3378" s="2" t="s">
        <v>19</v>
      </c>
      <c r="K3378" s="2" t="n">
        <v>5</v>
      </c>
      <c r="L3378" s="2" t="n">
        <v>0</v>
      </c>
      <c r="M3378" s="2" t="n">
        <v>0</v>
      </c>
    </row>
    <row r="3379" customFormat="false" ht="15" hidden="false" customHeight="false" outlineLevel="0" collapsed="false">
      <c r="A3379" s="2" t="s">
        <v>7027</v>
      </c>
      <c r="B3379" s="2" t="s">
        <v>7028</v>
      </c>
      <c r="C3379" s="2" t="n">
        <v>4</v>
      </c>
      <c r="D3379" s="2" t="s">
        <v>152</v>
      </c>
      <c r="E3379" s="2" t="s">
        <v>6670</v>
      </c>
      <c r="F3379" s="3" t="n">
        <v>45990.0819444444</v>
      </c>
      <c r="G3379" s="2" t="s">
        <v>6431</v>
      </c>
      <c r="H3379" s="4" t="n">
        <v>0.8313</v>
      </c>
      <c r="I3379" s="2" t="s">
        <v>23</v>
      </c>
      <c r="J3379" s="2" t="s">
        <v>37</v>
      </c>
      <c r="K3379" s="2" t="n">
        <v>0</v>
      </c>
      <c r="L3379" s="2" t="n">
        <v>1</v>
      </c>
      <c r="M3379" s="2" t="n">
        <v>0</v>
      </c>
    </row>
    <row r="3380" customFormat="false" ht="15" hidden="false" customHeight="false" outlineLevel="0" collapsed="false">
      <c r="A3380" s="2" t="s">
        <v>7029</v>
      </c>
      <c r="B3380" s="2" t="s">
        <v>7030</v>
      </c>
      <c r="C3380" s="2" t="n">
        <v>1</v>
      </c>
      <c r="D3380" s="2" t="s">
        <v>946</v>
      </c>
      <c r="E3380" s="2" t="s">
        <v>6670</v>
      </c>
      <c r="F3380" s="3" t="n">
        <v>45990.1840277778</v>
      </c>
      <c r="G3380" s="2" t="s">
        <v>6431</v>
      </c>
      <c r="H3380" s="4" t="n">
        <v>-0.25</v>
      </c>
      <c r="I3380" s="2" t="s">
        <v>84</v>
      </c>
      <c r="J3380" s="2" t="s">
        <v>37</v>
      </c>
      <c r="K3380" s="2" t="n">
        <v>4</v>
      </c>
      <c r="L3380" s="2" t="n">
        <v>0</v>
      </c>
      <c r="M3380" s="2" t="n">
        <v>0</v>
      </c>
    </row>
    <row r="3381" customFormat="false" ht="15" hidden="false" customHeight="false" outlineLevel="0" collapsed="false">
      <c r="A3381" s="2" t="s">
        <v>7031</v>
      </c>
      <c r="B3381" s="2" t="s">
        <v>7032</v>
      </c>
      <c r="C3381" s="2" t="n">
        <v>3</v>
      </c>
      <c r="D3381" s="2" t="s">
        <v>301</v>
      </c>
      <c r="E3381" s="2" t="s">
        <v>6670</v>
      </c>
      <c r="F3381" s="3" t="n">
        <v>45990.20625</v>
      </c>
      <c r="G3381" s="2" t="s">
        <v>6431</v>
      </c>
      <c r="H3381" s="4" t="n">
        <v>0.2263</v>
      </c>
      <c r="I3381" s="2" t="s">
        <v>23</v>
      </c>
      <c r="J3381" s="2" t="s">
        <v>19</v>
      </c>
      <c r="K3381" s="2" t="n">
        <v>4</v>
      </c>
      <c r="L3381" s="2" t="n">
        <v>0</v>
      </c>
      <c r="M3381" s="2" t="n">
        <v>0</v>
      </c>
    </row>
    <row r="3382" customFormat="false" ht="15" hidden="false" customHeight="false" outlineLevel="0" collapsed="false">
      <c r="A3382" s="2" t="s">
        <v>7033</v>
      </c>
      <c r="B3382" s="2" t="s">
        <v>7034</v>
      </c>
      <c r="C3382" s="2" t="n">
        <v>1</v>
      </c>
      <c r="D3382" s="2" t="s">
        <v>231</v>
      </c>
      <c r="E3382" s="2" t="s">
        <v>6670</v>
      </c>
      <c r="F3382" s="3" t="n">
        <v>45990.2659722222</v>
      </c>
      <c r="G3382" s="2" t="s">
        <v>6431</v>
      </c>
      <c r="H3382" s="4" t="n">
        <v>-0.3593</v>
      </c>
      <c r="I3382" s="2" t="s">
        <v>84</v>
      </c>
      <c r="J3382" s="2" t="s">
        <v>33</v>
      </c>
      <c r="K3382" s="2" t="n">
        <v>1</v>
      </c>
      <c r="L3382" s="2" t="n">
        <v>1</v>
      </c>
      <c r="M3382" s="2" t="n">
        <v>0</v>
      </c>
    </row>
    <row r="3383" customFormat="false" ht="15" hidden="false" customHeight="false" outlineLevel="0" collapsed="false">
      <c r="A3383" s="2" t="s">
        <v>7035</v>
      </c>
      <c r="B3383" s="2" t="s">
        <v>7036</v>
      </c>
      <c r="C3383" s="2" t="n">
        <v>5</v>
      </c>
      <c r="D3383" s="2" t="s">
        <v>62</v>
      </c>
      <c r="E3383" s="2" t="s">
        <v>6670</v>
      </c>
      <c r="F3383" s="3" t="n">
        <v>45990.3506944445</v>
      </c>
      <c r="G3383" s="2" t="s">
        <v>6431</v>
      </c>
      <c r="H3383" s="4" t="n">
        <v>0.7088</v>
      </c>
      <c r="I3383" s="2" t="s">
        <v>23</v>
      </c>
      <c r="J3383" s="2" t="s">
        <v>19</v>
      </c>
      <c r="K3383" s="2" t="n">
        <v>1</v>
      </c>
      <c r="L3383" s="2" t="n">
        <v>0</v>
      </c>
      <c r="M3383" s="2" t="n">
        <v>0</v>
      </c>
    </row>
    <row r="3384" customFormat="false" ht="15" hidden="false" customHeight="false" outlineLevel="0" collapsed="false">
      <c r="A3384" s="2" t="s">
        <v>7037</v>
      </c>
      <c r="B3384" s="2" t="s">
        <v>7038</v>
      </c>
      <c r="C3384" s="2" t="n">
        <v>3</v>
      </c>
      <c r="D3384" s="2" t="s">
        <v>22</v>
      </c>
      <c r="E3384" s="2" t="s">
        <v>6670</v>
      </c>
      <c r="F3384" s="3" t="n">
        <v>45990.4631944444</v>
      </c>
      <c r="G3384" s="2" t="s">
        <v>6431</v>
      </c>
      <c r="H3384" s="4" t="n">
        <v>0.2023</v>
      </c>
      <c r="I3384" s="2" t="s">
        <v>23</v>
      </c>
      <c r="J3384" s="2" t="s">
        <v>19</v>
      </c>
      <c r="K3384" s="2" t="n">
        <v>0</v>
      </c>
      <c r="L3384" s="2" t="n">
        <v>0</v>
      </c>
      <c r="M3384" s="2" t="n">
        <v>0</v>
      </c>
    </row>
    <row r="3385" customFormat="false" ht="15" hidden="false" customHeight="false" outlineLevel="0" collapsed="false">
      <c r="A3385" s="2" t="s">
        <v>7039</v>
      </c>
      <c r="B3385" s="2" t="s">
        <v>7040</v>
      </c>
      <c r="C3385" s="2" t="n">
        <v>5</v>
      </c>
      <c r="D3385" s="2" t="s">
        <v>90</v>
      </c>
      <c r="E3385" s="2" t="s">
        <v>6670</v>
      </c>
      <c r="F3385" s="3" t="n">
        <v>45990.4875</v>
      </c>
      <c r="G3385" s="2" t="s">
        <v>6431</v>
      </c>
      <c r="H3385" s="4" t="n">
        <v>0.6249</v>
      </c>
      <c r="I3385" s="2" t="s">
        <v>23</v>
      </c>
      <c r="J3385" s="2" t="s">
        <v>37</v>
      </c>
      <c r="K3385" s="2" t="n">
        <v>3</v>
      </c>
      <c r="L3385" s="2" t="n">
        <v>0</v>
      </c>
      <c r="M3385" s="2" t="n">
        <v>0</v>
      </c>
    </row>
    <row r="3386" customFormat="false" ht="15" hidden="false" customHeight="false" outlineLevel="0" collapsed="false">
      <c r="A3386" s="2" t="s">
        <v>7041</v>
      </c>
      <c r="B3386" s="2" t="s">
        <v>7042</v>
      </c>
      <c r="C3386" s="2" t="n">
        <v>2</v>
      </c>
      <c r="D3386" s="2" t="s">
        <v>32</v>
      </c>
      <c r="E3386" s="2" t="s">
        <v>6670</v>
      </c>
      <c r="F3386" s="3" t="n">
        <v>45990.5319444445</v>
      </c>
      <c r="G3386" s="2" t="s">
        <v>6431</v>
      </c>
      <c r="H3386" s="4" t="n">
        <v>0.2023</v>
      </c>
      <c r="I3386" s="2" t="s">
        <v>23</v>
      </c>
      <c r="J3386" s="2" t="s">
        <v>33</v>
      </c>
      <c r="K3386" s="2" t="n">
        <v>3</v>
      </c>
      <c r="L3386" s="2" t="n">
        <v>1</v>
      </c>
      <c r="M3386" s="2" t="n">
        <v>0</v>
      </c>
    </row>
    <row r="3387" customFormat="false" ht="15" hidden="false" customHeight="false" outlineLevel="0" collapsed="false">
      <c r="A3387" s="2" t="s">
        <v>7043</v>
      </c>
      <c r="B3387" s="2" t="s">
        <v>7044</v>
      </c>
      <c r="C3387" s="2" t="n">
        <v>5</v>
      </c>
      <c r="D3387" s="2" t="s">
        <v>127</v>
      </c>
      <c r="E3387" s="2" t="s">
        <v>6670</v>
      </c>
      <c r="F3387" s="3" t="n">
        <v>45990.5395833333</v>
      </c>
      <c r="G3387" s="2" t="s">
        <v>6431</v>
      </c>
      <c r="H3387" s="4" t="n">
        <v>0.9359</v>
      </c>
      <c r="I3387" s="2" t="s">
        <v>23</v>
      </c>
      <c r="J3387" s="2" t="s">
        <v>37</v>
      </c>
      <c r="K3387" s="2" t="n">
        <v>6</v>
      </c>
      <c r="L3387" s="2" t="n">
        <v>0</v>
      </c>
      <c r="M3387" s="2" t="n">
        <v>0</v>
      </c>
    </row>
    <row r="3388" customFormat="false" ht="15" hidden="false" customHeight="false" outlineLevel="0" collapsed="false">
      <c r="A3388" s="2" t="s">
        <v>7045</v>
      </c>
      <c r="B3388" s="2" t="s">
        <v>7046</v>
      </c>
      <c r="C3388" s="2" t="n">
        <v>2</v>
      </c>
      <c r="D3388" s="2" t="s">
        <v>133</v>
      </c>
      <c r="E3388" s="2" t="s">
        <v>6670</v>
      </c>
      <c r="F3388" s="3" t="n">
        <v>45990.6097222222</v>
      </c>
      <c r="G3388" s="2" t="s">
        <v>6431</v>
      </c>
      <c r="H3388" s="4" t="n">
        <v>-0.5719</v>
      </c>
      <c r="I3388" s="2" t="s">
        <v>84</v>
      </c>
      <c r="J3388" s="2" t="s">
        <v>33</v>
      </c>
      <c r="K3388" s="2" t="n">
        <v>0</v>
      </c>
      <c r="L3388" s="2" t="n">
        <v>1</v>
      </c>
      <c r="M3388" s="2" t="n">
        <v>0</v>
      </c>
    </row>
    <row r="3389" customFormat="false" ht="15" hidden="false" customHeight="false" outlineLevel="0" collapsed="false">
      <c r="A3389" s="2" t="s">
        <v>7047</v>
      </c>
      <c r="B3389" s="2" t="s">
        <v>7048</v>
      </c>
      <c r="C3389" s="2" t="n">
        <v>5</v>
      </c>
      <c r="D3389" s="2" t="s">
        <v>62</v>
      </c>
      <c r="E3389" s="2" t="s">
        <v>6670</v>
      </c>
      <c r="F3389" s="3" t="n">
        <v>45990.6388888889</v>
      </c>
      <c r="G3389" s="2" t="s">
        <v>6431</v>
      </c>
      <c r="H3389" s="4" t="n">
        <v>0.7088</v>
      </c>
      <c r="I3389" s="2" t="s">
        <v>23</v>
      </c>
      <c r="J3389" s="2" t="s">
        <v>19</v>
      </c>
      <c r="K3389" s="2" t="n">
        <v>0</v>
      </c>
      <c r="L3389" s="2" t="n">
        <v>0</v>
      </c>
      <c r="M3389" s="2" t="n">
        <v>0</v>
      </c>
    </row>
    <row r="3390" customFormat="false" ht="15" hidden="false" customHeight="false" outlineLevel="0" collapsed="false">
      <c r="A3390" s="2" t="s">
        <v>7049</v>
      </c>
      <c r="B3390" s="2" t="s">
        <v>7050</v>
      </c>
      <c r="C3390" s="2" t="n">
        <v>1</v>
      </c>
      <c r="D3390" s="2" t="s">
        <v>1478</v>
      </c>
      <c r="E3390" s="2" t="s">
        <v>6670</v>
      </c>
      <c r="F3390" s="3" t="n">
        <v>45990.6875</v>
      </c>
      <c r="G3390" s="2" t="s">
        <v>6431</v>
      </c>
      <c r="H3390" s="4" t="n">
        <v>-0.5023</v>
      </c>
      <c r="I3390" s="2" t="s">
        <v>84</v>
      </c>
      <c r="J3390" s="2" t="s">
        <v>33</v>
      </c>
      <c r="K3390" s="2" t="n">
        <v>0</v>
      </c>
      <c r="L3390" s="2" t="n">
        <v>1</v>
      </c>
      <c r="M3390" s="2" t="n">
        <v>0</v>
      </c>
    </row>
    <row r="3391" customFormat="false" ht="15" hidden="false" customHeight="false" outlineLevel="0" collapsed="false">
      <c r="A3391" s="2" t="s">
        <v>7051</v>
      </c>
      <c r="B3391" s="2" t="s">
        <v>7052</v>
      </c>
      <c r="C3391" s="2" t="n">
        <v>3</v>
      </c>
      <c r="D3391" s="2" t="s">
        <v>133</v>
      </c>
      <c r="E3391" s="2" t="s">
        <v>6670</v>
      </c>
      <c r="F3391" s="3" t="n">
        <v>45990.6916666667</v>
      </c>
      <c r="G3391" s="2" t="s">
        <v>6431</v>
      </c>
      <c r="H3391" s="4" t="n">
        <v>-0.5719</v>
      </c>
      <c r="I3391" s="2" t="s">
        <v>84</v>
      </c>
      <c r="J3391" s="2" t="s">
        <v>33</v>
      </c>
      <c r="K3391" s="2" t="n">
        <v>5</v>
      </c>
      <c r="L3391" s="2" t="n">
        <v>0</v>
      </c>
      <c r="M3391" s="2" t="n">
        <v>0</v>
      </c>
    </row>
    <row r="3392" customFormat="false" ht="15" hidden="false" customHeight="false" outlineLevel="0" collapsed="false">
      <c r="A3392" s="2" t="s">
        <v>7053</v>
      </c>
      <c r="B3392" s="2" t="s">
        <v>7054</v>
      </c>
      <c r="C3392" s="2" t="n">
        <v>3</v>
      </c>
      <c r="D3392" s="2" t="s">
        <v>3400</v>
      </c>
      <c r="E3392" s="2" t="s">
        <v>6670</v>
      </c>
      <c r="F3392" s="3" t="n">
        <v>45990.8319444444</v>
      </c>
      <c r="G3392" s="2" t="s">
        <v>6431</v>
      </c>
      <c r="H3392" s="4" t="n">
        <v>-0.5667</v>
      </c>
      <c r="I3392" s="2" t="s">
        <v>84</v>
      </c>
      <c r="J3392" s="2" t="s">
        <v>37</v>
      </c>
      <c r="K3392" s="2" t="n">
        <v>1</v>
      </c>
      <c r="L3392" s="2" t="n">
        <v>0</v>
      </c>
      <c r="M3392" s="2" t="n">
        <v>0</v>
      </c>
    </row>
    <row r="3393" customFormat="false" ht="15" hidden="false" customHeight="false" outlineLevel="0" collapsed="false">
      <c r="A3393" s="2" t="s">
        <v>7055</v>
      </c>
      <c r="B3393" s="2" t="s">
        <v>7056</v>
      </c>
      <c r="C3393" s="2" t="n">
        <v>3</v>
      </c>
      <c r="D3393" s="2" t="s">
        <v>1400</v>
      </c>
      <c r="E3393" s="2" t="s">
        <v>6670</v>
      </c>
      <c r="F3393" s="3" t="n">
        <v>45990.8597222222</v>
      </c>
      <c r="G3393" s="2" t="s">
        <v>6431</v>
      </c>
      <c r="H3393" s="4" t="n">
        <v>0.4019</v>
      </c>
      <c r="I3393" s="2" t="s">
        <v>23</v>
      </c>
      <c r="J3393" s="2" t="s">
        <v>19</v>
      </c>
      <c r="K3393" s="2" t="n">
        <v>7</v>
      </c>
      <c r="L3393" s="2" t="n">
        <v>0</v>
      </c>
      <c r="M3393" s="2" t="n">
        <v>0</v>
      </c>
    </row>
    <row r="3394" customFormat="false" ht="15" hidden="false" customHeight="false" outlineLevel="0" collapsed="false">
      <c r="A3394" s="2" t="s">
        <v>7057</v>
      </c>
      <c r="B3394" s="2" t="s">
        <v>7058</v>
      </c>
      <c r="C3394" s="2" t="n">
        <v>5</v>
      </c>
      <c r="D3394" s="2" t="s">
        <v>47</v>
      </c>
      <c r="E3394" s="2" t="s">
        <v>6670</v>
      </c>
      <c r="F3394" s="3" t="n">
        <v>45990.8902777778</v>
      </c>
      <c r="G3394" s="2" t="s">
        <v>6431</v>
      </c>
      <c r="H3394" s="4" t="n">
        <v>0.3089</v>
      </c>
      <c r="I3394" s="2" t="s">
        <v>23</v>
      </c>
      <c r="J3394" s="2" t="s">
        <v>19</v>
      </c>
      <c r="K3394" s="2" t="n">
        <v>7</v>
      </c>
      <c r="L3394" s="2" t="n">
        <v>0</v>
      </c>
      <c r="M3394" s="2" t="n">
        <v>0</v>
      </c>
    </row>
    <row r="3395" customFormat="false" ht="15" hidden="false" customHeight="false" outlineLevel="0" collapsed="false">
      <c r="A3395" s="2" t="s">
        <v>7059</v>
      </c>
      <c r="B3395" s="2" t="s">
        <v>7060</v>
      </c>
      <c r="C3395" s="2" t="n">
        <v>1</v>
      </c>
      <c r="D3395" s="2" t="s">
        <v>231</v>
      </c>
      <c r="E3395" s="2" t="s">
        <v>6670</v>
      </c>
      <c r="F3395" s="3" t="n">
        <v>45990.9076388889</v>
      </c>
      <c r="G3395" s="2" t="s">
        <v>6431</v>
      </c>
      <c r="H3395" s="4" t="n">
        <v>-0.3593</v>
      </c>
      <c r="I3395" s="2" t="s">
        <v>84</v>
      </c>
      <c r="J3395" s="2" t="s">
        <v>33</v>
      </c>
      <c r="K3395" s="2" t="n">
        <v>0</v>
      </c>
      <c r="L3395" s="2" t="n">
        <v>0</v>
      </c>
      <c r="M3395" s="2" t="n">
        <v>0</v>
      </c>
    </row>
    <row r="3396" customFormat="false" ht="15" hidden="false" customHeight="false" outlineLevel="0" collapsed="false">
      <c r="A3396" s="2" t="s">
        <v>7061</v>
      </c>
      <c r="B3396" s="2" t="s">
        <v>7062</v>
      </c>
      <c r="C3396" s="2" t="n">
        <v>4</v>
      </c>
      <c r="D3396" s="2" t="s">
        <v>389</v>
      </c>
      <c r="E3396" s="2" t="s">
        <v>6670</v>
      </c>
      <c r="F3396" s="3" t="n">
        <v>45990.9569444444</v>
      </c>
      <c r="G3396" s="2" t="s">
        <v>6431</v>
      </c>
      <c r="H3396" s="4" t="n">
        <v>0.8519</v>
      </c>
      <c r="I3396" s="2" t="s">
        <v>23</v>
      </c>
      <c r="J3396" s="2" t="s">
        <v>37</v>
      </c>
      <c r="K3396" s="2" t="n">
        <v>4</v>
      </c>
      <c r="L3396" s="2" t="n">
        <v>0</v>
      </c>
      <c r="M3396" s="2" t="n">
        <v>0</v>
      </c>
    </row>
    <row r="3397" customFormat="false" ht="15" hidden="false" customHeight="false" outlineLevel="0" collapsed="false">
      <c r="A3397" s="2" t="s">
        <v>7063</v>
      </c>
      <c r="B3397" s="2" t="s">
        <v>7064</v>
      </c>
      <c r="C3397" s="2" t="n">
        <v>1</v>
      </c>
      <c r="D3397" s="2" t="s">
        <v>1863</v>
      </c>
      <c r="E3397" s="2" t="s">
        <v>6670</v>
      </c>
      <c r="F3397" s="3" t="n">
        <v>45991.1326388889</v>
      </c>
      <c r="G3397" s="2" t="s">
        <v>6431</v>
      </c>
      <c r="H3397" s="4" t="n">
        <v>0.128</v>
      </c>
      <c r="I3397" s="2" t="s">
        <v>23</v>
      </c>
      <c r="J3397" s="2" t="s">
        <v>33</v>
      </c>
      <c r="K3397" s="2" t="n">
        <v>9</v>
      </c>
      <c r="L3397" s="2" t="n">
        <v>0</v>
      </c>
      <c r="M3397" s="2" t="n">
        <v>0</v>
      </c>
    </row>
    <row r="3398" customFormat="false" ht="15" hidden="false" customHeight="false" outlineLevel="0" collapsed="false">
      <c r="A3398" s="2" t="s">
        <v>7065</v>
      </c>
      <c r="B3398" s="2" t="s">
        <v>7066</v>
      </c>
      <c r="C3398" s="2" t="n">
        <v>4</v>
      </c>
      <c r="D3398" s="2" t="s">
        <v>90</v>
      </c>
      <c r="E3398" s="2" t="s">
        <v>6670</v>
      </c>
      <c r="F3398" s="3" t="n">
        <v>45991.2111111111</v>
      </c>
      <c r="G3398" s="2" t="s">
        <v>6431</v>
      </c>
      <c r="H3398" s="4" t="n">
        <v>0.6249</v>
      </c>
      <c r="I3398" s="2" t="s">
        <v>23</v>
      </c>
      <c r="J3398" s="2" t="s">
        <v>37</v>
      </c>
      <c r="K3398" s="2" t="n">
        <v>3</v>
      </c>
      <c r="L3398" s="2" t="n">
        <v>0</v>
      </c>
      <c r="M3398" s="2" t="n">
        <v>0</v>
      </c>
    </row>
    <row r="3399" customFormat="false" ht="15" hidden="false" customHeight="false" outlineLevel="0" collapsed="false">
      <c r="A3399" s="2" t="s">
        <v>7067</v>
      </c>
      <c r="B3399" s="2" t="s">
        <v>7068</v>
      </c>
      <c r="C3399" s="2" t="n">
        <v>3</v>
      </c>
      <c r="D3399" s="2" t="s">
        <v>357</v>
      </c>
      <c r="E3399" s="2" t="s">
        <v>6670</v>
      </c>
      <c r="F3399" s="3" t="n">
        <v>45991.2791666667</v>
      </c>
      <c r="G3399" s="2" t="s">
        <v>6431</v>
      </c>
      <c r="H3399" s="4" t="n">
        <v>0</v>
      </c>
      <c r="I3399" s="2" t="s">
        <v>18</v>
      </c>
      <c r="J3399" s="2" t="s">
        <v>165</v>
      </c>
      <c r="K3399" s="2" t="n">
        <v>3</v>
      </c>
      <c r="L3399" s="2" t="n">
        <v>0</v>
      </c>
      <c r="M3399" s="2" t="n">
        <v>0</v>
      </c>
    </row>
    <row r="3400" customFormat="false" ht="15" hidden="false" customHeight="false" outlineLevel="0" collapsed="false">
      <c r="A3400" s="2" t="s">
        <v>7069</v>
      </c>
      <c r="B3400" s="2" t="s">
        <v>7070</v>
      </c>
      <c r="C3400" s="2" t="n">
        <v>5</v>
      </c>
      <c r="D3400" s="2" t="s">
        <v>127</v>
      </c>
      <c r="E3400" s="2" t="s">
        <v>6670</v>
      </c>
      <c r="F3400" s="3" t="n">
        <v>45991.3006944444</v>
      </c>
      <c r="G3400" s="2" t="s">
        <v>6431</v>
      </c>
      <c r="H3400" s="4" t="n">
        <v>0.9359</v>
      </c>
      <c r="I3400" s="2" t="s">
        <v>23</v>
      </c>
      <c r="J3400" s="2" t="s">
        <v>37</v>
      </c>
      <c r="K3400" s="2" t="n">
        <v>1</v>
      </c>
      <c r="L3400" s="2" t="n">
        <v>0</v>
      </c>
      <c r="M3400" s="2" t="n">
        <v>0</v>
      </c>
    </row>
    <row r="3401" customFormat="false" ht="15" hidden="false" customHeight="false" outlineLevel="0" collapsed="false">
      <c r="A3401" s="2" t="s">
        <v>7071</v>
      </c>
      <c r="B3401" s="2" t="s">
        <v>7072</v>
      </c>
      <c r="C3401" s="2" t="n">
        <v>1</v>
      </c>
      <c r="D3401" s="2" t="s">
        <v>7073</v>
      </c>
      <c r="E3401" s="2" t="s">
        <v>6670</v>
      </c>
      <c r="F3401" s="3" t="n">
        <v>45991.3583333333</v>
      </c>
      <c r="G3401" s="2" t="s">
        <v>6431</v>
      </c>
      <c r="H3401" s="4" t="n">
        <v>0.2023</v>
      </c>
      <c r="I3401" s="2" t="s">
        <v>23</v>
      </c>
      <c r="J3401" s="2" t="s">
        <v>165</v>
      </c>
      <c r="K3401" s="2" t="n">
        <v>7</v>
      </c>
      <c r="L3401" s="2" t="n">
        <v>1</v>
      </c>
      <c r="M3401" s="2" t="n">
        <v>0</v>
      </c>
    </row>
    <row r="3402" customFormat="false" ht="15" hidden="false" customHeight="false" outlineLevel="0" collapsed="false">
      <c r="A3402" s="2" t="s">
        <v>7074</v>
      </c>
      <c r="B3402" s="2" t="s">
        <v>7075</v>
      </c>
      <c r="C3402" s="2" t="n">
        <v>5</v>
      </c>
      <c r="D3402" s="2" t="s">
        <v>52</v>
      </c>
      <c r="E3402" s="2" t="s">
        <v>6670</v>
      </c>
      <c r="F3402" s="3" t="n">
        <v>45991.3666666667</v>
      </c>
      <c r="G3402" s="2" t="s">
        <v>6431</v>
      </c>
      <c r="H3402" s="4" t="n">
        <v>0.6369</v>
      </c>
      <c r="I3402" s="2" t="s">
        <v>23</v>
      </c>
      <c r="J3402" s="2" t="s">
        <v>19</v>
      </c>
      <c r="K3402" s="2" t="n">
        <v>4</v>
      </c>
      <c r="L3402" s="2" t="n">
        <v>0</v>
      </c>
      <c r="M3402" s="2" t="n">
        <v>0</v>
      </c>
    </row>
    <row r="3403" customFormat="false" ht="15" hidden="false" customHeight="false" outlineLevel="0" collapsed="false">
      <c r="A3403" s="2" t="s">
        <v>7076</v>
      </c>
      <c r="B3403" s="2" t="s">
        <v>7077</v>
      </c>
      <c r="C3403" s="2" t="n">
        <v>2</v>
      </c>
      <c r="D3403" s="2" t="s">
        <v>1192</v>
      </c>
      <c r="E3403" s="2" t="s">
        <v>6670</v>
      </c>
      <c r="F3403" s="3" t="n">
        <v>45991.4034722222</v>
      </c>
      <c r="G3403" s="2" t="s">
        <v>6431</v>
      </c>
      <c r="H3403" s="4" t="n">
        <v>0</v>
      </c>
      <c r="I3403" s="2" t="s">
        <v>18</v>
      </c>
      <c r="J3403" s="2" t="s">
        <v>165</v>
      </c>
      <c r="K3403" s="2" t="n">
        <v>2</v>
      </c>
      <c r="L3403" s="2" t="n">
        <v>1</v>
      </c>
      <c r="M3403" s="2" t="n">
        <v>0</v>
      </c>
    </row>
    <row r="3404" customFormat="false" ht="15" hidden="false" customHeight="false" outlineLevel="0" collapsed="false">
      <c r="A3404" s="2" t="s">
        <v>7078</v>
      </c>
      <c r="B3404" s="2" t="s">
        <v>7079</v>
      </c>
      <c r="C3404" s="2" t="n">
        <v>2</v>
      </c>
      <c r="D3404" s="2" t="s">
        <v>3638</v>
      </c>
      <c r="E3404" s="2" t="s">
        <v>6670</v>
      </c>
      <c r="F3404" s="3" t="n">
        <v>45991.4909722222</v>
      </c>
      <c r="G3404" s="2" t="s">
        <v>6431</v>
      </c>
      <c r="H3404" s="4" t="n">
        <v>0.105</v>
      </c>
      <c r="I3404" s="2" t="s">
        <v>23</v>
      </c>
      <c r="J3404" s="2" t="s">
        <v>37</v>
      </c>
      <c r="K3404" s="2" t="n">
        <v>1</v>
      </c>
      <c r="L3404" s="2" t="n">
        <v>0</v>
      </c>
      <c r="M3404" s="2" t="n">
        <v>0</v>
      </c>
    </row>
    <row r="3405" customFormat="false" ht="15" hidden="false" customHeight="false" outlineLevel="0" collapsed="false">
      <c r="A3405" s="2" t="s">
        <v>7080</v>
      </c>
      <c r="B3405" s="2" t="s">
        <v>7081</v>
      </c>
      <c r="C3405" s="2" t="n">
        <v>2</v>
      </c>
      <c r="D3405" s="2" t="s">
        <v>7082</v>
      </c>
      <c r="E3405" s="2" t="s">
        <v>6670</v>
      </c>
      <c r="F3405" s="3" t="n">
        <v>45991.4979166667</v>
      </c>
      <c r="G3405" s="2" t="s">
        <v>6431</v>
      </c>
      <c r="H3405" s="4" t="n">
        <v>0.1027</v>
      </c>
      <c r="I3405" s="2" t="s">
        <v>23</v>
      </c>
      <c r="J3405" s="2" t="s">
        <v>33</v>
      </c>
      <c r="K3405" s="2" t="n">
        <v>3</v>
      </c>
      <c r="L3405" s="2" t="n">
        <v>1</v>
      </c>
      <c r="M3405" s="2" t="n">
        <v>0</v>
      </c>
    </row>
    <row r="3406" customFormat="false" ht="15" hidden="false" customHeight="false" outlineLevel="0" collapsed="false">
      <c r="A3406" s="2" t="s">
        <v>7083</v>
      </c>
      <c r="B3406" s="2" t="s">
        <v>7084</v>
      </c>
      <c r="C3406" s="2" t="n">
        <v>3</v>
      </c>
      <c r="D3406" s="2" t="s">
        <v>22</v>
      </c>
      <c r="E3406" s="2" t="s">
        <v>6670</v>
      </c>
      <c r="F3406" s="3" t="n">
        <v>45991.5402777778</v>
      </c>
      <c r="G3406" s="2" t="s">
        <v>6431</v>
      </c>
      <c r="H3406" s="4" t="n">
        <v>0.2023</v>
      </c>
      <c r="I3406" s="2" t="s">
        <v>23</v>
      </c>
      <c r="J3406" s="2" t="s">
        <v>19</v>
      </c>
      <c r="K3406" s="2" t="n">
        <v>2</v>
      </c>
      <c r="L3406" s="2" t="n">
        <v>0</v>
      </c>
      <c r="M3406" s="2" t="n">
        <v>0</v>
      </c>
    </row>
    <row r="3407" customFormat="false" ht="15" hidden="false" customHeight="false" outlineLevel="0" collapsed="false">
      <c r="A3407" s="2" t="s">
        <v>7085</v>
      </c>
      <c r="B3407" s="2" t="s">
        <v>7086</v>
      </c>
      <c r="C3407" s="2" t="n">
        <v>1</v>
      </c>
      <c r="D3407" s="2" t="s">
        <v>7087</v>
      </c>
      <c r="E3407" s="2" t="s">
        <v>6670</v>
      </c>
      <c r="F3407" s="3" t="n">
        <v>45991.7076388889</v>
      </c>
      <c r="G3407" s="2" t="s">
        <v>6431</v>
      </c>
      <c r="H3407" s="4" t="n">
        <v>-0.1027</v>
      </c>
      <c r="I3407" s="2" t="s">
        <v>84</v>
      </c>
      <c r="J3407" s="2" t="s">
        <v>33</v>
      </c>
      <c r="K3407" s="2" t="n">
        <v>7</v>
      </c>
      <c r="L3407" s="2" t="n">
        <v>1</v>
      </c>
      <c r="M3407" s="2" t="n">
        <v>0</v>
      </c>
    </row>
    <row r="3408" customFormat="false" ht="15" hidden="false" customHeight="false" outlineLevel="0" collapsed="false">
      <c r="A3408" s="2" t="s">
        <v>7088</v>
      </c>
      <c r="B3408" s="2" t="s">
        <v>7089</v>
      </c>
      <c r="C3408" s="2" t="n">
        <v>4</v>
      </c>
      <c r="D3408" s="2" t="s">
        <v>22</v>
      </c>
      <c r="E3408" s="2" t="s">
        <v>6670</v>
      </c>
      <c r="F3408" s="3" t="n">
        <v>45991.9215277778</v>
      </c>
      <c r="G3408" s="2" t="s">
        <v>6431</v>
      </c>
      <c r="H3408" s="4" t="n">
        <v>0.2023</v>
      </c>
      <c r="I3408" s="2" t="s">
        <v>23</v>
      </c>
      <c r="J3408" s="2" t="s">
        <v>19</v>
      </c>
      <c r="K3408" s="2" t="n">
        <v>1</v>
      </c>
      <c r="L3408" s="2" t="n">
        <v>0</v>
      </c>
      <c r="M3408" s="2" t="n">
        <v>0</v>
      </c>
    </row>
    <row r="3409" customFormat="false" ht="15" hidden="false" customHeight="false" outlineLevel="0" collapsed="false">
      <c r="A3409" s="2" t="s">
        <v>7090</v>
      </c>
      <c r="B3409" s="2" t="s">
        <v>7091</v>
      </c>
      <c r="C3409" s="2" t="n">
        <v>1</v>
      </c>
      <c r="D3409" s="2" t="s">
        <v>168</v>
      </c>
      <c r="E3409" s="2" t="s">
        <v>6670</v>
      </c>
      <c r="F3409" s="3" t="n">
        <v>45992.0277777778</v>
      </c>
      <c r="G3409" s="2" t="s">
        <v>7092</v>
      </c>
      <c r="H3409" s="4" t="n">
        <v>-0.1027</v>
      </c>
      <c r="I3409" s="2" t="s">
        <v>84</v>
      </c>
      <c r="J3409" s="2" t="s">
        <v>33</v>
      </c>
      <c r="K3409" s="2" t="n">
        <v>5</v>
      </c>
      <c r="L3409" s="2" t="n">
        <v>1</v>
      </c>
      <c r="M3409" s="2" t="n">
        <v>0</v>
      </c>
    </row>
    <row r="3410" customFormat="false" ht="15" hidden="false" customHeight="false" outlineLevel="0" collapsed="false">
      <c r="A3410" s="2" t="s">
        <v>7093</v>
      </c>
      <c r="B3410" s="2" t="s">
        <v>7094</v>
      </c>
      <c r="C3410" s="2" t="n">
        <v>5</v>
      </c>
      <c r="D3410" s="2" t="s">
        <v>127</v>
      </c>
      <c r="E3410" s="2" t="s">
        <v>6670</v>
      </c>
      <c r="F3410" s="3" t="n">
        <v>45992.0479166667</v>
      </c>
      <c r="G3410" s="2" t="s">
        <v>7092</v>
      </c>
      <c r="H3410" s="4" t="n">
        <v>0.9359</v>
      </c>
      <c r="I3410" s="2" t="s">
        <v>23</v>
      </c>
      <c r="J3410" s="2" t="s">
        <v>37</v>
      </c>
      <c r="K3410" s="2" t="n">
        <v>1</v>
      </c>
      <c r="L3410" s="2" t="n">
        <v>0</v>
      </c>
      <c r="M3410" s="2" t="n">
        <v>0</v>
      </c>
    </row>
    <row r="3411" customFormat="false" ht="15" hidden="false" customHeight="false" outlineLevel="0" collapsed="false">
      <c r="A3411" s="2" t="s">
        <v>7095</v>
      </c>
      <c r="B3411" s="2" t="s">
        <v>5970</v>
      </c>
      <c r="C3411" s="2" t="n">
        <v>1</v>
      </c>
      <c r="D3411" s="2" t="s">
        <v>7096</v>
      </c>
      <c r="E3411" s="2" t="s">
        <v>6670</v>
      </c>
      <c r="F3411" s="3" t="n">
        <v>45992.0618055556</v>
      </c>
      <c r="G3411" s="2" t="s">
        <v>7092</v>
      </c>
      <c r="H3411" s="4" t="n">
        <v>-0.4019</v>
      </c>
      <c r="I3411" s="2" t="s">
        <v>84</v>
      </c>
      <c r="J3411" s="2" t="s">
        <v>37</v>
      </c>
      <c r="K3411" s="2" t="n">
        <v>5</v>
      </c>
      <c r="L3411" s="2" t="n">
        <v>0</v>
      </c>
      <c r="M3411" s="2" t="n">
        <v>0</v>
      </c>
    </row>
    <row r="3412" customFormat="false" ht="15" hidden="false" customHeight="false" outlineLevel="0" collapsed="false">
      <c r="A3412" s="2" t="s">
        <v>7097</v>
      </c>
      <c r="B3412" s="2" t="s">
        <v>7098</v>
      </c>
      <c r="C3412" s="2" t="n">
        <v>5</v>
      </c>
      <c r="D3412" s="2" t="s">
        <v>47</v>
      </c>
      <c r="E3412" s="2" t="s">
        <v>6670</v>
      </c>
      <c r="F3412" s="3" t="n">
        <v>45992.0826388889</v>
      </c>
      <c r="G3412" s="2" t="s">
        <v>7092</v>
      </c>
      <c r="H3412" s="4" t="n">
        <v>0.3089</v>
      </c>
      <c r="I3412" s="2" t="s">
        <v>23</v>
      </c>
      <c r="J3412" s="2" t="s">
        <v>19</v>
      </c>
      <c r="K3412" s="2" t="n">
        <v>5</v>
      </c>
      <c r="L3412" s="2" t="n">
        <v>0</v>
      </c>
      <c r="M3412" s="2" t="n">
        <v>0</v>
      </c>
    </row>
    <row r="3413" customFormat="false" ht="15" hidden="false" customHeight="false" outlineLevel="0" collapsed="false">
      <c r="A3413" s="2" t="s">
        <v>7099</v>
      </c>
      <c r="B3413" s="2" t="s">
        <v>7100</v>
      </c>
      <c r="C3413" s="2" t="n">
        <v>4</v>
      </c>
      <c r="D3413" s="2" t="s">
        <v>90</v>
      </c>
      <c r="E3413" s="2" t="s">
        <v>6670</v>
      </c>
      <c r="F3413" s="3" t="n">
        <v>45992.1173611111</v>
      </c>
      <c r="G3413" s="2" t="s">
        <v>7092</v>
      </c>
      <c r="H3413" s="4" t="n">
        <v>0.6249</v>
      </c>
      <c r="I3413" s="2" t="s">
        <v>23</v>
      </c>
      <c r="J3413" s="2" t="s">
        <v>37</v>
      </c>
      <c r="K3413" s="2" t="n">
        <v>7</v>
      </c>
      <c r="L3413" s="2" t="n">
        <v>0</v>
      </c>
      <c r="M3413" s="2" t="n">
        <v>0</v>
      </c>
    </row>
    <row r="3414" customFormat="false" ht="15" hidden="false" customHeight="false" outlineLevel="0" collapsed="false">
      <c r="A3414" s="2" t="s">
        <v>7101</v>
      </c>
      <c r="B3414" s="2" t="s">
        <v>7102</v>
      </c>
      <c r="C3414" s="2" t="n">
        <v>1</v>
      </c>
      <c r="D3414" s="2" t="s">
        <v>397</v>
      </c>
      <c r="E3414" s="2" t="s">
        <v>6670</v>
      </c>
      <c r="F3414" s="3" t="n">
        <v>45992.1493055556</v>
      </c>
      <c r="G3414" s="2" t="s">
        <v>7092</v>
      </c>
      <c r="H3414" s="4" t="n">
        <v>0</v>
      </c>
      <c r="I3414" s="2" t="s">
        <v>18</v>
      </c>
      <c r="J3414" s="2" t="s">
        <v>110</v>
      </c>
      <c r="K3414" s="2" t="n">
        <v>8</v>
      </c>
      <c r="L3414" s="2" t="n">
        <v>0</v>
      </c>
      <c r="M3414" s="2" t="n">
        <v>0</v>
      </c>
    </row>
    <row r="3415" customFormat="false" ht="15" hidden="false" customHeight="false" outlineLevel="0" collapsed="false">
      <c r="A3415" s="2" t="s">
        <v>7103</v>
      </c>
      <c r="B3415" s="2" t="s">
        <v>7104</v>
      </c>
      <c r="C3415" s="2" t="n">
        <v>1</v>
      </c>
      <c r="D3415" s="2" t="s">
        <v>168</v>
      </c>
      <c r="E3415" s="2" t="s">
        <v>6670</v>
      </c>
      <c r="F3415" s="3" t="n">
        <v>45992.2347222222</v>
      </c>
      <c r="G3415" s="2" t="s">
        <v>7092</v>
      </c>
      <c r="H3415" s="4" t="n">
        <v>-0.1027</v>
      </c>
      <c r="I3415" s="2" t="s">
        <v>84</v>
      </c>
      <c r="J3415" s="2" t="s">
        <v>33</v>
      </c>
      <c r="K3415" s="2" t="n">
        <v>0</v>
      </c>
      <c r="L3415" s="2" t="n">
        <v>1</v>
      </c>
      <c r="M3415" s="2" t="n">
        <v>0</v>
      </c>
    </row>
    <row r="3416" customFormat="false" ht="15" hidden="false" customHeight="false" outlineLevel="0" collapsed="false">
      <c r="A3416" s="2" t="s">
        <v>7105</v>
      </c>
      <c r="B3416" s="2" t="s">
        <v>7106</v>
      </c>
      <c r="C3416" s="2" t="n">
        <v>1</v>
      </c>
      <c r="D3416" s="2" t="s">
        <v>231</v>
      </c>
      <c r="E3416" s="2" t="s">
        <v>6670</v>
      </c>
      <c r="F3416" s="3" t="n">
        <v>45992.2416666667</v>
      </c>
      <c r="G3416" s="2" t="s">
        <v>7092</v>
      </c>
      <c r="H3416" s="4" t="n">
        <v>-0.3593</v>
      </c>
      <c r="I3416" s="2" t="s">
        <v>84</v>
      </c>
      <c r="J3416" s="2" t="s">
        <v>33</v>
      </c>
      <c r="K3416" s="2" t="n">
        <v>1</v>
      </c>
      <c r="L3416" s="2" t="n">
        <v>1</v>
      </c>
      <c r="M3416" s="2" t="n">
        <v>0</v>
      </c>
    </row>
    <row r="3417" customFormat="false" ht="15" hidden="false" customHeight="false" outlineLevel="0" collapsed="false">
      <c r="A3417" s="2" t="s">
        <v>7107</v>
      </c>
      <c r="B3417" s="2" t="s">
        <v>7108</v>
      </c>
      <c r="C3417" s="2" t="n">
        <v>5</v>
      </c>
      <c r="D3417" s="2" t="s">
        <v>96</v>
      </c>
      <c r="E3417" s="2" t="s">
        <v>6670</v>
      </c>
      <c r="F3417" s="3" t="n">
        <v>45992.2625</v>
      </c>
      <c r="G3417" s="2" t="s">
        <v>7092</v>
      </c>
      <c r="H3417" s="4" t="n">
        <v>0.6369</v>
      </c>
      <c r="I3417" s="2" t="s">
        <v>23</v>
      </c>
      <c r="J3417" s="2" t="s">
        <v>19</v>
      </c>
      <c r="K3417" s="2" t="n">
        <v>3</v>
      </c>
      <c r="L3417" s="2" t="n">
        <v>0</v>
      </c>
      <c r="M3417" s="2" t="n">
        <v>0</v>
      </c>
    </row>
    <row r="3418" customFormat="false" ht="15" hidden="false" customHeight="false" outlineLevel="0" collapsed="false">
      <c r="A3418" s="2" t="s">
        <v>7109</v>
      </c>
      <c r="B3418" s="2" t="s">
        <v>7110</v>
      </c>
      <c r="C3418" s="2" t="n">
        <v>3</v>
      </c>
      <c r="D3418" s="2" t="s">
        <v>36</v>
      </c>
      <c r="E3418" s="2" t="s">
        <v>6670</v>
      </c>
      <c r="F3418" s="3" t="n">
        <v>45992.2840277778</v>
      </c>
      <c r="G3418" s="2" t="s">
        <v>7092</v>
      </c>
      <c r="H3418" s="4" t="n">
        <v>0.4404</v>
      </c>
      <c r="I3418" s="2" t="s">
        <v>23</v>
      </c>
      <c r="J3418" s="2" t="s">
        <v>37</v>
      </c>
      <c r="K3418" s="2" t="n">
        <v>4</v>
      </c>
      <c r="L3418" s="2" t="n">
        <v>0</v>
      </c>
      <c r="M3418" s="2" t="n">
        <v>0</v>
      </c>
    </row>
    <row r="3419" customFormat="false" ht="15" hidden="false" customHeight="false" outlineLevel="0" collapsed="false">
      <c r="A3419" s="2" t="s">
        <v>7111</v>
      </c>
      <c r="B3419" s="2" t="s">
        <v>2850</v>
      </c>
      <c r="C3419" s="2" t="n">
        <v>3</v>
      </c>
      <c r="D3419" s="2" t="s">
        <v>2834</v>
      </c>
      <c r="E3419" s="2" t="s">
        <v>6670</v>
      </c>
      <c r="F3419" s="3" t="n">
        <v>45992.3034722222</v>
      </c>
      <c r="G3419" s="2" t="s">
        <v>7092</v>
      </c>
      <c r="H3419" s="4" t="n">
        <v>0.7003</v>
      </c>
      <c r="I3419" s="2" t="s">
        <v>23</v>
      </c>
      <c r="J3419" s="2" t="s">
        <v>37</v>
      </c>
      <c r="K3419" s="2" t="n">
        <v>2</v>
      </c>
      <c r="L3419" s="2" t="n">
        <v>0</v>
      </c>
      <c r="M3419" s="2" t="n">
        <v>0</v>
      </c>
    </row>
    <row r="3420" customFormat="false" ht="15" hidden="false" customHeight="false" outlineLevel="0" collapsed="false">
      <c r="A3420" s="2" t="s">
        <v>7112</v>
      </c>
      <c r="B3420" s="2" t="s">
        <v>7113</v>
      </c>
      <c r="C3420" s="2" t="n">
        <v>1</v>
      </c>
      <c r="D3420" s="2" t="s">
        <v>1942</v>
      </c>
      <c r="E3420" s="2" t="s">
        <v>6670</v>
      </c>
      <c r="F3420" s="3" t="n">
        <v>45992.3159722222</v>
      </c>
      <c r="G3420" s="2" t="s">
        <v>7092</v>
      </c>
      <c r="H3420" s="4" t="n">
        <v>0</v>
      </c>
      <c r="I3420" s="2" t="s">
        <v>18</v>
      </c>
      <c r="J3420" s="2" t="s">
        <v>165</v>
      </c>
      <c r="K3420" s="2" t="n">
        <v>4</v>
      </c>
      <c r="L3420" s="2" t="n">
        <v>1</v>
      </c>
      <c r="M3420" s="2" t="n">
        <v>0</v>
      </c>
    </row>
    <row r="3421" customFormat="false" ht="15" hidden="false" customHeight="false" outlineLevel="0" collapsed="false">
      <c r="A3421" s="2" t="s">
        <v>7114</v>
      </c>
      <c r="B3421" s="2" t="s">
        <v>7115</v>
      </c>
      <c r="C3421" s="2" t="n">
        <v>4</v>
      </c>
      <c r="D3421" s="2" t="s">
        <v>99</v>
      </c>
      <c r="E3421" s="2" t="s">
        <v>6670</v>
      </c>
      <c r="F3421" s="3" t="n">
        <v>45992.4069444445</v>
      </c>
      <c r="G3421" s="2" t="s">
        <v>7092</v>
      </c>
      <c r="H3421" s="4" t="n">
        <v>-0.3089</v>
      </c>
      <c r="I3421" s="2" t="s">
        <v>84</v>
      </c>
      <c r="J3421" s="2" t="s">
        <v>19</v>
      </c>
      <c r="K3421" s="2" t="n">
        <v>1</v>
      </c>
      <c r="L3421" s="2" t="n">
        <v>0</v>
      </c>
      <c r="M3421" s="2" t="n">
        <v>0</v>
      </c>
    </row>
    <row r="3422" customFormat="false" ht="15" hidden="false" customHeight="false" outlineLevel="0" collapsed="false">
      <c r="A3422" s="2" t="s">
        <v>7116</v>
      </c>
      <c r="B3422" s="2" t="s">
        <v>5924</v>
      </c>
      <c r="C3422" s="2" t="n">
        <v>1</v>
      </c>
      <c r="D3422" s="2" t="s">
        <v>133</v>
      </c>
      <c r="E3422" s="2" t="s">
        <v>6670</v>
      </c>
      <c r="F3422" s="3" t="n">
        <v>45992.4166666667</v>
      </c>
      <c r="G3422" s="2" t="s">
        <v>7092</v>
      </c>
      <c r="H3422" s="4" t="n">
        <v>-0.5719</v>
      </c>
      <c r="I3422" s="2" t="s">
        <v>84</v>
      </c>
      <c r="J3422" s="2" t="s">
        <v>33</v>
      </c>
      <c r="K3422" s="2" t="n">
        <v>0</v>
      </c>
      <c r="L3422" s="2" t="n">
        <v>0</v>
      </c>
      <c r="M3422" s="2" t="n">
        <v>0</v>
      </c>
    </row>
    <row r="3423" customFormat="false" ht="15" hidden="false" customHeight="false" outlineLevel="0" collapsed="false">
      <c r="A3423" s="2" t="s">
        <v>7117</v>
      </c>
      <c r="B3423" s="2" t="s">
        <v>5387</v>
      </c>
      <c r="C3423" s="2" t="n">
        <v>5</v>
      </c>
      <c r="D3423" s="2" t="s">
        <v>127</v>
      </c>
      <c r="E3423" s="2" t="s">
        <v>6670</v>
      </c>
      <c r="F3423" s="3" t="n">
        <v>45992.4256944444</v>
      </c>
      <c r="G3423" s="2" t="s">
        <v>7092</v>
      </c>
      <c r="H3423" s="4" t="n">
        <v>0.9359</v>
      </c>
      <c r="I3423" s="2" t="s">
        <v>23</v>
      </c>
      <c r="J3423" s="2" t="s">
        <v>37</v>
      </c>
      <c r="K3423" s="2" t="n">
        <v>0</v>
      </c>
      <c r="L3423" s="2" t="n">
        <v>0</v>
      </c>
      <c r="M3423" s="2" t="n">
        <v>0</v>
      </c>
    </row>
    <row r="3424" customFormat="false" ht="15" hidden="false" customHeight="false" outlineLevel="0" collapsed="false">
      <c r="A3424" s="2" t="s">
        <v>7118</v>
      </c>
      <c r="B3424" s="2" t="s">
        <v>7119</v>
      </c>
      <c r="C3424" s="2" t="n">
        <v>5</v>
      </c>
      <c r="D3424" s="2" t="s">
        <v>1698</v>
      </c>
      <c r="E3424" s="2" t="s">
        <v>6670</v>
      </c>
      <c r="F3424" s="3" t="n">
        <v>45992.4319444444</v>
      </c>
      <c r="G3424" s="2" t="s">
        <v>7092</v>
      </c>
      <c r="H3424" s="4" t="n">
        <v>0.7845</v>
      </c>
      <c r="I3424" s="2" t="s">
        <v>23</v>
      </c>
      <c r="J3424" s="2" t="s">
        <v>33</v>
      </c>
      <c r="K3424" s="2" t="n">
        <v>0</v>
      </c>
      <c r="L3424" s="2" t="n">
        <v>0</v>
      </c>
      <c r="M3424" s="2" t="n">
        <v>0</v>
      </c>
    </row>
    <row r="3425" customFormat="false" ht="15" hidden="false" customHeight="false" outlineLevel="0" collapsed="false">
      <c r="A3425" s="2" t="s">
        <v>7120</v>
      </c>
      <c r="B3425" s="2" t="s">
        <v>7121</v>
      </c>
      <c r="C3425" s="2" t="n">
        <v>3</v>
      </c>
      <c r="D3425" s="2" t="s">
        <v>455</v>
      </c>
      <c r="E3425" s="2" t="s">
        <v>6670</v>
      </c>
      <c r="F3425" s="3" t="n">
        <v>45992.5645833333</v>
      </c>
      <c r="G3425" s="2" t="s">
        <v>7092</v>
      </c>
      <c r="H3425" s="4" t="n">
        <v>-0.2263</v>
      </c>
      <c r="I3425" s="2" t="s">
        <v>84</v>
      </c>
      <c r="J3425" s="2" t="s">
        <v>165</v>
      </c>
      <c r="K3425" s="2" t="n">
        <v>1</v>
      </c>
      <c r="L3425" s="2" t="n">
        <v>0</v>
      </c>
      <c r="M3425" s="2" t="n">
        <v>0</v>
      </c>
    </row>
    <row r="3426" customFormat="false" ht="15" hidden="false" customHeight="false" outlineLevel="0" collapsed="false">
      <c r="A3426" s="2" t="s">
        <v>7122</v>
      </c>
      <c r="B3426" s="2" t="s">
        <v>7123</v>
      </c>
      <c r="C3426" s="2" t="n">
        <v>4</v>
      </c>
      <c r="D3426" s="2" t="s">
        <v>90</v>
      </c>
      <c r="E3426" s="2" t="s">
        <v>6670</v>
      </c>
      <c r="F3426" s="3" t="n">
        <v>45992.6027777778</v>
      </c>
      <c r="G3426" s="2" t="s">
        <v>7092</v>
      </c>
      <c r="H3426" s="4" t="n">
        <v>0.6249</v>
      </c>
      <c r="I3426" s="2" t="s">
        <v>23</v>
      </c>
      <c r="J3426" s="2" t="s">
        <v>37</v>
      </c>
      <c r="K3426" s="2" t="n">
        <v>8</v>
      </c>
      <c r="L3426" s="2" t="n">
        <v>0</v>
      </c>
      <c r="M3426" s="2" t="n">
        <v>0</v>
      </c>
    </row>
    <row r="3427" customFormat="false" ht="15" hidden="false" customHeight="false" outlineLevel="0" collapsed="false">
      <c r="A3427" s="2" t="s">
        <v>7124</v>
      </c>
      <c r="B3427" s="2" t="s">
        <v>7125</v>
      </c>
      <c r="C3427" s="2" t="n">
        <v>4</v>
      </c>
      <c r="D3427" s="2" t="s">
        <v>52</v>
      </c>
      <c r="E3427" s="2" t="s">
        <v>6670</v>
      </c>
      <c r="F3427" s="3" t="n">
        <v>45992.9576388889</v>
      </c>
      <c r="G3427" s="2" t="s">
        <v>7092</v>
      </c>
      <c r="H3427" s="4" t="n">
        <v>0.6369</v>
      </c>
      <c r="I3427" s="2" t="s">
        <v>23</v>
      </c>
      <c r="J3427" s="2" t="s">
        <v>19</v>
      </c>
      <c r="K3427" s="2" t="n">
        <v>1</v>
      </c>
      <c r="L3427" s="2" t="n">
        <v>0</v>
      </c>
      <c r="M3427" s="2" t="n">
        <v>0</v>
      </c>
    </row>
    <row r="3428" customFormat="false" ht="15" hidden="false" customHeight="false" outlineLevel="0" collapsed="false">
      <c r="A3428" s="2" t="s">
        <v>7126</v>
      </c>
      <c r="B3428" s="2" t="s">
        <v>7127</v>
      </c>
      <c r="C3428" s="2" t="n">
        <v>5</v>
      </c>
      <c r="D3428" s="2" t="s">
        <v>90</v>
      </c>
      <c r="E3428" s="2" t="s">
        <v>6670</v>
      </c>
      <c r="F3428" s="3" t="n">
        <v>45992.9847222222</v>
      </c>
      <c r="G3428" s="2" t="s">
        <v>7092</v>
      </c>
      <c r="H3428" s="4" t="n">
        <v>0.6249</v>
      </c>
      <c r="I3428" s="2" t="s">
        <v>23</v>
      </c>
      <c r="J3428" s="2" t="s">
        <v>37</v>
      </c>
      <c r="K3428" s="2" t="n">
        <v>7</v>
      </c>
      <c r="L3428" s="2" t="n">
        <v>0</v>
      </c>
      <c r="M3428" s="2" t="n">
        <v>0</v>
      </c>
    </row>
    <row r="3429" customFormat="false" ht="15" hidden="false" customHeight="false" outlineLevel="0" collapsed="false">
      <c r="A3429" s="2" t="s">
        <v>7128</v>
      </c>
      <c r="B3429" s="2" t="s">
        <v>7129</v>
      </c>
      <c r="C3429" s="2" t="n">
        <v>1</v>
      </c>
      <c r="D3429" s="2" t="s">
        <v>482</v>
      </c>
      <c r="E3429" s="2" t="s">
        <v>6670</v>
      </c>
      <c r="F3429" s="3" t="n">
        <v>45993.1277777778</v>
      </c>
      <c r="G3429" s="2" t="s">
        <v>7092</v>
      </c>
      <c r="H3429" s="4" t="n">
        <v>-0.6808</v>
      </c>
      <c r="I3429" s="2" t="s">
        <v>84</v>
      </c>
      <c r="J3429" s="2" t="s">
        <v>110</v>
      </c>
      <c r="K3429" s="2" t="n">
        <v>1</v>
      </c>
      <c r="L3429" s="2" t="n">
        <v>1</v>
      </c>
      <c r="M3429" s="2" t="n">
        <v>0</v>
      </c>
    </row>
    <row r="3430" customFormat="false" ht="15" hidden="false" customHeight="false" outlineLevel="0" collapsed="false">
      <c r="A3430" s="2" t="s">
        <v>7130</v>
      </c>
      <c r="B3430" s="2" t="s">
        <v>7131</v>
      </c>
      <c r="C3430" s="2" t="n">
        <v>4</v>
      </c>
      <c r="D3430" s="2" t="s">
        <v>127</v>
      </c>
      <c r="E3430" s="2" t="s">
        <v>6670</v>
      </c>
      <c r="F3430" s="3" t="n">
        <v>45993.2131944444</v>
      </c>
      <c r="G3430" s="2" t="s">
        <v>7092</v>
      </c>
      <c r="H3430" s="4" t="n">
        <v>0.9359</v>
      </c>
      <c r="I3430" s="2" t="s">
        <v>23</v>
      </c>
      <c r="J3430" s="2" t="s">
        <v>37</v>
      </c>
      <c r="K3430" s="2" t="n">
        <v>2</v>
      </c>
      <c r="L3430" s="2" t="n">
        <v>0</v>
      </c>
      <c r="M3430" s="2" t="n">
        <v>0</v>
      </c>
    </row>
    <row r="3431" customFormat="false" ht="15" hidden="false" customHeight="false" outlineLevel="0" collapsed="false">
      <c r="A3431" s="2" t="s">
        <v>7132</v>
      </c>
      <c r="B3431" s="2" t="s">
        <v>7133</v>
      </c>
      <c r="C3431" s="2" t="n">
        <v>4</v>
      </c>
      <c r="D3431" s="2" t="s">
        <v>301</v>
      </c>
      <c r="E3431" s="2" t="s">
        <v>6670</v>
      </c>
      <c r="F3431" s="3" t="n">
        <v>45993.2930555556</v>
      </c>
      <c r="G3431" s="2" t="s">
        <v>7092</v>
      </c>
      <c r="H3431" s="4" t="n">
        <v>0.2263</v>
      </c>
      <c r="I3431" s="2" t="s">
        <v>23</v>
      </c>
      <c r="J3431" s="2" t="s">
        <v>19</v>
      </c>
      <c r="K3431" s="2" t="n">
        <v>5</v>
      </c>
      <c r="L3431" s="2" t="n">
        <v>0</v>
      </c>
      <c r="M3431" s="2" t="n">
        <v>0</v>
      </c>
    </row>
    <row r="3432" customFormat="false" ht="15" hidden="false" customHeight="false" outlineLevel="0" collapsed="false">
      <c r="A3432" s="2" t="s">
        <v>7134</v>
      </c>
      <c r="B3432" s="2" t="s">
        <v>7135</v>
      </c>
      <c r="C3432" s="2" t="n">
        <v>4</v>
      </c>
      <c r="D3432" s="2" t="s">
        <v>1018</v>
      </c>
      <c r="E3432" s="2" t="s">
        <v>6670</v>
      </c>
      <c r="F3432" s="3" t="n">
        <v>45993.3895833333</v>
      </c>
      <c r="G3432" s="2" t="s">
        <v>7092</v>
      </c>
      <c r="H3432" s="4" t="n">
        <v>0.803</v>
      </c>
      <c r="I3432" s="2" t="s">
        <v>23</v>
      </c>
      <c r="J3432" s="2" t="s">
        <v>19</v>
      </c>
      <c r="K3432" s="2" t="n">
        <v>3</v>
      </c>
      <c r="L3432" s="2" t="n">
        <v>0</v>
      </c>
      <c r="M3432" s="2" t="n">
        <v>0</v>
      </c>
    </row>
    <row r="3433" customFormat="false" ht="15" hidden="false" customHeight="false" outlineLevel="0" collapsed="false">
      <c r="A3433" s="2" t="s">
        <v>7136</v>
      </c>
      <c r="B3433" s="2" t="s">
        <v>7137</v>
      </c>
      <c r="C3433" s="2" t="n">
        <v>5</v>
      </c>
      <c r="D3433" s="2" t="s">
        <v>76</v>
      </c>
      <c r="E3433" s="2" t="s">
        <v>6670</v>
      </c>
      <c r="F3433" s="3" t="n">
        <v>45993.5048611111</v>
      </c>
      <c r="G3433" s="2" t="s">
        <v>7092</v>
      </c>
      <c r="H3433" s="4" t="n">
        <v>0.607</v>
      </c>
      <c r="I3433" s="2" t="s">
        <v>23</v>
      </c>
      <c r="J3433" s="2" t="s">
        <v>33</v>
      </c>
      <c r="K3433" s="2" t="n">
        <v>7</v>
      </c>
      <c r="L3433" s="2" t="n">
        <v>0</v>
      </c>
      <c r="M3433" s="2" t="n">
        <v>0</v>
      </c>
    </row>
    <row r="3434" customFormat="false" ht="15" hidden="false" customHeight="false" outlineLevel="0" collapsed="false">
      <c r="A3434" s="2" t="s">
        <v>7138</v>
      </c>
      <c r="B3434" s="2" t="s">
        <v>7139</v>
      </c>
      <c r="C3434" s="2" t="n">
        <v>1</v>
      </c>
      <c r="D3434" s="2" t="s">
        <v>83</v>
      </c>
      <c r="E3434" s="2" t="s">
        <v>6670</v>
      </c>
      <c r="F3434" s="3" t="n">
        <v>45993.7076388889</v>
      </c>
      <c r="G3434" s="2" t="s">
        <v>7092</v>
      </c>
      <c r="H3434" s="4" t="n">
        <v>-0.6166</v>
      </c>
      <c r="I3434" s="2" t="s">
        <v>84</v>
      </c>
      <c r="J3434" s="2" t="s">
        <v>59</v>
      </c>
      <c r="K3434" s="2" t="n">
        <v>0</v>
      </c>
      <c r="L3434" s="2" t="n">
        <v>0</v>
      </c>
      <c r="M3434" s="2" t="n">
        <v>0</v>
      </c>
    </row>
    <row r="3435" customFormat="false" ht="15" hidden="false" customHeight="false" outlineLevel="0" collapsed="false">
      <c r="A3435" s="2" t="s">
        <v>7140</v>
      </c>
      <c r="B3435" s="2" t="s">
        <v>7141</v>
      </c>
      <c r="C3435" s="2" t="n">
        <v>4</v>
      </c>
      <c r="D3435" s="2" t="s">
        <v>22</v>
      </c>
      <c r="E3435" s="2" t="s">
        <v>6670</v>
      </c>
      <c r="F3435" s="3" t="n">
        <v>45993.7472222222</v>
      </c>
      <c r="G3435" s="2" t="s">
        <v>7092</v>
      </c>
      <c r="H3435" s="4" t="n">
        <v>0.2023</v>
      </c>
      <c r="I3435" s="2" t="s">
        <v>23</v>
      </c>
      <c r="J3435" s="2" t="s">
        <v>19</v>
      </c>
      <c r="K3435" s="2" t="n">
        <v>0</v>
      </c>
      <c r="L3435" s="2" t="n">
        <v>0</v>
      </c>
      <c r="M3435" s="2" t="n">
        <v>0</v>
      </c>
    </row>
    <row r="3436" customFormat="false" ht="15" hidden="false" customHeight="false" outlineLevel="0" collapsed="false">
      <c r="A3436" s="2" t="s">
        <v>7142</v>
      </c>
      <c r="B3436" s="2" t="s">
        <v>7143</v>
      </c>
      <c r="C3436" s="2" t="n">
        <v>5</v>
      </c>
      <c r="D3436" s="2" t="s">
        <v>90</v>
      </c>
      <c r="E3436" s="2" t="s">
        <v>6670</v>
      </c>
      <c r="F3436" s="3" t="n">
        <v>45993.8097222222</v>
      </c>
      <c r="G3436" s="2" t="s">
        <v>7092</v>
      </c>
      <c r="H3436" s="4" t="n">
        <v>0.6249</v>
      </c>
      <c r="I3436" s="2" t="s">
        <v>23</v>
      </c>
      <c r="J3436" s="2" t="s">
        <v>37</v>
      </c>
      <c r="K3436" s="2" t="n">
        <v>0</v>
      </c>
      <c r="L3436" s="2" t="n">
        <v>0</v>
      </c>
      <c r="M3436" s="2" t="n">
        <v>0</v>
      </c>
    </row>
    <row r="3437" customFormat="false" ht="15" hidden="false" customHeight="false" outlineLevel="0" collapsed="false">
      <c r="A3437" s="2" t="s">
        <v>7144</v>
      </c>
      <c r="B3437" s="2" t="s">
        <v>7145</v>
      </c>
      <c r="C3437" s="2" t="n">
        <v>4</v>
      </c>
      <c r="D3437" s="2" t="s">
        <v>99</v>
      </c>
      <c r="E3437" s="2" t="s">
        <v>6670</v>
      </c>
      <c r="F3437" s="3" t="n">
        <v>45993.8708333333</v>
      </c>
      <c r="G3437" s="2" t="s">
        <v>7092</v>
      </c>
      <c r="H3437" s="4" t="n">
        <v>-0.3089</v>
      </c>
      <c r="I3437" s="2" t="s">
        <v>84</v>
      </c>
      <c r="J3437" s="2" t="s">
        <v>19</v>
      </c>
      <c r="K3437" s="2" t="n">
        <v>1</v>
      </c>
      <c r="L3437" s="2" t="n">
        <v>0</v>
      </c>
      <c r="M3437" s="2" t="n">
        <v>0</v>
      </c>
    </row>
    <row r="3438" customFormat="false" ht="15" hidden="false" customHeight="false" outlineLevel="0" collapsed="false">
      <c r="A3438" s="2" t="s">
        <v>7146</v>
      </c>
      <c r="B3438" s="2" t="s">
        <v>7147</v>
      </c>
      <c r="C3438" s="2" t="n">
        <v>3</v>
      </c>
      <c r="D3438" s="2" t="s">
        <v>2193</v>
      </c>
      <c r="E3438" s="2" t="s">
        <v>6670</v>
      </c>
      <c r="F3438" s="3" t="n">
        <v>45993.9375</v>
      </c>
      <c r="G3438" s="2" t="s">
        <v>7092</v>
      </c>
      <c r="H3438" s="4" t="n">
        <v>-0.3291</v>
      </c>
      <c r="I3438" s="2" t="s">
        <v>84</v>
      </c>
      <c r="J3438" s="2" t="s">
        <v>33</v>
      </c>
      <c r="K3438" s="2" t="n">
        <v>0</v>
      </c>
      <c r="L3438" s="2" t="n">
        <v>0</v>
      </c>
      <c r="M3438" s="2" t="n">
        <v>0</v>
      </c>
    </row>
    <row r="3439" customFormat="false" ht="15" hidden="false" customHeight="false" outlineLevel="0" collapsed="false">
      <c r="A3439" s="2" t="s">
        <v>7148</v>
      </c>
      <c r="B3439" s="2" t="s">
        <v>7149</v>
      </c>
      <c r="C3439" s="2" t="n">
        <v>5</v>
      </c>
      <c r="D3439" s="2" t="s">
        <v>186</v>
      </c>
      <c r="E3439" s="2" t="s">
        <v>6670</v>
      </c>
      <c r="F3439" s="3" t="n">
        <v>45994.0201388889</v>
      </c>
      <c r="G3439" s="2" t="s">
        <v>7092</v>
      </c>
      <c r="H3439" s="4" t="n">
        <v>0.8777</v>
      </c>
      <c r="I3439" s="2" t="s">
        <v>23</v>
      </c>
      <c r="J3439" s="2" t="s">
        <v>19</v>
      </c>
      <c r="K3439" s="2" t="n">
        <v>1</v>
      </c>
      <c r="L3439" s="2" t="n">
        <v>0</v>
      </c>
      <c r="M3439" s="2" t="n">
        <v>0</v>
      </c>
    </row>
    <row r="3440" customFormat="false" ht="15" hidden="false" customHeight="false" outlineLevel="0" collapsed="false">
      <c r="A3440" s="2" t="s">
        <v>7150</v>
      </c>
      <c r="B3440" s="2" t="s">
        <v>7151</v>
      </c>
      <c r="C3440" s="2" t="n">
        <v>3</v>
      </c>
      <c r="D3440" s="2" t="s">
        <v>301</v>
      </c>
      <c r="E3440" s="2" t="s">
        <v>6670</v>
      </c>
      <c r="F3440" s="3" t="n">
        <v>45994.1993055556</v>
      </c>
      <c r="G3440" s="2" t="s">
        <v>7092</v>
      </c>
      <c r="H3440" s="4" t="n">
        <v>0.2263</v>
      </c>
      <c r="I3440" s="2" t="s">
        <v>23</v>
      </c>
      <c r="J3440" s="2" t="s">
        <v>19</v>
      </c>
      <c r="K3440" s="2" t="n">
        <v>2</v>
      </c>
      <c r="L3440" s="2" t="n">
        <v>0</v>
      </c>
      <c r="M3440" s="2" t="n">
        <v>0</v>
      </c>
    </row>
    <row r="3441" customFormat="false" ht="15" hidden="false" customHeight="false" outlineLevel="0" collapsed="false">
      <c r="A3441" s="2" t="s">
        <v>7152</v>
      </c>
      <c r="B3441" s="2" t="s">
        <v>7153</v>
      </c>
      <c r="C3441" s="2" t="n">
        <v>3</v>
      </c>
      <c r="D3441" s="2" t="s">
        <v>4445</v>
      </c>
      <c r="E3441" s="2" t="s">
        <v>6670</v>
      </c>
      <c r="F3441" s="3" t="n">
        <v>45994.3354166667</v>
      </c>
      <c r="G3441" s="2" t="s">
        <v>7092</v>
      </c>
      <c r="H3441" s="4" t="n">
        <v>-0.1603</v>
      </c>
      <c r="I3441" s="2" t="s">
        <v>84</v>
      </c>
      <c r="J3441" s="2" t="s">
        <v>19</v>
      </c>
      <c r="K3441" s="2" t="n">
        <v>3</v>
      </c>
      <c r="L3441" s="2" t="n">
        <v>0</v>
      </c>
      <c r="M3441" s="2" t="n">
        <v>0</v>
      </c>
    </row>
    <row r="3442" customFormat="false" ht="15" hidden="false" customHeight="false" outlineLevel="0" collapsed="false">
      <c r="A3442" s="2" t="s">
        <v>7154</v>
      </c>
      <c r="B3442" s="2" t="s">
        <v>7155</v>
      </c>
      <c r="C3442" s="2" t="n">
        <v>5</v>
      </c>
      <c r="D3442" s="2" t="s">
        <v>47</v>
      </c>
      <c r="E3442" s="2" t="s">
        <v>6670</v>
      </c>
      <c r="F3442" s="3" t="n">
        <v>45994.4395833333</v>
      </c>
      <c r="G3442" s="2" t="s">
        <v>7092</v>
      </c>
      <c r="H3442" s="4" t="n">
        <v>0.3089</v>
      </c>
      <c r="I3442" s="2" t="s">
        <v>23</v>
      </c>
      <c r="J3442" s="2" t="s">
        <v>19</v>
      </c>
      <c r="K3442" s="2" t="n">
        <v>1</v>
      </c>
      <c r="L3442" s="2" t="n">
        <v>0</v>
      </c>
      <c r="M3442" s="2" t="n">
        <v>0</v>
      </c>
    </row>
    <row r="3443" customFormat="false" ht="15" hidden="false" customHeight="false" outlineLevel="0" collapsed="false">
      <c r="A3443" s="2" t="s">
        <v>7156</v>
      </c>
      <c r="B3443" s="2" t="s">
        <v>7157</v>
      </c>
      <c r="C3443" s="2" t="n">
        <v>4</v>
      </c>
      <c r="D3443" s="2" t="s">
        <v>47</v>
      </c>
      <c r="E3443" s="2" t="s">
        <v>6670</v>
      </c>
      <c r="F3443" s="3" t="n">
        <v>45994.8020833333</v>
      </c>
      <c r="G3443" s="2" t="s">
        <v>7092</v>
      </c>
      <c r="H3443" s="4" t="n">
        <v>0.3089</v>
      </c>
      <c r="I3443" s="2" t="s">
        <v>23</v>
      </c>
      <c r="J3443" s="2" t="s">
        <v>19</v>
      </c>
      <c r="K3443" s="2" t="n">
        <v>0</v>
      </c>
      <c r="L3443" s="2" t="n">
        <v>0</v>
      </c>
      <c r="M3443" s="2" t="n">
        <v>0</v>
      </c>
    </row>
    <row r="3444" customFormat="false" ht="15" hidden="false" customHeight="false" outlineLevel="0" collapsed="false">
      <c r="A3444" s="2" t="s">
        <v>7158</v>
      </c>
      <c r="B3444" s="2" t="s">
        <v>7159</v>
      </c>
      <c r="C3444" s="2" t="n">
        <v>1</v>
      </c>
      <c r="D3444" s="2" t="s">
        <v>168</v>
      </c>
      <c r="E3444" s="2" t="s">
        <v>6670</v>
      </c>
      <c r="F3444" s="3" t="n">
        <v>45994.8729166667</v>
      </c>
      <c r="G3444" s="2" t="s">
        <v>7092</v>
      </c>
      <c r="H3444" s="4" t="n">
        <v>-0.1027</v>
      </c>
      <c r="I3444" s="2" t="s">
        <v>84</v>
      </c>
      <c r="J3444" s="2" t="s">
        <v>33</v>
      </c>
      <c r="K3444" s="2" t="n">
        <v>0</v>
      </c>
      <c r="L3444" s="2" t="n">
        <v>1</v>
      </c>
      <c r="M3444" s="2" t="n">
        <v>0</v>
      </c>
    </row>
    <row r="3445" customFormat="false" ht="15" hidden="false" customHeight="false" outlineLevel="0" collapsed="false">
      <c r="A3445" s="2" t="s">
        <v>7160</v>
      </c>
      <c r="B3445" s="2" t="s">
        <v>7161</v>
      </c>
      <c r="C3445" s="2" t="n">
        <v>5</v>
      </c>
      <c r="D3445" s="2" t="s">
        <v>52</v>
      </c>
      <c r="E3445" s="2" t="s">
        <v>6670</v>
      </c>
      <c r="F3445" s="3" t="n">
        <v>45994.9340277778</v>
      </c>
      <c r="G3445" s="2" t="s">
        <v>7092</v>
      </c>
      <c r="H3445" s="4" t="n">
        <v>0.6369</v>
      </c>
      <c r="I3445" s="2" t="s">
        <v>23</v>
      </c>
      <c r="J3445" s="2" t="s">
        <v>19</v>
      </c>
      <c r="K3445" s="2" t="n">
        <v>1</v>
      </c>
      <c r="L3445" s="2" t="n">
        <v>0</v>
      </c>
      <c r="M3445" s="2" t="n">
        <v>0</v>
      </c>
    </row>
    <row r="3446" customFormat="false" ht="15" hidden="false" customHeight="false" outlineLevel="0" collapsed="false">
      <c r="A3446" s="2" t="s">
        <v>7162</v>
      </c>
      <c r="B3446" s="2" t="s">
        <v>7163</v>
      </c>
      <c r="C3446" s="2" t="n">
        <v>1</v>
      </c>
      <c r="D3446" s="2" t="s">
        <v>133</v>
      </c>
      <c r="E3446" s="2" t="s">
        <v>6670</v>
      </c>
      <c r="F3446" s="3" t="n">
        <v>45995.1347222222</v>
      </c>
      <c r="G3446" s="2" t="s">
        <v>7092</v>
      </c>
      <c r="H3446" s="4" t="n">
        <v>-0.5719</v>
      </c>
      <c r="I3446" s="2" t="s">
        <v>84</v>
      </c>
      <c r="J3446" s="2" t="s">
        <v>33</v>
      </c>
      <c r="K3446" s="2" t="n">
        <v>0</v>
      </c>
      <c r="L3446" s="2" t="n">
        <v>1</v>
      </c>
      <c r="M3446" s="2" t="n">
        <v>0</v>
      </c>
    </row>
    <row r="3447" customFormat="false" ht="15" hidden="false" customHeight="false" outlineLevel="0" collapsed="false">
      <c r="A3447" s="2" t="s">
        <v>7164</v>
      </c>
      <c r="B3447" s="2" t="s">
        <v>7165</v>
      </c>
      <c r="C3447" s="2" t="n">
        <v>1</v>
      </c>
      <c r="D3447" s="2" t="s">
        <v>168</v>
      </c>
      <c r="E3447" s="2" t="s">
        <v>6670</v>
      </c>
      <c r="F3447" s="3" t="n">
        <v>45995.28125</v>
      </c>
      <c r="G3447" s="2" t="s">
        <v>7092</v>
      </c>
      <c r="H3447" s="4" t="n">
        <v>-0.1027</v>
      </c>
      <c r="I3447" s="2" t="s">
        <v>84</v>
      </c>
      <c r="J3447" s="2" t="s">
        <v>33</v>
      </c>
      <c r="K3447" s="2" t="n">
        <v>1</v>
      </c>
      <c r="L3447" s="2" t="n">
        <v>0</v>
      </c>
      <c r="M3447" s="2" t="n">
        <v>0</v>
      </c>
    </row>
    <row r="3448" customFormat="false" ht="15" hidden="false" customHeight="false" outlineLevel="0" collapsed="false">
      <c r="A3448" s="2" t="s">
        <v>7166</v>
      </c>
      <c r="B3448" s="2" t="s">
        <v>7167</v>
      </c>
      <c r="C3448" s="2" t="n">
        <v>4</v>
      </c>
      <c r="D3448" s="2" t="s">
        <v>1240</v>
      </c>
      <c r="E3448" s="2" t="s">
        <v>6670</v>
      </c>
      <c r="F3448" s="3" t="n">
        <v>45995.3243055556</v>
      </c>
      <c r="G3448" s="2" t="s">
        <v>7092</v>
      </c>
      <c r="H3448" s="4" t="n">
        <v>0.6369</v>
      </c>
      <c r="I3448" s="2" t="s">
        <v>23</v>
      </c>
      <c r="J3448" s="2" t="s">
        <v>19</v>
      </c>
      <c r="K3448" s="2" t="n">
        <v>4</v>
      </c>
      <c r="L3448" s="2" t="n">
        <v>0</v>
      </c>
      <c r="M3448" s="2" t="n">
        <v>0</v>
      </c>
    </row>
    <row r="3449" customFormat="false" ht="15" hidden="false" customHeight="false" outlineLevel="0" collapsed="false">
      <c r="A3449" s="2" t="s">
        <v>7168</v>
      </c>
      <c r="B3449" s="2" t="s">
        <v>7169</v>
      </c>
      <c r="C3449" s="2" t="n">
        <v>4</v>
      </c>
      <c r="D3449" s="2" t="s">
        <v>282</v>
      </c>
      <c r="E3449" s="2" t="s">
        <v>6670</v>
      </c>
      <c r="F3449" s="3" t="n">
        <v>45995.4277777778</v>
      </c>
      <c r="G3449" s="2" t="s">
        <v>7092</v>
      </c>
      <c r="H3449" s="4" t="n">
        <v>0.7992</v>
      </c>
      <c r="I3449" s="2" t="s">
        <v>23</v>
      </c>
      <c r="J3449" s="2" t="s">
        <v>19</v>
      </c>
      <c r="K3449" s="2" t="n">
        <v>5</v>
      </c>
      <c r="L3449" s="2" t="n">
        <v>0</v>
      </c>
      <c r="M3449" s="2" t="n">
        <v>0</v>
      </c>
    </row>
    <row r="3450" customFormat="false" ht="15" hidden="false" customHeight="false" outlineLevel="0" collapsed="false">
      <c r="A3450" s="2" t="s">
        <v>7170</v>
      </c>
      <c r="B3450" s="2" t="s">
        <v>7171</v>
      </c>
      <c r="C3450" s="2" t="n">
        <v>3</v>
      </c>
      <c r="D3450" s="2" t="s">
        <v>2143</v>
      </c>
      <c r="E3450" s="2" t="s">
        <v>6670</v>
      </c>
      <c r="F3450" s="3" t="n">
        <v>45995.6138888889</v>
      </c>
      <c r="G3450" s="2" t="s">
        <v>7092</v>
      </c>
      <c r="H3450" s="4" t="n">
        <v>0.6448</v>
      </c>
      <c r="I3450" s="2" t="s">
        <v>23</v>
      </c>
      <c r="J3450" s="2" t="s">
        <v>37</v>
      </c>
      <c r="K3450" s="2" t="n">
        <v>8</v>
      </c>
      <c r="L3450" s="2" t="n">
        <v>0</v>
      </c>
      <c r="M3450" s="2" t="n">
        <v>0</v>
      </c>
    </row>
    <row r="3451" customFormat="false" ht="15" hidden="false" customHeight="false" outlineLevel="0" collapsed="false">
      <c r="A3451" s="2" t="s">
        <v>7172</v>
      </c>
      <c r="B3451" s="2" t="s">
        <v>7173</v>
      </c>
      <c r="C3451" s="2" t="n">
        <v>5</v>
      </c>
      <c r="D3451" s="2" t="s">
        <v>555</v>
      </c>
      <c r="E3451" s="2" t="s">
        <v>6670</v>
      </c>
      <c r="F3451" s="3" t="n">
        <v>45995.6854166667</v>
      </c>
      <c r="G3451" s="2" t="s">
        <v>7092</v>
      </c>
      <c r="H3451" s="4" t="n">
        <v>0.8221</v>
      </c>
      <c r="I3451" s="2" t="s">
        <v>23</v>
      </c>
      <c r="J3451" s="2" t="s">
        <v>33</v>
      </c>
      <c r="K3451" s="2" t="n">
        <v>16</v>
      </c>
      <c r="L3451" s="2" t="n">
        <v>0</v>
      </c>
      <c r="M3451" s="2" t="n">
        <v>0</v>
      </c>
    </row>
    <row r="3452" customFormat="false" ht="15" hidden="false" customHeight="false" outlineLevel="0" collapsed="false">
      <c r="A3452" s="2" t="s">
        <v>7174</v>
      </c>
      <c r="B3452" s="2" t="s">
        <v>7175</v>
      </c>
      <c r="C3452" s="2" t="n">
        <v>5</v>
      </c>
      <c r="D3452" s="2" t="s">
        <v>47</v>
      </c>
      <c r="E3452" s="2" t="s">
        <v>6670</v>
      </c>
      <c r="F3452" s="3" t="n">
        <v>45995.7458333333</v>
      </c>
      <c r="G3452" s="2" t="s">
        <v>7092</v>
      </c>
      <c r="H3452" s="4" t="n">
        <v>0.3089</v>
      </c>
      <c r="I3452" s="2" t="s">
        <v>23</v>
      </c>
      <c r="J3452" s="2" t="s">
        <v>19</v>
      </c>
      <c r="K3452" s="2" t="n">
        <v>1</v>
      </c>
      <c r="L3452" s="2" t="n">
        <v>0</v>
      </c>
      <c r="M3452" s="2" t="n">
        <v>0</v>
      </c>
    </row>
    <row r="3453" customFormat="false" ht="15" hidden="false" customHeight="false" outlineLevel="0" collapsed="false">
      <c r="A3453" s="2" t="s">
        <v>7176</v>
      </c>
      <c r="B3453" s="2" t="s">
        <v>7177</v>
      </c>
      <c r="C3453" s="2" t="n">
        <v>5</v>
      </c>
      <c r="D3453" s="2" t="s">
        <v>40</v>
      </c>
      <c r="E3453" s="2" t="s">
        <v>6670</v>
      </c>
      <c r="F3453" s="3" t="n">
        <v>45996.0284722222</v>
      </c>
      <c r="G3453" s="2" t="s">
        <v>7092</v>
      </c>
      <c r="H3453" s="4" t="n">
        <v>0.4019</v>
      </c>
      <c r="I3453" s="2" t="s">
        <v>23</v>
      </c>
      <c r="J3453" s="2" t="s">
        <v>33</v>
      </c>
      <c r="K3453" s="2" t="n">
        <v>2</v>
      </c>
      <c r="L3453" s="2" t="n">
        <v>0</v>
      </c>
      <c r="M3453" s="2" t="n">
        <v>0</v>
      </c>
    </row>
    <row r="3454" customFormat="false" ht="15" hidden="false" customHeight="false" outlineLevel="0" collapsed="false">
      <c r="A3454" s="2" t="s">
        <v>7178</v>
      </c>
      <c r="B3454" s="2" t="s">
        <v>7179</v>
      </c>
      <c r="C3454" s="2" t="n">
        <v>2</v>
      </c>
      <c r="D3454" s="2" t="s">
        <v>32</v>
      </c>
      <c r="E3454" s="2" t="s">
        <v>6670</v>
      </c>
      <c r="F3454" s="3" t="n">
        <v>45996.0361111111</v>
      </c>
      <c r="G3454" s="2" t="s">
        <v>7092</v>
      </c>
      <c r="H3454" s="4" t="n">
        <v>0.2023</v>
      </c>
      <c r="I3454" s="2" t="s">
        <v>23</v>
      </c>
      <c r="J3454" s="2" t="s">
        <v>33</v>
      </c>
      <c r="K3454" s="2" t="n">
        <v>3</v>
      </c>
      <c r="L3454" s="2" t="n">
        <v>1</v>
      </c>
      <c r="M3454" s="2" t="n">
        <v>0</v>
      </c>
    </row>
    <row r="3455" customFormat="false" ht="15" hidden="false" customHeight="false" outlineLevel="0" collapsed="false">
      <c r="A3455" s="2" t="s">
        <v>7180</v>
      </c>
      <c r="B3455" s="2" t="s">
        <v>7181</v>
      </c>
      <c r="C3455" s="2" t="n">
        <v>5</v>
      </c>
      <c r="D3455" s="2" t="s">
        <v>62</v>
      </c>
      <c r="E3455" s="2" t="s">
        <v>6670</v>
      </c>
      <c r="F3455" s="3" t="n">
        <v>45996.1027777778</v>
      </c>
      <c r="G3455" s="2" t="s">
        <v>7092</v>
      </c>
      <c r="H3455" s="4" t="n">
        <v>0.7088</v>
      </c>
      <c r="I3455" s="2" t="s">
        <v>23</v>
      </c>
      <c r="J3455" s="2" t="s">
        <v>19</v>
      </c>
      <c r="K3455" s="2" t="n">
        <v>11</v>
      </c>
      <c r="L3455" s="2" t="n">
        <v>0</v>
      </c>
      <c r="M3455" s="2" t="n">
        <v>0</v>
      </c>
    </row>
    <row r="3456" customFormat="false" ht="15" hidden="false" customHeight="false" outlineLevel="0" collapsed="false">
      <c r="A3456" s="2" t="s">
        <v>7182</v>
      </c>
      <c r="B3456" s="2" t="s">
        <v>7183</v>
      </c>
      <c r="C3456" s="2" t="n">
        <v>5</v>
      </c>
      <c r="D3456" s="2" t="s">
        <v>1363</v>
      </c>
      <c r="E3456" s="2" t="s">
        <v>6670</v>
      </c>
      <c r="F3456" s="3" t="n">
        <v>45996.11875</v>
      </c>
      <c r="G3456" s="2" t="s">
        <v>7092</v>
      </c>
      <c r="H3456" s="4" t="n">
        <v>0.6597</v>
      </c>
      <c r="I3456" s="2" t="s">
        <v>23</v>
      </c>
      <c r="J3456" s="2" t="s">
        <v>33</v>
      </c>
      <c r="K3456" s="2" t="n">
        <v>0</v>
      </c>
      <c r="L3456" s="2" t="n">
        <v>0</v>
      </c>
      <c r="M3456" s="2" t="n">
        <v>0</v>
      </c>
    </row>
    <row r="3457" customFormat="false" ht="15" hidden="false" customHeight="false" outlineLevel="0" collapsed="false">
      <c r="A3457" s="2" t="s">
        <v>7184</v>
      </c>
      <c r="B3457" s="2" t="s">
        <v>1232</v>
      </c>
      <c r="C3457" s="2" t="n">
        <v>3</v>
      </c>
      <c r="D3457" s="2" t="s">
        <v>831</v>
      </c>
      <c r="E3457" s="2" t="s">
        <v>6670</v>
      </c>
      <c r="F3457" s="3" t="n">
        <v>45996.1888888889</v>
      </c>
      <c r="G3457" s="2" t="s">
        <v>7092</v>
      </c>
      <c r="H3457" s="4" t="n">
        <v>0.2023</v>
      </c>
      <c r="I3457" s="2" t="s">
        <v>23</v>
      </c>
      <c r="J3457" s="2" t="s">
        <v>19</v>
      </c>
      <c r="K3457" s="2" t="n">
        <v>2</v>
      </c>
      <c r="L3457" s="2" t="n">
        <v>0</v>
      </c>
      <c r="M3457" s="2" t="n">
        <v>0</v>
      </c>
    </row>
    <row r="3458" customFormat="false" ht="15" hidden="false" customHeight="false" outlineLevel="0" collapsed="false">
      <c r="A3458" s="2" t="s">
        <v>7185</v>
      </c>
      <c r="B3458" s="2" t="s">
        <v>7186</v>
      </c>
      <c r="C3458" s="2" t="n">
        <v>5</v>
      </c>
      <c r="D3458" s="2" t="s">
        <v>47</v>
      </c>
      <c r="E3458" s="2" t="s">
        <v>6670</v>
      </c>
      <c r="F3458" s="3" t="n">
        <v>45996.3034722222</v>
      </c>
      <c r="G3458" s="2" t="s">
        <v>7092</v>
      </c>
      <c r="H3458" s="4" t="n">
        <v>0.3089</v>
      </c>
      <c r="I3458" s="2" t="s">
        <v>23</v>
      </c>
      <c r="J3458" s="2" t="s">
        <v>19</v>
      </c>
      <c r="K3458" s="2" t="n">
        <v>3</v>
      </c>
      <c r="L3458" s="2" t="n">
        <v>0</v>
      </c>
      <c r="M3458" s="2" t="n">
        <v>0</v>
      </c>
    </row>
    <row r="3459" customFormat="false" ht="15" hidden="false" customHeight="false" outlineLevel="0" collapsed="false">
      <c r="A3459" s="2" t="s">
        <v>7187</v>
      </c>
      <c r="B3459" s="2" t="s">
        <v>7188</v>
      </c>
      <c r="C3459" s="2" t="n">
        <v>5</v>
      </c>
      <c r="D3459" s="2" t="s">
        <v>1424</v>
      </c>
      <c r="E3459" s="2" t="s">
        <v>6670</v>
      </c>
      <c r="F3459" s="3" t="n">
        <v>45996.4034722222</v>
      </c>
      <c r="G3459" s="2" t="s">
        <v>7092</v>
      </c>
      <c r="H3459" s="4" t="n">
        <v>0.3089</v>
      </c>
      <c r="I3459" s="2" t="s">
        <v>23</v>
      </c>
      <c r="J3459" s="2" t="s">
        <v>19</v>
      </c>
      <c r="K3459" s="2" t="n">
        <v>7</v>
      </c>
      <c r="L3459" s="2" t="n">
        <v>0</v>
      </c>
      <c r="M3459" s="2" t="n">
        <v>0</v>
      </c>
    </row>
    <row r="3460" customFormat="false" ht="15" hidden="false" customHeight="false" outlineLevel="0" collapsed="false">
      <c r="A3460" s="2" t="s">
        <v>7189</v>
      </c>
      <c r="B3460" s="2" t="s">
        <v>7190</v>
      </c>
      <c r="C3460" s="2" t="n">
        <v>5</v>
      </c>
      <c r="D3460" s="2" t="s">
        <v>26</v>
      </c>
      <c r="E3460" s="2" t="s">
        <v>6670</v>
      </c>
      <c r="F3460" s="3" t="n">
        <v>45996.4847222222</v>
      </c>
      <c r="G3460" s="2" t="s">
        <v>7092</v>
      </c>
      <c r="H3460" s="4" t="n">
        <v>0.8848</v>
      </c>
      <c r="I3460" s="2" t="s">
        <v>23</v>
      </c>
      <c r="J3460" s="2" t="s">
        <v>19</v>
      </c>
      <c r="K3460" s="2" t="n">
        <v>1</v>
      </c>
      <c r="L3460" s="2" t="n">
        <v>0</v>
      </c>
      <c r="M3460" s="2" t="n">
        <v>0</v>
      </c>
    </row>
    <row r="3461" customFormat="false" ht="15" hidden="false" customHeight="false" outlineLevel="0" collapsed="false">
      <c r="A3461" s="2" t="s">
        <v>7191</v>
      </c>
      <c r="B3461" s="2" t="s">
        <v>7192</v>
      </c>
      <c r="C3461" s="2" t="n">
        <v>1</v>
      </c>
      <c r="D3461" s="2" t="s">
        <v>946</v>
      </c>
      <c r="E3461" s="2" t="s">
        <v>6670</v>
      </c>
      <c r="F3461" s="3" t="n">
        <v>45996.7368055556</v>
      </c>
      <c r="G3461" s="2" t="s">
        <v>7092</v>
      </c>
      <c r="H3461" s="4" t="n">
        <v>-0.25</v>
      </c>
      <c r="I3461" s="2" t="s">
        <v>84</v>
      </c>
      <c r="J3461" s="2" t="s">
        <v>37</v>
      </c>
      <c r="K3461" s="2" t="n">
        <v>1</v>
      </c>
      <c r="L3461" s="2" t="n">
        <v>0</v>
      </c>
      <c r="M3461" s="2" t="n">
        <v>0</v>
      </c>
    </row>
    <row r="3462" customFormat="false" ht="15" hidden="false" customHeight="false" outlineLevel="0" collapsed="false">
      <c r="A3462" s="2" t="s">
        <v>7193</v>
      </c>
      <c r="B3462" s="2" t="s">
        <v>7194</v>
      </c>
      <c r="C3462" s="2" t="n">
        <v>5</v>
      </c>
      <c r="D3462" s="2" t="s">
        <v>47</v>
      </c>
      <c r="E3462" s="2" t="s">
        <v>6670</v>
      </c>
      <c r="F3462" s="3" t="n">
        <v>45996.7930555556</v>
      </c>
      <c r="G3462" s="2" t="s">
        <v>7092</v>
      </c>
      <c r="H3462" s="4" t="n">
        <v>0.3089</v>
      </c>
      <c r="I3462" s="2" t="s">
        <v>23</v>
      </c>
      <c r="J3462" s="2" t="s">
        <v>19</v>
      </c>
      <c r="K3462" s="2" t="n">
        <v>1</v>
      </c>
      <c r="L3462" s="2" t="n">
        <v>0</v>
      </c>
      <c r="M3462" s="2" t="n">
        <v>0</v>
      </c>
    </row>
    <row r="3463" customFormat="false" ht="15" hidden="false" customHeight="false" outlineLevel="0" collapsed="false">
      <c r="A3463" s="2" t="s">
        <v>7195</v>
      </c>
      <c r="B3463" s="2" t="s">
        <v>7196</v>
      </c>
      <c r="C3463" s="2" t="n">
        <v>2</v>
      </c>
      <c r="D3463" s="2" t="s">
        <v>2809</v>
      </c>
      <c r="E3463" s="2" t="s">
        <v>6670</v>
      </c>
      <c r="F3463" s="3" t="n">
        <v>45996.7951388889</v>
      </c>
      <c r="G3463" s="2" t="s">
        <v>7092</v>
      </c>
      <c r="H3463" s="4" t="n">
        <v>0.2023</v>
      </c>
      <c r="I3463" s="2" t="s">
        <v>23</v>
      </c>
      <c r="J3463" s="2" t="s">
        <v>165</v>
      </c>
      <c r="K3463" s="2" t="n">
        <v>2</v>
      </c>
      <c r="L3463" s="2" t="n">
        <v>1</v>
      </c>
      <c r="M3463" s="2" t="n">
        <v>0</v>
      </c>
    </row>
    <row r="3464" customFormat="false" ht="15" hidden="false" customHeight="false" outlineLevel="0" collapsed="false">
      <c r="A3464" s="2" t="s">
        <v>7197</v>
      </c>
      <c r="B3464" s="2" t="s">
        <v>7198</v>
      </c>
      <c r="C3464" s="2" t="n">
        <v>5</v>
      </c>
      <c r="D3464" s="2" t="s">
        <v>52</v>
      </c>
      <c r="E3464" s="2" t="s">
        <v>6670</v>
      </c>
      <c r="F3464" s="3" t="n">
        <v>45996.8541666667</v>
      </c>
      <c r="G3464" s="2" t="s">
        <v>7092</v>
      </c>
      <c r="H3464" s="4" t="n">
        <v>0.6369</v>
      </c>
      <c r="I3464" s="2" t="s">
        <v>23</v>
      </c>
      <c r="J3464" s="2" t="s">
        <v>19</v>
      </c>
      <c r="K3464" s="2" t="n">
        <v>4</v>
      </c>
      <c r="L3464" s="2" t="n">
        <v>0</v>
      </c>
      <c r="M3464" s="2" t="n">
        <v>0</v>
      </c>
    </row>
    <row r="3465" customFormat="false" ht="15" hidden="false" customHeight="false" outlineLevel="0" collapsed="false">
      <c r="A3465" s="2" t="s">
        <v>7199</v>
      </c>
      <c r="B3465" s="2" t="s">
        <v>7200</v>
      </c>
      <c r="C3465" s="2" t="n">
        <v>2</v>
      </c>
      <c r="D3465" s="2" t="s">
        <v>295</v>
      </c>
      <c r="E3465" s="2" t="s">
        <v>6670</v>
      </c>
      <c r="F3465" s="3" t="n">
        <v>45997.0256944444</v>
      </c>
      <c r="G3465" s="2" t="s">
        <v>7092</v>
      </c>
      <c r="H3465" s="4" t="n">
        <v>-0.5023</v>
      </c>
      <c r="I3465" s="2" t="s">
        <v>84</v>
      </c>
      <c r="J3465" s="2" t="s">
        <v>33</v>
      </c>
      <c r="K3465" s="2" t="n">
        <v>1</v>
      </c>
      <c r="L3465" s="2" t="n">
        <v>0</v>
      </c>
      <c r="M3465" s="2" t="n">
        <v>0</v>
      </c>
    </row>
    <row r="3466" customFormat="false" ht="15" hidden="false" customHeight="false" outlineLevel="0" collapsed="false">
      <c r="A3466" s="2" t="s">
        <v>7201</v>
      </c>
      <c r="B3466" s="2" t="s">
        <v>7202</v>
      </c>
      <c r="C3466" s="2" t="n">
        <v>5</v>
      </c>
      <c r="D3466" s="2" t="s">
        <v>407</v>
      </c>
      <c r="E3466" s="2" t="s">
        <v>6670</v>
      </c>
      <c r="F3466" s="3" t="n">
        <v>45997.0277777778</v>
      </c>
      <c r="G3466" s="2" t="s">
        <v>7092</v>
      </c>
      <c r="H3466" s="4" t="n">
        <v>0.7783</v>
      </c>
      <c r="I3466" s="2" t="s">
        <v>23</v>
      </c>
      <c r="J3466" s="2" t="s">
        <v>37</v>
      </c>
      <c r="K3466" s="2" t="n">
        <v>6</v>
      </c>
      <c r="L3466" s="2" t="n">
        <v>0</v>
      </c>
      <c r="M3466" s="2" t="n">
        <v>0</v>
      </c>
    </row>
    <row r="3467" customFormat="false" ht="15" hidden="false" customHeight="false" outlineLevel="0" collapsed="false">
      <c r="A3467" s="2" t="s">
        <v>7203</v>
      </c>
      <c r="B3467" s="2" t="s">
        <v>7204</v>
      </c>
      <c r="C3467" s="2" t="n">
        <v>5</v>
      </c>
      <c r="D3467" s="2" t="s">
        <v>15</v>
      </c>
      <c r="E3467" s="2" t="s">
        <v>6670</v>
      </c>
      <c r="F3467" s="3" t="n">
        <v>45997.1263888889</v>
      </c>
      <c r="G3467" s="2" t="s">
        <v>7092</v>
      </c>
      <c r="H3467" s="4" t="n">
        <v>0</v>
      </c>
      <c r="I3467" s="2" t="s">
        <v>18</v>
      </c>
      <c r="J3467" s="2" t="s">
        <v>19</v>
      </c>
      <c r="K3467" s="2" t="n">
        <v>1</v>
      </c>
      <c r="L3467" s="2" t="n">
        <v>0</v>
      </c>
      <c r="M3467" s="2" t="n">
        <v>0</v>
      </c>
    </row>
    <row r="3468" customFormat="false" ht="15" hidden="false" customHeight="false" outlineLevel="0" collapsed="false">
      <c r="A3468" s="2" t="s">
        <v>7205</v>
      </c>
      <c r="B3468" s="2" t="s">
        <v>7206</v>
      </c>
      <c r="C3468" s="2" t="n">
        <v>5</v>
      </c>
      <c r="D3468" s="2" t="s">
        <v>325</v>
      </c>
      <c r="E3468" s="2" t="s">
        <v>6670</v>
      </c>
      <c r="F3468" s="3" t="n">
        <v>45997.2604166667</v>
      </c>
      <c r="G3468" s="2" t="s">
        <v>7092</v>
      </c>
      <c r="H3468" s="4" t="n">
        <v>0.9612</v>
      </c>
      <c r="I3468" s="2" t="s">
        <v>23</v>
      </c>
      <c r="J3468" s="2" t="s">
        <v>37</v>
      </c>
      <c r="K3468" s="2" t="n">
        <v>8</v>
      </c>
      <c r="L3468" s="2" t="n">
        <v>0</v>
      </c>
      <c r="M3468" s="2" t="n">
        <v>0</v>
      </c>
    </row>
    <row r="3469" customFormat="false" ht="15" hidden="false" customHeight="false" outlineLevel="0" collapsed="false">
      <c r="A3469" s="2" t="s">
        <v>7207</v>
      </c>
      <c r="B3469" s="2" t="s">
        <v>7208</v>
      </c>
      <c r="C3469" s="2" t="n">
        <v>3</v>
      </c>
      <c r="D3469" s="2" t="s">
        <v>99</v>
      </c>
      <c r="E3469" s="2" t="s">
        <v>6670</v>
      </c>
      <c r="F3469" s="3" t="n">
        <v>45997.4125</v>
      </c>
      <c r="G3469" s="2" t="s">
        <v>7092</v>
      </c>
      <c r="H3469" s="4" t="n">
        <v>-0.3089</v>
      </c>
      <c r="I3469" s="2" t="s">
        <v>84</v>
      </c>
      <c r="J3469" s="2" t="s">
        <v>19</v>
      </c>
      <c r="K3469" s="2" t="n">
        <v>4</v>
      </c>
      <c r="L3469" s="2" t="n">
        <v>0</v>
      </c>
      <c r="M3469" s="2" t="n">
        <v>0</v>
      </c>
    </row>
    <row r="3470" customFormat="false" ht="15" hidden="false" customHeight="false" outlineLevel="0" collapsed="false">
      <c r="A3470" s="2" t="s">
        <v>7209</v>
      </c>
      <c r="B3470" s="2" t="s">
        <v>7210</v>
      </c>
      <c r="C3470" s="2" t="n">
        <v>4</v>
      </c>
      <c r="D3470" s="2" t="s">
        <v>269</v>
      </c>
      <c r="E3470" s="2" t="s">
        <v>6670</v>
      </c>
      <c r="F3470" s="3" t="n">
        <v>45997.7</v>
      </c>
      <c r="G3470" s="2" t="s">
        <v>7092</v>
      </c>
      <c r="H3470" s="4" t="n">
        <v>0.8748</v>
      </c>
      <c r="I3470" s="2" t="s">
        <v>23</v>
      </c>
      <c r="J3470" s="2" t="s">
        <v>37</v>
      </c>
      <c r="K3470" s="2" t="n">
        <v>3</v>
      </c>
      <c r="L3470" s="2" t="n">
        <v>0</v>
      </c>
      <c r="M3470" s="2" t="n">
        <v>0</v>
      </c>
    </row>
    <row r="3471" customFormat="false" ht="15" hidden="false" customHeight="false" outlineLevel="0" collapsed="false">
      <c r="A3471" s="2" t="s">
        <v>7211</v>
      </c>
      <c r="B3471" s="2" t="s">
        <v>7212</v>
      </c>
      <c r="C3471" s="2" t="n">
        <v>4</v>
      </c>
      <c r="D3471" s="2" t="s">
        <v>15</v>
      </c>
      <c r="E3471" s="2" t="s">
        <v>6670</v>
      </c>
      <c r="F3471" s="3" t="n">
        <v>45997.7284722222</v>
      </c>
      <c r="G3471" s="2" t="s">
        <v>7092</v>
      </c>
      <c r="H3471" s="4" t="n">
        <v>0</v>
      </c>
      <c r="I3471" s="2" t="s">
        <v>18</v>
      </c>
      <c r="J3471" s="2" t="s">
        <v>19</v>
      </c>
      <c r="K3471" s="2" t="n">
        <v>4</v>
      </c>
      <c r="L3471" s="2" t="n">
        <v>0</v>
      </c>
      <c r="M3471" s="2" t="n">
        <v>0</v>
      </c>
    </row>
    <row r="3472" customFormat="false" ht="15" hidden="false" customHeight="false" outlineLevel="0" collapsed="false">
      <c r="A3472" s="2" t="s">
        <v>7213</v>
      </c>
      <c r="B3472" s="2" t="s">
        <v>7214</v>
      </c>
      <c r="C3472" s="2" t="n">
        <v>5</v>
      </c>
      <c r="D3472" s="2" t="s">
        <v>52</v>
      </c>
      <c r="E3472" s="2" t="s">
        <v>6670</v>
      </c>
      <c r="F3472" s="3" t="n">
        <v>45997.7625</v>
      </c>
      <c r="G3472" s="2" t="s">
        <v>7092</v>
      </c>
      <c r="H3472" s="4" t="n">
        <v>0.6369</v>
      </c>
      <c r="I3472" s="2" t="s">
        <v>23</v>
      </c>
      <c r="J3472" s="2" t="s">
        <v>19</v>
      </c>
      <c r="K3472" s="2" t="n">
        <v>1</v>
      </c>
      <c r="L3472" s="2" t="n">
        <v>0</v>
      </c>
      <c r="M3472" s="2" t="n">
        <v>0</v>
      </c>
    </row>
    <row r="3473" customFormat="false" ht="15" hidden="false" customHeight="false" outlineLevel="0" collapsed="false">
      <c r="A3473" s="2" t="s">
        <v>7215</v>
      </c>
      <c r="B3473" s="2" t="s">
        <v>7216</v>
      </c>
      <c r="C3473" s="2" t="n">
        <v>5</v>
      </c>
      <c r="D3473" s="2" t="s">
        <v>213</v>
      </c>
      <c r="E3473" s="2" t="s">
        <v>6670</v>
      </c>
      <c r="F3473" s="3" t="n">
        <v>45997.8527777778</v>
      </c>
      <c r="G3473" s="2" t="s">
        <v>7092</v>
      </c>
      <c r="H3473" s="4" t="n">
        <v>0.8651</v>
      </c>
      <c r="I3473" s="2" t="s">
        <v>23</v>
      </c>
      <c r="J3473" s="2" t="s">
        <v>19</v>
      </c>
      <c r="K3473" s="2" t="n">
        <v>4</v>
      </c>
      <c r="L3473" s="2" t="n">
        <v>0</v>
      </c>
      <c r="M3473" s="2" t="n">
        <v>0</v>
      </c>
    </row>
    <row r="3474" customFormat="false" ht="15" hidden="false" customHeight="false" outlineLevel="0" collapsed="false">
      <c r="A3474" s="2" t="s">
        <v>7217</v>
      </c>
      <c r="B3474" s="2" t="s">
        <v>7218</v>
      </c>
      <c r="C3474" s="2" t="n">
        <v>4</v>
      </c>
      <c r="D3474" s="2" t="s">
        <v>22</v>
      </c>
      <c r="E3474" s="2" t="s">
        <v>6670</v>
      </c>
      <c r="F3474" s="3" t="n">
        <v>45998.3701388889</v>
      </c>
      <c r="G3474" s="2" t="s">
        <v>7092</v>
      </c>
      <c r="H3474" s="4" t="n">
        <v>0.2023</v>
      </c>
      <c r="I3474" s="2" t="s">
        <v>23</v>
      </c>
      <c r="J3474" s="2" t="s">
        <v>19</v>
      </c>
      <c r="K3474" s="2" t="n">
        <v>2</v>
      </c>
      <c r="L3474" s="2" t="n">
        <v>0</v>
      </c>
      <c r="M3474" s="2" t="n">
        <v>0</v>
      </c>
    </row>
    <row r="3475" customFormat="false" ht="15" hidden="false" customHeight="false" outlineLevel="0" collapsed="false">
      <c r="A3475" s="2" t="s">
        <v>7219</v>
      </c>
      <c r="B3475" s="2" t="s">
        <v>7220</v>
      </c>
      <c r="C3475" s="2" t="n">
        <v>1</v>
      </c>
      <c r="D3475" s="2" t="s">
        <v>946</v>
      </c>
      <c r="E3475" s="2" t="s">
        <v>6670</v>
      </c>
      <c r="F3475" s="3" t="n">
        <v>45998.3833333333</v>
      </c>
      <c r="G3475" s="2" t="s">
        <v>7092</v>
      </c>
      <c r="H3475" s="4" t="n">
        <v>-0.25</v>
      </c>
      <c r="I3475" s="2" t="s">
        <v>84</v>
      </c>
      <c r="J3475" s="2" t="s">
        <v>37</v>
      </c>
      <c r="K3475" s="2" t="n">
        <v>1</v>
      </c>
      <c r="L3475" s="2" t="n">
        <v>0</v>
      </c>
      <c r="M3475" s="2" t="n">
        <v>0</v>
      </c>
    </row>
    <row r="3476" customFormat="false" ht="15" hidden="false" customHeight="false" outlineLevel="0" collapsed="false">
      <c r="A3476" s="2" t="s">
        <v>7221</v>
      </c>
      <c r="B3476" s="2" t="s">
        <v>789</v>
      </c>
      <c r="C3476" s="2" t="n">
        <v>2</v>
      </c>
      <c r="D3476" s="2" t="s">
        <v>733</v>
      </c>
      <c r="E3476" s="2" t="s">
        <v>6670</v>
      </c>
      <c r="F3476" s="3" t="n">
        <v>45998.4729166667</v>
      </c>
      <c r="G3476" s="2" t="s">
        <v>7092</v>
      </c>
      <c r="H3476" s="4" t="n">
        <v>-0.2846</v>
      </c>
      <c r="I3476" s="2" t="s">
        <v>84</v>
      </c>
      <c r="J3476" s="2" t="s">
        <v>37</v>
      </c>
      <c r="K3476" s="2" t="n">
        <v>1</v>
      </c>
      <c r="L3476" s="2" t="n">
        <v>1</v>
      </c>
      <c r="M3476" s="2" t="n">
        <v>0</v>
      </c>
    </row>
    <row r="3477" customFormat="false" ht="15" hidden="false" customHeight="false" outlineLevel="0" collapsed="false">
      <c r="A3477" s="2" t="s">
        <v>7222</v>
      </c>
      <c r="B3477" s="2" t="s">
        <v>7223</v>
      </c>
      <c r="C3477" s="2" t="n">
        <v>2</v>
      </c>
      <c r="D3477" s="2" t="s">
        <v>4089</v>
      </c>
      <c r="E3477" s="2" t="s">
        <v>6670</v>
      </c>
      <c r="F3477" s="3" t="n">
        <v>45998.4833333333</v>
      </c>
      <c r="G3477" s="2" t="s">
        <v>7092</v>
      </c>
      <c r="H3477" s="4" t="n">
        <v>0.2263</v>
      </c>
      <c r="I3477" s="2" t="s">
        <v>23</v>
      </c>
      <c r="J3477" s="2" t="s">
        <v>59</v>
      </c>
      <c r="K3477" s="2" t="n">
        <v>3</v>
      </c>
      <c r="L3477" s="2" t="n">
        <v>1</v>
      </c>
      <c r="M3477" s="2" t="n">
        <v>0</v>
      </c>
    </row>
    <row r="3478" customFormat="false" ht="15" hidden="false" customHeight="false" outlineLevel="0" collapsed="false">
      <c r="A3478" s="2" t="s">
        <v>7224</v>
      </c>
      <c r="B3478" s="2" t="s">
        <v>7225</v>
      </c>
      <c r="C3478" s="2" t="n">
        <v>1</v>
      </c>
      <c r="D3478" s="2" t="s">
        <v>1377</v>
      </c>
      <c r="E3478" s="2" t="s">
        <v>6670</v>
      </c>
      <c r="F3478" s="3" t="n">
        <v>45998.4847222222</v>
      </c>
      <c r="G3478" s="2" t="s">
        <v>7092</v>
      </c>
      <c r="H3478" s="4" t="n">
        <v>0.4404</v>
      </c>
      <c r="I3478" s="2" t="s">
        <v>23</v>
      </c>
      <c r="J3478" s="2" t="s">
        <v>165</v>
      </c>
      <c r="K3478" s="2" t="n">
        <v>0</v>
      </c>
      <c r="L3478" s="2" t="n">
        <v>1</v>
      </c>
      <c r="M3478" s="2" t="n">
        <v>0</v>
      </c>
    </row>
    <row r="3479" customFormat="false" ht="15" hidden="false" customHeight="false" outlineLevel="0" collapsed="false">
      <c r="A3479" s="2" t="s">
        <v>7226</v>
      </c>
      <c r="B3479" s="2" t="s">
        <v>7227</v>
      </c>
      <c r="C3479" s="2" t="n">
        <v>5</v>
      </c>
      <c r="D3479" s="2" t="s">
        <v>40</v>
      </c>
      <c r="E3479" s="2" t="s">
        <v>6670</v>
      </c>
      <c r="F3479" s="3" t="n">
        <v>45998.5041666667</v>
      </c>
      <c r="G3479" s="2" t="s">
        <v>7092</v>
      </c>
      <c r="H3479" s="4" t="n">
        <v>0.4019</v>
      </c>
      <c r="I3479" s="2" t="s">
        <v>23</v>
      </c>
      <c r="J3479" s="2" t="s">
        <v>33</v>
      </c>
      <c r="K3479" s="2" t="n">
        <v>3</v>
      </c>
      <c r="L3479" s="2" t="n">
        <v>0</v>
      </c>
      <c r="M3479" s="2" t="n">
        <v>0</v>
      </c>
    </row>
    <row r="3480" customFormat="false" ht="15" hidden="false" customHeight="false" outlineLevel="0" collapsed="false">
      <c r="A3480" s="2" t="s">
        <v>7228</v>
      </c>
      <c r="B3480" s="2" t="s">
        <v>7229</v>
      </c>
      <c r="C3480" s="2" t="n">
        <v>5</v>
      </c>
      <c r="D3480" s="2" t="s">
        <v>90</v>
      </c>
      <c r="E3480" s="2" t="s">
        <v>6670</v>
      </c>
      <c r="F3480" s="3" t="n">
        <v>45998.8013888889</v>
      </c>
      <c r="G3480" s="2" t="s">
        <v>7092</v>
      </c>
      <c r="H3480" s="4" t="n">
        <v>0.6249</v>
      </c>
      <c r="I3480" s="2" t="s">
        <v>23</v>
      </c>
      <c r="J3480" s="2" t="s">
        <v>37</v>
      </c>
      <c r="K3480" s="2" t="n">
        <v>2</v>
      </c>
      <c r="L3480" s="2" t="n">
        <v>0</v>
      </c>
      <c r="M3480" s="2" t="n">
        <v>0</v>
      </c>
    </row>
    <row r="3481" customFormat="false" ht="15" hidden="false" customHeight="false" outlineLevel="0" collapsed="false">
      <c r="A3481" s="2" t="s">
        <v>7230</v>
      </c>
      <c r="B3481" s="2" t="s">
        <v>7231</v>
      </c>
      <c r="C3481" s="2" t="n">
        <v>3</v>
      </c>
      <c r="D3481" s="2" t="s">
        <v>109</v>
      </c>
      <c r="E3481" s="2" t="s">
        <v>6670</v>
      </c>
      <c r="F3481" s="3" t="n">
        <v>45998.8055555556</v>
      </c>
      <c r="G3481" s="2" t="s">
        <v>7092</v>
      </c>
      <c r="H3481" s="4" t="n">
        <v>0</v>
      </c>
      <c r="I3481" s="2" t="s">
        <v>18</v>
      </c>
      <c r="J3481" s="2" t="s">
        <v>110</v>
      </c>
      <c r="K3481" s="2" t="n">
        <v>3</v>
      </c>
      <c r="L3481" s="2" t="n">
        <v>0</v>
      </c>
      <c r="M3481" s="2" t="n">
        <v>0</v>
      </c>
    </row>
    <row r="3482" customFormat="false" ht="15" hidden="false" customHeight="false" outlineLevel="0" collapsed="false">
      <c r="A3482" s="2" t="s">
        <v>7232</v>
      </c>
      <c r="B3482" s="2" t="s">
        <v>7233</v>
      </c>
      <c r="C3482" s="2" t="n">
        <v>5</v>
      </c>
      <c r="D3482" s="2" t="s">
        <v>127</v>
      </c>
      <c r="E3482" s="2" t="s">
        <v>6670</v>
      </c>
      <c r="F3482" s="3" t="n">
        <v>45998.8291666667</v>
      </c>
      <c r="G3482" s="2" t="s">
        <v>7092</v>
      </c>
      <c r="H3482" s="4" t="n">
        <v>0.9359</v>
      </c>
      <c r="I3482" s="2" t="s">
        <v>23</v>
      </c>
      <c r="J3482" s="2" t="s">
        <v>37</v>
      </c>
      <c r="K3482" s="2" t="n">
        <v>8</v>
      </c>
      <c r="L3482" s="2" t="n">
        <v>0</v>
      </c>
      <c r="M3482" s="2" t="n">
        <v>0</v>
      </c>
    </row>
    <row r="3483" customFormat="false" ht="15" hidden="false" customHeight="false" outlineLevel="0" collapsed="false">
      <c r="A3483" s="2" t="s">
        <v>7234</v>
      </c>
      <c r="B3483" s="2" t="s">
        <v>7235</v>
      </c>
      <c r="C3483" s="2" t="n">
        <v>5</v>
      </c>
      <c r="D3483" s="2" t="s">
        <v>127</v>
      </c>
      <c r="E3483" s="2" t="s">
        <v>6670</v>
      </c>
      <c r="F3483" s="3" t="n">
        <v>45998.8868055556</v>
      </c>
      <c r="G3483" s="2" t="s">
        <v>7092</v>
      </c>
      <c r="H3483" s="4" t="n">
        <v>0.9359</v>
      </c>
      <c r="I3483" s="2" t="s">
        <v>23</v>
      </c>
      <c r="J3483" s="2" t="s">
        <v>37</v>
      </c>
      <c r="K3483" s="2" t="n">
        <v>4</v>
      </c>
      <c r="L3483" s="2" t="n">
        <v>0</v>
      </c>
      <c r="M3483" s="2" t="n">
        <v>0</v>
      </c>
    </row>
    <row r="3484" customFormat="false" ht="15" hidden="false" customHeight="false" outlineLevel="0" collapsed="false">
      <c r="A3484" s="2" t="s">
        <v>7236</v>
      </c>
      <c r="B3484" s="2" t="s">
        <v>7237</v>
      </c>
      <c r="C3484" s="2" t="n">
        <v>5</v>
      </c>
      <c r="D3484" s="2" t="s">
        <v>127</v>
      </c>
      <c r="E3484" s="2" t="s">
        <v>6670</v>
      </c>
      <c r="F3484" s="3" t="n">
        <v>45998.9506944444</v>
      </c>
      <c r="G3484" s="2" t="s">
        <v>7092</v>
      </c>
      <c r="H3484" s="4" t="n">
        <v>0.9359</v>
      </c>
      <c r="I3484" s="2" t="s">
        <v>23</v>
      </c>
      <c r="J3484" s="2" t="s">
        <v>37</v>
      </c>
      <c r="K3484" s="2" t="n">
        <v>8</v>
      </c>
      <c r="L3484" s="2" t="n">
        <v>0</v>
      </c>
      <c r="M3484" s="2" t="n">
        <v>0</v>
      </c>
    </row>
    <row r="3485" customFormat="false" ht="15" hidden="false" customHeight="false" outlineLevel="0" collapsed="false">
      <c r="A3485" s="2" t="s">
        <v>7238</v>
      </c>
      <c r="B3485" s="2" t="s">
        <v>7239</v>
      </c>
      <c r="C3485" s="2" t="n">
        <v>1</v>
      </c>
      <c r="D3485" s="2" t="s">
        <v>109</v>
      </c>
      <c r="E3485" s="2" t="s">
        <v>6670</v>
      </c>
      <c r="F3485" s="3" t="n">
        <v>45999.0388888889</v>
      </c>
      <c r="G3485" s="2" t="s">
        <v>7092</v>
      </c>
      <c r="H3485" s="4" t="n">
        <v>0</v>
      </c>
      <c r="I3485" s="2" t="s">
        <v>18</v>
      </c>
      <c r="J3485" s="2" t="s">
        <v>110</v>
      </c>
      <c r="K3485" s="2" t="n">
        <v>2</v>
      </c>
      <c r="L3485" s="2" t="n">
        <v>1</v>
      </c>
      <c r="M3485" s="2" t="n">
        <v>0</v>
      </c>
    </row>
    <row r="3486" customFormat="false" ht="15" hidden="false" customHeight="false" outlineLevel="0" collapsed="false">
      <c r="A3486" s="2" t="s">
        <v>7240</v>
      </c>
      <c r="B3486" s="2" t="s">
        <v>7241</v>
      </c>
      <c r="C3486" s="2" t="n">
        <v>4</v>
      </c>
      <c r="D3486" s="2" t="s">
        <v>40</v>
      </c>
      <c r="E3486" s="2" t="s">
        <v>6670</v>
      </c>
      <c r="F3486" s="3" t="n">
        <v>45999.0743055556</v>
      </c>
      <c r="G3486" s="2" t="s">
        <v>7092</v>
      </c>
      <c r="H3486" s="4" t="n">
        <v>0.4019</v>
      </c>
      <c r="I3486" s="2" t="s">
        <v>23</v>
      </c>
      <c r="J3486" s="2" t="s">
        <v>33</v>
      </c>
      <c r="K3486" s="2" t="n">
        <v>2</v>
      </c>
      <c r="L3486" s="2" t="n">
        <v>0</v>
      </c>
      <c r="M3486" s="2" t="n">
        <v>0</v>
      </c>
    </row>
    <row r="3487" customFormat="false" ht="15" hidden="false" customHeight="false" outlineLevel="0" collapsed="false">
      <c r="A3487" s="2" t="s">
        <v>7242</v>
      </c>
      <c r="B3487" s="2" t="s">
        <v>7243</v>
      </c>
      <c r="C3487" s="2" t="n">
        <v>5</v>
      </c>
      <c r="D3487" s="2" t="s">
        <v>62</v>
      </c>
      <c r="E3487" s="2" t="s">
        <v>6670</v>
      </c>
      <c r="F3487" s="3" t="n">
        <v>45999.3493055556</v>
      </c>
      <c r="G3487" s="2" t="s">
        <v>7092</v>
      </c>
      <c r="H3487" s="4" t="n">
        <v>0.7088</v>
      </c>
      <c r="I3487" s="2" t="s">
        <v>23</v>
      </c>
      <c r="J3487" s="2" t="s">
        <v>19</v>
      </c>
      <c r="K3487" s="2" t="n">
        <v>1</v>
      </c>
      <c r="L3487" s="2" t="n">
        <v>0</v>
      </c>
      <c r="M3487" s="2" t="n">
        <v>0</v>
      </c>
    </row>
    <row r="3488" customFormat="false" ht="15" hidden="false" customHeight="false" outlineLevel="0" collapsed="false">
      <c r="A3488" s="2" t="s">
        <v>7244</v>
      </c>
      <c r="B3488" s="2" t="s">
        <v>7245</v>
      </c>
      <c r="C3488" s="2" t="n">
        <v>5</v>
      </c>
      <c r="D3488" s="2" t="s">
        <v>1714</v>
      </c>
      <c r="E3488" s="2" t="s">
        <v>6670</v>
      </c>
      <c r="F3488" s="3" t="n">
        <v>45999.3638888889</v>
      </c>
      <c r="G3488" s="2" t="s">
        <v>7092</v>
      </c>
      <c r="H3488" s="4" t="n">
        <v>0.9359</v>
      </c>
      <c r="I3488" s="2" t="s">
        <v>23</v>
      </c>
      <c r="J3488" s="2" t="s">
        <v>37</v>
      </c>
      <c r="K3488" s="2" t="n">
        <v>2</v>
      </c>
      <c r="L3488" s="2" t="n">
        <v>0</v>
      </c>
      <c r="M3488" s="2" t="n">
        <v>0</v>
      </c>
    </row>
    <row r="3489" customFormat="false" ht="15" hidden="false" customHeight="false" outlineLevel="0" collapsed="false">
      <c r="A3489" s="2" t="s">
        <v>7246</v>
      </c>
      <c r="B3489" s="2" t="s">
        <v>7247</v>
      </c>
      <c r="C3489" s="2" t="n">
        <v>5</v>
      </c>
      <c r="D3489" s="2" t="s">
        <v>96</v>
      </c>
      <c r="E3489" s="2" t="s">
        <v>6670</v>
      </c>
      <c r="F3489" s="3" t="n">
        <v>45999.3861111111</v>
      </c>
      <c r="G3489" s="2" t="s">
        <v>7092</v>
      </c>
      <c r="H3489" s="4" t="n">
        <v>0.6369</v>
      </c>
      <c r="I3489" s="2" t="s">
        <v>23</v>
      </c>
      <c r="J3489" s="2" t="s">
        <v>19</v>
      </c>
      <c r="K3489" s="2" t="n">
        <v>13</v>
      </c>
      <c r="L3489" s="2" t="n">
        <v>0</v>
      </c>
      <c r="M3489" s="2" t="n">
        <v>0</v>
      </c>
    </row>
    <row r="3490" customFormat="false" ht="15" hidden="false" customHeight="false" outlineLevel="0" collapsed="false">
      <c r="A3490" s="2" t="s">
        <v>7248</v>
      </c>
      <c r="B3490" s="2" t="s">
        <v>7249</v>
      </c>
      <c r="C3490" s="2" t="n">
        <v>5</v>
      </c>
      <c r="D3490" s="2" t="s">
        <v>47</v>
      </c>
      <c r="E3490" s="2" t="s">
        <v>6670</v>
      </c>
      <c r="F3490" s="3" t="n">
        <v>45999.6875</v>
      </c>
      <c r="G3490" s="2" t="s">
        <v>7092</v>
      </c>
      <c r="H3490" s="4" t="n">
        <v>0.3089</v>
      </c>
      <c r="I3490" s="2" t="s">
        <v>23</v>
      </c>
      <c r="J3490" s="2" t="s">
        <v>19</v>
      </c>
      <c r="K3490" s="2" t="n">
        <v>2</v>
      </c>
      <c r="L3490" s="2" t="n">
        <v>0</v>
      </c>
      <c r="M3490" s="2" t="n">
        <v>0</v>
      </c>
    </row>
    <row r="3491" customFormat="false" ht="15" hidden="false" customHeight="false" outlineLevel="0" collapsed="false">
      <c r="A3491" s="2" t="s">
        <v>7250</v>
      </c>
      <c r="B3491" s="2" t="s">
        <v>7251</v>
      </c>
      <c r="C3491" s="2" t="n">
        <v>2</v>
      </c>
      <c r="D3491" s="2" t="s">
        <v>482</v>
      </c>
      <c r="E3491" s="2" t="s">
        <v>6670</v>
      </c>
      <c r="F3491" s="3" t="n">
        <v>45999.9236111111</v>
      </c>
      <c r="G3491" s="2" t="s">
        <v>7092</v>
      </c>
      <c r="H3491" s="4" t="n">
        <v>-0.6808</v>
      </c>
      <c r="I3491" s="2" t="s">
        <v>84</v>
      </c>
      <c r="J3491" s="2" t="s">
        <v>110</v>
      </c>
      <c r="K3491" s="2" t="n">
        <v>0</v>
      </c>
      <c r="L3491" s="2" t="n">
        <v>1</v>
      </c>
      <c r="M3491" s="2" t="n">
        <v>0</v>
      </c>
    </row>
    <row r="3492" customFormat="false" ht="15" hidden="false" customHeight="false" outlineLevel="0" collapsed="false">
      <c r="A3492" s="2" t="s">
        <v>7252</v>
      </c>
      <c r="B3492" s="2" t="s">
        <v>7253</v>
      </c>
      <c r="C3492" s="2" t="n">
        <v>5</v>
      </c>
      <c r="D3492" s="2" t="s">
        <v>90</v>
      </c>
      <c r="E3492" s="2" t="s">
        <v>6670</v>
      </c>
      <c r="F3492" s="3" t="n">
        <v>45999.9472222222</v>
      </c>
      <c r="G3492" s="2" t="s">
        <v>7092</v>
      </c>
      <c r="H3492" s="4" t="n">
        <v>0.6249</v>
      </c>
      <c r="I3492" s="2" t="s">
        <v>23</v>
      </c>
      <c r="J3492" s="2" t="s">
        <v>37</v>
      </c>
      <c r="K3492" s="2" t="n">
        <v>3</v>
      </c>
      <c r="L3492" s="2" t="n">
        <v>0</v>
      </c>
      <c r="M3492" s="2" t="n">
        <v>0</v>
      </c>
    </row>
    <row r="3493" customFormat="false" ht="15" hidden="false" customHeight="false" outlineLevel="0" collapsed="false">
      <c r="A3493" s="2" t="s">
        <v>7254</v>
      </c>
      <c r="B3493" s="2" t="s">
        <v>7255</v>
      </c>
      <c r="C3493" s="2" t="n">
        <v>4</v>
      </c>
      <c r="D3493" s="2" t="s">
        <v>36</v>
      </c>
      <c r="E3493" s="2" t="s">
        <v>6670</v>
      </c>
      <c r="F3493" s="3" t="n">
        <v>46000.1791666667</v>
      </c>
      <c r="G3493" s="2" t="s">
        <v>7092</v>
      </c>
      <c r="H3493" s="4" t="n">
        <v>0.4404</v>
      </c>
      <c r="I3493" s="2" t="s">
        <v>23</v>
      </c>
      <c r="J3493" s="2" t="s">
        <v>37</v>
      </c>
      <c r="K3493" s="2" t="n">
        <v>0</v>
      </c>
      <c r="L3493" s="2" t="n">
        <v>0</v>
      </c>
      <c r="M3493" s="2" t="n">
        <v>0</v>
      </c>
    </row>
    <row r="3494" customFormat="false" ht="15" hidden="false" customHeight="false" outlineLevel="0" collapsed="false">
      <c r="A3494" s="2" t="s">
        <v>7256</v>
      </c>
      <c r="B3494" s="2" t="s">
        <v>7257</v>
      </c>
      <c r="C3494" s="2" t="n">
        <v>4</v>
      </c>
      <c r="D3494" s="2" t="s">
        <v>15</v>
      </c>
      <c r="E3494" s="2" t="s">
        <v>6670</v>
      </c>
      <c r="F3494" s="3" t="n">
        <v>46000.2131944444</v>
      </c>
      <c r="G3494" s="2" t="s">
        <v>7092</v>
      </c>
      <c r="H3494" s="4" t="n">
        <v>0</v>
      </c>
      <c r="I3494" s="2" t="s">
        <v>18</v>
      </c>
      <c r="J3494" s="2" t="s">
        <v>19</v>
      </c>
      <c r="K3494" s="2" t="n">
        <v>3</v>
      </c>
      <c r="L3494" s="2" t="n">
        <v>0</v>
      </c>
      <c r="M3494" s="2" t="n">
        <v>0</v>
      </c>
    </row>
    <row r="3495" customFormat="false" ht="15" hidden="false" customHeight="false" outlineLevel="0" collapsed="false">
      <c r="A3495" s="2" t="s">
        <v>7258</v>
      </c>
      <c r="B3495" s="2" t="s">
        <v>7259</v>
      </c>
      <c r="C3495" s="2" t="n">
        <v>5</v>
      </c>
      <c r="D3495" s="2" t="s">
        <v>2578</v>
      </c>
      <c r="E3495" s="2" t="s">
        <v>6670</v>
      </c>
      <c r="F3495" s="3" t="n">
        <v>46000.3090277778</v>
      </c>
      <c r="G3495" s="2" t="s">
        <v>7092</v>
      </c>
      <c r="H3495" s="4" t="n">
        <v>0.9626</v>
      </c>
      <c r="I3495" s="2" t="s">
        <v>23</v>
      </c>
      <c r="J3495" s="2" t="s">
        <v>37</v>
      </c>
      <c r="K3495" s="2" t="n">
        <v>1</v>
      </c>
      <c r="L3495" s="2" t="n">
        <v>0</v>
      </c>
      <c r="M3495" s="2" t="n">
        <v>0</v>
      </c>
    </row>
    <row r="3496" customFormat="false" ht="15" hidden="false" customHeight="false" outlineLevel="0" collapsed="false">
      <c r="A3496" s="2" t="s">
        <v>7260</v>
      </c>
      <c r="B3496" s="2" t="s">
        <v>6606</v>
      </c>
      <c r="C3496" s="2" t="n">
        <v>5</v>
      </c>
      <c r="D3496" s="2" t="s">
        <v>1878</v>
      </c>
      <c r="E3496" s="2" t="s">
        <v>6670</v>
      </c>
      <c r="F3496" s="3" t="n">
        <v>46000.3381944444</v>
      </c>
      <c r="G3496" s="2" t="s">
        <v>7092</v>
      </c>
      <c r="H3496" s="4" t="n">
        <v>0.9516</v>
      </c>
      <c r="I3496" s="2" t="s">
        <v>23</v>
      </c>
      <c r="J3496" s="2" t="s">
        <v>37</v>
      </c>
      <c r="K3496" s="2" t="n">
        <v>16</v>
      </c>
      <c r="L3496" s="2" t="n">
        <v>0</v>
      </c>
      <c r="M3496" s="2" t="n">
        <v>0</v>
      </c>
    </row>
    <row r="3497" customFormat="false" ht="15" hidden="false" customHeight="false" outlineLevel="0" collapsed="false">
      <c r="A3497" s="2" t="s">
        <v>7261</v>
      </c>
      <c r="B3497" s="2" t="s">
        <v>7262</v>
      </c>
      <c r="C3497" s="2" t="n">
        <v>5</v>
      </c>
      <c r="D3497" s="2" t="s">
        <v>90</v>
      </c>
      <c r="E3497" s="2" t="s">
        <v>6670</v>
      </c>
      <c r="F3497" s="3" t="n">
        <v>46000.3944444444</v>
      </c>
      <c r="G3497" s="2" t="s">
        <v>7092</v>
      </c>
      <c r="H3497" s="4" t="n">
        <v>0.6249</v>
      </c>
      <c r="I3497" s="2" t="s">
        <v>23</v>
      </c>
      <c r="J3497" s="2" t="s">
        <v>37</v>
      </c>
      <c r="K3497" s="2" t="n">
        <v>4</v>
      </c>
      <c r="L3497" s="2" t="n">
        <v>0</v>
      </c>
      <c r="M3497" s="2" t="n">
        <v>0</v>
      </c>
    </row>
    <row r="3498" customFormat="false" ht="15" hidden="false" customHeight="false" outlineLevel="0" collapsed="false">
      <c r="A3498" s="2" t="s">
        <v>7263</v>
      </c>
      <c r="B3498" s="2" t="s">
        <v>7264</v>
      </c>
      <c r="C3498" s="2" t="n">
        <v>4</v>
      </c>
      <c r="D3498" s="2" t="s">
        <v>790</v>
      </c>
      <c r="E3498" s="2" t="s">
        <v>6670</v>
      </c>
      <c r="F3498" s="3" t="n">
        <v>46000.3993055556</v>
      </c>
      <c r="G3498" s="2" t="s">
        <v>7092</v>
      </c>
      <c r="H3498" s="4" t="n">
        <v>0.9647</v>
      </c>
      <c r="I3498" s="2" t="s">
        <v>23</v>
      </c>
      <c r="J3498" s="2" t="s">
        <v>37</v>
      </c>
      <c r="K3498" s="2" t="n">
        <v>0</v>
      </c>
      <c r="L3498" s="2" t="n">
        <v>0</v>
      </c>
      <c r="M3498" s="2" t="n">
        <v>0</v>
      </c>
    </row>
    <row r="3499" customFormat="false" ht="15" hidden="false" customHeight="false" outlineLevel="0" collapsed="false">
      <c r="A3499" s="2" t="s">
        <v>7265</v>
      </c>
      <c r="B3499" s="2" t="s">
        <v>7266</v>
      </c>
      <c r="C3499" s="2" t="n">
        <v>5</v>
      </c>
      <c r="D3499" s="2" t="s">
        <v>1249</v>
      </c>
      <c r="E3499" s="2" t="s">
        <v>6670</v>
      </c>
      <c r="F3499" s="3" t="n">
        <v>46000.6944444445</v>
      </c>
      <c r="G3499" s="2" t="s">
        <v>7092</v>
      </c>
      <c r="H3499" s="4" t="n">
        <v>0.8519</v>
      </c>
      <c r="I3499" s="2" t="s">
        <v>23</v>
      </c>
      <c r="J3499" s="2" t="s">
        <v>37</v>
      </c>
      <c r="K3499" s="2" t="n">
        <v>1</v>
      </c>
      <c r="L3499" s="2" t="n">
        <v>1</v>
      </c>
      <c r="M3499" s="2" t="n">
        <v>0</v>
      </c>
    </row>
    <row r="3500" customFormat="false" ht="15" hidden="false" customHeight="false" outlineLevel="0" collapsed="false">
      <c r="A3500" s="2" t="s">
        <v>7267</v>
      </c>
      <c r="B3500" s="2" t="s">
        <v>7268</v>
      </c>
      <c r="C3500" s="2" t="n">
        <v>5</v>
      </c>
      <c r="D3500" s="2" t="s">
        <v>1240</v>
      </c>
      <c r="E3500" s="2" t="s">
        <v>6670</v>
      </c>
      <c r="F3500" s="3" t="n">
        <v>46000.8958333333</v>
      </c>
      <c r="G3500" s="2" t="s">
        <v>7092</v>
      </c>
      <c r="H3500" s="4" t="n">
        <v>0.6369</v>
      </c>
      <c r="I3500" s="2" t="s">
        <v>23</v>
      </c>
      <c r="J3500" s="2" t="s">
        <v>19</v>
      </c>
      <c r="K3500" s="2" t="n">
        <v>4</v>
      </c>
      <c r="L3500" s="2" t="n">
        <v>0</v>
      </c>
      <c r="M3500" s="2" t="n">
        <v>0</v>
      </c>
    </row>
    <row r="3501" customFormat="false" ht="15" hidden="false" customHeight="false" outlineLevel="0" collapsed="false">
      <c r="A3501" s="2" t="s">
        <v>7269</v>
      </c>
      <c r="B3501" s="2" t="s">
        <v>7270</v>
      </c>
      <c r="C3501" s="2" t="n">
        <v>3</v>
      </c>
      <c r="D3501" s="2" t="s">
        <v>301</v>
      </c>
      <c r="E3501" s="2" t="s">
        <v>6670</v>
      </c>
      <c r="F3501" s="3" t="n">
        <v>46000.9152777778</v>
      </c>
      <c r="G3501" s="2" t="s">
        <v>7092</v>
      </c>
      <c r="H3501" s="4" t="n">
        <v>0.2263</v>
      </c>
      <c r="I3501" s="2" t="s">
        <v>23</v>
      </c>
      <c r="J3501" s="2" t="s">
        <v>19</v>
      </c>
      <c r="K3501" s="2" t="n">
        <v>5</v>
      </c>
      <c r="L3501" s="2" t="n">
        <v>0</v>
      </c>
      <c r="M3501" s="2" t="n">
        <v>0</v>
      </c>
    </row>
    <row r="3502" customFormat="false" ht="15" hidden="false" customHeight="false" outlineLevel="0" collapsed="false">
      <c r="A3502" s="2" t="s">
        <v>7271</v>
      </c>
      <c r="B3502" s="2" t="s">
        <v>7272</v>
      </c>
      <c r="C3502" s="2" t="n">
        <v>5</v>
      </c>
      <c r="D3502" s="2" t="s">
        <v>127</v>
      </c>
      <c r="E3502" s="2" t="s">
        <v>6670</v>
      </c>
      <c r="F3502" s="3" t="n">
        <v>46001.0118055556</v>
      </c>
      <c r="G3502" s="2" t="s">
        <v>7092</v>
      </c>
      <c r="H3502" s="4" t="n">
        <v>0.9359</v>
      </c>
      <c r="I3502" s="2" t="s">
        <v>23</v>
      </c>
      <c r="J3502" s="2" t="s">
        <v>37</v>
      </c>
      <c r="K3502" s="2" t="n">
        <v>2</v>
      </c>
      <c r="L3502" s="2" t="n">
        <v>0</v>
      </c>
      <c r="M3502" s="2" t="n">
        <v>0</v>
      </c>
    </row>
    <row r="3503" customFormat="false" ht="15" hidden="false" customHeight="false" outlineLevel="0" collapsed="false">
      <c r="A3503" s="2" t="s">
        <v>7273</v>
      </c>
      <c r="B3503" s="2" t="s">
        <v>7274</v>
      </c>
      <c r="C3503" s="2" t="n">
        <v>1</v>
      </c>
      <c r="D3503" s="2" t="s">
        <v>6809</v>
      </c>
      <c r="E3503" s="2" t="s">
        <v>6670</v>
      </c>
      <c r="F3503" s="3" t="n">
        <v>46001.2666666667</v>
      </c>
      <c r="G3503" s="2" t="s">
        <v>7092</v>
      </c>
      <c r="H3503" s="4" t="n">
        <v>-0.1509</v>
      </c>
      <c r="I3503" s="2" t="s">
        <v>84</v>
      </c>
      <c r="J3503" s="2" t="s">
        <v>33</v>
      </c>
      <c r="K3503" s="2" t="n">
        <v>1</v>
      </c>
      <c r="L3503" s="2" t="n">
        <v>1</v>
      </c>
      <c r="M3503" s="2" t="n">
        <v>0</v>
      </c>
    </row>
    <row r="3504" customFormat="false" ht="15" hidden="false" customHeight="false" outlineLevel="0" collapsed="false">
      <c r="A3504" s="2" t="s">
        <v>7275</v>
      </c>
      <c r="B3504" s="2" t="s">
        <v>7276</v>
      </c>
      <c r="C3504" s="2" t="n">
        <v>2</v>
      </c>
      <c r="D3504" s="2" t="s">
        <v>7277</v>
      </c>
      <c r="E3504" s="2" t="s">
        <v>6670</v>
      </c>
      <c r="F3504" s="3" t="n">
        <v>46001.6201388889</v>
      </c>
      <c r="G3504" s="2" t="s">
        <v>7092</v>
      </c>
      <c r="H3504" s="4" t="n">
        <v>-0.3089</v>
      </c>
      <c r="I3504" s="2" t="s">
        <v>84</v>
      </c>
      <c r="J3504" s="2" t="s">
        <v>165</v>
      </c>
      <c r="K3504" s="2" t="n">
        <v>6</v>
      </c>
      <c r="L3504" s="2" t="n">
        <v>0</v>
      </c>
      <c r="M3504" s="2" t="n">
        <v>0</v>
      </c>
    </row>
    <row r="3505" customFormat="false" ht="15" hidden="false" customHeight="false" outlineLevel="0" collapsed="false">
      <c r="A3505" s="2" t="s">
        <v>7278</v>
      </c>
      <c r="B3505" s="2" t="s">
        <v>7279</v>
      </c>
      <c r="C3505" s="2" t="n">
        <v>3</v>
      </c>
      <c r="D3505" s="2" t="s">
        <v>455</v>
      </c>
      <c r="E3505" s="2" t="s">
        <v>6670</v>
      </c>
      <c r="F3505" s="3" t="n">
        <v>46001.7680555556</v>
      </c>
      <c r="G3505" s="2" t="s">
        <v>7092</v>
      </c>
      <c r="H3505" s="4" t="n">
        <v>-0.2263</v>
      </c>
      <c r="I3505" s="2" t="s">
        <v>84</v>
      </c>
      <c r="J3505" s="2" t="s">
        <v>165</v>
      </c>
      <c r="K3505" s="2" t="n">
        <v>4</v>
      </c>
      <c r="L3505" s="2" t="n">
        <v>0</v>
      </c>
      <c r="M3505" s="2" t="n">
        <v>0</v>
      </c>
    </row>
    <row r="3506" customFormat="false" ht="15" hidden="false" customHeight="false" outlineLevel="0" collapsed="false">
      <c r="A3506" s="2" t="s">
        <v>7280</v>
      </c>
      <c r="B3506" s="2" t="s">
        <v>7281</v>
      </c>
      <c r="C3506" s="2" t="n">
        <v>5</v>
      </c>
      <c r="D3506" s="2" t="s">
        <v>52</v>
      </c>
      <c r="E3506" s="2" t="s">
        <v>6670</v>
      </c>
      <c r="F3506" s="3" t="n">
        <v>46001.9715277778</v>
      </c>
      <c r="G3506" s="2" t="s">
        <v>7092</v>
      </c>
      <c r="H3506" s="4" t="n">
        <v>0.6369</v>
      </c>
      <c r="I3506" s="2" t="s">
        <v>23</v>
      </c>
      <c r="J3506" s="2" t="s">
        <v>19</v>
      </c>
      <c r="K3506" s="2" t="n">
        <v>6</v>
      </c>
      <c r="L3506" s="2" t="n">
        <v>0</v>
      </c>
      <c r="M3506" s="2" t="n">
        <v>0</v>
      </c>
    </row>
    <row r="3507" customFormat="false" ht="15" hidden="false" customHeight="false" outlineLevel="0" collapsed="false">
      <c r="A3507" s="2" t="s">
        <v>7282</v>
      </c>
      <c r="B3507" s="2" t="s">
        <v>7283</v>
      </c>
      <c r="C3507" s="2" t="n">
        <v>5</v>
      </c>
      <c r="D3507" s="2" t="s">
        <v>96</v>
      </c>
      <c r="E3507" s="2" t="s">
        <v>6670</v>
      </c>
      <c r="F3507" s="3" t="n">
        <v>46002.0284722222</v>
      </c>
      <c r="G3507" s="2" t="s">
        <v>7092</v>
      </c>
      <c r="H3507" s="4" t="n">
        <v>0.6369</v>
      </c>
      <c r="I3507" s="2" t="s">
        <v>23</v>
      </c>
      <c r="J3507" s="2" t="s">
        <v>19</v>
      </c>
      <c r="K3507" s="2" t="n">
        <v>0</v>
      </c>
      <c r="L3507" s="2" t="n">
        <v>0</v>
      </c>
      <c r="M3507" s="2" t="n">
        <v>0</v>
      </c>
    </row>
    <row r="3508" customFormat="false" ht="15" hidden="false" customHeight="false" outlineLevel="0" collapsed="false">
      <c r="A3508" s="2" t="s">
        <v>7284</v>
      </c>
      <c r="B3508" s="2" t="s">
        <v>1819</v>
      </c>
      <c r="C3508" s="2" t="n">
        <v>5</v>
      </c>
      <c r="D3508" s="2" t="s">
        <v>52</v>
      </c>
      <c r="E3508" s="2" t="s">
        <v>6670</v>
      </c>
      <c r="F3508" s="3" t="n">
        <v>46002.0388888889</v>
      </c>
      <c r="G3508" s="2" t="s">
        <v>7092</v>
      </c>
      <c r="H3508" s="4" t="n">
        <v>0.6369</v>
      </c>
      <c r="I3508" s="2" t="s">
        <v>23</v>
      </c>
      <c r="J3508" s="2" t="s">
        <v>19</v>
      </c>
      <c r="K3508" s="2" t="n">
        <v>9</v>
      </c>
      <c r="L3508" s="2" t="n">
        <v>0</v>
      </c>
      <c r="M3508" s="2" t="n">
        <v>0</v>
      </c>
    </row>
    <row r="3509" customFormat="false" ht="15" hidden="false" customHeight="false" outlineLevel="0" collapsed="false">
      <c r="A3509" s="2" t="s">
        <v>7285</v>
      </c>
      <c r="B3509" s="2" t="s">
        <v>7286</v>
      </c>
      <c r="C3509" s="2" t="n">
        <v>3</v>
      </c>
      <c r="D3509" s="2" t="s">
        <v>22</v>
      </c>
      <c r="E3509" s="2" t="s">
        <v>6670</v>
      </c>
      <c r="F3509" s="3" t="n">
        <v>46002.0708333333</v>
      </c>
      <c r="G3509" s="2" t="s">
        <v>7092</v>
      </c>
      <c r="H3509" s="4" t="n">
        <v>0.2023</v>
      </c>
      <c r="I3509" s="2" t="s">
        <v>23</v>
      </c>
      <c r="J3509" s="2" t="s">
        <v>19</v>
      </c>
      <c r="K3509" s="2" t="n">
        <v>0</v>
      </c>
      <c r="L3509" s="2" t="n">
        <v>0</v>
      </c>
      <c r="M3509" s="2" t="n">
        <v>0</v>
      </c>
    </row>
    <row r="3510" customFormat="false" ht="15" hidden="false" customHeight="false" outlineLevel="0" collapsed="false">
      <c r="A3510" s="2" t="s">
        <v>7287</v>
      </c>
      <c r="B3510" s="2" t="s">
        <v>7288</v>
      </c>
      <c r="C3510" s="2" t="n">
        <v>5</v>
      </c>
      <c r="D3510" s="2" t="s">
        <v>127</v>
      </c>
      <c r="E3510" s="2" t="s">
        <v>6670</v>
      </c>
      <c r="F3510" s="3" t="n">
        <v>46002.21875</v>
      </c>
      <c r="G3510" s="2" t="s">
        <v>7092</v>
      </c>
      <c r="H3510" s="4" t="n">
        <v>0.9359</v>
      </c>
      <c r="I3510" s="2" t="s">
        <v>23</v>
      </c>
      <c r="J3510" s="2" t="s">
        <v>37</v>
      </c>
      <c r="K3510" s="2" t="n">
        <v>2</v>
      </c>
      <c r="L3510" s="2" t="n">
        <v>0</v>
      </c>
      <c r="M3510" s="2" t="n">
        <v>0</v>
      </c>
    </row>
    <row r="3511" customFormat="false" ht="15" hidden="false" customHeight="false" outlineLevel="0" collapsed="false">
      <c r="A3511" s="2" t="s">
        <v>7289</v>
      </c>
      <c r="B3511" s="2" t="s">
        <v>7290</v>
      </c>
      <c r="C3511" s="2" t="n">
        <v>3</v>
      </c>
      <c r="D3511" s="2" t="s">
        <v>87</v>
      </c>
      <c r="E3511" s="2" t="s">
        <v>6670</v>
      </c>
      <c r="F3511" s="3" t="n">
        <v>46002.4958333333</v>
      </c>
      <c r="G3511" s="2" t="s">
        <v>7092</v>
      </c>
      <c r="H3511" s="4" t="n">
        <v>0</v>
      </c>
      <c r="I3511" s="2" t="s">
        <v>18</v>
      </c>
      <c r="J3511" s="2" t="s">
        <v>19</v>
      </c>
      <c r="K3511" s="2" t="n">
        <v>11</v>
      </c>
      <c r="L3511" s="2" t="n">
        <v>0</v>
      </c>
      <c r="M3511" s="2" t="n">
        <v>0</v>
      </c>
    </row>
    <row r="3512" customFormat="false" ht="15" hidden="false" customHeight="false" outlineLevel="0" collapsed="false">
      <c r="A3512" s="2" t="s">
        <v>7291</v>
      </c>
      <c r="B3512" s="2" t="s">
        <v>7292</v>
      </c>
      <c r="C3512" s="2" t="n">
        <v>5</v>
      </c>
      <c r="D3512" s="2" t="s">
        <v>52</v>
      </c>
      <c r="E3512" s="2" t="s">
        <v>6670</v>
      </c>
      <c r="F3512" s="3" t="n">
        <v>46002.5305555556</v>
      </c>
      <c r="G3512" s="2" t="s">
        <v>7092</v>
      </c>
      <c r="H3512" s="4" t="n">
        <v>0.6369</v>
      </c>
      <c r="I3512" s="2" t="s">
        <v>23</v>
      </c>
      <c r="J3512" s="2" t="s">
        <v>19</v>
      </c>
      <c r="K3512" s="2" t="n">
        <v>6</v>
      </c>
      <c r="L3512" s="2" t="n">
        <v>0</v>
      </c>
      <c r="M3512" s="2" t="n">
        <v>0</v>
      </c>
    </row>
    <row r="3513" customFormat="false" ht="15" hidden="false" customHeight="false" outlineLevel="0" collapsed="false">
      <c r="A3513" s="2" t="s">
        <v>7293</v>
      </c>
      <c r="B3513" s="2" t="s">
        <v>7294</v>
      </c>
      <c r="C3513" s="2" t="n">
        <v>5</v>
      </c>
      <c r="D3513" s="2" t="s">
        <v>1167</v>
      </c>
      <c r="E3513" s="2" t="s">
        <v>6670</v>
      </c>
      <c r="F3513" s="3" t="n">
        <v>46002.5465277778</v>
      </c>
      <c r="G3513" s="2" t="s">
        <v>7092</v>
      </c>
      <c r="H3513" s="4" t="n">
        <v>0.8519</v>
      </c>
      <c r="I3513" s="2" t="s">
        <v>23</v>
      </c>
      <c r="J3513" s="2" t="s">
        <v>37</v>
      </c>
      <c r="K3513" s="2" t="n">
        <v>2</v>
      </c>
      <c r="L3513" s="2" t="n">
        <v>0</v>
      </c>
      <c r="M3513" s="2" t="n">
        <v>0</v>
      </c>
    </row>
    <row r="3514" customFormat="false" ht="15" hidden="false" customHeight="false" outlineLevel="0" collapsed="false">
      <c r="A3514" s="2" t="s">
        <v>7295</v>
      </c>
      <c r="B3514" s="2" t="s">
        <v>7296</v>
      </c>
      <c r="C3514" s="2" t="n">
        <v>3</v>
      </c>
      <c r="D3514" s="2" t="s">
        <v>22</v>
      </c>
      <c r="E3514" s="2" t="s">
        <v>6670</v>
      </c>
      <c r="F3514" s="3" t="n">
        <v>46002.6013888889</v>
      </c>
      <c r="G3514" s="2" t="s">
        <v>7092</v>
      </c>
      <c r="H3514" s="4" t="n">
        <v>0.2023</v>
      </c>
      <c r="I3514" s="2" t="s">
        <v>23</v>
      </c>
      <c r="J3514" s="2" t="s">
        <v>19</v>
      </c>
      <c r="K3514" s="2" t="n">
        <v>0</v>
      </c>
      <c r="L3514" s="2" t="n">
        <v>0</v>
      </c>
      <c r="M3514" s="2" t="n">
        <v>0</v>
      </c>
    </row>
    <row r="3515" customFormat="false" ht="15" hidden="false" customHeight="false" outlineLevel="0" collapsed="false">
      <c r="A3515" s="2" t="s">
        <v>7297</v>
      </c>
      <c r="B3515" s="2" t="s">
        <v>7298</v>
      </c>
      <c r="C3515" s="2" t="n">
        <v>2</v>
      </c>
      <c r="D3515" s="2" t="s">
        <v>733</v>
      </c>
      <c r="E3515" s="2" t="s">
        <v>6670</v>
      </c>
      <c r="F3515" s="3" t="n">
        <v>46002.7090277778</v>
      </c>
      <c r="G3515" s="2" t="s">
        <v>7092</v>
      </c>
      <c r="H3515" s="4" t="n">
        <v>-0.2846</v>
      </c>
      <c r="I3515" s="2" t="s">
        <v>84</v>
      </c>
      <c r="J3515" s="2" t="s">
        <v>37</v>
      </c>
      <c r="K3515" s="2" t="n">
        <v>0</v>
      </c>
      <c r="L3515" s="2" t="n">
        <v>1</v>
      </c>
      <c r="M3515" s="2" t="n">
        <v>0</v>
      </c>
    </row>
    <row r="3516" customFormat="false" ht="15" hidden="false" customHeight="false" outlineLevel="0" collapsed="false">
      <c r="A3516" s="2" t="s">
        <v>7299</v>
      </c>
      <c r="B3516" s="2" t="s">
        <v>7300</v>
      </c>
      <c r="C3516" s="2" t="n">
        <v>4</v>
      </c>
      <c r="D3516" s="2" t="s">
        <v>62</v>
      </c>
      <c r="E3516" s="2" t="s">
        <v>6670</v>
      </c>
      <c r="F3516" s="3" t="n">
        <v>46002.7520833333</v>
      </c>
      <c r="G3516" s="2" t="s">
        <v>7092</v>
      </c>
      <c r="H3516" s="4" t="n">
        <v>0.7088</v>
      </c>
      <c r="I3516" s="2" t="s">
        <v>23</v>
      </c>
      <c r="J3516" s="2" t="s">
        <v>19</v>
      </c>
      <c r="K3516" s="2" t="n">
        <v>2</v>
      </c>
      <c r="L3516" s="2" t="n">
        <v>0</v>
      </c>
      <c r="M3516" s="2" t="n">
        <v>0</v>
      </c>
    </row>
    <row r="3517" customFormat="false" ht="15" hidden="false" customHeight="false" outlineLevel="0" collapsed="false">
      <c r="A3517" s="2" t="s">
        <v>7301</v>
      </c>
      <c r="B3517" s="2" t="s">
        <v>7302</v>
      </c>
      <c r="C3517" s="2" t="n">
        <v>3</v>
      </c>
      <c r="D3517" s="2" t="s">
        <v>36</v>
      </c>
      <c r="E3517" s="2" t="s">
        <v>6670</v>
      </c>
      <c r="F3517" s="3" t="n">
        <v>46002.8</v>
      </c>
      <c r="G3517" s="2" t="s">
        <v>7092</v>
      </c>
      <c r="H3517" s="4" t="n">
        <v>0.4404</v>
      </c>
      <c r="I3517" s="2" t="s">
        <v>23</v>
      </c>
      <c r="J3517" s="2" t="s">
        <v>37</v>
      </c>
      <c r="K3517" s="2" t="n">
        <v>2</v>
      </c>
      <c r="L3517" s="2" t="n">
        <v>0</v>
      </c>
      <c r="M3517" s="2" t="n">
        <v>0</v>
      </c>
    </row>
    <row r="3518" customFormat="false" ht="15" hidden="false" customHeight="false" outlineLevel="0" collapsed="false">
      <c r="A3518" s="2" t="s">
        <v>7303</v>
      </c>
      <c r="B3518" s="2" t="s">
        <v>7304</v>
      </c>
      <c r="C3518" s="2" t="n">
        <v>5</v>
      </c>
      <c r="D3518" s="2" t="s">
        <v>127</v>
      </c>
      <c r="E3518" s="2" t="s">
        <v>6670</v>
      </c>
      <c r="F3518" s="3" t="n">
        <v>46002.8361111111</v>
      </c>
      <c r="G3518" s="2" t="s">
        <v>7092</v>
      </c>
      <c r="H3518" s="4" t="n">
        <v>0.9359</v>
      </c>
      <c r="I3518" s="2" t="s">
        <v>23</v>
      </c>
      <c r="J3518" s="2" t="s">
        <v>37</v>
      </c>
      <c r="K3518" s="2" t="n">
        <v>1</v>
      </c>
      <c r="L3518" s="2" t="n">
        <v>0</v>
      </c>
      <c r="M3518" s="2" t="n">
        <v>0</v>
      </c>
    </row>
    <row r="3519" customFormat="false" ht="15" hidden="false" customHeight="false" outlineLevel="0" collapsed="false">
      <c r="A3519" s="2" t="s">
        <v>7305</v>
      </c>
      <c r="B3519" s="2" t="s">
        <v>7306</v>
      </c>
      <c r="C3519" s="2" t="n">
        <v>4</v>
      </c>
      <c r="D3519" s="2" t="s">
        <v>36</v>
      </c>
      <c r="E3519" s="2" t="s">
        <v>6670</v>
      </c>
      <c r="F3519" s="3" t="n">
        <v>46002.925</v>
      </c>
      <c r="G3519" s="2" t="s">
        <v>7092</v>
      </c>
      <c r="H3519" s="4" t="n">
        <v>0.4404</v>
      </c>
      <c r="I3519" s="2" t="s">
        <v>23</v>
      </c>
      <c r="J3519" s="2" t="s">
        <v>37</v>
      </c>
      <c r="K3519" s="2" t="n">
        <v>4</v>
      </c>
      <c r="L3519" s="2" t="n">
        <v>0</v>
      </c>
      <c r="M3519" s="2" t="n">
        <v>0</v>
      </c>
    </row>
    <row r="3520" customFormat="false" ht="15" hidden="false" customHeight="false" outlineLevel="0" collapsed="false">
      <c r="A3520" s="2" t="s">
        <v>7307</v>
      </c>
      <c r="B3520" s="2" t="s">
        <v>7308</v>
      </c>
      <c r="C3520" s="2" t="n">
        <v>3</v>
      </c>
      <c r="D3520" s="2" t="s">
        <v>2143</v>
      </c>
      <c r="E3520" s="2" t="s">
        <v>6670</v>
      </c>
      <c r="F3520" s="3" t="n">
        <v>46002.9354166667</v>
      </c>
      <c r="G3520" s="2" t="s">
        <v>7092</v>
      </c>
      <c r="H3520" s="4" t="n">
        <v>0.6448</v>
      </c>
      <c r="I3520" s="2" t="s">
        <v>23</v>
      </c>
      <c r="J3520" s="2" t="s">
        <v>37</v>
      </c>
      <c r="K3520" s="2" t="n">
        <v>1</v>
      </c>
      <c r="L3520" s="2" t="n">
        <v>0</v>
      </c>
      <c r="M3520" s="2" t="n">
        <v>0</v>
      </c>
    </row>
    <row r="3521" customFormat="false" ht="15" hidden="false" customHeight="false" outlineLevel="0" collapsed="false">
      <c r="A3521" s="2" t="s">
        <v>7309</v>
      </c>
      <c r="B3521" s="2" t="s">
        <v>7310</v>
      </c>
      <c r="C3521" s="2" t="n">
        <v>1</v>
      </c>
      <c r="D3521" s="2" t="s">
        <v>701</v>
      </c>
      <c r="E3521" s="2" t="s">
        <v>6670</v>
      </c>
      <c r="F3521" s="3" t="n">
        <v>46002.9618055556</v>
      </c>
      <c r="G3521" s="2" t="s">
        <v>7092</v>
      </c>
      <c r="H3521" s="4" t="n">
        <v>-0.7184</v>
      </c>
      <c r="I3521" s="2" t="s">
        <v>84</v>
      </c>
      <c r="J3521" s="2" t="s">
        <v>37</v>
      </c>
      <c r="K3521" s="2" t="n">
        <v>0</v>
      </c>
      <c r="L3521" s="2" t="n">
        <v>1</v>
      </c>
      <c r="M3521" s="2" t="n">
        <v>0</v>
      </c>
    </row>
    <row r="3522" customFormat="false" ht="15" hidden="false" customHeight="false" outlineLevel="0" collapsed="false">
      <c r="A3522" s="2" t="s">
        <v>7311</v>
      </c>
      <c r="B3522" s="2" t="s">
        <v>7312</v>
      </c>
      <c r="C3522" s="2" t="n">
        <v>3</v>
      </c>
      <c r="D3522" s="2" t="s">
        <v>22</v>
      </c>
      <c r="E3522" s="2" t="s">
        <v>6670</v>
      </c>
      <c r="F3522" s="3" t="n">
        <v>46003.0472222222</v>
      </c>
      <c r="G3522" s="2" t="s">
        <v>7092</v>
      </c>
      <c r="H3522" s="4" t="n">
        <v>0.2023</v>
      </c>
      <c r="I3522" s="2" t="s">
        <v>23</v>
      </c>
      <c r="J3522" s="2" t="s">
        <v>19</v>
      </c>
      <c r="K3522" s="2" t="n">
        <v>3</v>
      </c>
      <c r="L3522" s="2" t="n">
        <v>0</v>
      </c>
      <c r="M3522" s="2" t="n">
        <v>0</v>
      </c>
    </row>
    <row r="3523" customFormat="false" ht="15" hidden="false" customHeight="false" outlineLevel="0" collapsed="false">
      <c r="A3523" s="2" t="s">
        <v>7313</v>
      </c>
      <c r="B3523" s="2" t="s">
        <v>7314</v>
      </c>
      <c r="C3523" s="2" t="n">
        <v>5</v>
      </c>
      <c r="D3523" s="2" t="s">
        <v>52</v>
      </c>
      <c r="E3523" s="2" t="s">
        <v>6670</v>
      </c>
      <c r="F3523" s="3" t="n">
        <v>46003.1680555556</v>
      </c>
      <c r="G3523" s="2" t="s">
        <v>7092</v>
      </c>
      <c r="H3523" s="4" t="n">
        <v>0.6369</v>
      </c>
      <c r="I3523" s="2" t="s">
        <v>23</v>
      </c>
      <c r="J3523" s="2" t="s">
        <v>19</v>
      </c>
      <c r="K3523" s="2" t="n">
        <v>1</v>
      </c>
      <c r="L3523" s="2" t="n">
        <v>0</v>
      </c>
      <c r="M3523" s="2" t="n">
        <v>0</v>
      </c>
    </row>
    <row r="3524" customFormat="false" ht="15" hidden="false" customHeight="false" outlineLevel="0" collapsed="false">
      <c r="A3524" s="2" t="s">
        <v>7315</v>
      </c>
      <c r="B3524" s="2" t="s">
        <v>7316</v>
      </c>
      <c r="C3524" s="2" t="n">
        <v>1</v>
      </c>
      <c r="D3524" s="2" t="s">
        <v>168</v>
      </c>
      <c r="E3524" s="2" t="s">
        <v>6670</v>
      </c>
      <c r="F3524" s="3" t="n">
        <v>46003.2520833333</v>
      </c>
      <c r="G3524" s="2" t="s">
        <v>7092</v>
      </c>
      <c r="H3524" s="4" t="n">
        <v>-0.1027</v>
      </c>
      <c r="I3524" s="2" t="s">
        <v>84</v>
      </c>
      <c r="J3524" s="2" t="s">
        <v>33</v>
      </c>
      <c r="K3524" s="2" t="n">
        <v>2</v>
      </c>
      <c r="L3524" s="2" t="n">
        <v>1</v>
      </c>
      <c r="M3524" s="2" t="n">
        <v>0</v>
      </c>
    </row>
    <row r="3525" customFormat="false" ht="15" hidden="false" customHeight="false" outlineLevel="0" collapsed="false">
      <c r="A3525" s="2" t="s">
        <v>7317</v>
      </c>
      <c r="B3525" s="2" t="s">
        <v>7318</v>
      </c>
      <c r="C3525" s="2" t="n">
        <v>5</v>
      </c>
      <c r="D3525" s="2" t="s">
        <v>52</v>
      </c>
      <c r="E3525" s="2" t="s">
        <v>6670</v>
      </c>
      <c r="F3525" s="3" t="n">
        <v>46003.4868055556</v>
      </c>
      <c r="G3525" s="2" t="s">
        <v>7092</v>
      </c>
      <c r="H3525" s="4" t="n">
        <v>0.6369</v>
      </c>
      <c r="I3525" s="2" t="s">
        <v>23</v>
      </c>
      <c r="J3525" s="2" t="s">
        <v>19</v>
      </c>
      <c r="K3525" s="2" t="n">
        <v>0</v>
      </c>
      <c r="L3525" s="2" t="n">
        <v>0</v>
      </c>
      <c r="M3525" s="2" t="n">
        <v>0</v>
      </c>
    </row>
    <row r="3526" customFormat="false" ht="15" hidden="false" customHeight="false" outlineLevel="0" collapsed="false">
      <c r="A3526" s="2" t="s">
        <v>7319</v>
      </c>
      <c r="B3526" s="2" t="s">
        <v>7320</v>
      </c>
      <c r="C3526" s="2" t="n">
        <v>5</v>
      </c>
      <c r="D3526" s="2" t="s">
        <v>62</v>
      </c>
      <c r="E3526" s="2" t="s">
        <v>6670</v>
      </c>
      <c r="F3526" s="3" t="n">
        <v>46003.6680555556</v>
      </c>
      <c r="G3526" s="2" t="s">
        <v>7092</v>
      </c>
      <c r="H3526" s="4" t="n">
        <v>0.7088</v>
      </c>
      <c r="I3526" s="2" t="s">
        <v>23</v>
      </c>
      <c r="J3526" s="2" t="s">
        <v>19</v>
      </c>
      <c r="K3526" s="2" t="n">
        <v>0</v>
      </c>
      <c r="L3526" s="2" t="n">
        <v>0</v>
      </c>
      <c r="M3526" s="2" t="n">
        <v>0</v>
      </c>
    </row>
    <row r="3527" customFormat="false" ht="15" hidden="false" customHeight="false" outlineLevel="0" collapsed="false">
      <c r="A3527" s="2" t="s">
        <v>7321</v>
      </c>
      <c r="B3527" s="2" t="s">
        <v>7322</v>
      </c>
      <c r="C3527" s="2" t="n">
        <v>5</v>
      </c>
      <c r="D3527" s="2" t="s">
        <v>62</v>
      </c>
      <c r="E3527" s="2" t="s">
        <v>6670</v>
      </c>
      <c r="F3527" s="3" t="n">
        <v>46003.6763888889</v>
      </c>
      <c r="G3527" s="2" t="s">
        <v>7092</v>
      </c>
      <c r="H3527" s="4" t="n">
        <v>0.7088</v>
      </c>
      <c r="I3527" s="2" t="s">
        <v>23</v>
      </c>
      <c r="J3527" s="2" t="s">
        <v>19</v>
      </c>
      <c r="K3527" s="2" t="n">
        <v>4</v>
      </c>
      <c r="L3527" s="2" t="n">
        <v>0</v>
      </c>
      <c r="M3527" s="2" t="n">
        <v>0</v>
      </c>
    </row>
    <row r="3528" customFormat="false" ht="15" hidden="false" customHeight="false" outlineLevel="0" collapsed="false">
      <c r="A3528" s="2" t="s">
        <v>7323</v>
      </c>
      <c r="B3528" s="2" t="s">
        <v>7324</v>
      </c>
      <c r="C3528" s="2" t="n">
        <v>3</v>
      </c>
      <c r="D3528" s="2" t="s">
        <v>87</v>
      </c>
      <c r="E3528" s="2" t="s">
        <v>6670</v>
      </c>
      <c r="F3528" s="3" t="n">
        <v>46003.7423611111</v>
      </c>
      <c r="G3528" s="2" t="s">
        <v>7092</v>
      </c>
      <c r="H3528" s="4" t="n">
        <v>0</v>
      </c>
      <c r="I3528" s="2" t="s">
        <v>18</v>
      </c>
      <c r="J3528" s="2" t="s">
        <v>19</v>
      </c>
      <c r="K3528" s="2" t="n">
        <v>4</v>
      </c>
      <c r="L3528" s="2" t="n">
        <v>0</v>
      </c>
      <c r="M3528" s="2" t="n">
        <v>0</v>
      </c>
    </row>
    <row r="3529" customFormat="false" ht="15" hidden="false" customHeight="false" outlineLevel="0" collapsed="false">
      <c r="A3529" s="2" t="s">
        <v>7325</v>
      </c>
      <c r="B3529" s="2" t="s">
        <v>7326</v>
      </c>
      <c r="C3529" s="2" t="n">
        <v>1</v>
      </c>
      <c r="D3529" s="2" t="s">
        <v>7327</v>
      </c>
      <c r="E3529" s="2" t="s">
        <v>6670</v>
      </c>
      <c r="F3529" s="3" t="n">
        <v>46003.7638888889</v>
      </c>
      <c r="G3529" s="2" t="s">
        <v>7092</v>
      </c>
      <c r="H3529" s="4" t="n">
        <v>-0.4347</v>
      </c>
      <c r="I3529" s="2" t="s">
        <v>84</v>
      </c>
      <c r="J3529" s="2" t="s">
        <v>59</v>
      </c>
      <c r="K3529" s="2" t="n">
        <v>2</v>
      </c>
      <c r="L3529" s="2" t="n">
        <v>1</v>
      </c>
      <c r="M3529" s="2" t="n">
        <v>0</v>
      </c>
    </row>
    <row r="3530" customFormat="false" ht="15" hidden="false" customHeight="false" outlineLevel="0" collapsed="false">
      <c r="A3530" s="2" t="s">
        <v>7328</v>
      </c>
      <c r="B3530" s="2" t="s">
        <v>7329</v>
      </c>
      <c r="C3530" s="2" t="n">
        <v>5</v>
      </c>
      <c r="D3530" s="2" t="s">
        <v>40</v>
      </c>
      <c r="E3530" s="2" t="s">
        <v>6670</v>
      </c>
      <c r="F3530" s="3" t="n">
        <v>46003.9305555556</v>
      </c>
      <c r="G3530" s="2" t="s">
        <v>7092</v>
      </c>
      <c r="H3530" s="4" t="n">
        <v>0.4019</v>
      </c>
      <c r="I3530" s="2" t="s">
        <v>23</v>
      </c>
      <c r="J3530" s="2" t="s">
        <v>33</v>
      </c>
      <c r="K3530" s="2" t="n">
        <v>6</v>
      </c>
      <c r="L3530" s="2" t="n">
        <v>0</v>
      </c>
      <c r="M3530" s="2" t="n">
        <v>0</v>
      </c>
    </row>
    <row r="3531" customFormat="false" ht="15" hidden="false" customHeight="false" outlineLevel="0" collapsed="false">
      <c r="A3531" s="2" t="s">
        <v>7330</v>
      </c>
      <c r="B3531" s="2" t="s">
        <v>7331</v>
      </c>
      <c r="C3531" s="2" t="n">
        <v>4</v>
      </c>
      <c r="D3531" s="2" t="s">
        <v>127</v>
      </c>
      <c r="E3531" s="2" t="s">
        <v>6670</v>
      </c>
      <c r="F3531" s="3" t="n">
        <v>46004.09375</v>
      </c>
      <c r="G3531" s="2" t="s">
        <v>7092</v>
      </c>
      <c r="H3531" s="4" t="n">
        <v>0.9359</v>
      </c>
      <c r="I3531" s="2" t="s">
        <v>23</v>
      </c>
      <c r="J3531" s="2" t="s">
        <v>37</v>
      </c>
      <c r="K3531" s="2" t="n">
        <v>0</v>
      </c>
      <c r="L3531" s="2" t="n">
        <v>0</v>
      </c>
      <c r="M3531" s="2" t="n">
        <v>0</v>
      </c>
    </row>
    <row r="3532" customFormat="false" ht="15" hidden="false" customHeight="false" outlineLevel="0" collapsed="false">
      <c r="A3532" s="2" t="s">
        <v>7332</v>
      </c>
      <c r="B3532" s="2" t="s">
        <v>7333</v>
      </c>
      <c r="C3532" s="2" t="n">
        <v>4</v>
      </c>
      <c r="D3532" s="2" t="s">
        <v>301</v>
      </c>
      <c r="E3532" s="2" t="s">
        <v>6670</v>
      </c>
      <c r="F3532" s="3" t="n">
        <v>46004.1034722222</v>
      </c>
      <c r="G3532" s="2" t="s">
        <v>7092</v>
      </c>
      <c r="H3532" s="4" t="n">
        <v>0.2263</v>
      </c>
      <c r="I3532" s="2" t="s">
        <v>23</v>
      </c>
      <c r="J3532" s="2" t="s">
        <v>19</v>
      </c>
      <c r="K3532" s="2" t="n">
        <v>0</v>
      </c>
      <c r="L3532" s="2" t="n">
        <v>0</v>
      </c>
      <c r="M3532" s="2" t="n">
        <v>0</v>
      </c>
    </row>
    <row r="3533" customFormat="false" ht="15" hidden="false" customHeight="false" outlineLevel="0" collapsed="false">
      <c r="A3533" s="2" t="s">
        <v>7334</v>
      </c>
      <c r="B3533" s="2" t="s">
        <v>7335</v>
      </c>
      <c r="C3533" s="2" t="n">
        <v>4</v>
      </c>
      <c r="D3533" s="2" t="s">
        <v>47</v>
      </c>
      <c r="E3533" s="2" t="s">
        <v>6670</v>
      </c>
      <c r="F3533" s="3" t="n">
        <v>46004.11875</v>
      </c>
      <c r="G3533" s="2" t="s">
        <v>7092</v>
      </c>
      <c r="H3533" s="4" t="n">
        <v>0.3089</v>
      </c>
      <c r="I3533" s="2" t="s">
        <v>23</v>
      </c>
      <c r="J3533" s="2" t="s">
        <v>19</v>
      </c>
      <c r="K3533" s="2" t="n">
        <v>2</v>
      </c>
      <c r="L3533" s="2" t="n">
        <v>0</v>
      </c>
      <c r="M3533" s="2" t="n">
        <v>0</v>
      </c>
    </row>
    <row r="3534" customFormat="false" ht="15" hidden="false" customHeight="false" outlineLevel="0" collapsed="false">
      <c r="A3534" s="2" t="s">
        <v>7336</v>
      </c>
      <c r="B3534" s="2" t="s">
        <v>7337</v>
      </c>
      <c r="C3534" s="2" t="n">
        <v>4</v>
      </c>
      <c r="D3534" s="2" t="s">
        <v>99</v>
      </c>
      <c r="E3534" s="2" t="s">
        <v>6670</v>
      </c>
      <c r="F3534" s="3" t="n">
        <v>46004.2020833333</v>
      </c>
      <c r="G3534" s="2" t="s">
        <v>7092</v>
      </c>
      <c r="H3534" s="4" t="n">
        <v>-0.3089</v>
      </c>
      <c r="I3534" s="2" t="s">
        <v>84</v>
      </c>
      <c r="J3534" s="2" t="s">
        <v>19</v>
      </c>
      <c r="K3534" s="2" t="n">
        <v>4</v>
      </c>
      <c r="L3534" s="2" t="n">
        <v>0</v>
      </c>
      <c r="M3534" s="2" t="n">
        <v>0</v>
      </c>
    </row>
    <row r="3535" customFormat="false" ht="15" hidden="false" customHeight="false" outlineLevel="0" collapsed="false">
      <c r="A3535" s="2" t="s">
        <v>7338</v>
      </c>
      <c r="B3535" s="2" t="s">
        <v>7339</v>
      </c>
      <c r="C3535" s="2" t="n">
        <v>3</v>
      </c>
      <c r="D3535" s="2" t="s">
        <v>831</v>
      </c>
      <c r="E3535" s="2" t="s">
        <v>6670</v>
      </c>
      <c r="F3535" s="3" t="n">
        <v>46004.2715277778</v>
      </c>
      <c r="G3535" s="2" t="s">
        <v>7092</v>
      </c>
      <c r="H3535" s="4" t="n">
        <v>0.2023</v>
      </c>
      <c r="I3535" s="2" t="s">
        <v>23</v>
      </c>
      <c r="J3535" s="2" t="s">
        <v>19</v>
      </c>
      <c r="K3535" s="2" t="n">
        <v>9</v>
      </c>
      <c r="L3535" s="2" t="n">
        <v>0</v>
      </c>
      <c r="M3535" s="2" t="n">
        <v>0</v>
      </c>
    </row>
    <row r="3536" customFormat="false" ht="15" hidden="false" customHeight="false" outlineLevel="0" collapsed="false">
      <c r="A3536" s="2" t="s">
        <v>7340</v>
      </c>
      <c r="B3536" s="2" t="s">
        <v>7341</v>
      </c>
      <c r="C3536" s="2" t="n">
        <v>3</v>
      </c>
      <c r="D3536" s="2" t="s">
        <v>36</v>
      </c>
      <c r="E3536" s="2" t="s">
        <v>6670</v>
      </c>
      <c r="F3536" s="3" t="n">
        <v>46004.2798611111</v>
      </c>
      <c r="G3536" s="2" t="s">
        <v>7092</v>
      </c>
      <c r="H3536" s="4" t="n">
        <v>0.4404</v>
      </c>
      <c r="I3536" s="2" t="s">
        <v>23</v>
      </c>
      <c r="J3536" s="2" t="s">
        <v>37</v>
      </c>
      <c r="K3536" s="2" t="n">
        <v>5</v>
      </c>
      <c r="L3536" s="2" t="n">
        <v>1</v>
      </c>
      <c r="M3536" s="2" t="n">
        <v>0</v>
      </c>
    </row>
    <row r="3537" customFormat="false" ht="15" hidden="false" customHeight="false" outlineLevel="0" collapsed="false">
      <c r="A3537" s="2" t="s">
        <v>7342</v>
      </c>
      <c r="B3537" s="2" t="s">
        <v>7343</v>
      </c>
      <c r="C3537" s="2" t="n">
        <v>5</v>
      </c>
      <c r="D3537" s="2" t="s">
        <v>1212</v>
      </c>
      <c r="E3537" s="2" t="s">
        <v>6670</v>
      </c>
      <c r="F3537" s="3" t="n">
        <v>46004.3243055556</v>
      </c>
      <c r="G3537" s="2" t="s">
        <v>7092</v>
      </c>
      <c r="H3537" s="4" t="n">
        <v>0.8777</v>
      </c>
      <c r="I3537" s="2" t="s">
        <v>23</v>
      </c>
      <c r="J3537" s="2" t="s">
        <v>19</v>
      </c>
      <c r="K3537" s="2" t="n">
        <v>3</v>
      </c>
      <c r="L3537" s="2" t="n">
        <v>0</v>
      </c>
      <c r="M3537" s="2" t="n">
        <v>0</v>
      </c>
    </row>
    <row r="3538" customFormat="false" ht="15" hidden="false" customHeight="false" outlineLevel="0" collapsed="false">
      <c r="A3538" s="2" t="s">
        <v>7344</v>
      </c>
      <c r="B3538" s="2" t="s">
        <v>7345</v>
      </c>
      <c r="C3538" s="2" t="n">
        <v>2</v>
      </c>
      <c r="D3538" s="2" t="s">
        <v>295</v>
      </c>
      <c r="E3538" s="2" t="s">
        <v>6670</v>
      </c>
      <c r="F3538" s="3" t="n">
        <v>46004.4555555556</v>
      </c>
      <c r="G3538" s="2" t="s">
        <v>7092</v>
      </c>
      <c r="H3538" s="4" t="n">
        <v>-0.5023</v>
      </c>
      <c r="I3538" s="2" t="s">
        <v>84</v>
      </c>
      <c r="J3538" s="2" t="s">
        <v>33</v>
      </c>
      <c r="K3538" s="2" t="n">
        <v>0</v>
      </c>
      <c r="L3538" s="2" t="n">
        <v>1</v>
      </c>
      <c r="M3538" s="2" t="n">
        <v>0</v>
      </c>
    </row>
    <row r="3539" customFormat="false" ht="15" hidden="false" customHeight="false" outlineLevel="0" collapsed="false">
      <c r="A3539" s="2" t="s">
        <v>7346</v>
      </c>
      <c r="B3539" s="2" t="s">
        <v>7347</v>
      </c>
      <c r="C3539" s="2" t="n">
        <v>4</v>
      </c>
      <c r="D3539" s="2" t="s">
        <v>127</v>
      </c>
      <c r="E3539" s="2" t="s">
        <v>6670</v>
      </c>
      <c r="F3539" s="3" t="n">
        <v>46004.4923611111</v>
      </c>
      <c r="G3539" s="2" t="s">
        <v>7092</v>
      </c>
      <c r="H3539" s="4" t="n">
        <v>0.9359</v>
      </c>
      <c r="I3539" s="2" t="s">
        <v>23</v>
      </c>
      <c r="J3539" s="2" t="s">
        <v>37</v>
      </c>
      <c r="K3539" s="2" t="n">
        <v>1</v>
      </c>
      <c r="L3539" s="2" t="n">
        <v>0</v>
      </c>
      <c r="M3539" s="2" t="n">
        <v>0</v>
      </c>
    </row>
    <row r="3540" customFormat="false" ht="15" hidden="false" customHeight="false" outlineLevel="0" collapsed="false">
      <c r="A3540" s="2" t="s">
        <v>7348</v>
      </c>
      <c r="B3540" s="2" t="s">
        <v>7349</v>
      </c>
      <c r="C3540" s="2" t="n">
        <v>2</v>
      </c>
      <c r="D3540" s="2" t="s">
        <v>455</v>
      </c>
      <c r="E3540" s="2" t="s">
        <v>6670</v>
      </c>
      <c r="F3540" s="3" t="n">
        <v>46004.8173611111</v>
      </c>
      <c r="G3540" s="2" t="s">
        <v>7092</v>
      </c>
      <c r="H3540" s="4" t="n">
        <v>-0.2263</v>
      </c>
      <c r="I3540" s="2" t="s">
        <v>84</v>
      </c>
      <c r="J3540" s="2" t="s">
        <v>165</v>
      </c>
      <c r="K3540" s="2" t="n">
        <v>6</v>
      </c>
      <c r="L3540" s="2" t="n">
        <v>0</v>
      </c>
      <c r="M3540" s="2" t="n">
        <v>0</v>
      </c>
    </row>
    <row r="3541" customFormat="false" ht="15" hidden="false" customHeight="false" outlineLevel="0" collapsed="false">
      <c r="A3541" s="2" t="s">
        <v>7350</v>
      </c>
      <c r="B3541" s="2" t="s">
        <v>7351</v>
      </c>
      <c r="C3541" s="2" t="n">
        <v>3</v>
      </c>
      <c r="D3541" s="2" t="s">
        <v>36</v>
      </c>
      <c r="E3541" s="2" t="s">
        <v>6670</v>
      </c>
      <c r="F3541" s="3" t="n">
        <v>46004.8430555556</v>
      </c>
      <c r="G3541" s="2" t="s">
        <v>7092</v>
      </c>
      <c r="H3541" s="4" t="n">
        <v>0.4404</v>
      </c>
      <c r="I3541" s="2" t="s">
        <v>23</v>
      </c>
      <c r="J3541" s="2" t="s">
        <v>37</v>
      </c>
      <c r="K3541" s="2" t="n">
        <v>2</v>
      </c>
      <c r="L3541" s="2" t="n">
        <v>0</v>
      </c>
      <c r="M3541" s="2" t="n">
        <v>0</v>
      </c>
    </row>
    <row r="3542" customFormat="false" ht="15" hidden="false" customHeight="false" outlineLevel="0" collapsed="false">
      <c r="A3542" s="2" t="s">
        <v>7352</v>
      </c>
      <c r="B3542" s="2" t="s">
        <v>7353</v>
      </c>
      <c r="C3542" s="2" t="n">
        <v>5</v>
      </c>
      <c r="D3542" s="2" t="s">
        <v>15</v>
      </c>
      <c r="E3542" s="2" t="s">
        <v>6670</v>
      </c>
      <c r="F3542" s="3" t="n">
        <v>46004.8576388889</v>
      </c>
      <c r="G3542" s="2" t="s">
        <v>7092</v>
      </c>
      <c r="H3542" s="4" t="n">
        <v>0</v>
      </c>
      <c r="I3542" s="2" t="s">
        <v>18</v>
      </c>
      <c r="J3542" s="2" t="s">
        <v>19</v>
      </c>
      <c r="K3542" s="2" t="n">
        <v>3</v>
      </c>
      <c r="L3542" s="2" t="n">
        <v>0</v>
      </c>
      <c r="M3542" s="2" t="n">
        <v>0</v>
      </c>
    </row>
    <row r="3543" customFormat="false" ht="15" hidden="false" customHeight="false" outlineLevel="0" collapsed="false">
      <c r="A3543" s="2" t="s">
        <v>7354</v>
      </c>
      <c r="B3543" s="2" t="s">
        <v>7355</v>
      </c>
      <c r="C3543" s="2" t="n">
        <v>4</v>
      </c>
      <c r="D3543" s="2" t="s">
        <v>52</v>
      </c>
      <c r="E3543" s="2" t="s">
        <v>6670</v>
      </c>
      <c r="F3543" s="3" t="n">
        <v>46004.8625</v>
      </c>
      <c r="G3543" s="2" t="s">
        <v>7092</v>
      </c>
      <c r="H3543" s="4" t="n">
        <v>0.6369</v>
      </c>
      <c r="I3543" s="2" t="s">
        <v>23</v>
      </c>
      <c r="J3543" s="2" t="s">
        <v>19</v>
      </c>
      <c r="K3543" s="2" t="n">
        <v>0</v>
      </c>
      <c r="L3543" s="2" t="n">
        <v>0</v>
      </c>
      <c r="M3543" s="2" t="n">
        <v>0</v>
      </c>
    </row>
    <row r="3544" customFormat="false" ht="15" hidden="false" customHeight="false" outlineLevel="0" collapsed="false">
      <c r="A3544" s="2" t="s">
        <v>7356</v>
      </c>
      <c r="B3544" s="2" t="s">
        <v>7357</v>
      </c>
      <c r="C3544" s="2" t="n">
        <v>3</v>
      </c>
      <c r="D3544" s="2" t="s">
        <v>99</v>
      </c>
      <c r="E3544" s="2" t="s">
        <v>6670</v>
      </c>
      <c r="F3544" s="3" t="n">
        <v>46004.9381944445</v>
      </c>
      <c r="G3544" s="2" t="s">
        <v>7092</v>
      </c>
      <c r="H3544" s="4" t="n">
        <v>-0.3089</v>
      </c>
      <c r="I3544" s="2" t="s">
        <v>84</v>
      </c>
      <c r="J3544" s="2" t="s">
        <v>19</v>
      </c>
      <c r="K3544" s="2" t="n">
        <v>2</v>
      </c>
      <c r="L3544" s="2" t="n">
        <v>0</v>
      </c>
      <c r="M3544" s="2" t="n">
        <v>0</v>
      </c>
    </row>
    <row r="3545" customFormat="false" ht="15" hidden="false" customHeight="false" outlineLevel="0" collapsed="false">
      <c r="A3545" s="2" t="s">
        <v>7358</v>
      </c>
      <c r="B3545" s="2" t="s">
        <v>7359</v>
      </c>
      <c r="C3545" s="2" t="n">
        <v>3</v>
      </c>
      <c r="D3545" s="2" t="s">
        <v>301</v>
      </c>
      <c r="E3545" s="2" t="s">
        <v>6670</v>
      </c>
      <c r="F3545" s="3" t="n">
        <v>46005.0020833333</v>
      </c>
      <c r="G3545" s="2" t="s">
        <v>7092</v>
      </c>
      <c r="H3545" s="4" t="n">
        <v>0.2263</v>
      </c>
      <c r="I3545" s="2" t="s">
        <v>23</v>
      </c>
      <c r="J3545" s="2" t="s">
        <v>19</v>
      </c>
      <c r="K3545" s="2" t="n">
        <v>1</v>
      </c>
      <c r="L3545" s="2" t="n">
        <v>0</v>
      </c>
      <c r="M3545" s="2" t="n">
        <v>0</v>
      </c>
    </row>
    <row r="3546" customFormat="false" ht="15" hidden="false" customHeight="false" outlineLevel="0" collapsed="false">
      <c r="A3546" s="2" t="s">
        <v>7360</v>
      </c>
      <c r="B3546" s="2" t="s">
        <v>7361</v>
      </c>
      <c r="C3546" s="2" t="n">
        <v>1</v>
      </c>
      <c r="D3546" s="2" t="s">
        <v>498</v>
      </c>
      <c r="E3546" s="2" t="s">
        <v>6670</v>
      </c>
      <c r="F3546" s="3" t="n">
        <v>46005.1513888889</v>
      </c>
      <c r="G3546" s="2" t="s">
        <v>7092</v>
      </c>
      <c r="H3546" s="4" t="n">
        <v>0</v>
      </c>
      <c r="I3546" s="2" t="s">
        <v>18</v>
      </c>
      <c r="J3546" s="2" t="s">
        <v>165</v>
      </c>
      <c r="K3546" s="2" t="n">
        <v>16</v>
      </c>
      <c r="L3546" s="2" t="n">
        <v>0</v>
      </c>
      <c r="M3546" s="2" t="n">
        <v>0</v>
      </c>
    </row>
    <row r="3547" customFormat="false" ht="15" hidden="false" customHeight="false" outlineLevel="0" collapsed="false">
      <c r="A3547" s="2" t="s">
        <v>7362</v>
      </c>
      <c r="B3547" s="2" t="s">
        <v>7363</v>
      </c>
      <c r="C3547" s="2" t="n">
        <v>5</v>
      </c>
      <c r="D3547" s="2" t="s">
        <v>555</v>
      </c>
      <c r="E3547" s="2" t="s">
        <v>6670</v>
      </c>
      <c r="F3547" s="3" t="n">
        <v>46005.15625</v>
      </c>
      <c r="G3547" s="2" t="s">
        <v>7092</v>
      </c>
      <c r="H3547" s="4" t="n">
        <v>0.8221</v>
      </c>
      <c r="I3547" s="2" t="s">
        <v>23</v>
      </c>
      <c r="J3547" s="2" t="s">
        <v>33</v>
      </c>
      <c r="K3547" s="2" t="n">
        <v>0</v>
      </c>
      <c r="L3547" s="2" t="n">
        <v>0</v>
      </c>
      <c r="M3547" s="2" t="n">
        <v>0</v>
      </c>
    </row>
    <row r="3548" customFormat="false" ht="15" hidden="false" customHeight="false" outlineLevel="0" collapsed="false">
      <c r="A3548" s="2" t="s">
        <v>7364</v>
      </c>
      <c r="B3548" s="2" t="s">
        <v>7365</v>
      </c>
      <c r="C3548" s="2" t="n">
        <v>3</v>
      </c>
      <c r="D3548" s="2" t="s">
        <v>36</v>
      </c>
      <c r="E3548" s="2" t="s">
        <v>6670</v>
      </c>
      <c r="F3548" s="3" t="n">
        <v>46005.1680555556</v>
      </c>
      <c r="G3548" s="2" t="s">
        <v>7092</v>
      </c>
      <c r="H3548" s="4" t="n">
        <v>0.4404</v>
      </c>
      <c r="I3548" s="2" t="s">
        <v>23</v>
      </c>
      <c r="J3548" s="2" t="s">
        <v>37</v>
      </c>
      <c r="K3548" s="2" t="n">
        <v>1</v>
      </c>
      <c r="L3548" s="2" t="n">
        <v>0</v>
      </c>
      <c r="M3548" s="2" t="n">
        <v>0</v>
      </c>
    </row>
    <row r="3549" customFormat="false" ht="15" hidden="false" customHeight="false" outlineLevel="0" collapsed="false">
      <c r="A3549" s="2" t="s">
        <v>7366</v>
      </c>
      <c r="B3549" s="2" t="s">
        <v>7367</v>
      </c>
      <c r="C3549" s="2" t="n">
        <v>3</v>
      </c>
      <c r="D3549" s="2" t="s">
        <v>22</v>
      </c>
      <c r="E3549" s="2" t="s">
        <v>6670</v>
      </c>
      <c r="F3549" s="3" t="n">
        <v>46005.2638888889</v>
      </c>
      <c r="G3549" s="2" t="s">
        <v>7092</v>
      </c>
      <c r="H3549" s="4" t="n">
        <v>0.2023</v>
      </c>
      <c r="I3549" s="2" t="s">
        <v>23</v>
      </c>
      <c r="J3549" s="2" t="s">
        <v>19</v>
      </c>
      <c r="K3549" s="2" t="n">
        <v>0</v>
      </c>
      <c r="L3549" s="2" t="n">
        <v>0</v>
      </c>
      <c r="M3549" s="2" t="n">
        <v>0</v>
      </c>
    </row>
    <row r="3550" customFormat="false" ht="15" hidden="false" customHeight="false" outlineLevel="0" collapsed="false">
      <c r="A3550" s="2" t="s">
        <v>7368</v>
      </c>
      <c r="B3550" s="2" t="s">
        <v>7369</v>
      </c>
      <c r="C3550" s="2" t="n">
        <v>5</v>
      </c>
      <c r="D3550" s="2" t="s">
        <v>40</v>
      </c>
      <c r="E3550" s="2" t="s">
        <v>6670</v>
      </c>
      <c r="F3550" s="3" t="n">
        <v>46005.2951388889</v>
      </c>
      <c r="G3550" s="2" t="s">
        <v>7092</v>
      </c>
      <c r="H3550" s="4" t="n">
        <v>0.4019</v>
      </c>
      <c r="I3550" s="2" t="s">
        <v>23</v>
      </c>
      <c r="J3550" s="2" t="s">
        <v>33</v>
      </c>
      <c r="K3550" s="2" t="n">
        <v>1</v>
      </c>
      <c r="L3550" s="2" t="n">
        <v>0</v>
      </c>
      <c r="M3550" s="2" t="n">
        <v>0</v>
      </c>
    </row>
    <row r="3551" customFormat="false" ht="15" hidden="false" customHeight="false" outlineLevel="0" collapsed="false">
      <c r="A3551" s="2" t="s">
        <v>7370</v>
      </c>
      <c r="B3551" s="2" t="s">
        <v>7371</v>
      </c>
      <c r="C3551" s="2" t="n">
        <v>1</v>
      </c>
      <c r="D3551" s="2" t="s">
        <v>168</v>
      </c>
      <c r="E3551" s="2" t="s">
        <v>6670</v>
      </c>
      <c r="F3551" s="3" t="n">
        <v>46005.34375</v>
      </c>
      <c r="G3551" s="2" t="s">
        <v>7092</v>
      </c>
      <c r="H3551" s="4" t="n">
        <v>-0.1027</v>
      </c>
      <c r="I3551" s="2" t="s">
        <v>84</v>
      </c>
      <c r="J3551" s="2" t="s">
        <v>33</v>
      </c>
      <c r="K3551" s="2" t="n">
        <v>3</v>
      </c>
      <c r="L3551" s="2" t="n">
        <v>1</v>
      </c>
      <c r="M3551" s="2" t="n">
        <v>0</v>
      </c>
    </row>
    <row r="3552" customFormat="false" ht="15" hidden="false" customHeight="false" outlineLevel="0" collapsed="false">
      <c r="A3552" s="2" t="s">
        <v>7372</v>
      </c>
      <c r="B3552" s="2" t="s">
        <v>7373</v>
      </c>
      <c r="C3552" s="2" t="n">
        <v>3</v>
      </c>
      <c r="D3552" s="2" t="s">
        <v>99</v>
      </c>
      <c r="E3552" s="2" t="s">
        <v>6670</v>
      </c>
      <c r="F3552" s="3" t="n">
        <v>46005.3534722222</v>
      </c>
      <c r="G3552" s="2" t="s">
        <v>7092</v>
      </c>
      <c r="H3552" s="4" t="n">
        <v>-0.3089</v>
      </c>
      <c r="I3552" s="2" t="s">
        <v>84</v>
      </c>
      <c r="J3552" s="2" t="s">
        <v>19</v>
      </c>
      <c r="K3552" s="2" t="n">
        <v>1</v>
      </c>
      <c r="L3552" s="2" t="n">
        <v>0</v>
      </c>
      <c r="M3552" s="2" t="n">
        <v>0</v>
      </c>
    </row>
    <row r="3553" customFormat="false" ht="15" hidden="false" customHeight="false" outlineLevel="0" collapsed="false">
      <c r="A3553" s="2" t="s">
        <v>7374</v>
      </c>
      <c r="B3553" s="2" t="s">
        <v>7375</v>
      </c>
      <c r="C3553" s="2" t="n">
        <v>5</v>
      </c>
      <c r="D3553" s="2" t="s">
        <v>1797</v>
      </c>
      <c r="E3553" s="2" t="s">
        <v>6670</v>
      </c>
      <c r="F3553" s="3" t="n">
        <v>46005.3708333333</v>
      </c>
      <c r="G3553" s="2" t="s">
        <v>7092</v>
      </c>
      <c r="H3553" s="4" t="n">
        <v>0.4019</v>
      </c>
      <c r="I3553" s="2" t="s">
        <v>23</v>
      </c>
      <c r="J3553" s="2" t="s">
        <v>33</v>
      </c>
      <c r="K3553" s="2" t="n">
        <v>2</v>
      </c>
      <c r="L3553" s="2" t="n">
        <v>0</v>
      </c>
      <c r="M3553" s="2" t="n">
        <v>0</v>
      </c>
    </row>
    <row r="3554" customFormat="false" ht="15" hidden="false" customHeight="false" outlineLevel="0" collapsed="false">
      <c r="A3554" s="2" t="s">
        <v>7376</v>
      </c>
      <c r="B3554" s="2" t="s">
        <v>7377</v>
      </c>
      <c r="C3554" s="2" t="n">
        <v>3</v>
      </c>
      <c r="D3554" s="2" t="s">
        <v>87</v>
      </c>
      <c r="E3554" s="2" t="s">
        <v>6670</v>
      </c>
      <c r="F3554" s="3" t="n">
        <v>46005.3979166667</v>
      </c>
      <c r="G3554" s="2" t="s">
        <v>7092</v>
      </c>
      <c r="H3554" s="4" t="n">
        <v>0</v>
      </c>
      <c r="I3554" s="2" t="s">
        <v>18</v>
      </c>
      <c r="J3554" s="2" t="s">
        <v>19</v>
      </c>
      <c r="K3554" s="2" t="n">
        <v>1</v>
      </c>
      <c r="L3554" s="2" t="n">
        <v>0</v>
      </c>
      <c r="M3554" s="2" t="n">
        <v>0</v>
      </c>
    </row>
    <row r="3555" customFormat="false" ht="15" hidden="false" customHeight="false" outlineLevel="0" collapsed="false">
      <c r="A3555" s="2" t="s">
        <v>7378</v>
      </c>
      <c r="B3555" s="2" t="s">
        <v>7379</v>
      </c>
      <c r="C3555" s="2" t="n">
        <v>5</v>
      </c>
      <c r="D3555" s="2" t="s">
        <v>90</v>
      </c>
      <c r="E3555" s="2" t="s">
        <v>6670</v>
      </c>
      <c r="F3555" s="3" t="n">
        <v>46005.4840277778</v>
      </c>
      <c r="G3555" s="2" t="s">
        <v>7092</v>
      </c>
      <c r="H3555" s="4" t="n">
        <v>0.6249</v>
      </c>
      <c r="I3555" s="2" t="s">
        <v>23</v>
      </c>
      <c r="J3555" s="2" t="s">
        <v>37</v>
      </c>
      <c r="K3555" s="2" t="n">
        <v>1</v>
      </c>
      <c r="L3555" s="2" t="n">
        <v>0</v>
      </c>
      <c r="M3555" s="2" t="n">
        <v>0</v>
      </c>
    </row>
    <row r="3556" customFormat="false" ht="15" hidden="false" customHeight="false" outlineLevel="0" collapsed="false">
      <c r="A3556" s="2" t="s">
        <v>7380</v>
      </c>
      <c r="B3556" s="2" t="s">
        <v>3308</v>
      </c>
      <c r="C3556" s="2" t="n">
        <v>5</v>
      </c>
      <c r="D3556" s="2" t="s">
        <v>96</v>
      </c>
      <c r="E3556" s="2" t="s">
        <v>6670</v>
      </c>
      <c r="F3556" s="3" t="n">
        <v>46005.4972222222</v>
      </c>
      <c r="G3556" s="2" t="s">
        <v>7092</v>
      </c>
      <c r="H3556" s="4" t="n">
        <v>0.6369</v>
      </c>
      <c r="I3556" s="2" t="s">
        <v>23</v>
      </c>
      <c r="J3556" s="2" t="s">
        <v>19</v>
      </c>
      <c r="K3556" s="2" t="n">
        <v>6</v>
      </c>
      <c r="L3556" s="2" t="n">
        <v>0</v>
      </c>
      <c r="M3556" s="2" t="n">
        <v>0</v>
      </c>
    </row>
    <row r="3557" customFormat="false" ht="15" hidden="false" customHeight="false" outlineLevel="0" collapsed="false">
      <c r="A3557" s="2" t="s">
        <v>7381</v>
      </c>
      <c r="B3557" s="2" t="s">
        <v>7382</v>
      </c>
      <c r="C3557" s="2" t="n">
        <v>5</v>
      </c>
      <c r="D3557" s="2" t="s">
        <v>127</v>
      </c>
      <c r="E3557" s="2" t="s">
        <v>6670</v>
      </c>
      <c r="F3557" s="3" t="n">
        <v>46005.5319444445</v>
      </c>
      <c r="G3557" s="2" t="s">
        <v>7092</v>
      </c>
      <c r="H3557" s="4" t="n">
        <v>0.9359</v>
      </c>
      <c r="I3557" s="2" t="s">
        <v>23</v>
      </c>
      <c r="J3557" s="2" t="s">
        <v>37</v>
      </c>
      <c r="K3557" s="2" t="n">
        <v>2</v>
      </c>
      <c r="L3557" s="2" t="n">
        <v>0</v>
      </c>
      <c r="M3557" s="2" t="n">
        <v>0</v>
      </c>
    </row>
    <row r="3558" customFormat="false" ht="15" hidden="false" customHeight="false" outlineLevel="0" collapsed="false">
      <c r="A3558" s="2" t="s">
        <v>7383</v>
      </c>
      <c r="B3558" s="2" t="s">
        <v>5545</v>
      </c>
      <c r="C3558" s="2" t="n">
        <v>5</v>
      </c>
      <c r="D3558" s="2" t="s">
        <v>62</v>
      </c>
      <c r="E3558" s="2" t="s">
        <v>6670</v>
      </c>
      <c r="F3558" s="3" t="n">
        <v>46005.6340277778</v>
      </c>
      <c r="G3558" s="2" t="s">
        <v>7092</v>
      </c>
      <c r="H3558" s="4" t="n">
        <v>0.7088</v>
      </c>
      <c r="I3558" s="2" t="s">
        <v>23</v>
      </c>
      <c r="J3558" s="2" t="s">
        <v>19</v>
      </c>
      <c r="K3558" s="2" t="n">
        <v>6</v>
      </c>
      <c r="L3558" s="2" t="n">
        <v>0</v>
      </c>
      <c r="M3558" s="2" t="n">
        <v>0</v>
      </c>
    </row>
    <row r="3559" customFormat="false" ht="15" hidden="false" customHeight="false" outlineLevel="0" collapsed="false">
      <c r="A3559" s="2" t="s">
        <v>7384</v>
      </c>
      <c r="B3559" s="2" t="s">
        <v>7385</v>
      </c>
      <c r="C3559" s="2" t="n">
        <v>4</v>
      </c>
      <c r="D3559" s="2" t="s">
        <v>87</v>
      </c>
      <c r="E3559" s="2" t="s">
        <v>6670</v>
      </c>
      <c r="F3559" s="3" t="n">
        <v>46005.7006944444</v>
      </c>
      <c r="G3559" s="2" t="s">
        <v>7092</v>
      </c>
      <c r="H3559" s="4" t="n">
        <v>0</v>
      </c>
      <c r="I3559" s="2" t="s">
        <v>18</v>
      </c>
      <c r="J3559" s="2" t="s">
        <v>19</v>
      </c>
      <c r="K3559" s="2" t="n">
        <v>4</v>
      </c>
      <c r="L3559" s="2" t="n">
        <v>0</v>
      </c>
      <c r="M3559" s="2" t="n">
        <v>0</v>
      </c>
    </row>
    <row r="3560" customFormat="false" ht="15" hidden="false" customHeight="false" outlineLevel="0" collapsed="false">
      <c r="A3560" s="2" t="s">
        <v>7386</v>
      </c>
      <c r="B3560" s="2" t="s">
        <v>1989</v>
      </c>
      <c r="C3560" s="2" t="n">
        <v>5</v>
      </c>
      <c r="D3560" s="2" t="s">
        <v>1013</v>
      </c>
      <c r="E3560" s="2" t="s">
        <v>6670</v>
      </c>
      <c r="F3560" s="3" t="n">
        <v>46005.7118055556</v>
      </c>
      <c r="G3560" s="2" t="s">
        <v>7092</v>
      </c>
      <c r="H3560" s="4" t="n">
        <v>0.9606</v>
      </c>
      <c r="I3560" s="2" t="s">
        <v>23</v>
      </c>
      <c r="J3560" s="2" t="s">
        <v>37</v>
      </c>
      <c r="K3560" s="2" t="n">
        <v>1</v>
      </c>
      <c r="L3560" s="2" t="n">
        <v>0</v>
      </c>
      <c r="M3560" s="2" t="n">
        <v>0</v>
      </c>
    </row>
    <row r="3561" customFormat="false" ht="15" hidden="false" customHeight="false" outlineLevel="0" collapsed="false">
      <c r="A3561" s="2" t="s">
        <v>7387</v>
      </c>
      <c r="B3561" s="2" t="s">
        <v>7388</v>
      </c>
      <c r="C3561" s="2" t="n">
        <v>3</v>
      </c>
      <c r="D3561" s="2" t="s">
        <v>301</v>
      </c>
      <c r="E3561" s="2" t="s">
        <v>6670</v>
      </c>
      <c r="F3561" s="3" t="n">
        <v>46005.7583333333</v>
      </c>
      <c r="G3561" s="2" t="s">
        <v>7092</v>
      </c>
      <c r="H3561" s="4" t="n">
        <v>0.2263</v>
      </c>
      <c r="I3561" s="2" t="s">
        <v>23</v>
      </c>
      <c r="J3561" s="2" t="s">
        <v>19</v>
      </c>
      <c r="K3561" s="2" t="n">
        <v>0</v>
      </c>
      <c r="L3561" s="2" t="n">
        <v>0</v>
      </c>
      <c r="M3561" s="2" t="n">
        <v>0</v>
      </c>
    </row>
    <row r="3562" customFormat="false" ht="15" hidden="false" customHeight="false" outlineLevel="0" collapsed="false">
      <c r="A3562" s="2" t="s">
        <v>7389</v>
      </c>
      <c r="B3562" s="2" t="s">
        <v>7390</v>
      </c>
      <c r="C3562" s="2" t="n">
        <v>5</v>
      </c>
      <c r="D3562" s="2" t="s">
        <v>325</v>
      </c>
      <c r="E3562" s="2" t="s">
        <v>6670</v>
      </c>
      <c r="F3562" s="3" t="n">
        <v>46005.7888888889</v>
      </c>
      <c r="G3562" s="2" t="s">
        <v>7092</v>
      </c>
      <c r="H3562" s="4" t="n">
        <v>0.9612</v>
      </c>
      <c r="I3562" s="2" t="s">
        <v>23</v>
      </c>
      <c r="J3562" s="2" t="s">
        <v>37</v>
      </c>
      <c r="K3562" s="2" t="n">
        <v>0</v>
      </c>
      <c r="L3562" s="2" t="n">
        <v>0</v>
      </c>
      <c r="M3562" s="2" t="n">
        <v>0</v>
      </c>
    </row>
    <row r="3563" customFormat="false" ht="15" hidden="false" customHeight="false" outlineLevel="0" collapsed="false">
      <c r="A3563" s="2" t="s">
        <v>7391</v>
      </c>
      <c r="B3563" s="2" t="s">
        <v>7392</v>
      </c>
      <c r="C3563" s="2" t="n">
        <v>5</v>
      </c>
      <c r="D3563" s="2" t="s">
        <v>47</v>
      </c>
      <c r="E3563" s="2" t="s">
        <v>6670</v>
      </c>
      <c r="F3563" s="3" t="n">
        <v>46006.2277777778</v>
      </c>
      <c r="G3563" s="2" t="s">
        <v>7092</v>
      </c>
      <c r="H3563" s="4" t="n">
        <v>0.3089</v>
      </c>
      <c r="I3563" s="2" t="s">
        <v>23</v>
      </c>
      <c r="J3563" s="2" t="s">
        <v>19</v>
      </c>
      <c r="K3563" s="2" t="n">
        <v>2</v>
      </c>
      <c r="L3563" s="2" t="n">
        <v>0</v>
      </c>
      <c r="M3563" s="2" t="n">
        <v>0</v>
      </c>
    </row>
    <row r="3564" customFormat="false" ht="15" hidden="false" customHeight="false" outlineLevel="0" collapsed="false">
      <c r="A3564" s="2" t="s">
        <v>7393</v>
      </c>
      <c r="B3564" s="2" t="s">
        <v>7394</v>
      </c>
      <c r="C3564" s="2" t="n">
        <v>5</v>
      </c>
      <c r="D3564" s="2" t="s">
        <v>40</v>
      </c>
      <c r="E3564" s="2" t="s">
        <v>6670</v>
      </c>
      <c r="F3564" s="3" t="n">
        <v>46006.3381944444</v>
      </c>
      <c r="G3564" s="2" t="s">
        <v>7092</v>
      </c>
      <c r="H3564" s="4" t="n">
        <v>0.4019</v>
      </c>
      <c r="I3564" s="2" t="s">
        <v>23</v>
      </c>
      <c r="J3564" s="2" t="s">
        <v>33</v>
      </c>
      <c r="K3564" s="2" t="n">
        <v>0</v>
      </c>
      <c r="L3564" s="2" t="n">
        <v>0</v>
      </c>
      <c r="M3564" s="2" t="n">
        <v>0</v>
      </c>
    </row>
    <row r="3565" customFormat="false" ht="15" hidden="false" customHeight="false" outlineLevel="0" collapsed="false">
      <c r="A3565" s="2" t="s">
        <v>7395</v>
      </c>
      <c r="B3565" s="2" t="s">
        <v>7396</v>
      </c>
      <c r="C3565" s="2" t="n">
        <v>3</v>
      </c>
      <c r="D3565" s="2" t="s">
        <v>99</v>
      </c>
      <c r="E3565" s="2" t="s">
        <v>6670</v>
      </c>
      <c r="F3565" s="3" t="n">
        <v>46006.3951388889</v>
      </c>
      <c r="G3565" s="2" t="s">
        <v>7092</v>
      </c>
      <c r="H3565" s="4" t="n">
        <v>-0.3089</v>
      </c>
      <c r="I3565" s="2" t="s">
        <v>84</v>
      </c>
      <c r="J3565" s="2" t="s">
        <v>19</v>
      </c>
      <c r="K3565" s="2" t="n">
        <v>3</v>
      </c>
      <c r="L3565" s="2" t="n">
        <v>0</v>
      </c>
      <c r="M3565" s="2" t="n">
        <v>0</v>
      </c>
    </row>
    <row r="3566" customFormat="false" ht="15" hidden="false" customHeight="false" outlineLevel="0" collapsed="false">
      <c r="A3566" s="2" t="s">
        <v>7397</v>
      </c>
      <c r="B3566" s="2" t="s">
        <v>7398</v>
      </c>
      <c r="C3566" s="2" t="n">
        <v>5</v>
      </c>
      <c r="D3566" s="2" t="s">
        <v>90</v>
      </c>
      <c r="E3566" s="2" t="s">
        <v>6670</v>
      </c>
      <c r="F3566" s="3" t="n">
        <v>46006.4048611111</v>
      </c>
      <c r="G3566" s="2" t="s">
        <v>7092</v>
      </c>
      <c r="H3566" s="4" t="n">
        <v>0.6249</v>
      </c>
      <c r="I3566" s="2" t="s">
        <v>23</v>
      </c>
      <c r="J3566" s="2" t="s">
        <v>37</v>
      </c>
      <c r="K3566" s="2" t="n">
        <v>2</v>
      </c>
      <c r="L3566" s="2" t="n">
        <v>0</v>
      </c>
      <c r="M3566" s="2" t="n">
        <v>0</v>
      </c>
    </row>
    <row r="3567" customFormat="false" ht="15" hidden="false" customHeight="false" outlineLevel="0" collapsed="false">
      <c r="A3567" s="2" t="s">
        <v>7399</v>
      </c>
      <c r="B3567" s="2" t="s">
        <v>7400</v>
      </c>
      <c r="C3567" s="2" t="n">
        <v>4</v>
      </c>
      <c r="D3567" s="2" t="s">
        <v>96</v>
      </c>
      <c r="E3567" s="2" t="s">
        <v>6670</v>
      </c>
      <c r="F3567" s="3" t="n">
        <v>46006.5534722222</v>
      </c>
      <c r="G3567" s="2" t="s">
        <v>7092</v>
      </c>
      <c r="H3567" s="4" t="n">
        <v>0.6369</v>
      </c>
      <c r="I3567" s="2" t="s">
        <v>23</v>
      </c>
      <c r="J3567" s="2" t="s">
        <v>19</v>
      </c>
      <c r="K3567" s="2" t="n">
        <v>0</v>
      </c>
      <c r="L3567" s="2" t="n">
        <v>0</v>
      </c>
      <c r="M3567" s="2" t="n">
        <v>0</v>
      </c>
    </row>
    <row r="3568" customFormat="false" ht="15" hidden="false" customHeight="false" outlineLevel="0" collapsed="false">
      <c r="A3568" s="2" t="s">
        <v>7401</v>
      </c>
      <c r="B3568" s="2" t="s">
        <v>7402</v>
      </c>
      <c r="C3568" s="2" t="n">
        <v>4</v>
      </c>
      <c r="D3568" s="2" t="s">
        <v>96</v>
      </c>
      <c r="E3568" s="2" t="s">
        <v>6670</v>
      </c>
      <c r="F3568" s="3" t="n">
        <v>46006.6173611111</v>
      </c>
      <c r="G3568" s="2" t="s">
        <v>7092</v>
      </c>
      <c r="H3568" s="4" t="n">
        <v>0.6369</v>
      </c>
      <c r="I3568" s="2" t="s">
        <v>23</v>
      </c>
      <c r="J3568" s="2" t="s">
        <v>19</v>
      </c>
      <c r="K3568" s="2" t="n">
        <v>3</v>
      </c>
      <c r="L3568" s="2" t="n">
        <v>0</v>
      </c>
      <c r="M3568" s="2" t="n">
        <v>0</v>
      </c>
    </row>
    <row r="3569" customFormat="false" ht="15" hidden="false" customHeight="false" outlineLevel="0" collapsed="false">
      <c r="A3569" s="2" t="s">
        <v>7403</v>
      </c>
      <c r="B3569" s="2" t="s">
        <v>7404</v>
      </c>
      <c r="C3569" s="2" t="n">
        <v>5</v>
      </c>
      <c r="D3569" s="2" t="s">
        <v>3798</v>
      </c>
      <c r="E3569" s="2" t="s">
        <v>6670</v>
      </c>
      <c r="F3569" s="3" t="n">
        <v>46006.73125</v>
      </c>
      <c r="G3569" s="2" t="s">
        <v>7092</v>
      </c>
      <c r="H3569" s="4" t="n">
        <v>0.7549</v>
      </c>
      <c r="I3569" s="2" t="s">
        <v>23</v>
      </c>
      <c r="J3569" s="2" t="s">
        <v>19</v>
      </c>
      <c r="K3569" s="2" t="n">
        <v>1</v>
      </c>
      <c r="L3569" s="2" t="n">
        <v>0</v>
      </c>
      <c r="M3569" s="2" t="n">
        <v>0</v>
      </c>
    </row>
    <row r="3570" customFormat="false" ht="15" hidden="false" customHeight="false" outlineLevel="0" collapsed="false">
      <c r="A3570" s="2" t="s">
        <v>7405</v>
      </c>
      <c r="B3570" s="2" t="s">
        <v>7406</v>
      </c>
      <c r="C3570" s="2" t="n">
        <v>4</v>
      </c>
      <c r="D3570" s="2" t="s">
        <v>1797</v>
      </c>
      <c r="E3570" s="2" t="s">
        <v>6670</v>
      </c>
      <c r="F3570" s="3" t="n">
        <v>46006.8090277778</v>
      </c>
      <c r="G3570" s="2" t="s">
        <v>7092</v>
      </c>
      <c r="H3570" s="4" t="n">
        <v>0.4019</v>
      </c>
      <c r="I3570" s="2" t="s">
        <v>23</v>
      </c>
      <c r="J3570" s="2" t="s">
        <v>33</v>
      </c>
      <c r="K3570" s="2" t="n">
        <v>18</v>
      </c>
      <c r="L3570" s="2" t="n">
        <v>0</v>
      </c>
      <c r="M3570" s="2" t="n">
        <v>0</v>
      </c>
    </row>
    <row r="3571" customFormat="false" ht="15" hidden="false" customHeight="false" outlineLevel="0" collapsed="false">
      <c r="A3571" s="2" t="s">
        <v>7407</v>
      </c>
      <c r="B3571" s="2" t="s">
        <v>7408</v>
      </c>
      <c r="C3571" s="2" t="n">
        <v>5</v>
      </c>
      <c r="D3571" s="2" t="s">
        <v>47</v>
      </c>
      <c r="E3571" s="2" t="s">
        <v>6670</v>
      </c>
      <c r="F3571" s="3" t="n">
        <v>46006.9215277778</v>
      </c>
      <c r="G3571" s="2" t="s">
        <v>7092</v>
      </c>
      <c r="H3571" s="4" t="n">
        <v>0.3089</v>
      </c>
      <c r="I3571" s="2" t="s">
        <v>23</v>
      </c>
      <c r="J3571" s="2" t="s">
        <v>19</v>
      </c>
      <c r="K3571" s="2" t="n">
        <v>1</v>
      </c>
      <c r="L3571" s="2" t="n">
        <v>0</v>
      </c>
      <c r="M3571" s="2" t="n">
        <v>0</v>
      </c>
    </row>
    <row r="3572" customFormat="false" ht="15" hidden="false" customHeight="false" outlineLevel="0" collapsed="false">
      <c r="A3572" s="2" t="s">
        <v>7409</v>
      </c>
      <c r="B3572" s="2" t="s">
        <v>7410</v>
      </c>
      <c r="C3572" s="2" t="n">
        <v>5</v>
      </c>
      <c r="D3572" s="2" t="s">
        <v>90</v>
      </c>
      <c r="E3572" s="2" t="s">
        <v>6670</v>
      </c>
      <c r="F3572" s="3" t="n">
        <v>46006.9347222222</v>
      </c>
      <c r="G3572" s="2" t="s">
        <v>7092</v>
      </c>
      <c r="H3572" s="4" t="n">
        <v>0.6249</v>
      </c>
      <c r="I3572" s="2" t="s">
        <v>23</v>
      </c>
      <c r="J3572" s="2" t="s">
        <v>37</v>
      </c>
      <c r="K3572" s="2" t="n">
        <v>4</v>
      </c>
      <c r="L3572" s="2" t="n">
        <v>0</v>
      </c>
      <c r="M3572" s="2" t="n">
        <v>0</v>
      </c>
    </row>
    <row r="3573" customFormat="false" ht="15" hidden="false" customHeight="false" outlineLevel="0" collapsed="false">
      <c r="A3573" s="2" t="s">
        <v>7411</v>
      </c>
      <c r="B3573" s="2" t="s">
        <v>7412</v>
      </c>
      <c r="C3573" s="2" t="n">
        <v>5</v>
      </c>
      <c r="D3573" s="2" t="s">
        <v>652</v>
      </c>
      <c r="E3573" s="2" t="s">
        <v>6670</v>
      </c>
      <c r="F3573" s="3" t="n">
        <v>46007.3194444445</v>
      </c>
      <c r="G3573" s="2" t="s">
        <v>7092</v>
      </c>
      <c r="H3573" s="4" t="n">
        <v>0.8555</v>
      </c>
      <c r="I3573" s="2" t="s">
        <v>23</v>
      </c>
      <c r="J3573" s="2" t="s">
        <v>19</v>
      </c>
      <c r="K3573" s="2" t="n">
        <v>0</v>
      </c>
      <c r="L3573" s="2" t="n">
        <v>1</v>
      </c>
      <c r="M3573" s="2" t="n">
        <v>0</v>
      </c>
    </row>
    <row r="3574" customFormat="false" ht="15" hidden="false" customHeight="false" outlineLevel="0" collapsed="false">
      <c r="A3574" s="2" t="s">
        <v>7413</v>
      </c>
      <c r="B3574" s="2" t="s">
        <v>7414</v>
      </c>
      <c r="C3574" s="2" t="n">
        <v>2</v>
      </c>
      <c r="D3574" s="2" t="s">
        <v>1131</v>
      </c>
      <c r="E3574" s="2" t="s">
        <v>6670</v>
      </c>
      <c r="F3574" s="3" t="n">
        <v>46007.3791666667</v>
      </c>
      <c r="G3574" s="2" t="s">
        <v>7092</v>
      </c>
      <c r="H3574" s="4" t="n">
        <v>0.5719</v>
      </c>
      <c r="I3574" s="2" t="s">
        <v>23</v>
      </c>
      <c r="J3574" s="2" t="s">
        <v>37</v>
      </c>
      <c r="K3574" s="2" t="n">
        <v>0</v>
      </c>
      <c r="L3574" s="2" t="n">
        <v>0</v>
      </c>
      <c r="M3574" s="2" t="n">
        <v>0</v>
      </c>
    </row>
    <row r="3575" customFormat="false" ht="15" hidden="false" customHeight="false" outlineLevel="0" collapsed="false">
      <c r="A3575" s="2" t="s">
        <v>7415</v>
      </c>
      <c r="B3575" s="2" t="s">
        <v>7416</v>
      </c>
      <c r="C3575" s="2" t="n">
        <v>5</v>
      </c>
      <c r="D3575" s="2" t="s">
        <v>1387</v>
      </c>
      <c r="E3575" s="2" t="s">
        <v>6670</v>
      </c>
      <c r="F3575" s="3" t="n">
        <v>46007.7763888889</v>
      </c>
      <c r="G3575" s="2" t="s">
        <v>7092</v>
      </c>
      <c r="H3575" s="4" t="n">
        <v>0.9359</v>
      </c>
      <c r="I3575" s="2" t="s">
        <v>23</v>
      </c>
      <c r="J3575" s="2" t="s">
        <v>37</v>
      </c>
      <c r="K3575" s="2" t="n">
        <v>8</v>
      </c>
      <c r="L3575" s="2" t="n">
        <v>0</v>
      </c>
      <c r="M3575" s="2" t="n">
        <v>0</v>
      </c>
    </row>
    <row r="3576" customFormat="false" ht="15" hidden="false" customHeight="false" outlineLevel="0" collapsed="false">
      <c r="A3576" s="2" t="s">
        <v>7417</v>
      </c>
      <c r="B3576" s="2" t="s">
        <v>7418</v>
      </c>
      <c r="C3576" s="2" t="n">
        <v>5</v>
      </c>
      <c r="D3576" s="2" t="s">
        <v>90</v>
      </c>
      <c r="E3576" s="2" t="s">
        <v>6670</v>
      </c>
      <c r="F3576" s="3" t="n">
        <v>46007.9243055556</v>
      </c>
      <c r="G3576" s="2" t="s">
        <v>7092</v>
      </c>
      <c r="H3576" s="4" t="n">
        <v>0.6249</v>
      </c>
      <c r="I3576" s="2" t="s">
        <v>23</v>
      </c>
      <c r="J3576" s="2" t="s">
        <v>37</v>
      </c>
      <c r="K3576" s="2" t="n">
        <v>3</v>
      </c>
      <c r="L3576" s="2" t="n">
        <v>0</v>
      </c>
      <c r="M3576" s="2" t="n">
        <v>0</v>
      </c>
    </row>
    <row r="3577" customFormat="false" ht="15" hidden="false" customHeight="false" outlineLevel="0" collapsed="false">
      <c r="A3577" s="2" t="s">
        <v>7419</v>
      </c>
      <c r="B3577" s="2" t="s">
        <v>7420</v>
      </c>
      <c r="C3577" s="2" t="n">
        <v>5</v>
      </c>
      <c r="D3577" s="2" t="s">
        <v>186</v>
      </c>
      <c r="E3577" s="2" t="s">
        <v>6670</v>
      </c>
      <c r="F3577" s="3" t="n">
        <v>46007.9965277778</v>
      </c>
      <c r="G3577" s="2" t="s">
        <v>7092</v>
      </c>
      <c r="H3577" s="4" t="n">
        <v>0.8777</v>
      </c>
      <c r="I3577" s="2" t="s">
        <v>23</v>
      </c>
      <c r="J3577" s="2" t="s">
        <v>19</v>
      </c>
      <c r="K3577" s="2" t="n">
        <v>1</v>
      </c>
      <c r="L3577" s="2" t="n">
        <v>0</v>
      </c>
      <c r="M3577" s="2" t="n">
        <v>0</v>
      </c>
    </row>
    <row r="3578" customFormat="false" ht="15" hidden="false" customHeight="false" outlineLevel="0" collapsed="false">
      <c r="A3578" s="2" t="s">
        <v>7421</v>
      </c>
      <c r="B3578" s="2" t="s">
        <v>7422</v>
      </c>
      <c r="C3578" s="2" t="n">
        <v>1</v>
      </c>
      <c r="D3578" s="2" t="s">
        <v>295</v>
      </c>
      <c r="E3578" s="2" t="s">
        <v>6670</v>
      </c>
      <c r="F3578" s="3" t="n">
        <v>46008.25625</v>
      </c>
      <c r="G3578" s="2" t="s">
        <v>7092</v>
      </c>
      <c r="H3578" s="4" t="n">
        <v>-0.5023</v>
      </c>
      <c r="I3578" s="2" t="s">
        <v>84</v>
      </c>
      <c r="J3578" s="2" t="s">
        <v>33</v>
      </c>
      <c r="K3578" s="2" t="n">
        <v>7</v>
      </c>
      <c r="L3578" s="2" t="n">
        <v>0</v>
      </c>
      <c r="M3578" s="2" t="n">
        <v>0</v>
      </c>
    </row>
    <row r="3579" customFormat="false" ht="15" hidden="false" customHeight="false" outlineLevel="0" collapsed="false">
      <c r="A3579" s="2" t="s">
        <v>7423</v>
      </c>
      <c r="B3579" s="2" t="s">
        <v>7424</v>
      </c>
      <c r="C3579" s="2" t="n">
        <v>5</v>
      </c>
      <c r="D3579" s="2" t="s">
        <v>62</v>
      </c>
      <c r="E3579" s="2" t="s">
        <v>6670</v>
      </c>
      <c r="F3579" s="3" t="n">
        <v>46008.2659722222</v>
      </c>
      <c r="G3579" s="2" t="s">
        <v>7092</v>
      </c>
      <c r="H3579" s="4" t="n">
        <v>0.7088</v>
      </c>
      <c r="I3579" s="2" t="s">
        <v>23</v>
      </c>
      <c r="J3579" s="2" t="s">
        <v>19</v>
      </c>
      <c r="K3579" s="2" t="n">
        <v>8</v>
      </c>
      <c r="L3579" s="2" t="n">
        <v>0</v>
      </c>
      <c r="M3579" s="2" t="n">
        <v>0</v>
      </c>
    </row>
    <row r="3580" customFormat="false" ht="15" hidden="false" customHeight="false" outlineLevel="0" collapsed="false">
      <c r="A3580" s="2" t="s">
        <v>7425</v>
      </c>
      <c r="B3580" s="2" t="s">
        <v>7426</v>
      </c>
      <c r="C3580" s="2" t="n">
        <v>4</v>
      </c>
      <c r="D3580" s="2" t="s">
        <v>1878</v>
      </c>
      <c r="E3580" s="2" t="s">
        <v>6670</v>
      </c>
      <c r="F3580" s="3" t="n">
        <v>46008.2923611111</v>
      </c>
      <c r="G3580" s="2" t="s">
        <v>7092</v>
      </c>
      <c r="H3580" s="4" t="n">
        <v>0.9516</v>
      </c>
      <c r="I3580" s="2" t="s">
        <v>23</v>
      </c>
      <c r="J3580" s="2" t="s">
        <v>37</v>
      </c>
      <c r="K3580" s="2" t="n">
        <v>1</v>
      </c>
      <c r="L3580" s="2" t="n">
        <v>0</v>
      </c>
      <c r="M3580" s="2" t="n">
        <v>0</v>
      </c>
    </row>
    <row r="3581" customFormat="false" ht="15" hidden="false" customHeight="false" outlineLevel="0" collapsed="false">
      <c r="A3581" s="2" t="s">
        <v>7427</v>
      </c>
      <c r="B3581" s="2" t="s">
        <v>7428</v>
      </c>
      <c r="C3581" s="2" t="n">
        <v>4</v>
      </c>
      <c r="D3581" s="2" t="s">
        <v>5016</v>
      </c>
      <c r="E3581" s="2" t="s">
        <v>6670</v>
      </c>
      <c r="F3581" s="3" t="n">
        <v>46008.4861111111</v>
      </c>
      <c r="G3581" s="2" t="s">
        <v>7092</v>
      </c>
      <c r="H3581" s="4" t="n">
        <v>0.8437</v>
      </c>
      <c r="I3581" s="2" t="s">
        <v>23</v>
      </c>
      <c r="J3581" s="2" t="s">
        <v>19</v>
      </c>
      <c r="K3581" s="2" t="n">
        <v>1</v>
      </c>
      <c r="L3581" s="2" t="n">
        <v>0</v>
      </c>
      <c r="M3581" s="2" t="n">
        <v>0</v>
      </c>
    </row>
    <row r="3582" customFormat="false" ht="15" hidden="false" customHeight="false" outlineLevel="0" collapsed="false">
      <c r="A3582" s="2" t="s">
        <v>7429</v>
      </c>
      <c r="B3582" s="2" t="s">
        <v>7430</v>
      </c>
      <c r="C3582" s="2" t="n">
        <v>4</v>
      </c>
      <c r="D3582" s="2" t="s">
        <v>62</v>
      </c>
      <c r="E3582" s="2" t="s">
        <v>6670</v>
      </c>
      <c r="F3582" s="3" t="n">
        <v>46008.6548611111</v>
      </c>
      <c r="G3582" s="2" t="s">
        <v>7092</v>
      </c>
      <c r="H3582" s="4" t="n">
        <v>0.7088</v>
      </c>
      <c r="I3582" s="2" t="s">
        <v>23</v>
      </c>
      <c r="J3582" s="2" t="s">
        <v>19</v>
      </c>
      <c r="K3582" s="2" t="n">
        <v>3</v>
      </c>
      <c r="L3582" s="2" t="n">
        <v>0</v>
      </c>
      <c r="M3582" s="2" t="n">
        <v>0</v>
      </c>
    </row>
    <row r="3583" customFormat="false" ht="15" hidden="false" customHeight="false" outlineLevel="0" collapsed="false">
      <c r="A3583" s="2" t="s">
        <v>7431</v>
      </c>
      <c r="B3583" s="2" t="s">
        <v>7432</v>
      </c>
      <c r="C3583" s="2" t="n">
        <v>2</v>
      </c>
      <c r="D3583" s="2" t="s">
        <v>295</v>
      </c>
      <c r="E3583" s="2" t="s">
        <v>6670</v>
      </c>
      <c r="F3583" s="3" t="n">
        <v>46008.6708333333</v>
      </c>
      <c r="G3583" s="2" t="s">
        <v>7092</v>
      </c>
      <c r="H3583" s="4" t="n">
        <v>-0.5023</v>
      </c>
      <c r="I3583" s="2" t="s">
        <v>84</v>
      </c>
      <c r="J3583" s="2" t="s">
        <v>33</v>
      </c>
      <c r="K3583" s="2" t="n">
        <v>0</v>
      </c>
      <c r="L3583" s="2" t="n">
        <v>0</v>
      </c>
      <c r="M3583" s="2" t="n">
        <v>0</v>
      </c>
    </row>
    <row r="3584" customFormat="false" ht="15" hidden="false" customHeight="false" outlineLevel="0" collapsed="false">
      <c r="A3584" s="2" t="s">
        <v>7433</v>
      </c>
      <c r="B3584" s="2" t="s">
        <v>7434</v>
      </c>
      <c r="C3584" s="2" t="n">
        <v>5</v>
      </c>
      <c r="D3584" s="2" t="s">
        <v>127</v>
      </c>
      <c r="E3584" s="2" t="s">
        <v>6670</v>
      </c>
      <c r="F3584" s="3" t="n">
        <v>46008.7548611111</v>
      </c>
      <c r="G3584" s="2" t="s">
        <v>7092</v>
      </c>
      <c r="H3584" s="4" t="n">
        <v>0.9359</v>
      </c>
      <c r="I3584" s="2" t="s">
        <v>23</v>
      </c>
      <c r="J3584" s="2" t="s">
        <v>37</v>
      </c>
      <c r="K3584" s="2" t="n">
        <v>10</v>
      </c>
      <c r="L3584" s="2" t="n">
        <v>0</v>
      </c>
      <c r="M3584" s="2" t="n">
        <v>0</v>
      </c>
    </row>
    <row r="3585" customFormat="false" ht="15" hidden="false" customHeight="false" outlineLevel="0" collapsed="false">
      <c r="A3585" s="2" t="s">
        <v>7435</v>
      </c>
      <c r="B3585" s="2" t="s">
        <v>7436</v>
      </c>
      <c r="C3585" s="2" t="n">
        <v>4</v>
      </c>
      <c r="D3585" s="2" t="s">
        <v>15</v>
      </c>
      <c r="E3585" s="2" t="s">
        <v>6670</v>
      </c>
      <c r="F3585" s="3" t="n">
        <v>46008.85625</v>
      </c>
      <c r="G3585" s="2" t="s">
        <v>7092</v>
      </c>
      <c r="H3585" s="4" t="n">
        <v>0</v>
      </c>
      <c r="I3585" s="2" t="s">
        <v>18</v>
      </c>
      <c r="J3585" s="2" t="s">
        <v>19</v>
      </c>
      <c r="K3585" s="2" t="n">
        <v>4</v>
      </c>
      <c r="L3585" s="2" t="n">
        <v>0</v>
      </c>
      <c r="M3585" s="2" t="n">
        <v>0</v>
      </c>
    </row>
    <row r="3586" customFormat="false" ht="15" hidden="false" customHeight="false" outlineLevel="0" collapsed="false">
      <c r="A3586" s="2" t="s">
        <v>7437</v>
      </c>
      <c r="B3586" s="2" t="s">
        <v>7438</v>
      </c>
      <c r="C3586" s="2" t="n">
        <v>5</v>
      </c>
      <c r="D3586" s="2" t="s">
        <v>15</v>
      </c>
      <c r="E3586" s="2" t="s">
        <v>6670</v>
      </c>
      <c r="F3586" s="3" t="n">
        <v>46008.8819444445</v>
      </c>
      <c r="G3586" s="2" t="s">
        <v>7092</v>
      </c>
      <c r="H3586" s="4" t="n">
        <v>0</v>
      </c>
      <c r="I3586" s="2" t="s">
        <v>18</v>
      </c>
      <c r="J3586" s="2" t="s">
        <v>19</v>
      </c>
      <c r="K3586" s="2" t="n">
        <v>2</v>
      </c>
      <c r="L3586" s="2" t="n">
        <v>0</v>
      </c>
      <c r="M3586" s="2" t="n">
        <v>0</v>
      </c>
    </row>
    <row r="3587" customFormat="false" ht="15" hidden="false" customHeight="false" outlineLevel="0" collapsed="false">
      <c r="A3587" s="2" t="s">
        <v>7439</v>
      </c>
      <c r="B3587" s="2" t="s">
        <v>7440</v>
      </c>
      <c r="C3587" s="2" t="n">
        <v>4</v>
      </c>
      <c r="D3587" s="2" t="s">
        <v>87</v>
      </c>
      <c r="E3587" s="2" t="s">
        <v>6670</v>
      </c>
      <c r="F3587" s="3" t="n">
        <v>46008.9791666667</v>
      </c>
      <c r="G3587" s="2" t="s">
        <v>7092</v>
      </c>
      <c r="H3587" s="4" t="n">
        <v>0</v>
      </c>
      <c r="I3587" s="2" t="s">
        <v>18</v>
      </c>
      <c r="J3587" s="2" t="s">
        <v>19</v>
      </c>
      <c r="K3587" s="2" t="n">
        <v>0</v>
      </c>
      <c r="L3587" s="2" t="n">
        <v>0</v>
      </c>
      <c r="M3587" s="2" t="n">
        <v>0</v>
      </c>
    </row>
    <row r="3588" customFormat="false" ht="15" hidden="false" customHeight="false" outlineLevel="0" collapsed="false">
      <c r="A3588" s="2" t="s">
        <v>7441</v>
      </c>
      <c r="B3588" s="2" t="s">
        <v>7442</v>
      </c>
      <c r="C3588" s="2" t="n">
        <v>5</v>
      </c>
      <c r="D3588" s="2" t="s">
        <v>96</v>
      </c>
      <c r="E3588" s="2" t="s">
        <v>6670</v>
      </c>
      <c r="F3588" s="3" t="n">
        <v>46008.9854166667</v>
      </c>
      <c r="G3588" s="2" t="s">
        <v>7092</v>
      </c>
      <c r="H3588" s="4" t="n">
        <v>0.6369</v>
      </c>
      <c r="I3588" s="2" t="s">
        <v>23</v>
      </c>
      <c r="J3588" s="2" t="s">
        <v>19</v>
      </c>
      <c r="K3588" s="2" t="n">
        <v>4</v>
      </c>
      <c r="L3588" s="2" t="n">
        <v>0</v>
      </c>
      <c r="M3588" s="2" t="n">
        <v>0</v>
      </c>
    </row>
    <row r="3589" customFormat="false" ht="15" hidden="false" customHeight="false" outlineLevel="0" collapsed="false">
      <c r="A3589" s="2" t="s">
        <v>7443</v>
      </c>
      <c r="B3589" s="2" t="s">
        <v>7444</v>
      </c>
      <c r="C3589" s="2" t="n">
        <v>5</v>
      </c>
      <c r="D3589" s="2" t="s">
        <v>15</v>
      </c>
      <c r="E3589" s="2" t="s">
        <v>6670</v>
      </c>
      <c r="F3589" s="3" t="n">
        <v>46008.9979166667</v>
      </c>
      <c r="G3589" s="2" t="s">
        <v>7092</v>
      </c>
      <c r="H3589" s="4" t="n">
        <v>0</v>
      </c>
      <c r="I3589" s="2" t="s">
        <v>18</v>
      </c>
      <c r="J3589" s="2" t="s">
        <v>19</v>
      </c>
      <c r="K3589" s="2" t="n">
        <v>2</v>
      </c>
      <c r="L3589" s="2" t="n">
        <v>0</v>
      </c>
      <c r="M3589" s="2" t="n">
        <v>0</v>
      </c>
    </row>
    <row r="3590" customFormat="false" ht="15" hidden="false" customHeight="false" outlineLevel="0" collapsed="false">
      <c r="A3590" s="2" t="s">
        <v>7445</v>
      </c>
      <c r="B3590" s="2" t="s">
        <v>7446</v>
      </c>
      <c r="C3590" s="2" t="n">
        <v>3</v>
      </c>
      <c r="D3590" s="2" t="s">
        <v>87</v>
      </c>
      <c r="E3590" s="2" t="s">
        <v>6670</v>
      </c>
      <c r="F3590" s="3" t="n">
        <v>46009.1451388889</v>
      </c>
      <c r="G3590" s="2" t="s">
        <v>7092</v>
      </c>
      <c r="H3590" s="4" t="n">
        <v>0</v>
      </c>
      <c r="I3590" s="2" t="s">
        <v>18</v>
      </c>
      <c r="J3590" s="2" t="s">
        <v>19</v>
      </c>
      <c r="K3590" s="2" t="n">
        <v>4</v>
      </c>
      <c r="L3590" s="2" t="n">
        <v>0</v>
      </c>
      <c r="M3590" s="2" t="n">
        <v>0</v>
      </c>
    </row>
    <row r="3591" customFormat="false" ht="15" hidden="false" customHeight="false" outlineLevel="0" collapsed="false">
      <c r="A3591" s="2" t="s">
        <v>7447</v>
      </c>
      <c r="B3591" s="2" t="s">
        <v>7448</v>
      </c>
      <c r="C3591" s="2" t="n">
        <v>3</v>
      </c>
      <c r="D3591" s="2" t="s">
        <v>301</v>
      </c>
      <c r="E3591" s="2" t="s">
        <v>6670</v>
      </c>
      <c r="F3591" s="3" t="n">
        <v>46009.25</v>
      </c>
      <c r="G3591" s="2" t="s">
        <v>7092</v>
      </c>
      <c r="H3591" s="4" t="n">
        <v>0.2263</v>
      </c>
      <c r="I3591" s="2" t="s">
        <v>23</v>
      </c>
      <c r="J3591" s="2" t="s">
        <v>19</v>
      </c>
      <c r="K3591" s="2" t="n">
        <v>0</v>
      </c>
      <c r="L3591" s="2" t="n">
        <v>0</v>
      </c>
      <c r="M3591" s="2" t="n">
        <v>0</v>
      </c>
    </row>
    <row r="3592" customFormat="false" ht="15" hidden="false" customHeight="false" outlineLevel="0" collapsed="false">
      <c r="A3592" s="2" t="s">
        <v>7449</v>
      </c>
      <c r="B3592" s="2" t="s">
        <v>4015</v>
      </c>
      <c r="C3592" s="2" t="n">
        <v>5</v>
      </c>
      <c r="D3592" s="2" t="s">
        <v>15</v>
      </c>
      <c r="E3592" s="2" t="s">
        <v>6670</v>
      </c>
      <c r="F3592" s="3" t="n">
        <v>46009.2631944444</v>
      </c>
      <c r="G3592" s="2" t="s">
        <v>7092</v>
      </c>
      <c r="H3592" s="4" t="n">
        <v>0</v>
      </c>
      <c r="I3592" s="2" t="s">
        <v>18</v>
      </c>
      <c r="J3592" s="2" t="s">
        <v>19</v>
      </c>
      <c r="K3592" s="2" t="n">
        <v>1</v>
      </c>
      <c r="L3592" s="2" t="n">
        <v>0</v>
      </c>
      <c r="M3592" s="2" t="n">
        <v>0</v>
      </c>
    </row>
    <row r="3593" customFormat="false" ht="15" hidden="false" customHeight="false" outlineLevel="0" collapsed="false">
      <c r="A3593" s="2" t="s">
        <v>7450</v>
      </c>
      <c r="B3593" s="2" t="s">
        <v>7451</v>
      </c>
      <c r="C3593" s="2" t="n">
        <v>3</v>
      </c>
      <c r="D3593" s="2" t="s">
        <v>194</v>
      </c>
      <c r="E3593" s="2" t="s">
        <v>6670</v>
      </c>
      <c r="F3593" s="3" t="n">
        <v>46009.2784722222</v>
      </c>
      <c r="G3593" s="2" t="s">
        <v>7092</v>
      </c>
      <c r="H3593" s="4" t="n">
        <v>0.2263</v>
      </c>
      <c r="I3593" s="2" t="s">
        <v>23</v>
      </c>
      <c r="J3593" s="2" t="s">
        <v>19</v>
      </c>
      <c r="K3593" s="2" t="n">
        <v>5</v>
      </c>
      <c r="L3593" s="2" t="n">
        <v>0</v>
      </c>
      <c r="M3593" s="2" t="n">
        <v>0</v>
      </c>
    </row>
    <row r="3594" customFormat="false" ht="15" hidden="false" customHeight="false" outlineLevel="0" collapsed="false">
      <c r="A3594" s="2" t="s">
        <v>7452</v>
      </c>
      <c r="B3594" s="2" t="s">
        <v>7453</v>
      </c>
      <c r="C3594" s="2" t="n">
        <v>3</v>
      </c>
      <c r="D3594" s="2" t="s">
        <v>168</v>
      </c>
      <c r="E3594" s="2" t="s">
        <v>6670</v>
      </c>
      <c r="F3594" s="3" t="n">
        <v>46009.3305555556</v>
      </c>
      <c r="G3594" s="2" t="s">
        <v>7092</v>
      </c>
      <c r="H3594" s="4" t="n">
        <v>-0.1027</v>
      </c>
      <c r="I3594" s="2" t="s">
        <v>84</v>
      </c>
      <c r="J3594" s="2" t="s">
        <v>33</v>
      </c>
      <c r="K3594" s="2" t="n">
        <v>1</v>
      </c>
      <c r="L3594" s="2" t="n">
        <v>0</v>
      </c>
      <c r="M3594" s="2" t="n">
        <v>0</v>
      </c>
    </row>
    <row r="3595" customFormat="false" ht="15" hidden="false" customHeight="false" outlineLevel="0" collapsed="false">
      <c r="A3595" s="2" t="s">
        <v>7454</v>
      </c>
      <c r="B3595" s="2" t="s">
        <v>7455</v>
      </c>
      <c r="C3595" s="2" t="n">
        <v>3</v>
      </c>
      <c r="D3595" s="2" t="s">
        <v>99</v>
      </c>
      <c r="E3595" s="2" t="s">
        <v>6670</v>
      </c>
      <c r="F3595" s="3" t="n">
        <v>46009.3465277778</v>
      </c>
      <c r="G3595" s="2" t="s">
        <v>7092</v>
      </c>
      <c r="H3595" s="4" t="n">
        <v>-0.3089</v>
      </c>
      <c r="I3595" s="2" t="s">
        <v>84</v>
      </c>
      <c r="J3595" s="2" t="s">
        <v>19</v>
      </c>
      <c r="K3595" s="2" t="n">
        <v>2</v>
      </c>
      <c r="L3595" s="2" t="n">
        <v>0</v>
      </c>
      <c r="M3595" s="2" t="n">
        <v>0</v>
      </c>
    </row>
    <row r="3596" customFormat="false" ht="15" hidden="false" customHeight="false" outlineLevel="0" collapsed="false">
      <c r="A3596" s="2" t="s">
        <v>7456</v>
      </c>
      <c r="B3596" s="2" t="s">
        <v>7457</v>
      </c>
      <c r="C3596" s="2" t="n">
        <v>5</v>
      </c>
      <c r="D3596" s="2" t="s">
        <v>47</v>
      </c>
      <c r="E3596" s="2" t="s">
        <v>6670</v>
      </c>
      <c r="F3596" s="3" t="n">
        <v>46009.5055555556</v>
      </c>
      <c r="G3596" s="2" t="s">
        <v>7092</v>
      </c>
      <c r="H3596" s="4" t="n">
        <v>0.3089</v>
      </c>
      <c r="I3596" s="2" t="s">
        <v>23</v>
      </c>
      <c r="J3596" s="2" t="s">
        <v>19</v>
      </c>
      <c r="K3596" s="2" t="n">
        <v>1</v>
      </c>
      <c r="L3596" s="2" t="n">
        <v>0</v>
      </c>
      <c r="M3596" s="2" t="n">
        <v>0</v>
      </c>
    </row>
    <row r="3597" customFormat="false" ht="15" hidden="false" customHeight="false" outlineLevel="0" collapsed="false">
      <c r="A3597" s="2" t="s">
        <v>7458</v>
      </c>
      <c r="B3597" s="2" t="s">
        <v>7459</v>
      </c>
      <c r="C3597" s="2" t="n">
        <v>4</v>
      </c>
      <c r="D3597" s="2" t="s">
        <v>22</v>
      </c>
      <c r="E3597" s="2" t="s">
        <v>6670</v>
      </c>
      <c r="F3597" s="3" t="n">
        <v>46009.7006944444</v>
      </c>
      <c r="G3597" s="2" t="s">
        <v>7092</v>
      </c>
      <c r="H3597" s="4" t="n">
        <v>0.2023</v>
      </c>
      <c r="I3597" s="2" t="s">
        <v>23</v>
      </c>
      <c r="J3597" s="2" t="s">
        <v>19</v>
      </c>
      <c r="K3597" s="2" t="n">
        <v>4</v>
      </c>
      <c r="L3597" s="2" t="n">
        <v>0</v>
      </c>
      <c r="M3597" s="2" t="n">
        <v>0</v>
      </c>
    </row>
    <row r="3598" customFormat="false" ht="15" hidden="false" customHeight="false" outlineLevel="0" collapsed="false">
      <c r="A3598" s="2" t="s">
        <v>7460</v>
      </c>
      <c r="B3598" s="2" t="s">
        <v>7461</v>
      </c>
      <c r="C3598" s="2" t="n">
        <v>1</v>
      </c>
      <c r="D3598" s="2" t="s">
        <v>823</v>
      </c>
      <c r="E3598" s="2" t="s">
        <v>6670</v>
      </c>
      <c r="F3598" s="3" t="n">
        <v>46009.7833333333</v>
      </c>
      <c r="G3598" s="2" t="s">
        <v>7092</v>
      </c>
      <c r="H3598" s="4" t="n">
        <v>-0.6997</v>
      </c>
      <c r="I3598" s="2" t="s">
        <v>84</v>
      </c>
      <c r="J3598" s="2" t="s">
        <v>19</v>
      </c>
      <c r="K3598" s="2" t="n">
        <v>0</v>
      </c>
      <c r="L3598" s="2" t="n">
        <v>0</v>
      </c>
      <c r="M3598" s="2" t="n">
        <v>0</v>
      </c>
    </row>
    <row r="3599" customFormat="false" ht="15" hidden="false" customHeight="false" outlineLevel="0" collapsed="false">
      <c r="A3599" s="2" t="s">
        <v>7462</v>
      </c>
      <c r="B3599" s="2" t="s">
        <v>7463</v>
      </c>
      <c r="C3599" s="2" t="n">
        <v>5</v>
      </c>
      <c r="D3599" s="2" t="s">
        <v>392</v>
      </c>
      <c r="E3599" s="2" t="s">
        <v>6670</v>
      </c>
      <c r="F3599" s="3" t="n">
        <v>46010.2069444444</v>
      </c>
      <c r="G3599" s="2" t="s">
        <v>7092</v>
      </c>
      <c r="H3599" s="4" t="n">
        <v>0.7549</v>
      </c>
      <c r="I3599" s="2" t="s">
        <v>23</v>
      </c>
      <c r="J3599" s="2" t="s">
        <v>19</v>
      </c>
      <c r="K3599" s="2" t="n">
        <v>7</v>
      </c>
      <c r="L3599" s="2" t="n">
        <v>0</v>
      </c>
      <c r="M3599" s="2" t="n">
        <v>0</v>
      </c>
    </row>
    <row r="3600" customFormat="false" ht="15" hidden="false" customHeight="false" outlineLevel="0" collapsed="false">
      <c r="A3600" s="2" t="s">
        <v>7464</v>
      </c>
      <c r="B3600" s="2" t="s">
        <v>7465</v>
      </c>
      <c r="C3600" s="2" t="n">
        <v>5</v>
      </c>
      <c r="D3600" s="2" t="s">
        <v>47</v>
      </c>
      <c r="E3600" s="2" t="s">
        <v>6670</v>
      </c>
      <c r="F3600" s="3" t="n">
        <v>46010.3097222222</v>
      </c>
      <c r="G3600" s="2" t="s">
        <v>7092</v>
      </c>
      <c r="H3600" s="4" t="n">
        <v>0.3089</v>
      </c>
      <c r="I3600" s="2" t="s">
        <v>23</v>
      </c>
      <c r="J3600" s="2" t="s">
        <v>19</v>
      </c>
      <c r="K3600" s="2" t="n">
        <v>5</v>
      </c>
      <c r="L3600" s="2" t="n">
        <v>1</v>
      </c>
      <c r="M3600" s="2" t="n">
        <v>0</v>
      </c>
    </row>
    <row r="3601" customFormat="false" ht="15" hidden="false" customHeight="false" outlineLevel="0" collapsed="false">
      <c r="A3601" s="2" t="s">
        <v>7466</v>
      </c>
      <c r="B3601" s="2" t="s">
        <v>7467</v>
      </c>
      <c r="C3601" s="2" t="n">
        <v>4</v>
      </c>
      <c r="D3601" s="2" t="s">
        <v>47</v>
      </c>
      <c r="E3601" s="2" t="s">
        <v>6670</v>
      </c>
      <c r="F3601" s="3" t="n">
        <v>46010.3347222222</v>
      </c>
      <c r="G3601" s="2" t="s">
        <v>7092</v>
      </c>
      <c r="H3601" s="4" t="n">
        <v>0.3089</v>
      </c>
      <c r="I3601" s="2" t="s">
        <v>23</v>
      </c>
      <c r="J3601" s="2" t="s">
        <v>19</v>
      </c>
      <c r="K3601" s="2" t="n">
        <v>7</v>
      </c>
      <c r="L3601" s="2" t="n">
        <v>0</v>
      </c>
      <c r="M3601" s="2" t="n">
        <v>0</v>
      </c>
    </row>
    <row r="3602" customFormat="false" ht="15" hidden="false" customHeight="false" outlineLevel="0" collapsed="false">
      <c r="A3602" s="2" t="s">
        <v>7468</v>
      </c>
      <c r="B3602" s="2" t="s">
        <v>7469</v>
      </c>
      <c r="C3602" s="2" t="n">
        <v>3</v>
      </c>
      <c r="D3602" s="2" t="s">
        <v>301</v>
      </c>
      <c r="E3602" s="2" t="s">
        <v>6670</v>
      </c>
      <c r="F3602" s="3" t="n">
        <v>46010.3652777778</v>
      </c>
      <c r="G3602" s="2" t="s">
        <v>7092</v>
      </c>
      <c r="H3602" s="4" t="n">
        <v>0.2263</v>
      </c>
      <c r="I3602" s="2" t="s">
        <v>23</v>
      </c>
      <c r="J3602" s="2" t="s">
        <v>19</v>
      </c>
      <c r="K3602" s="2" t="n">
        <v>0</v>
      </c>
      <c r="L3602" s="2" t="n">
        <v>0</v>
      </c>
      <c r="M3602" s="2" t="n">
        <v>0</v>
      </c>
    </row>
    <row r="3603" customFormat="false" ht="15" hidden="false" customHeight="false" outlineLevel="0" collapsed="false">
      <c r="A3603" s="2" t="s">
        <v>7470</v>
      </c>
      <c r="B3603" s="2" t="s">
        <v>7471</v>
      </c>
      <c r="C3603" s="2" t="n">
        <v>5</v>
      </c>
      <c r="D3603" s="2" t="s">
        <v>127</v>
      </c>
      <c r="E3603" s="2" t="s">
        <v>6670</v>
      </c>
      <c r="F3603" s="3" t="n">
        <v>46010.6131944444</v>
      </c>
      <c r="G3603" s="2" t="s">
        <v>7092</v>
      </c>
      <c r="H3603" s="4" t="n">
        <v>0.9359</v>
      </c>
      <c r="I3603" s="2" t="s">
        <v>23</v>
      </c>
      <c r="J3603" s="2" t="s">
        <v>37</v>
      </c>
      <c r="K3603" s="2" t="n">
        <v>2</v>
      </c>
      <c r="L3603" s="2" t="n">
        <v>0</v>
      </c>
      <c r="M3603" s="2" t="n">
        <v>0</v>
      </c>
    </row>
    <row r="3604" customFormat="false" ht="15" hidden="false" customHeight="false" outlineLevel="0" collapsed="false">
      <c r="A3604" s="2" t="s">
        <v>7472</v>
      </c>
      <c r="B3604" s="2" t="s">
        <v>7473</v>
      </c>
      <c r="C3604" s="2" t="n">
        <v>5</v>
      </c>
      <c r="D3604" s="2" t="s">
        <v>738</v>
      </c>
      <c r="E3604" s="2" t="s">
        <v>6670</v>
      </c>
      <c r="F3604" s="3" t="n">
        <v>46010.6597222222</v>
      </c>
      <c r="G3604" s="2" t="s">
        <v>7092</v>
      </c>
      <c r="H3604" s="4" t="n">
        <v>0.9612</v>
      </c>
      <c r="I3604" s="2" t="s">
        <v>23</v>
      </c>
      <c r="J3604" s="2" t="s">
        <v>37</v>
      </c>
      <c r="K3604" s="2" t="n">
        <v>1</v>
      </c>
      <c r="L3604" s="2" t="n">
        <v>0</v>
      </c>
      <c r="M3604" s="2" t="n">
        <v>0</v>
      </c>
    </row>
    <row r="3605" customFormat="false" ht="15" hidden="false" customHeight="false" outlineLevel="0" collapsed="false">
      <c r="A3605" s="2" t="s">
        <v>7474</v>
      </c>
      <c r="B3605" s="2" t="s">
        <v>7475</v>
      </c>
      <c r="C3605" s="2" t="n">
        <v>3</v>
      </c>
      <c r="D3605" s="2" t="s">
        <v>179</v>
      </c>
      <c r="E3605" s="2" t="s">
        <v>6670</v>
      </c>
      <c r="F3605" s="3" t="n">
        <v>46010.7680555556</v>
      </c>
      <c r="G3605" s="2" t="s">
        <v>7092</v>
      </c>
      <c r="H3605" s="4" t="n">
        <v>-0.0258</v>
      </c>
      <c r="I3605" s="2" t="s">
        <v>18</v>
      </c>
      <c r="J3605" s="2" t="s">
        <v>59</v>
      </c>
      <c r="K3605" s="2" t="n">
        <v>0</v>
      </c>
      <c r="L3605" s="2" t="n">
        <v>0</v>
      </c>
      <c r="M3605" s="2" t="n">
        <v>0</v>
      </c>
    </row>
    <row r="3606" customFormat="false" ht="15" hidden="false" customHeight="false" outlineLevel="0" collapsed="false">
      <c r="A3606" s="2" t="s">
        <v>7476</v>
      </c>
      <c r="B3606" s="2" t="s">
        <v>7477</v>
      </c>
      <c r="C3606" s="2" t="n">
        <v>3</v>
      </c>
      <c r="D3606" s="2" t="s">
        <v>3400</v>
      </c>
      <c r="E3606" s="2" t="s">
        <v>6670</v>
      </c>
      <c r="F3606" s="3" t="n">
        <v>46010.8444444445</v>
      </c>
      <c r="G3606" s="2" t="s">
        <v>7092</v>
      </c>
      <c r="H3606" s="4" t="n">
        <v>-0.5667</v>
      </c>
      <c r="I3606" s="2" t="s">
        <v>84</v>
      </c>
      <c r="J3606" s="2" t="s">
        <v>37</v>
      </c>
      <c r="K3606" s="2" t="n">
        <v>2</v>
      </c>
      <c r="L3606" s="2" t="n">
        <v>0</v>
      </c>
      <c r="M3606" s="2" t="n">
        <v>0</v>
      </c>
    </row>
    <row r="3607" customFormat="false" ht="15" hidden="false" customHeight="false" outlineLevel="0" collapsed="false">
      <c r="A3607" s="2" t="s">
        <v>7478</v>
      </c>
      <c r="B3607" s="2" t="s">
        <v>7479</v>
      </c>
      <c r="C3607" s="2" t="n">
        <v>3</v>
      </c>
      <c r="D3607" s="2" t="s">
        <v>22</v>
      </c>
      <c r="E3607" s="2" t="s">
        <v>6670</v>
      </c>
      <c r="F3607" s="3" t="n">
        <v>46010.9020833333</v>
      </c>
      <c r="G3607" s="2" t="s">
        <v>7092</v>
      </c>
      <c r="H3607" s="4" t="n">
        <v>0.2023</v>
      </c>
      <c r="I3607" s="2" t="s">
        <v>23</v>
      </c>
      <c r="J3607" s="2" t="s">
        <v>19</v>
      </c>
      <c r="K3607" s="2" t="n">
        <v>4</v>
      </c>
      <c r="L3607" s="2" t="n">
        <v>0</v>
      </c>
      <c r="M3607" s="2" t="n">
        <v>0</v>
      </c>
    </row>
    <row r="3608" customFormat="false" ht="15" hidden="false" customHeight="false" outlineLevel="0" collapsed="false">
      <c r="A3608" s="2" t="s">
        <v>7480</v>
      </c>
      <c r="B3608" s="2" t="s">
        <v>7481</v>
      </c>
      <c r="C3608" s="2" t="n">
        <v>3</v>
      </c>
      <c r="D3608" s="2" t="s">
        <v>99</v>
      </c>
      <c r="E3608" s="2" t="s">
        <v>6670</v>
      </c>
      <c r="F3608" s="3" t="n">
        <v>46010.9416666667</v>
      </c>
      <c r="G3608" s="2" t="s">
        <v>7092</v>
      </c>
      <c r="H3608" s="4" t="n">
        <v>-0.3089</v>
      </c>
      <c r="I3608" s="2" t="s">
        <v>84</v>
      </c>
      <c r="J3608" s="2" t="s">
        <v>19</v>
      </c>
      <c r="K3608" s="2" t="n">
        <v>1</v>
      </c>
      <c r="L3608" s="2" t="n">
        <v>0</v>
      </c>
      <c r="M3608" s="2" t="n">
        <v>0</v>
      </c>
    </row>
    <row r="3609" customFormat="false" ht="15" hidden="false" customHeight="false" outlineLevel="0" collapsed="false">
      <c r="A3609" s="2" t="s">
        <v>7482</v>
      </c>
      <c r="B3609" s="2" t="s">
        <v>7483</v>
      </c>
      <c r="C3609" s="2" t="n">
        <v>5</v>
      </c>
      <c r="D3609" s="2" t="s">
        <v>40</v>
      </c>
      <c r="E3609" s="2" t="s">
        <v>6670</v>
      </c>
      <c r="F3609" s="3" t="n">
        <v>46011.1</v>
      </c>
      <c r="G3609" s="2" t="s">
        <v>7092</v>
      </c>
      <c r="H3609" s="4" t="n">
        <v>0.4019</v>
      </c>
      <c r="I3609" s="2" t="s">
        <v>23</v>
      </c>
      <c r="J3609" s="2" t="s">
        <v>33</v>
      </c>
      <c r="K3609" s="2" t="n">
        <v>5</v>
      </c>
      <c r="L3609" s="2" t="n">
        <v>0</v>
      </c>
      <c r="M3609" s="2" t="n">
        <v>0</v>
      </c>
    </row>
    <row r="3610" customFormat="false" ht="15" hidden="false" customHeight="false" outlineLevel="0" collapsed="false">
      <c r="A3610" s="2" t="s">
        <v>7484</v>
      </c>
      <c r="B3610" s="2" t="s">
        <v>6693</v>
      </c>
      <c r="C3610" s="2" t="n">
        <v>5</v>
      </c>
      <c r="D3610" s="2" t="s">
        <v>96</v>
      </c>
      <c r="E3610" s="2" t="s">
        <v>6670</v>
      </c>
      <c r="F3610" s="3" t="n">
        <v>46011.1131944444</v>
      </c>
      <c r="G3610" s="2" t="s">
        <v>7092</v>
      </c>
      <c r="H3610" s="4" t="n">
        <v>0.6369</v>
      </c>
      <c r="I3610" s="2" t="s">
        <v>23</v>
      </c>
      <c r="J3610" s="2" t="s">
        <v>19</v>
      </c>
      <c r="K3610" s="2" t="n">
        <v>3</v>
      </c>
      <c r="L3610" s="2" t="n">
        <v>0</v>
      </c>
      <c r="M3610" s="2" t="n">
        <v>0</v>
      </c>
    </row>
    <row r="3611" customFormat="false" ht="15" hidden="false" customHeight="false" outlineLevel="0" collapsed="false">
      <c r="A3611" s="2" t="s">
        <v>7485</v>
      </c>
      <c r="B3611" s="2" t="s">
        <v>7486</v>
      </c>
      <c r="C3611" s="2" t="n">
        <v>4</v>
      </c>
      <c r="D3611" s="2" t="s">
        <v>194</v>
      </c>
      <c r="E3611" s="2" t="s">
        <v>6670</v>
      </c>
      <c r="F3611" s="3" t="n">
        <v>46011.1361111111</v>
      </c>
      <c r="G3611" s="2" t="s">
        <v>7092</v>
      </c>
      <c r="H3611" s="4" t="n">
        <v>0.2263</v>
      </c>
      <c r="I3611" s="2" t="s">
        <v>23</v>
      </c>
      <c r="J3611" s="2" t="s">
        <v>19</v>
      </c>
      <c r="K3611" s="2" t="n">
        <v>0</v>
      </c>
      <c r="L3611" s="2" t="n">
        <v>0</v>
      </c>
      <c r="M3611" s="2" t="n">
        <v>0</v>
      </c>
    </row>
    <row r="3612" customFormat="false" ht="15" hidden="false" customHeight="false" outlineLevel="0" collapsed="false">
      <c r="A3612" s="2" t="s">
        <v>7487</v>
      </c>
      <c r="B3612" s="2" t="s">
        <v>7488</v>
      </c>
      <c r="C3612" s="2" t="n">
        <v>5</v>
      </c>
      <c r="D3612" s="2" t="s">
        <v>62</v>
      </c>
      <c r="E3612" s="2" t="s">
        <v>6670</v>
      </c>
      <c r="F3612" s="3" t="n">
        <v>46011.1388888889</v>
      </c>
      <c r="G3612" s="2" t="s">
        <v>7092</v>
      </c>
      <c r="H3612" s="4" t="n">
        <v>0.7088</v>
      </c>
      <c r="I3612" s="2" t="s">
        <v>23</v>
      </c>
      <c r="J3612" s="2" t="s">
        <v>19</v>
      </c>
      <c r="K3612" s="2" t="n">
        <v>1</v>
      </c>
      <c r="L3612" s="2" t="n">
        <v>0</v>
      </c>
      <c r="M3612" s="2" t="n">
        <v>0</v>
      </c>
    </row>
    <row r="3613" customFormat="false" ht="15" hidden="false" customHeight="false" outlineLevel="0" collapsed="false">
      <c r="A3613" s="2" t="s">
        <v>7489</v>
      </c>
      <c r="B3613" s="2" t="s">
        <v>7490</v>
      </c>
      <c r="C3613" s="2" t="n">
        <v>1</v>
      </c>
      <c r="D3613" s="2" t="s">
        <v>179</v>
      </c>
      <c r="E3613" s="2" t="s">
        <v>6670</v>
      </c>
      <c r="F3613" s="3" t="n">
        <v>46011.1590277778</v>
      </c>
      <c r="G3613" s="2" t="s">
        <v>7092</v>
      </c>
      <c r="H3613" s="4" t="n">
        <v>-0.0258</v>
      </c>
      <c r="I3613" s="2" t="s">
        <v>18</v>
      </c>
      <c r="J3613" s="2" t="s">
        <v>59</v>
      </c>
      <c r="K3613" s="2" t="n">
        <v>1</v>
      </c>
      <c r="L3613" s="2" t="n">
        <v>0</v>
      </c>
      <c r="M3613" s="2" t="n">
        <v>0</v>
      </c>
    </row>
    <row r="3614" customFormat="false" ht="15" hidden="false" customHeight="false" outlineLevel="0" collapsed="false">
      <c r="A3614" s="2" t="s">
        <v>7491</v>
      </c>
      <c r="B3614" s="2" t="s">
        <v>7492</v>
      </c>
      <c r="C3614" s="2" t="n">
        <v>5</v>
      </c>
      <c r="D3614" s="2" t="s">
        <v>213</v>
      </c>
      <c r="E3614" s="2" t="s">
        <v>6670</v>
      </c>
      <c r="F3614" s="3" t="n">
        <v>46011.1909722222</v>
      </c>
      <c r="G3614" s="2" t="s">
        <v>7092</v>
      </c>
      <c r="H3614" s="4" t="n">
        <v>0.8651</v>
      </c>
      <c r="I3614" s="2" t="s">
        <v>23</v>
      </c>
      <c r="J3614" s="2" t="s">
        <v>19</v>
      </c>
      <c r="K3614" s="2" t="n">
        <v>6</v>
      </c>
      <c r="L3614" s="2" t="n">
        <v>0</v>
      </c>
      <c r="M3614" s="2" t="n">
        <v>0</v>
      </c>
    </row>
    <row r="3615" customFormat="false" ht="15" hidden="false" customHeight="false" outlineLevel="0" collapsed="false">
      <c r="A3615" s="2" t="s">
        <v>7493</v>
      </c>
      <c r="B3615" s="2" t="s">
        <v>7494</v>
      </c>
      <c r="C3615" s="2" t="n">
        <v>2</v>
      </c>
      <c r="D3615" s="2" t="s">
        <v>295</v>
      </c>
      <c r="E3615" s="2" t="s">
        <v>6670</v>
      </c>
      <c r="F3615" s="3" t="n">
        <v>46011.2958333333</v>
      </c>
      <c r="G3615" s="2" t="s">
        <v>7092</v>
      </c>
      <c r="H3615" s="4" t="n">
        <v>-0.5023</v>
      </c>
      <c r="I3615" s="2" t="s">
        <v>84</v>
      </c>
      <c r="J3615" s="2" t="s">
        <v>33</v>
      </c>
      <c r="K3615" s="2" t="n">
        <v>0</v>
      </c>
      <c r="L3615" s="2" t="n">
        <v>1</v>
      </c>
      <c r="M3615" s="2" t="n">
        <v>0</v>
      </c>
    </row>
    <row r="3616" customFormat="false" ht="15" hidden="false" customHeight="false" outlineLevel="0" collapsed="false">
      <c r="A3616" s="2" t="s">
        <v>7495</v>
      </c>
      <c r="B3616" s="2" t="s">
        <v>7496</v>
      </c>
      <c r="C3616" s="2" t="n">
        <v>5</v>
      </c>
      <c r="D3616" s="2" t="s">
        <v>62</v>
      </c>
      <c r="E3616" s="2" t="s">
        <v>6670</v>
      </c>
      <c r="F3616" s="3" t="n">
        <v>46011.3472222222</v>
      </c>
      <c r="G3616" s="2" t="s">
        <v>7092</v>
      </c>
      <c r="H3616" s="4" t="n">
        <v>0.7088</v>
      </c>
      <c r="I3616" s="2" t="s">
        <v>23</v>
      </c>
      <c r="J3616" s="2" t="s">
        <v>19</v>
      </c>
      <c r="K3616" s="2" t="n">
        <v>2</v>
      </c>
      <c r="L3616" s="2" t="n">
        <v>0</v>
      </c>
      <c r="M3616" s="2" t="n">
        <v>0</v>
      </c>
    </row>
    <row r="3617" customFormat="false" ht="15" hidden="false" customHeight="false" outlineLevel="0" collapsed="false">
      <c r="A3617" s="2" t="s">
        <v>7497</v>
      </c>
      <c r="B3617" s="2" t="s">
        <v>7498</v>
      </c>
      <c r="C3617" s="2" t="n">
        <v>2</v>
      </c>
      <c r="D3617" s="2" t="s">
        <v>823</v>
      </c>
      <c r="E3617" s="2" t="s">
        <v>6670</v>
      </c>
      <c r="F3617" s="3" t="n">
        <v>46011.4840277778</v>
      </c>
      <c r="G3617" s="2" t="s">
        <v>7092</v>
      </c>
      <c r="H3617" s="4" t="n">
        <v>-0.6997</v>
      </c>
      <c r="I3617" s="2" t="s">
        <v>84</v>
      </c>
      <c r="J3617" s="2" t="s">
        <v>19</v>
      </c>
      <c r="K3617" s="2" t="n">
        <v>2</v>
      </c>
      <c r="L3617" s="2" t="n">
        <v>1</v>
      </c>
      <c r="M3617" s="2" t="n">
        <v>0</v>
      </c>
    </row>
    <row r="3618" customFormat="false" ht="15" hidden="false" customHeight="false" outlineLevel="0" collapsed="false">
      <c r="A3618" s="2" t="s">
        <v>7499</v>
      </c>
      <c r="B3618" s="2" t="s">
        <v>7500</v>
      </c>
      <c r="C3618" s="2" t="n">
        <v>4</v>
      </c>
      <c r="D3618" s="2" t="s">
        <v>15</v>
      </c>
      <c r="E3618" s="2" t="s">
        <v>6670</v>
      </c>
      <c r="F3618" s="3" t="n">
        <v>46011.5576388889</v>
      </c>
      <c r="G3618" s="2" t="s">
        <v>7092</v>
      </c>
      <c r="H3618" s="4" t="n">
        <v>0</v>
      </c>
      <c r="I3618" s="2" t="s">
        <v>18</v>
      </c>
      <c r="J3618" s="2" t="s">
        <v>19</v>
      </c>
      <c r="K3618" s="2" t="n">
        <v>1</v>
      </c>
      <c r="L3618" s="2" t="n">
        <v>0</v>
      </c>
      <c r="M3618" s="2" t="n">
        <v>0</v>
      </c>
    </row>
    <row r="3619" customFormat="false" ht="15" hidden="false" customHeight="false" outlineLevel="0" collapsed="false">
      <c r="A3619" s="2" t="s">
        <v>7501</v>
      </c>
      <c r="B3619" s="2" t="s">
        <v>7502</v>
      </c>
      <c r="C3619" s="2" t="n">
        <v>5</v>
      </c>
      <c r="D3619" s="2" t="s">
        <v>52</v>
      </c>
      <c r="E3619" s="2" t="s">
        <v>6670</v>
      </c>
      <c r="F3619" s="3" t="n">
        <v>46011.7291666667</v>
      </c>
      <c r="G3619" s="2" t="s">
        <v>7092</v>
      </c>
      <c r="H3619" s="4" t="n">
        <v>0.6369</v>
      </c>
      <c r="I3619" s="2" t="s">
        <v>23</v>
      </c>
      <c r="J3619" s="2" t="s">
        <v>19</v>
      </c>
      <c r="K3619" s="2" t="n">
        <v>0</v>
      </c>
      <c r="L3619" s="2" t="n">
        <v>0</v>
      </c>
      <c r="M3619" s="2" t="n">
        <v>0</v>
      </c>
    </row>
    <row r="3620" customFormat="false" ht="15" hidden="false" customHeight="false" outlineLevel="0" collapsed="false">
      <c r="A3620" s="2" t="s">
        <v>7503</v>
      </c>
      <c r="B3620" s="2" t="s">
        <v>7504</v>
      </c>
      <c r="C3620" s="2" t="n">
        <v>5</v>
      </c>
      <c r="D3620" s="2" t="s">
        <v>15</v>
      </c>
      <c r="E3620" s="2" t="s">
        <v>6670</v>
      </c>
      <c r="F3620" s="3" t="n">
        <v>46011.7979166667</v>
      </c>
      <c r="G3620" s="2" t="s">
        <v>7092</v>
      </c>
      <c r="H3620" s="4" t="n">
        <v>0</v>
      </c>
      <c r="I3620" s="2" t="s">
        <v>18</v>
      </c>
      <c r="J3620" s="2" t="s">
        <v>19</v>
      </c>
      <c r="K3620" s="2" t="n">
        <v>2</v>
      </c>
      <c r="L3620" s="2" t="n">
        <v>0</v>
      </c>
      <c r="M3620" s="2" t="n">
        <v>0</v>
      </c>
    </row>
    <row r="3621" customFormat="false" ht="15" hidden="false" customHeight="false" outlineLevel="0" collapsed="false">
      <c r="A3621" s="2" t="s">
        <v>7505</v>
      </c>
      <c r="B3621" s="2" t="s">
        <v>7506</v>
      </c>
      <c r="C3621" s="2" t="n">
        <v>5</v>
      </c>
      <c r="D3621" s="2" t="s">
        <v>127</v>
      </c>
      <c r="E3621" s="2" t="s">
        <v>6670</v>
      </c>
      <c r="F3621" s="3" t="n">
        <v>46012.06875</v>
      </c>
      <c r="G3621" s="2" t="s">
        <v>7092</v>
      </c>
      <c r="H3621" s="4" t="n">
        <v>0.9359</v>
      </c>
      <c r="I3621" s="2" t="s">
        <v>23</v>
      </c>
      <c r="J3621" s="2" t="s">
        <v>37</v>
      </c>
      <c r="K3621" s="2" t="n">
        <v>4</v>
      </c>
      <c r="L3621" s="2" t="n">
        <v>0</v>
      </c>
      <c r="M3621" s="2" t="n">
        <v>0</v>
      </c>
    </row>
    <row r="3622" customFormat="false" ht="15" hidden="false" customHeight="false" outlineLevel="0" collapsed="false">
      <c r="A3622" s="2" t="s">
        <v>7507</v>
      </c>
      <c r="B3622" s="2" t="s">
        <v>7508</v>
      </c>
      <c r="C3622" s="2" t="n">
        <v>2</v>
      </c>
      <c r="D3622" s="2" t="s">
        <v>397</v>
      </c>
      <c r="E3622" s="2" t="s">
        <v>6670</v>
      </c>
      <c r="F3622" s="3" t="n">
        <v>46012.2694444444</v>
      </c>
      <c r="G3622" s="2" t="s">
        <v>7092</v>
      </c>
      <c r="H3622" s="4" t="n">
        <v>0</v>
      </c>
      <c r="I3622" s="2" t="s">
        <v>18</v>
      </c>
      <c r="J3622" s="2" t="s">
        <v>110</v>
      </c>
      <c r="K3622" s="2" t="n">
        <v>3</v>
      </c>
      <c r="L3622" s="2" t="n">
        <v>1</v>
      </c>
      <c r="M3622" s="2" t="n">
        <v>0</v>
      </c>
    </row>
    <row r="3623" customFormat="false" ht="15" hidden="false" customHeight="false" outlineLevel="0" collapsed="false">
      <c r="A3623" s="2" t="s">
        <v>7509</v>
      </c>
      <c r="B3623" s="2" t="s">
        <v>7510</v>
      </c>
      <c r="C3623" s="2" t="n">
        <v>5</v>
      </c>
      <c r="D3623" s="2" t="s">
        <v>90</v>
      </c>
      <c r="E3623" s="2" t="s">
        <v>6670</v>
      </c>
      <c r="F3623" s="3" t="n">
        <v>46012.2819444445</v>
      </c>
      <c r="G3623" s="2" t="s">
        <v>7092</v>
      </c>
      <c r="H3623" s="4" t="n">
        <v>0.6249</v>
      </c>
      <c r="I3623" s="2" t="s">
        <v>23</v>
      </c>
      <c r="J3623" s="2" t="s">
        <v>37</v>
      </c>
      <c r="K3623" s="2" t="n">
        <v>4</v>
      </c>
      <c r="L3623" s="2" t="n">
        <v>0</v>
      </c>
      <c r="M3623" s="2" t="n">
        <v>0</v>
      </c>
    </row>
    <row r="3624" customFormat="false" ht="15" hidden="false" customHeight="false" outlineLevel="0" collapsed="false">
      <c r="A3624" s="2" t="s">
        <v>7511</v>
      </c>
      <c r="B3624" s="2" t="s">
        <v>7512</v>
      </c>
      <c r="C3624" s="2" t="n">
        <v>4</v>
      </c>
      <c r="D3624" s="2" t="s">
        <v>40</v>
      </c>
      <c r="E3624" s="2" t="s">
        <v>6670</v>
      </c>
      <c r="F3624" s="3" t="n">
        <v>46012.3381944444</v>
      </c>
      <c r="G3624" s="2" t="s">
        <v>7092</v>
      </c>
      <c r="H3624" s="4" t="n">
        <v>0.4019</v>
      </c>
      <c r="I3624" s="2" t="s">
        <v>23</v>
      </c>
      <c r="J3624" s="2" t="s">
        <v>33</v>
      </c>
      <c r="K3624" s="2" t="n">
        <v>0</v>
      </c>
      <c r="L3624" s="2" t="n">
        <v>0</v>
      </c>
      <c r="M3624" s="2" t="n">
        <v>0</v>
      </c>
    </row>
    <row r="3625" customFormat="false" ht="15" hidden="false" customHeight="false" outlineLevel="0" collapsed="false">
      <c r="A3625" s="2" t="s">
        <v>7513</v>
      </c>
      <c r="B3625" s="2" t="s">
        <v>7514</v>
      </c>
      <c r="C3625" s="2" t="n">
        <v>5</v>
      </c>
      <c r="D3625" s="2" t="s">
        <v>96</v>
      </c>
      <c r="E3625" s="2" t="s">
        <v>6670</v>
      </c>
      <c r="F3625" s="3" t="n">
        <v>46012.3430555556</v>
      </c>
      <c r="G3625" s="2" t="s">
        <v>7092</v>
      </c>
      <c r="H3625" s="4" t="n">
        <v>0.6369</v>
      </c>
      <c r="I3625" s="2" t="s">
        <v>23</v>
      </c>
      <c r="J3625" s="2" t="s">
        <v>19</v>
      </c>
      <c r="K3625" s="2" t="n">
        <v>3</v>
      </c>
      <c r="L3625" s="2" t="n">
        <v>0</v>
      </c>
      <c r="M3625" s="2" t="n">
        <v>0</v>
      </c>
    </row>
    <row r="3626" customFormat="false" ht="15" hidden="false" customHeight="false" outlineLevel="0" collapsed="false">
      <c r="A3626" s="2" t="s">
        <v>7515</v>
      </c>
      <c r="B3626" s="2" t="s">
        <v>7516</v>
      </c>
      <c r="C3626" s="2" t="n">
        <v>4</v>
      </c>
      <c r="D3626" s="2" t="s">
        <v>99</v>
      </c>
      <c r="E3626" s="2" t="s">
        <v>6670</v>
      </c>
      <c r="F3626" s="3" t="n">
        <v>46012.3520833333</v>
      </c>
      <c r="G3626" s="2" t="s">
        <v>7092</v>
      </c>
      <c r="H3626" s="4" t="n">
        <v>-0.3089</v>
      </c>
      <c r="I3626" s="2" t="s">
        <v>84</v>
      </c>
      <c r="J3626" s="2" t="s">
        <v>19</v>
      </c>
      <c r="K3626" s="2" t="n">
        <v>6</v>
      </c>
      <c r="L3626" s="2" t="n">
        <v>0</v>
      </c>
      <c r="M3626" s="2" t="n">
        <v>0</v>
      </c>
    </row>
    <row r="3627" customFormat="false" ht="15" hidden="false" customHeight="false" outlineLevel="0" collapsed="false">
      <c r="A3627" s="2" t="s">
        <v>7517</v>
      </c>
      <c r="B3627" s="2" t="s">
        <v>7518</v>
      </c>
      <c r="C3627" s="2" t="n">
        <v>5</v>
      </c>
      <c r="D3627" s="2" t="s">
        <v>336</v>
      </c>
      <c r="E3627" s="2" t="s">
        <v>6670</v>
      </c>
      <c r="F3627" s="3" t="n">
        <v>46012.4076388889</v>
      </c>
      <c r="G3627" s="2" t="s">
        <v>7092</v>
      </c>
      <c r="H3627" s="4" t="n">
        <v>0.7088</v>
      </c>
      <c r="I3627" s="2" t="s">
        <v>23</v>
      </c>
      <c r="J3627" s="2" t="s">
        <v>19</v>
      </c>
      <c r="K3627" s="2" t="n">
        <v>3</v>
      </c>
      <c r="L3627" s="2" t="n">
        <v>0</v>
      </c>
      <c r="M3627" s="2" t="n">
        <v>0</v>
      </c>
    </row>
    <row r="3628" customFormat="false" ht="15" hidden="false" customHeight="false" outlineLevel="0" collapsed="false">
      <c r="A3628" s="2" t="s">
        <v>7519</v>
      </c>
      <c r="B3628" s="2" t="s">
        <v>7520</v>
      </c>
      <c r="C3628" s="2" t="n">
        <v>3</v>
      </c>
      <c r="D3628" s="2" t="s">
        <v>87</v>
      </c>
      <c r="E3628" s="2" t="s">
        <v>6670</v>
      </c>
      <c r="F3628" s="3" t="n">
        <v>46012.6069444444</v>
      </c>
      <c r="G3628" s="2" t="s">
        <v>7092</v>
      </c>
      <c r="H3628" s="4" t="n">
        <v>0</v>
      </c>
      <c r="I3628" s="2" t="s">
        <v>18</v>
      </c>
      <c r="J3628" s="2" t="s">
        <v>19</v>
      </c>
      <c r="K3628" s="2" t="n">
        <v>3</v>
      </c>
      <c r="L3628" s="2" t="n">
        <v>0</v>
      </c>
      <c r="M3628" s="2" t="n">
        <v>0</v>
      </c>
    </row>
    <row r="3629" customFormat="false" ht="15" hidden="false" customHeight="false" outlineLevel="0" collapsed="false">
      <c r="A3629" s="2" t="s">
        <v>7521</v>
      </c>
      <c r="B3629" s="2" t="s">
        <v>7522</v>
      </c>
      <c r="C3629" s="2" t="n">
        <v>5</v>
      </c>
      <c r="D3629" s="2" t="s">
        <v>15</v>
      </c>
      <c r="E3629" s="2" t="s">
        <v>7523</v>
      </c>
      <c r="F3629" s="3" t="n">
        <v>46013.1027777778</v>
      </c>
      <c r="G3629" s="2" t="s">
        <v>7092</v>
      </c>
      <c r="H3629" s="4" t="n">
        <v>0</v>
      </c>
      <c r="I3629" s="2" t="s">
        <v>18</v>
      </c>
      <c r="J3629" s="2" t="s">
        <v>19</v>
      </c>
      <c r="K3629" s="2" t="n">
        <v>0</v>
      </c>
      <c r="L3629" s="2" t="n">
        <v>0</v>
      </c>
      <c r="M3629" s="2" t="n">
        <v>1</v>
      </c>
    </row>
    <row r="3630" customFormat="false" ht="15" hidden="false" customHeight="false" outlineLevel="0" collapsed="false">
      <c r="A3630" s="2" t="s">
        <v>7524</v>
      </c>
      <c r="B3630" s="2" t="s">
        <v>7525</v>
      </c>
      <c r="C3630" s="2" t="n">
        <v>4</v>
      </c>
      <c r="D3630" s="2" t="s">
        <v>15</v>
      </c>
      <c r="E3630" s="2" t="s">
        <v>7523</v>
      </c>
      <c r="F3630" s="3" t="n">
        <v>46013.3298611111</v>
      </c>
      <c r="G3630" s="2" t="s">
        <v>7092</v>
      </c>
      <c r="H3630" s="4" t="n">
        <v>0</v>
      </c>
      <c r="I3630" s="2" t="s">
        <v>18</v>
      </c>
      <c r="J3630" s="2" t="s">
        <v>19</v>
      </c>
      <c r="K3630" s="2" t="n">
        <v>2</v>
      </c>
      <c r="L3630" s="2" t="n">
        <v>0</v>
      </c>
      <c r="M3630" s="2" t="n">
        <v>1</v>
      </c>
    </row>
    <row r="3631" customFormat="false" ht="15" hidden="false" customHeight="false" outlineLevel="0" collapsed="false">
      <c r="A3631" s="2" t="s">
        <v>7526</v>
      </c>
      <c r="B3631" s="2" t="s">
        <v>7527</v>
      </c>
      <c r="C3631" s="2" t="n">
        <v>4</v>
      </c>
      <c r="D3631" s="2" t="s">
        <v>555</v>
      </c>
      <c r="E3631" s="2" t="s">
        <v>7523</v>
      </c>
      <c r="F3631" s="3" t="n">
        <v>46013.6402777778</v>
      </c>
      <c r="G3631" s="2" t="s">
        <v>7092</v>
      </c>
      <c r="H3631" s="4" t="n">
        <v>0.8221</v>
      </c>
      <c r="I3631" s="2" t="s">
        <v>23</v>
      </c>
      <c r="J3631" s="2" t="s">
        <v>33</v>
      </c>
      <c r="K3631" s="2" t="n">
        <v>0</v>
      </c>
      <c r="L3631" s="2" t="n">
        <v>0</v>
      </c>
      <c r="M3631" s="2" t="n">
        <v>1</v>
      </c>
    </row>
    <row r="3632" customFormat="false" ht="15" hidden="false" customHeight="false" outlineLevel="0" collapsed="false">
      <c r="A3632" s="2" t="s">
        <v>7528</v>
      </c>
      <c r="B3632" s="2" t="s">
        <v>7529</v>
      </c>
      <c r="C3632" s="2" t="n">
        <v>4</v>
      </c>
      <c r="D3632" s="2" t="s">
        <v>22</v>
      </c>
      <c r="E3632" s="2" t="s">
        <v>7523</v>
      </c>
      <c r="F3632" s="3" t="n">
        <v>46013.8236111111</v>
      </c>
      <c r="G3632" s="2" t="s">
        <v>7092</v>
      </c>
      <c r="H3632" s="4" t="n">
        <v>0.2023</v>
      </c>
      <c r="I3632" s="2" t="s">
        <v>23</v>
      </c>
      <c r="J3632" s="2" t="s">
        <v>19</v>
      </c>
      <c r="K3632" s="2" t="n">
        <v>5</v>
      </c>
      <c r="L3632" s="2" t="n">
        <v>0</v>
      </c>
      <c r="M3632" s="2" t="n">
        <v>1</v>
      </c>
    </row>
    <row r="3633" customFormat="false" ht="15" hidden="false" customHeight="false" outlineLevel="0" collapsed="false">
      <c r="A3633" s="2" t="s">
        <v>7530</v>
      </c>
      <c r="B3633" s="2" t="s">
        <v>7531</v>
      </c>
      <c r="C3633" s="2" t="n">
        <v>5</v>
      </c>
      <c r="D3633" s="2" t="s">
        <v>15</v>
      </c>
      <c r="E3633" s="2" t="s">
        <v>7523</v>
      </c>
      <c r="F3633" s="3" t="n">
        <v>46014.2041666667</v>
      </c>
      <c r="G3633" s="2" t="s">
        <v>7092</v>
      </c>
      <c r="H3633" s="4" t="n">
        <v>0</v>
      </c>
      <c r="I3633" s="2" t="s">
        <v>18</v>
      </c>
      <c r="J3633" s="2" t="s">
        <v>19</v>
      </c>
      <c r="K3633" s="2" t="n">
        <v>4</v>
      </c>
      <c r="L3633" s="2" t="n">
        <v>0</v>
      </c>
      <c r="M3633" s="2" t="n">
        <v>1</v>
      </c>
    </row>
    <row r="3634" customFormat="false" ht="15" hidden="false" customHeight="false" outlineLevel="0" collapsed="false">
      <c r="A3634" s="2" t="s">
        <v>7532</v>
      </c>
      <c r="B3634" s="2" t="s">
        <v>7533</v>
      </c>
      <c r="C3634" s="2" t="n">
        <v>5</v>
      </c>
      <c r="D3634" s="2" t="s">
        <v>555</v>
      </c>
      <c r="E3634" s="2" t="s">
        <v>7523</v>
      </c>
      <c r="F3634" s="3" t="n">
        <v>46014.2465277778</v>
      </c>
      <c r="G3634" s="2" t="s">
        <v>7092</v>
      </c>
      <c r="H3634" s="4" t="n">
        <v>0.8221</v>
      </c>
      <c r="I3634" s="2" t="s">
        <v>23</v>
      </c>
      <c r="J3634" s="2" t="s">
        <v>33</v>
      </c>
      <c r="K3634" s="2" t="n">
        <v>3</v>
      </c>
      <c r="L3634" s="2" t="n">
        <v>0</v>
      </c>
      <c r="M3634" s="2" t="n">
        <v>1</v>
      </c>
    </row>
    <row r="3635" customFormat="false" ht="15" hidden="false" customHeight="false" outlineLevel="0" collapsed="false">
      <c r="A3635" s="2" t="s">
        <v>7534</v>
      </c>
      <c r="B3635" s="2" t="s">
        <v>7535</v>
      </c>
      <c r="C3635" s="2" t="n">
        <v>2</v>
      </c>
      <c r="D3635" s="2" t="s">
        <v>295</v>
      </c>
      <c r="E3635" s="2" t="s">
        <v>7523</v>
      </c>
      <c r="F3635" s="3" t="n">
        <v>46014.275</v>
      </c>
      <c r="G3635" s="2" t="s">
        <v>7092</v>
      </c>
      <c r="H3635" s="4" t="n">
        <v>-0.5023</v>
      </c>
      <c r="I3635" s="2" t="s">
        <v>84</v>
      </c>
      <c r="J3635" s="2" t="s">
        <v>33</v>
      </c>
      <c r="K3635" s="2" t="n">
        <v>6</v>
      </c>
      <c r="L3635" s="2" t="n">
        <v>0</v>
      </c>
      <c r="M3635" s="2" t="n">
        <v>1</v>
      </c>
    </row>
    <row r="3636" customFormat="false" ht="15" hidden="false" customHeight="false" outlineLevel="0" collapsed="false">
      <c r="A3636" s="2" t="s">
        <v>7536</v>
      </c>
      <c r="B3636" s="2" t="s">
        <v>7537</v>
      </c>
      <c r="C3636" s="2" t="n">
        <v>5</v>
      </c>
      <c r="D3636" s="2" t="s">
        <v>47</v>
      </c>
      <c r="E3636" s="2" t="s">
        <v>7523</v>
      </c>
      <c r="F3636" s="3" t="n">
        <v>46014.3236111111</v>
      </c>
      <c r="G3636" s="2" t="s">
        <v>7092</v>
      </c>
      <c r="H3636" s="4" t="n">
        <v>0.3089</v>
      </c>
      <c r="I3636" s="2" t="s">
        <v>23</v>
      </c>
      <c r="J3636" s="2" t="s">
        <v>19</v>
      </c>
      <c r="K3636" s="2" t="n">
        <v>11</v>
      </c>
      <c r="L3636" s="2" t="n">
        <v>1</v>
      </c>
      <c r="M3636" s="2" t="n">
        <v>1</v>
      </c>
    </row>
    <row r="3637" customFormat="false" ht="15" hidden="false" customHeight="false" outlineLevel="0" collapsed="false">
      <c r="A3637" s="2" t="s">
        <v>7538</v>
      </c>
      <c r="B3637" s="2" t="s">
        <v>7539</v>
      </c>
      <c r="C3637" s="2" t="n">
        <v>4</v>
      </c>
      <c r="D3637" s="2" t="s">
        <v>47</v>
      </c>
      <c r="E3637" s="2" t="s">
        <v>7523</v>
      </c>
      <c r="F3637" s="3" t="n">
        <v>46014.5173611111</v>
      </c>
      <c r="G3637" s="2" t="s">
        <v>7092</v>
      </c>
      <c r="H3637" s="4" t="n">
        <v>0.3089</v>
      </c>
      <c r="I3637" s="2" t="s">
        <v>23</v>
      </c>
      <c r="J3637" s="2" t="s">
        <v>19</v>
      </c>
      <c r="K3637" s="2" t="n">
        <v>0</v>
      </c>
      <c r="L3637" s="2" t="n">
        <v>0</v>
      </c>
      <c r="M3637" s="2" t="n">
        <v>1</v>
      </c>
    </row>
    <row r="3638" customFormat="false" ht="15" hidden="false" customHeight="false" outlineLevel="0" collapsed="false">
      <c r="A3638" s="2" t="s">
        <v>7540</v>
      </c>
      <c r="B3638" s="2" t="s">
        <v>7541</v>
      </c>
      <c r="C3638" s="2" t="n">
        <v>5</v>
      </c>
      <c r="D3638" s="2" t="s">
        <v>40</v>
      </c>
      <c r="E3638" s="2" t="s">
        <v>7523</v>
      </c>
      <c r="F3638" s="3" t="n">
        <v>46014.5402777778</v>
      </c>
      <c r="G3638" s="2" t="s">
        <v>7092</v>
      </c>
      <c r="H3638" s="4" t="n">
        <v>0.4019</v>
      </c>
      <c r="I3638" s="2" t="s">
        <v>23</v>
      </c>
      <c r="J3638" s="2" t="s">
        <v>33</v>
      </c>
      <c r="K3638" s="2" t="n">
        <v>1</v>
      </c>
      <c r="L3638" s="2" t="n">
        <v>0</v>
      </c>
      <c r="M3638" s="2" t="n">
        <v>1</v>
      </c>
    </row>
    <row r="3639" customFormat="false" ht="15" hidden="false" customHeight="false" outlineLevel="0" collapsed="false">
      <c r="A3639" s="2" t="s">
        <v>7542</v>
      </c>
      <c r="B3639" s="2" t="s">
        <v>7543</v>
      </c>
      <c r="C3639" s="2" t="n">
        <v>3</v>
      </c>
      <c r="D3639" s="2" t="s">
        <v>1400</v>
      </c>
      <c r="E3639" s="2" t="s">
        <v>7523</v>
      </c>
      <c r="F3639" s="3" t="n">
        <v>46014.5659722222</v>
      </c>
      <c r="G3639" s="2" t="s">
        <v>7092</v>
      </c>
      <c r="H3639" s="4" t="n">
        <v>0.4019</v>
      </c>
      <c r="I3639" s="2" t="s">
        <v>23</v>
      </c>
      <c r="J3639" s="2" t="s">
        <v>19</v>
      </c>
      <c r="K3639" s="2" t="n">
        <v>1</v>
      </c>
      <c r="L3639" s="2" t="n">
        <v>0</v>
      </c>
      <c r="M3639" s="2" t="n">
        <v>1</v>
      </c>
    </row>
    <row r="3640" customFormat="false" ht="15" hidden="false" customHeight="false" outlineLevel="0" collapsed="false">
      <c r="A3640" s="2" t="s">
        <v>7544</v>
      </c>
      <c r="B3640" s="2" t="s">
        <v>7545</v>
      </c>
      <c r="C3640" s="2" t="n">
        <v>3</v>
      </c>
      <c r="D3640" s="2" t="s">
        <v>22</v>
      </c>
      <c r="E3640" s="2" t="s">
        <v>7523</v>
      </c>
      <c r="F3640" s="3" t="n">
        <v>46014.6763888889</v>
      </c>
      <c r="G3640" s="2" t="s">
        <v>7092</v>
      </c>
      <c r="H3640" s="4" t="n">
        <v>0.2023</v>
      </c>
      <c r="I3640" s="2" t="s">
        <v>23</v>
      </c>
      <c r="J3640" s="2" t="s">
        <v>19</v>
      </c>
      <c r="K3640" s="2" t="n">
        <v>9</v>
      </c>
      <c r="L3640" s="2" t="n">
        <v>0</v>
      </c>
      <c r="M3640" s="2" t="n">
        <v>1</v>
      </c>
    </row>
    <row r="3641" customFormat="false" ht="15" hidden="false" customHeight="false" outlineLevel="0" collapsed="false">
      <c r="A3641" s="2" t="s">
        <v>7546</v>
      </c>
      <c r="B3641" s="2" t="s">
        <v>7547</v>
      </c>
      <c r="C3641" s="2" t="n">
        <v>4</v>
      </c>
      <c r="D3641" s="2" t="s">
        <v>790</v>
      </c>
      <c r="E3641" s="2" t="s">
        <v>7523</v>
      </c>
      <c r="F3641" s="3" t="n">
        <v>46014.7222222222</v>
      </c>
      <c r="G3641" s="2" t="s">
        <v>7092</v>
      </c>
      <c r="H3641" s="4" t="n">
        <v>0.9647</v>
      </c>
      <c r="I3641" s="2" t="s">
        <v>23</v>
      </c>
      <c r="J3641" s="2" t="s">
        <v>37</v>
      </c>
      <c r="K3641" s="2" t="n">
        <v>3</v>
      </c>
      <c r="L3641" s="2" t="n">
        <v>0</v>
      </c>
      <c r="M3641" s="2" t="n">
        <v>1</v>
      </c>
    </row>
    <row r="3642" customFormat="false" ht="15" hidden="false" customHeight="false" outlineLevel="0" collapsed="false">
      <c r="A3642" s="2" t="s">
        <v>7548</v>
      </c>
      <c r="B3642" s="2" t="s">
        <v>7549</v>
      </c>
      <c r="C3642" s="2" t="n">
        <v>5</v>
      </c>
      <c r="D3642" s="2" t="s">
        <v>90</v>
      </c>
      <c r="E3642" s="2" t="s">
        <v>7523</v>
      </c>
      <c r="F3642" s="3" t="n">
        <v>46014.8618055556</v>
      </c>
      <c r="G3642" s="2" t="s">
        <v>7092</v>
      </c>
      <c r="H3642" s="4" t="n">
        <v>0.6249</v>
      </c>
      <c r="I3642" s="2" t="s">
        <v>23</v>
      </c>
      <c r="J3642" s="2" t="s">
        <v>37</v>
      </c>
      <c r="K3642" s="2" t="n">
        <v>2</v>
      </c>
      <c r="L3642" s="2" t="n">
        <v>0</v>
      </c>
      <c r="M3642" s="2" t="n">
        <v>1</v>
      </c>
    </row>
    <row r="3643" customFormat="false" ht="15" hidden="false" customHeight="false" outlineLevel="0" collapsed="false">
      <c r="A3643" s="2" t="s">
        <v>7550</v>
      </c>
      <c r="B3643" s="2" t="s">
        <v>1925</v>
      </c>
      <c r="C3643" s="2" t="n">
        <v>5</v>
      </c>
      <c r="D3643" s="2" t="s">
        <v>2578</v>
      </c>
      <c r="E3643" s="2" t="s">
        <v>7523</v>
      </c>
      <c r="F3643" s="3" t="n">
        <v>46014.9465277778</v>
      </c>
      <c r="G3643" s="2" t="s">
        <v>7092</v>
      </c>
      <c r="H3643" s="4" t="n">
        <v>0.9626</v>
      </c>
      <c r="I3643" s="2" t="s">
        <v>23</v>
      </c>
      <c r="J3643" s="2" t="s">
        <v>37</v>
      </c>
      <c r="K3643" s="2" t="n">
        <v>4</v>
      </c>
      <c r="L3643" s="2" t="n">
        <v>0</v>
      </c>
      <c r="M3643" s="2" t="n">
        <v>1</v>
      </c>
    </row>
    <row r="3644" customFormat="false" ht="15" hidden="false" customHeight="false" outlineLevel="0" collapsed="false">
      <c r="A3644" s="2" t="s">
        <v>7551</v>
      </c>
      <c r="B3644" s="2" t="s">
        <v>7552</v>
      </c>
      <c r="C3644" s="2" t="n">
        <v>5</v>
      </c>
      <c r="D3644" s="2" t="s">
        <v>62</v>
      </c>
      <c r="E3644" s="2" t="s">
        <v>7523</v>
      </c>
      <c r="F3644" s="3" t="n">
        <v>46015.1284722222</v>
      </c>
      <c r="G3644" s="2" t="s">
        <v>7092</v>
      </c>
      <c r="H3644" s="4" t="n">
        <v>0.7088</v>
      </c>
      <c r="I3644" s="2" t="s">
        <v>23</v>
      </c>
      <c r="J3644" s="2" t="s">
        <v>19</v>
      </c>
      <c r="K3644" s="2" t="n">
        <v>1</v>
      </c>
      <c r="L3644" s="2" t="n">
        <v>0</v>
      </c>
      <c r="M3644" s="2" t="n">
        <v>1</v>
      </c>
    </row>
    <row r="3645" customFormat="false" ht="15" hidden="false" customHeight="false" outlineLevel="0" collapsed="false">
      <c r="A3645" s="2" t="s">
        <v>7553</v>
      </c>
      <c r="B3645" s="2" t="s">
        <v>7554</v>
      </c>
      <c r="C3645" s="2" t="n">
        <v>5</v>
      </c>
      <c r="D3645" s="2" t="s">
        <v>251</v>
      </c>
      <c r="E3645" s="2" t="s">
        <v>7523</v>
      </c>
      <c r="F3645" s="3" t="n">
        <v>46015.2298611111</v>
      </c>
      <c r="G3645" s="2" t="s">
        <v>7092</v>
      </c>
      <c r="H3645" s="4" t="n">
        <v>0.8651</v>
      </c>
      <c r="I3645" s="2" t="s">
        <v>23</v>
      </c>
      <c r="J3645" s="2" t="s">
        <v>19</v>
      </c>
      <c r="K3645" s="2" t="n">
        <v>2</v>
      </c>
      <c r="L3645" s="2" t="n">
        <v>0</v>
      </c>
      <c r="M3645" s="2" t="n">
        <v>1</v>
      </c>
    </row>
    <row r="3646" customFormat="false" ht="15" hidden="false" customHeight="false" outlineLevel="0" collapsed="false">
      <c r="A3646" s="2" t="s">
        <v>7555</v>
      </c>
      <c r="B3646" s="2" t="s">
        <v>7556</v>
      </c>
      <c r="C3646" s="2" t="n">
        <v>5</v>
      </c>
      <c r="D3646" s="2" t="s">
        <v>96</v>
      </c>
      <c r="E3646" s="2" t="s">
        <v>7523</v>
      </c>
      <c r="F3646" s="3" t="n">
        <v>46015.5069444445</v>
      </c>
      <c r="G3646" s="2" t="s">
        <v>7092</v>
      </c>
      <c r="H3646" s="4" t="n">
        <v>0.6369</v>
      </c>
      <c r="I3646" s="2" t="s">
        <v>23</v>
      </c>
      <c r="J3646" s="2" t="s">
        <v>19</v>
      </c>
      <c r="K3646" s="2" t="n">
        <v>0</v>
      </c>
      <c r="L3646" s="2" t="n">
        <v>0</v>
      </c>
      <c r="M3646" s="2" t="n">
        <v>1</v>
      </c>
    </row>
    <row r="3647" customFormat="false" ht="15" hidden="false" customHeight="false" outlineLevel="0" collapsed="false">
      <c r="A3647" s="2" t="s">
        <v>7557</v>
      </c>
      <c r="B3647" s="2" t="s">
        <v>7558</v>
      </c>
      <c r="C3647" s="2" t="n">
        <v>5</v>
      </c>
      <c r="D3647" s="2" t="s">
        <v>1240</v>
      </c>
      <c r="E3647" s="2" t="s">
        <v>7523</v>
      </c>
      <c r="F3647" s="3" t="n">
        <v>46015.8027777778</v>
      </c>
      <c r="G3647" s="2" t="s">
        <v>7092</v>
      </c>
      <c r="H3647" s="4" t="n">
        <v>0.6369</v>
      </c>
      <c r="I3647" s="2" t="s">
        <v>23</v>
      </c>
      <c r="J3647" s="2" t="s">
        <v>19</v>
      </c>
      <c r="K3647" s="2" t="n">
        <v>4</v>
      </c>
      <c r="L3647" s="2" t="n">
        <v>0</v>
      </c>
      <c r="M3647" s="2" t="n">
        <v>1</v>
      </c>
    </row>
    <row r="3648" customFormat="false" ht="15" hidden="false" customHeight="false" outlineLevel="0" collapsed="false">
      <c r="A3648" s="2" t="s">
        <v>7559</v>
      </c>
      <c r="B3648" s="2" t="s">
        <v>7560</v>
      </c>
      <c r="C3648" s="2" t="n">
        <v>5</v>
      </c>
      <c r="D3648" s="2" t="s">
        <v>15</v>
      </c>
      <c r="E3648" s="2" t="s">
        <v>7523</v>
      </c>
      <c r="F3648" s="3" t="n">
        <v>46015.8395833333</v>
      </c>
      <c r="G3648" s="2" t="s">
        <v>7092</v>
      </c>
      <c r="H3648" s="4" t="n">
        <v>0</v>
      </c>
      <c r="I3648" s="2" t="s">
        <v>18</v>
      </c>
      <c r="J3648" s="2" t="s">
        <v>19</v>
      </c>
      <c r="K3648" s="2" t="n">
        <v>6</v>
      </c>
      <c r="L3648" s="2" t="n">
        <v>0</v>
      </c>
      <c r="M3648" s="2" t="n">
        <v>1</v>
      </c>
    </row>
    <row r="3649" customFormat="false" ht="15" hidden="false" customHeight="false" outlineLevel="0" collapsed="false">
      <c r="A3649" s="2" t="s">
        <v>7561</v>
      </c>
      <c r="B3649" s="2" t="s">
        <v>7562</v>
      </c>
      <c r="C3649" s="2" t="n">
        <v>2</v>
      </c>
      <c r="D3649" s="2" t="s">
        <v>357</v>
      </c>
      <c r="E3649" s="2" t="s">
        <v>7523</v>
      </c>
      <c r="F3649" s="3" t="n">
        <v>46015.8944444444</v>
      </c>
      <c r="G3649" s="2" t="s">
        <v>7092</v>
      </c>
      <c r="H3649" s="4" t="n">
        <v>0</v>
      </c>
      <c r="I3649" s="2" t="s">
        <v>18</v>
      </c>
      <c r="J3649" s="2" t="s">
        <v>165</v>
      </c>
      <c r="K3649" s="2" t="n">
        <v>2</v>
      </c>
      <c r="L3649" s="2" t="n">
        <v>1</v>
      </c>
      <c r="M3649" s="2" t="n">
        <v>1</v>
      </c>
    </row>
    <row r="3650" customFormat="false" ht="15" hidden="false" customHeight="false" outlineLevel="0" collapsed="false">
      <c r="A3650" s="2" t="s">
        <v>7563</v>
      </c>
      <c r="B3650" s="2" t="s">
        <v>7564</v>
      </c>
      <c r="C3650" s="2" t="n">
        <v>4</v>
      </c>
      <c r="D3650" s="2" t="s">
        <v>565</v>
      </c>
      <c r="E3650" s="2" t="s">
        <v>7523</v>
      </c>
      <c r="F3650" s="3" t="n">
        <v>46015.9048611111</v>
      </c>
      <c r="G3650" s="2" t="s">
        <v>7092</v>
      </c>
      <c r="H3650" s="4" t="n">
        <v>0.7549</v>
      </c>
      <c r="I3650" s="2" t="s">
        <v>23</v>
      </c>
      <c r="J3650" s="2" t="s">
        <v>19</v>
      </c>
      <c r="K3650" s="2" t="n">
        <v>6</v>
      </c>
      <c r="L3650" s="2" t="n">
        <v>0</v>
      </c>
      <c r="M3650" s="2" t="n">
        <v>1</v>
      </c>
    </row>
    <row r="3651" customFormat="false" ht="15" hidden="false" customHeight="false" outlineLevel="0" collapsed="false">
      <c r="A3651" s="2" t="s">
        <v>7565</v>
      </c>
      <c r="B3651" s="2" t="s">
        <v>7566</v>
      </c>
      <c r="C3651" s="2" t="n">
        <v>5</v>
      </c>
      <c r="D3651" s="2" t="s">
        <v>52</v>
      </c>
      <c r="E3651" s="2" t="s">
        <v>7523</v>
      </c>
      <c r="F3651" s="3" t="n">
        <v>46015.9097222222</v>
      </c>
      <c r="G3651" s="2" t="s">
        <v>7092</v>
      </c>
      <c r="H3651" s="4" t="n">
        <v>0.6369</v>
      </c>
      <c r="I3651" s="2" t="s">
        <v>23</v>
      </c>
      <c r="J3651" s="2" t="s">
        <v>19</v>
      </c>
      <c r="K3651" s="2" t="n">
        <v>3</v>
      </c>
      <c r="L3651" s="2" t="n">
        <v>0</v>
      </c>
      <c r="M3651" s="2" t="n">
        <v>1</v>
      </c>
    </row>
    <row r="3652" customFormat="false" ht="15" hidden="false" customHeight="false" outlineLevel="0" collapsed="false">
      <c r="A3652" s="2" t="s">
        <v>7567</v>
      </c>
      <c r="B3652" s="2" t="s">
        <v>7568</v>
      </c>
      <c r="C3652" s="2" t="n">
        <v>5</v>
      </c>
      <c r="D3652" s="2" t="s">
        <v>90</v>
      </c>
      <c r="E3652" s="2" t="s">
        <v>7523</v>
      </c>
      <c r="F3652" s="3" t="n">
        <v>46016.15</v>
      </c>
      <c r="G3652" s="2" t="s">
        <v>7092</v>
      </c>
      <c r="H3652" s="4" t="n">
        <v>0.6249</v>
      </c>
      <c r="I3652" s="2" t="s">
        <v>23</v>
      </c>
      <c r="J3652" s="2" t="s">
        <v>37</v>
      </c>
      <c r="K3652" s="2" t="n">
        <v>1</v>
      </c>
      <c r="L3652" s="2" t="n">
        <v>0</v>
      </c>
      <c r="M3652" s="2" t="n">
        <v>1</v>
      </c>
    </row>
    <row r="3653" customFormat="false" ht="15" hidden="false" customHeight="false" outlineLevel="0" collapsed="false">
      <c r="A3653" s="2" t="s">
        <v>7569</v>
      </c>
      <c r="B3653" s="2" t="s">
        <v>7570</v>
      </c>
      <c r="C3653" s="2" t="n">
        <v>3</v>
      </c>
      <c r="D3653" s="2" t="s">
        <v>2023</v>
      </c>
      <c r="E3653" s="2" t="s">
        <v>7523</v>
      </c>
      <c r="F3653" s="3" t="n">
        <v>46016.2513888889</v>
      </c>
      <c r="G3653" s="2" t="s">
        <v>7092</v>
      </c>
      <c r="H3653" s="4" t="n">
        <v>-0.6997</v>
      </c>
      <c r="I3653" s="2" t="s">
        <v>84</v>
      </c>
      <c r="J3653" s="2" t="s">
        <v>19</v>
      </c>
      <c r="K3653" s="2" t="n">
        <v>5</v>
      </c>
      <c r="L3653" s="2" t="n">
        <v>0</v>
      </c>
      <c r="M3653" s="2" t="n">
        <v>1</v>
      </c>
    </row>
    <row r="3654" customFormat="false" ht="15" hidden="false" customHeight="false" outlineLevel="0" collapsed="false">
      <c r="A3654" s="2" t="s">
        <v>7571</v>
      </c>
      <c r="B3654" s="2" t="s">
        <v>7572</v>
      </c>
      <c r="C3654" s="2" t="n">
        <v>1</v>
      </c>
      <c r="D3654" s="2" t="s">
        <v>482</v>
      </c>
      <c r="E3654" s="2" t="s">
        <v>7523</v>
      </c>
      <c r="F3654" s="3" t="n">
        <v>46016.3173611111</v>
      </c>
      <c r="G3654" s="2" t="s">
        <v>7092</v>
      </c>
      <c r="H3654" s="4" t="n">
        <v>-0.6808</v>
      </c>
      <c r="I3654" s="2" t="s">
        <v>84</v>
      </c>
      <c r="J3654" s="2" t="s">
        <v>110</v>
      </c>
      <c r="K3654" s="2" t="n">
        <v>16</v>
      </c>
      <c r="L3654" s="2" t="n">
        <v>0</v>
      </c>
      <c r="M3654" s="2" t="n">
        <v>1</v>
      </c>
    </row>
    <row r="3655" customFormat="false" ht="15" hidden="false" customHeight="false" outlineLevel="0" collapsed="false">
      <c r="A3655" s="2" t="s">
        <v>7573</v>
      </c>
      <c r="B3655" s="2" t="s">
        <v>7574</v>
      </c>
      <c r="C3655" s="2" t="n">
        <v>4</v>
      </c>
      <c r="D3655" s="2" t="s">
        <v>40</v>
      </c>
      <c r="E3655" s="2" t="s">
        <v>7523</v>
      </c>
      <c r="F3655" s="3" t="n">
        <v>46016.5756944444</v>
      </c>
      <c r="G3655" s="2" t="s">
        <v>7092</v>
      </c>
      <c r="H3655" s="4" t="n">
        <v>0.4019</v>
      </c>
      <c r="I3655" s="2" t="s">
        <v>23</v>
      </c>
      <c r="J3655" s="2" t="s">
        <v>33</v>
      </c>
      <c r="K3655" s="2" t="n">
        <v>2</v>
      </c>
      <c r="L3655" s="2" t="n">
        <v>0</v>
      </c>
      <c r="M3655" s="2" t="n">
        <v>1</v>
      </c>
    </row>
    <row r="3656" customFormat="false" ht="15" hidden="false" customHeight="false" outlineLevel="0" collapsed="false">
      <c r="A3656" s="2" t="s">
        <v>7575</v>
      </c>
      <c r="B3656" s="2" t="s">
        <v>7576</v>
      </c>
      <c r="C3656" s="2" t="n">
        <v>5</v>
      </c>
      <c r="D3656" s="2" t="s">
        <v>943</v>
      </c>
      <c r="E3656" s="2" t="s">
        <v>7523</v>
      </c>
      <c r="F3656" s="3" t="n">
        <v>46016.6131944444</v>
      </c>
      <c r="G3656" s="2" t="s">
        <v>7092</v>
      </c>
      <c r="H3656" s="4" t="n">
        <v>0.7549</v>
      </c>
      <c r="I3656" s="2" t="s">
        <v>23</v>
      </c>
      <c r="J3656" s="2" t="s">
        <v>19</v>
      </c>
      <c r="K3656" s="2" t="n">
        <v>4</v>
      </c>
      <c r="L3656" s="2" t="n">
        <v>0</v>
      </c>
      <c r="M3656" s="2" t="n">
        <v>1</v>
      </c>
    </row>
    <row r="3657" customFormat="false" ht="15" hidden="false" customHeight="false" outlineLevel="0" collapsed="false">
      <c r="A3657" s="2" t="s">
        <v>7577</v>
      </c>
      <c r="B3657" s="2" t="s">
        <v>7578</v>
      </c>
      <c r="C3657" s="2" t="n">
        <v>5</v>
      </c>
      <c r="D3657" s="2" t="s">
        <v>304</v>
      </c>
      <c r="E3657" s="2" t="s">
        <v>7523</v>
      </c>
      <c r="F3657" s="3" t="n">
        <v>46016.6138888889</v>
      </c>
      <c r="G3657" s="2" t="s">
        <v>7092</v>
      </c>
      <c r="H3657" s="4" t="n">
        <v>0.6249</v>
      </c>
      <c r="I3657" s="2" t="s">
        <v>23</v>
      </c>
      <c r="J3657" s="2" t="s">
        <v>37</v>
      </c>
      <c r="K3657" s="2" t="n">
        <v>0</v>
      </c>
      <c r="L3657" s="2" t="n">
        <v>0</v>
      </c>
      <c r="M3657" s="2" t="n">
        <v>1</v>
      </c>
    </row>
    <row r="3658" customFormat="false" ht="15" hidden="false" customHeight="false" outlineLevel="0" collapsed="false">
      <c r="A3658" s="2" t="s">
        <v>7579</v>
      </c>
      <c r="B3658" s="2" t="s">
        <v>789</v>
      </c>
      <c r="C3658" s="2" t="n">
        <v>5</v>
      </c>
      <c r="D3658" s="2" t="s">
        <v>374</v>
      </c>
      <c r="E3658" s="2" t="s">
        <v>7523</v>
      </c>
      <c r="F3658" s="3" t="n">
        <v>46016.8506944445</v>
      </c>
      <c r="G3658" s="2" t="s">
        <v>7092</v>
      </c>
      <c r="H3658" s="4" t="n">
        <v>0.6369</v>
      </c>
      <c r="I3658" s="2" t="s">
        <v>23</v>
      </c>
      <c r="J3658" s="2" t="s">
        <v>19</v>
      </c>
      <c r="K3658" s="2" t="n">
        <v>7</v>
      </c>
      <c r="L3658" s="2" t="n">
        <v>0</v>
      </c>
      <c r="M3658" s="2" t="n">
        <v>1</v>
      </c>
    </row>
    <row r="3659" customFormat="false" ht="15" hidden="false" customHeight="false" outlineLevel="0" collapsed="false">
      <c r="A3659" s="2" t="s">
        <v>7580</v>
      </c>
      <c r="B3659" s="2" t="s">
        <v>7581</v>
      </c>
      <c r="C3659" s="2" t="n">
        <v>1</v>
      </c>
      <c r="D3659" s="2" t="s">
        <v>733</v>
      </c>
      <c r="E3659" s="2" t="s">
        <v>7523</v>
      </c>
      <c r="F3659" s="3" t="n">
        <v>46016.9048611111</v>
      </c>
      <c r="G3659" s="2" t="s">
        <v>7092</v>
      </c>
      <c r="H3659" s="4" t="n">
        <v>-0.2846</v>
      </c>
      <c r="I3659" s="2" t="s">
        <v>84</v>
      </c>
      <c r="J3659" s="2" t="s">
        <v>37</v>
      </c>
      <c r="K3659" s="2" t="n">
        <v>3</v>
      </c>
      <c r="L3659" s="2" t="n">
        <v>1</v>
      </c>
      <c r="M3659" s="2" t="n">
        <v>1</v>
      </c>
    </row>
    <row r="3660" customFormat="false" ht="15" hidden="false" customHeight="false" outlineLevel="0" collapsed="false">
      <c r="A3660" s="2" t="s">
        <v>7582</v>
      </c>
      <c r="B3660" s="2" t="s">
        <v>7583</v>
      </c>
      <c r="C3660" s="2" t="n">
        <v>5</v>
      </c>
      <c r="D3660" s="2" t="s">
        <v>96</v>
      </c>
      <c r="E3660" s="2" t="s">
        <v>7523</v>
      </c>
      <c r="F3660" s="3" t="n">
        <v>46016.9930555556</v>
      </c>
      <c r="G3660" s="2" t="s">
        <v>7092</v>
      </c>
      <c r="H3660" s="4" t="n">
        <v>0.6369</v>
      </c>
      <c r="I3660" s="2" t="s">
        <v>23</v>
      </c>
      <c r="J3660" s="2" t="s">
        <v>19</v>
      </c>
      <c r="K3660" s="2" t="n">
        <v>1</v>
      </c>
      <c r="L3660" s="2" t="n">
        <v>0</v>
      </c>
      <c r="M3660" s="2" t="n">
        <v>1</v>
      </c>
    </row>
    <row r="3661" customFormat="false" ht="15" hidden="false" customHeight="false" outlineLevel="0" collapsed="false">
      <c r="A3661" s="2" t="s">
        <v>7584</v>
      </c>
      <c r="B3661" s="2" t="s">
        <v>7585</v>
      </c>
      <c r="C3661" s="2" t="n">
        <v>5</v>
      </c>
      <c r="D3661" s="2" t="s">
        <v>15</v>
      </c>
      <c r="E3661" s="2" t="s">
        <v>7523</v>
      </c>
      <c r="F3661" s="3" t="n">
        <v>46017.0361111111</v>
      </c>
      <c r="G3661" s="2" t="s">
        <v>7092</v>
      </c>
      <c r="H3661" s="4" t="n">
        <v>0</v>
      </c>
      <c r="I3661" s="2" t="s">
        <v>18</v>
      </c>
      <c r="J3661" s="2" t="s">
        <v>19</v>
      </c>
      <c r="K3661" s="2" t="n">
        <v>0</v>
      </c>
      <c r="L3661" s="2" t="n">
        <v>0</v>
      </c>
      <c r="M3661" s="2" t="n">
        <v>1</v>
      </c>
    </row>
    <row r="3662" customFormat="false" ht="15" hidden="false" customHeight="false" outlineLevel="0" collapsed="false">
      <c r="A3662" s="2" t="s">
        <v>7586</v>
      </c>
      <c r="B3662" s="2" t="s">
        <v>7587</v>
      </c>
      <c r="C3662" s="2" t="n">
        <v>5</v>
      </c>
      <c r="D3662" s="2" t="s">
        <v>15</v>
      </c>
      <c r="E3662" s="2" t="s">
        <v>7523</v>
      </c>
      <c r="F3662" s="3" t="n">
        <v>46017.0458333333</v>
      </c>
      <c r="G3662" s="2" t="s">
        <v>7092</v>
      </c>
      <c r="H3662" s="4" t="n">
        <v>0</v>
      </c>
      <c r="I3662" s="2" t="s">
        <v>18</v>
      </c>
      <c r="J3662" s="2" t="s">
        <v>19</v>
      </c>
      <c r="K3662" s="2" t="n">
        <v>4</v>
      </c>
      <c r="L3662" s="2" t="n">
        <v>0</v>
      </c>
      <c r="M3662" s="2" t="n">
        <v>1</v>
      </c>
    </row>
    <row r="3663" customFormat="false" ht="15" hidden="false" customHeight="false" outlineLevel="0" collapsed="false">
      <c r="A3663" s="2" t="s">
        <v>7588</v>
      </c>
      <c r="B3663" s="2" t="s">
        <v>7589</v>
      </c>
      <c r="C3663" s="2" t="n">
        <v>3</v>
      </c>
      <c r="D3663" s="2" t="s">
        <v>87</v>
      </c>
      <c r="E3663" s="2" t="s">
        <v>7523</v>
      </c>
      <c r="F3663" s="3" t="n">
        <v>46017.1888888889</v>
      </c>
      <c r="G3663" s="2" t="s">
        <v>7092</v>
      </c>
      <c r="H3663" s="4" t="n">
        <v>0</v>
      </c>
      <c r="I3663" s="2" t="s">
        <v>18</v>
      </c>
      <c r="J3663" s="2" t="s">
        <v>19</v>
      </c>
      <c r="K3663" s="2" t="n">
        <v>2</v>
      </c>
      <c r="L3663" s="2" t="n">
        <v>0</v>
      </c>
      <c r="M3663" s="2" t="n">
        <v>1</v>
      </c>
    </row>
    <row r="3664" customFormat="false" ht="15" hidden="false" customHeight="false" outlineLevel="0" collapsed="false">
      <c r="A3664" s="2" t="s">
        <v>7590</v>
      </c>
      <c r="B3664" s="2" t="s">
        <v>7591</v>
      </c>
      <c r="C3664" s="2" t="n">
        <v>4</v>
      </c>
      <c r="D3664" s="2" t="s">
        <v>301</v>
      </c>
      <c r="E3664" s="2" t="s">
        <v>7523</v>
      </c>
      <c r="F3664" s="3" t="n">
        <v>46017.4395833333</v>
      </c>
      <c r="G3664" s="2" t="s">
        <v>7092</v>
      </c>
      <c r="H3664" s="4" t="n">
        <v>0.2263</v>
      </c>
      <c r="I3664" s="2" t="s">
        <v>23</v>
      </c>
      <c r="J3664" s="2" t="s">
        <v>19</v>
      </c>
      <c r="K3664" s="2" t="n">
        <v>2</v>
      </c>
      <c r="L3664" s="2" t="n">
        <v>0</v>
      </c>
      <c r="M3664" s="2" t="n">
        <v>1</v>
      </c>
    </row>
    <row r="3665" customFormat="false" ht="15" hidden="false" customHeight="false" outlineLevel="0" collapsed="false">
      <c r="A3665" s="2" t="s">
        <v>7592</v>
      </c>
      <c r="B3665" s="2" t="s">
        <v>7593</v>
      </c>
      <c r="C3665" s="2" t="n">
        <v>3</v>
      </c>
      <c r="D3665" s="2" t="s">
        <v>1029</v>
      </c>
      <c r="E3665" s="2" t="s">
        <v>7523</v>
      </c>
      <c r="F3665" s="3" t="n">
        <v>46017.5729166667</v>
      </c>
      <c r="G3665" s="2" t="s">
        <v>7092</v>
      </c>
      <c r="H3665" s="4" t="n">
        <v>0.1154</v>
      </c>
      <c r="I3665" s="2" t="s">
        <v>23</v>
      </c>
      <c r="J3665" s="2" t="s">
        <v>19</v>
      </c>
      <c r="K3665" s="2" t="n">
        <v>3</v>
      </c>
      <c r="L3665" s="2" t="n">
        <v>0</v>
      </c>
      <c r="M3665" s="2" t="n">
        <v>1</v>
      </c>
    </row>
    <row r="3666" customFormat="false" ht="15" hidden="false" customHeight="false" outlineLevel="0" collapsed="false">
      <c r="A3666" s="2" t="s">
        <v>7594</v>
      </c>
      <c r="B3666" s="2" t="s">
        <v>7595</v>
      </c>
      <c r="C3666" s="2" t="n">
        <v>3</v>
      </c>
      <c r="D3666" s="2" t="s">
        <v>2743</v>
      </c>
      <c r="E3666" s="2" t="s">
        <v>7523</v>
      </c>
      <c r="F3666" s="3" t="n">
        <v>46017.7375</v>
      </c>
      <c r="G3666" s="2" t="s">
        <v>7092</v>
      </c>
      <c r="H3666" s="4" t="n">
        <v>0.3809</v>
      </c>
      <c r="I3666" s="2" t="s">
        <v>23</v>
      </c>
      <c r="J3666" s="2" t="s">
        <v>19</v>
      </c>
      <c r="K3666" s="2" t="n">
        <v>2</v>
      </c>
      <c r="L3666" s="2" t="n">
        <v>0</v>
      </c>
      <c r="M3666" s="2" t="n">
        <v>1</v>
      </c>
    </row>
    <row r="3667" customFormat="false" ht="15" hidden="false" customHeight="false" outlineLevel="0" collapsed="false">
      <c r="A3667" s="2" t="s">
        <v>7596</v>
      </c>
      <c r="B3667" s="2" t="s">
        <v>7597</v>
      </c>
      <c r="C3667" s="2" t="n">
        <v>5</v>
      </c>
      <c r="D3667" s="2" t="s">
        <v>90</v>
      </c>
      <c r="E3667" s="2" t="s">
        <v>7523</v>
      </c>
      <c r="F3667" s="3" t="n">
        <v>46017.9881944444</v>
      </c>
      <c r="G3667" s="2" t="s">
        <v>7092</v>
      </c>
      <c r="H3667" s="4" t="n">
        <v>0.6249</v>
      </c>
      <c r="I3667" s="2" t="s">
        <v>23</v>
      </c>
      <c r="J3667" s="2" t="s">
        <v>37</v>
      </c>
      <c r="K3667" s="2" t="n">
        <v>1</v>
      </c>
      <c r="L3667" s="2" t="n">
        <v>0</v>
      </c>
      <c r="M3667" s="2" t="n">
        <v>1</v>
      </c>
    </row>
    <row r="3668" customFormat="false" ht="15" hidden="false" customHeight="false" outlineLevel="0" collapsed="false">
      <c r="A3668" s="2" t="s">
        <v>7598</v>
      </c>
      <c r="B3668" s="2" t="s">
        <v>4900</v>
      </c>
      <c r="C3668" s="2" t="n">
        <v>4</v>
      </c>
      <c r="D3668" s="2" t="s">
        <v>40</v>
      </c>
      <c r="E3668" s="2" t="s">
        <v>7523</v>
      </c>
      <c r="F3668" s="3" t="n">
        <v>46018.1979166667</v>
      </c>
      <c r="G3668" s="2" t="s">
        <v>7092</v>
      </c>
      <c r="H3668" s="4" t="n">
        <v>0.4019</v>
      </c>
      <c r="I3668" s="2" t="s">
        <v>23</v>
      </c>
      <c r="J3668" s="2" t="s">
        <v>33</v>
      </c>
      <c r="K3668" s="2" t="n">
        <v>1</v>
      </c>
      <c r="L3668" s="2" t="n">
        <v>0</v>
      </c>
      <c r="M3668" s="2" t="n">
        <v>1</v>
      </c>
    </row>
    <row r="3669" customFormat="false" ht="15" hidden="false" customHeight="false" outlineLevel="0" collapsed="false">
      <c r="A3669" s="2" t="s">
        <v>7599</v>
      </c>
      <c r="B3669" s="2" t="s">
        <v>7600</v>
      </c>
      <c r="C3669" s="2" t="n">
        <v>4</v>
      </c>
      <c r="D3669" s="2" t="s">
        <v>639</v>
      </c>
      <c r="E3669" s="2" t="s">
        <v>7523</v>
      </c>
      <c r="F3669" s="3" t="n">
        <v>46018.2298611111</v>
      </c>
      <c r="G3669" s="2" t="s">
        <v>7092</v>
      </c>
      <c r="H3669" s="4" t="n">
        <v>0.7088</v>
      </c>
      <c r="I3669" s="2" t="s">
        <v>23</v>
      </c>
      <c r="J3669" s="2" t="s">
        <v>19</v>
      </c>
      <c r="K3669" s="2" t="n">
        <v>2</v>
      </c>
      <c r="L3669" s="2" t="n">
        <v>0</v>
      </c>
      <c r="M3669" s="2" t="n">
        <v>1</v>
      </c>
    </row>
    <row r="3670" customFormat="false" ht="15" hidden="false" customHeight="false" outlineLevel="0" collapsed="false">
      <c r="A3670" s="2" t="s">
        <v>7601</v>
      </c>
      <c r="B3670" s="2" t="s">
        <v>7602</v>
      </c>
      <c r="C3670" s="2" t="n">
        <v>3</v>
      </c>
      <c r="D3670" s="2" t="s">
        <v>22</v>
      </c>
      <c r="E3670" s="2" t="s">
        <v>7523</v>
      </c>
      <c r="F3670" s="3" t="n">
        <v>46018.4270833333</v>
      </c>
      <c r="G3670" s="2" t="s">
        <v>7092</v>
      </c>
      <c r="H3670" s="4" t="n">
        <v>0.2023</v>
      </c>
      <c r="I3670" s="2" t="s">
        <v>23</v>
      </c>
      <c r="J3670" s="2" t="s">
        <v>19</v>
      </c>
      <c r="K3670" s="2" t="n">
        <v>0</v>
      </c>
      <c r="L3670" s="2" t="n">
        <v>0</v>
      </c>
      <c r="M3670" s="2" t="n">
        <v>1</v>
      </c>
    </row>
    <row r="3671" customFormat="false" ht="15" hidden="false" customHeight="false" outlineLevel="0" collapsed="false">
      <c r="A3671" s="2" t="s">
        <v>7603</v>
      </c>
      <c r="B3671" s="2" t="s">
        <v>1830</v>
      </c>
      <c r="C3671" s="2" t="n">
        <v>3</v>
      </c>
      <c r="D3671" s="2" t="s">
        <v>99</v>
      </c>
      <c r="E3671" s="2" t="s">
        <v>7523</v>
      </c>
      <c r="F3671" s="3" t="n">
        <v>46018.4722222222</v>
      </c>
      <c r="G3671" s="2" t="s">
        <v>7092</v>
      </c>
      <c r="H3671" s="4" t="n">
        <v>-0.3089</v>
      </c>
      <c r="I3671" s="2" t="s">
        <v>84</v>
      </c>
      <c r="J3671" s="2" t="s">
        <v>19</v>
      </c>
      <c r="K3671" s="2" t="n">
        <v>8</v>
      </c>
      <c r="L3671" s="2" t="n">
        <v>0</v>
      </c>
      <c r="M3671" s="2" t="n">
        <v>1</v>
      </c>
    </row>
    <row r="3672" customFormat="false" ht="15" hidden="false" customHeight="false" outlineLevel="0" collapsed="false">
      <c r="A3672" s="2" t="s">
        <v>7604</v>
      </c>
      <c r="B3672" s="2" t="s">
        <v>7605</v>
      </c>
      <c r="C3672" s="2" t="n">
        <v>4</v>
      </c>
      <c r="D3672" s="2" t="s">
        <v>67</v>
      </c>
      <c r="E3672" s="2" t="s">
        <v>7523</v>
      </c>
      <c r="F3672" s="3" t="n">
        <v>46018.5611111111</v>
      </c>
      <c r="G3672" s="2" t="s">
        <v>7092</v>
      </c>
      <c r="H3672" s="4" t="n">
        <v>0.8953</v>
      </c>
      <c r="I3672" s="2" t="s">
        <v>23</v>
      </c>
      <c r="J3672" s="2" t="s">
        <v>19</v>
      </c>
      <c r="K3672" s="2" t="n">
        <v>3</v>
      </c>
      <c r="L3672" s="2" t="n">
        <v>0</v>
      </c>
      <c r="M3672" s="2" t="n">
        <v>1</v>
      </c>
    </row>
    <row r="3673" customFormat="false" ht="15" hidden="false" customHeight="false" outlineLevel="0" collapsed="false">
      <c r="A3673" s="2" t="s">
        <v>7606</v>
      </c>
      <c r="B3673" s="2" t="s">
        <v>7607</v>
      </c>
      <c r="C3673" s="2" t="n">
        <v>3</v>
      </c>
      <c r="D3673" s="2" t="s">
        <v>87</v>
      </c>
      <c r="E3673" s="2" t="s">
        <v>7523</v>
      </c>
      <c r="F3673" s="3" t="n">
        <v>46019.1326388889</v>
      </c>
      <c r="G3673" s="2" t="s">
        <v>7092</v>
      </c>
      <c r="H3673" s="4" t="n">
        <v>0</v>
      </c>
      <c r="I3673" s="2" t="s">
        <v>18</v>
      </c>
      <c r="J3673" s="2" t="s">
        <v>19</v>
      </c>
      <c r="K3673" s="2" t="n">
        <v>1</v>
      </c>
      <c r="L3673" s="2" t="n">
        <v>0</v>
      </c>
      <c r="M3673" s="2" t="n">
        <v>1</v>
      </c>
    </row>
    <row r="3674" customFormat="false" ht="15" hidden="false" customHeight="false" outlineLevel="0" collapsed="false">
      <c r="A3674" s="2" t="s">
        <v>7608</v>
      </c>
      <c r="B3674" s="2" t="s">
        <v>7609</v>
      </c>
      <c r="C3674" s="2" t="n">
        <v>5</v>
      </c>
      <c r="D3674" s="2" t="s">
        <v>62</v>
      </c>
      <c r="E3674" s="2" t="s">
        <v>7523</v>
      </c>
      <c r="F3674" s="3" t="n">
        <v>46019.1527777778</v>
      </c>
      <c r="G3674" s="2" t="s">
        <v>7092</v>
      </c>
      <c r="H3674" s="4" t="n">
        <v>0.7088</v>
      </c>
      <c r="I3674" s="2" t="s">
        <v>23</v>
      </c>
      <c r="J3674" s="2" t="s">
        <v>19</v>
      </c>
      <c r="K3674" s="2" t="n">
        <v>2</v>
      </c>
      <c r="L3674" s="2" t="n">
        <v>0</v>
      </c>
      <c r="M3674" s="2" t="n">
        <v>1</v>
      </c>
    </row>
    <row r="3675" customFormat="false" ht="15" hidden="false" customHeight="false" outlineLevel="0" collapsed="false">
      <c r="A3675" s="2" t="s">
        <v>7610</v>
      </c>
      <c r="B3675" s="2" t="s">
        <v>7611</v>
      </c>
      <c r="C3675" s="2" t="n">
        <v>3</v>
      </c>
      <c r="D3675" s="2" t="s">
        <v>99</v>
      </c>
      <c r="E3675" s="2" t="s">
        <v>7523</v>
      </c>
      <c r="F3675" s="3" t="n">
        <v>46019.2256944445</v>
      </c>
      <c r="G3675" s="2" t="s">
        <v>7092</v>
      </c>
      <c r="H3675" s="4" t="n">
        <v>-0.3089</v>
      </c>
      <c r="I3675" s="2" t="s">
        <v>84</v>
      </c>
      <c r="J3675" s="2" t="s">
        <v>19</v>
      </c>
      <c r="K3675" s="2" t="n">
        <v>7</v>
      </c>
      <c r="L3675" s="2" t="n">
        <v>0</v>
      </c>
      <c r="M3675" s="2" t="n">
        <v>1</v>
      </c>
    </row>
    <row r="3676" customFormat="false" ht="15" hidden="false" customHeight="false" outlineLevel="0" collapsed="false">
      <c r="A3676" s="2" t="s">
        <v>7612</v>
      </c>
      <c r="B3676" s="2" t="s">
        <v>7613</v>
      </c>
      <c r="C3676" s="2" t="n">
        <v>5</v>
      </c>
      <c r="D3676" s="2" t="s">
        <v>15</v>
      </c>
      <c r="E3676" s="2" t="s">
        <v>7523</v>
      </c>
      <c r="F3676" s="3" t="n">
        <v>46019.2625</v>
      </c>
      <c r="G3676" s="2" t="s">
        <v>7092</v>
      </c>
      <c r="H3676" s="4" t="n">
        <v>0</v>
      </c>
      <c r="I3676" s="2" t="s">
        <v>18</v>
      </c>
      <c r="J3676" s="2" t="s">
        <v>19</v>
      </c>
      <c r="K3676" s="2" t="n">
        <v>0</v>
      </c>
      <c r="L3676" s="2" t="n">
        <v>0</v>
      </c>
      <c r="M3676" s="2" t="n">
        <v>1</v>
      </c>
    </row>
    <row r="3677" customFormat="false" ht="15" hidden="false" customHeight="false" outlineLevel="0" collapsed="false">
      <c r="A3677" s="2" t="s">
        <v>7614</v>
      </c>
      <c r="B3677" s="2" t="s">
        <v>7615</v>
      </c>
      <c r="C3677" s="2" t="n">
        <v>5</v>
      </c>
      <c r="D3677" s="2" t="s">
        <v>40</v>
      </c>
      <c r="E3677" s="2" t="s">
        <v>7523</v>
      </c>
      <c r="F3677" s="3" t="n">
        <v>46019.3173611111</v>
      </c>
      <c r="G3677" s="2" t="s">
        <v>7092</v>
      </c>
      <c r="H3677" s="4" t="n">
        <v>0.4019</v>
      </c>
      <c r="I3677" s="2" t="s">
        <v>23</v>
      </c>
      <c r="J3677" s="2" t="s">
        <v>33</v>
      </c>
      <c r="K3677" s="2" t="n">
        <v>1</v>
      </c>
      <c r="L3677" s="2" t="n">
        <v>0</v>
      </c>
      <c r="M3677" s="2" t="n">
        <v>1</v>
      </c>
    </row>
    <row r="3678" customFormat="false" ht="15" hidden="false" customHeight="false" outlineLevel="0" collapsed="false">
      <c r="A3678" s="2" t="s">
        <v>7616</v>
      </c>
      <c r="B3678" s="2" t="s">
        <v>7617</v>
      </c>
      <c r="C3678" s="2" t="n">
        <v>3</v>
      </c>
      <c r="D3678" s="2" t="s">
        <v>87</v>
      </c>
      <c r="E3678" s="2" t="s">
        <v>7523</v>
      </c>
      <c r="F3678" s="3" t="n">
        <v>46019.3854166667</v>
      </c>
      <c r="G3678" s="2" t="s">
        <v>7092</v>
      </c>
      <c r="H3678" s="4" t="n">
        <v>0</v>
      </c>
      <c r="I3678" s="2" t="s">
        <v>18</v>
      </c>
      <c r="J3678" s="2" t="s">
        <v>19</v>
      </c>
      <c r="K3678" s="2" t="n">
        <v>1</v>
      </c>
      <c r="L3678" s="2" t="n">
        <v>0</v>
      </c>
      <c r="M3678" s="2" t="n">
        <v>1</v>
      </c>
    </row>
    <row r="3679" customFormat="false" ht="15" hidden="false" customHeight="false" outlineLevel="0" collapsed="false">
      <c r="A3679" s="2" t="s">
        <v>7618</v>
      </c>
      <c r="B3679" s="2" t="s">
        <v>7009</v>
      </c>
      <c r="C3679" s="2" t="n">
        <v>5</v>
      </c>
      <c r="D3679" s="2" t="s">
        <v>127</v>
      </c>
      <c r="E3679" s="2" t="s">
        <v>7523</v>
      </c>
      <c r="F3679" s="3" t="n">
        <v>46019.6979166667</v>
      </c>
      <c r="G3679" s="2" t="s">
        <v>7092</v>
      </c>
      <c r="H3679" s="4" t="n">
        <v>0.9359</v>
      </c>
      <c r="I3679" s="2" t="s">
        <v>23</v>
      </c>
      <c r="J3679" s="2" t="s">
        <v>37</v>
      </c>
      <c r="K3679" s="2" t="n">
        <v>0</v>
      </c>
      <c r="L3679" s="2" t="n">
        <v>0</v>
      </c>
      <c r="M3679" s="2" t="n">
        <v>1</v>
      </c>
    </row>
    <row r="3680" customFormat="false" ht="15" hidden="false" customHeight="false" outlineLevel="0" collapsed="false">
      <c r="A3680" s="2" t="s">
        <v>7619</v>
      </c>
      <c r="B3680" s="2" t="s">
        <v>7620</v>
      </c>
      <c r="C3680" s="2" t="n">
        <v>3</v>
      </c>
      <c r="D3680" s="2" t="s">
        <v>2143</v>
      </c>
      <c r="E3680" s="2" t="s">
        <v>7523</v>
      </c>
      <c r="F3680" s="3" t="n">
        <v>46019.9159722222</v>
      </c>
      <c r="G3680" s="2" t="s">
        <v>7092</v>
      </c>
      <c r="H3680" s="4" t="n">
        <v>0.6448</v>
      </c>
      <c r="I3680" s="2" t="s">
        <v>23</v>
      </c>
      <c r="J3680" s="2" t="s">
        <v>37</v>
      </c>
      <c r="K3680" s="2" t="n">
        <v>3</v>
      </c>
      <c r="L3680" s="2" t="n">
        <v>0</v>
      </c>
      <c r="M3680" s="2" t="n">
        <v>1</v>
      </c>
    </row>
    <row r="3681" customFormat="false" ht="15" hidden="false" customHeight="false" outlineLevel="0" collapsed="false">
      <c r="A3681" s="2" t="s">
        <v>7621</v>
      </c>
      <c r="B3681" s="2" t="s">
        <v>7622</v>
      </c>
      <c r="C3681" s="2" t="n">
        <v>5</v>
      </c>
      <c r="D3681" s="2" t="s">
        <v>40</v>
      </c>
      <c r="E3681" s="2" t="s">
        <v>7523</v>
      </c>
      <c r="F3681" s="3" t="n">
        <v>46019.9590277778</v>
      </c>
      <c r="G3681" s="2" t="s">
        <v>7092</v>
      </c>
      <c r="H3681" s="4" t="n">
        <v>0.4019</v>
      </c>
      <c r="I3681" s="2" t="s">
        <v>23</v>
      </c>
      <c r="J3681" s="2" t="s">
        <v>33</v>
      </c>
      <c r="K3681" s="2" t="n">
        <v>4</v>
      </c>
      <c r="L3681" s="2" t="n">
        <v>0</v>
      </c>
      <c r="M3681" s="2" t="n">
        <v>1</v>
      </c>
    </row>
    <row r="3682" customFormat="false" ht="15" hidden="false" customHeight="false" outlineLevel="0" collapsed="false">
      <c r="A3682" s="2" t="s">
        <v>7623</v>
      </c>
      <c r="B3682" s="2" t="s">
        <v>7624</v>
      </c>
      <c r="C3682" s="2" t="n">
        <v>5</v>
      </c>
      <c r="D3682" s="2" t="s">
        <v>90</v>
      </c>
      <c r="E3682" s="2" t="s">
        <v>7523</v>
      </c>
      <c r="F3682" s="3" t="n">
        <v>46020.1104166667</v>
      </c>
      <c r="G3682" s="2" t="s">
        <v>7092</v>
      </c>
      <c r="H3682" s="4" t="n">
        <v>0.6249</v>
      </c>
      <c r="I3682" s="2" t="s">
        <v>23</v>
      </c>
      <c r="J3682" s="2" t="s">
        <v>37</v>
      </c>
      <c r="K3682" s="2" t="n">
        <v>5</v>
      </c>
      <c r="L3682" s="2" t="n">
        <v>0</v>
      </c>
      <c r="M3682" s="2" t="n">
        <v>1</v>
      </c>
    </row>
    <row r="3683" customFormat="false" ht="15" hidden="false" customHeight="false" outlineLevel="0" collapsed="false">
      <c r="A3683" s="2" t="s">
        <v>7625</v>
      </c>
      <c r="B3683" s="2" t="s">
        <v>7626</v>
      </c>
      <c r="C3683" s="2" t="n">
        <v>4</v>
      </c>
      <c r="D3683" s="2" t="s">
        <v>90</v>
      </c>
      <c r="E3683" s="2" t="s">
        <v>7523</v>
      </c>
      <c r="F3683" s="3" t="n">
        <v>46020.1222222222</v>
      </c>
      <c r="G3683" s="2" t="s">
        <v>7092</v>
      </c>
      <c r="H3683" s="4" t="n">
        <v>0.6249</v>
      </c>
      <c r="I3683" s="2" t="s">
        <v>23</v>
      </c>
      <c r="J3683" s="2" t="s">
        <v>37</v>
      </c>
      <c r="K3683" s="2" t="n">
        <v>5</v>
      </c>
      <c r="L3683" s="2" t="n">
        <v>0</v>
      </c>
      <c r="M3683" s="2" t="n">
        <v>1</v>
      </c>
    </row>
    <row r="3684" customFormat="false" ht="15" hidden="false" customHeight="false" outlineLevel="0" collapsed="false">
      <c r="A3684" s="2" t="s">
        <v>7627</v>
      </c>
      <c r="B3684" s="2" t="s">
        <v>7628</v>
      </c>
      <c r="C3684" s="2" t="n">
        <v>1</v>
      </c>
      <c r="D3684" s="2" t="s">
        <v>295</v>
      </c>
      <c r="E3684" s="2" t="s">
        <v>7523</v>
      </c>
      <c r="F3684" s="3" t="n">
        <v>46020.3097222222</v>
      </c>
      <c r="G3684" s="2" t="s">
        <v>7092</v>
      </c>
      <c r="H3684" s="4" t="n">
        <v>-0.5023</v>
      </c>
      <c r="I3684" s="2" t="s">
        <v>84</v>
      </c>
      <c r="J3684" s="2" t="s">
        <v>33</v>
      </c>
      <c r="K3684" s="2" t="n">
        <v>0</v>
      </c>
      <c r="L3684" s="2" t="n">
        <v>0</v>
      </c>
      <c r="M3684" s="2" t="n">
        <v>1</v>
      </c>
    </row>
    <row r="3685" customFormat="false" ht="15" hidden="false" customHeight="false" outlineLevel="0" collapsed="false">
      <c r="A3685" s="2" t="s">
        <v>7629</v>
      </c>
      <c r="B3685" s="2" t="s">
        <v>7630</v>
      </c>
      <c r="C3685" s="2" t="n">
        <v>5</v>
      </c>
      <c r="D3685" s="2" t="s">
        <v>47</v>
      </c>
      <c r="E3685" s="2" t="s">
        <v>7523</v>
      </c>
      <c r="F3685" s="3" t="n">
        <v>46020.4340277778</v>
      </c>
      <c r="G3685" s="2" t="s">
        <v>7092</v>
      </c>
      <c r="H3685" s="4" t="n">
        <v>0.3089</v>
      </c>
      <c r="I3685" s="2" t="s">
        <v>23</v>
      </c>
      <c r="J3685" s="2" t="s">
        <v>19</v>
      </c>
      <c r="K3685" s="2" t="n">
        <v>7</v>
      </c>
      <c r="L3685" s="2" t="n">
        <v>0</v>
      </c>
      <c r="M3685" s="2" t="n">
        <v>1</v>
      </c>
    </row>
    <row r="3686" customFormat="false" ht="15" hidden="false" customHeight="false" outlineLevel="0" collapsed="false">
      <c r="A3686" s="2" t="s">
        <v>7631</v>
      </c>
      <c r="B3686" s="2" t="s">
        <v>7632</v>
      </c>
      <c r="C3686" s="2" t="n">
        <v>5</v>
      </c>
      <c r="D3686" s="2" t="s">
        <v>127</v>
      </c>
      <c r="E3686" s="2" t="s">
        <v>7523</v>
      </c>
      <c r="F3686" s="3" t="n">
        <v>46020.4916666667</v>
      </c>
      <c r="G3686" s="2" t="s">
        <v>7092</v>
      </c>
      <c r="H3686" s="4" t="n">
        <v>0.9359</v>
      </c>
      <c r="I3686" s="2" t="s">
        <v>23</v>
      </c>
      <c r="J3686" s="2" t="s">
        <v>37</v>
      </c>
      <c r="K3686" s="2" t="n">
        <v>4</v>
      </c>
      <c r="L3686" s="2" t="n">
        <v>0</v>
      </c>
      <c r="M3686" s="2" t="n">
        <v>1</v>
      </c>
    </row>
    <row r="3687" customFormat="false" ht="15" hidden="false" customHeight="false" outlineLevel="0" collapsed="false">
      <c r="A3687" s="2" t="s">
        <v>7633</v>
      </c>
      <c r="B3687" s="2" t="s">
        <v>7634</v>
      </c>
      <c r="C3687" s="2" t="n">
        <v>3</v>
      </c>
      <c r="D3687" s="2" t="s">
        <v>22</v>
      </c>
      <c r="E3687" s="2" t="s">
        <v>7523</v>
      </c>
      <c r="F3687" s="3" t="n">
        <v>46020.5465277778</v>
      </c>
      <c r="G3687" s="2" t="s">
        <v>7092</v>
      </c>
      <c r="H3687" s="4" t="n">
        <v>0.2023</v>
      </c>
      <c r="I3687" s="2" t="s">
        <v>23</v>
      </c>
      <c r="J3687" s="2" t="s">
        <v>19</v>
      </c>
      <c r="K3687" s="2" t="n">
        <v>0</v>
      </c>
      <c r="L3687" s="2" t="n">
        <v>0</v>
      </c>
      <c r="M3687" s="2" t="n">
        <v>1</v>
      </c>
    </row>
    <row r="3688" customFormat="false" ht="15" hidden="false" customHeight="false" outlineLevel="0" collapsed="false">
      <c r="A3688" s="2" t="s">
        <v>7635</v>
      </c>
      <c r="B3688" s="2" t="s">
        <v>7636</v>
      </c>
      <c r="C3688" s="2" t="n">
        <v>5</v>
      </c>
      <c r="D3688" s="2" t="s">
        <v>47</v>
      </c>
      <c r="E3688" s="2" t="s">
        <v>7523</v>
      </c>
      <c r="F3688" s="3" t="n">
        <v>46020.7631944444</v>
      </c>
      <c r="G3688" s="2" t="s">
        <v>7092</v>
      </c>
      <c r="H3688" s="4" t="n">
        <v>0.3089</v>
      </c>
      <c r="I3688" s="2" t="s">
        <v>23</v>
      </c>
      <c r="J3688" s="2" t="s">
        <v>19</v>
      </c>
      <c r="K3688" s="2" t="n">
        <v>18</v>
      </c>
      <c r="L3688" s="2" t="n">
        <v>0</v>
      </c>
      <c r="M3688" s="2" t="n">
        <v>1</v>
      </c>
    </row>
    <row r="3689" customFormat="false" ht="15" hidden="false" customHeight="false" outlineLevel="0" collapsed="false">
      <c r="A3689" s="2" t="s">
        <v>7637</v>
      </c>
      <c r="B3689" s="2" t="s">
        <v>7638</v>
      </c>
      <c r="C3689" s="2" t="n">
        <v>5</v>
      </c>
      <c r="D3689" s="2" t="s">
        <v>116</v>
      </c>
      <c r="E3689" s="2" t="s">
        <v>7523</v>
      </c>
      <c r="F3689" s="3" t="n">
        <v>46020.7701388889</v>
      </c>
      <c r="G3689" s="2" t="s">
        <v>7092</v>
      </c>
      <c r="H3689" s="4" t="n">
        <v>0.9359</v>
      </c>
      <c r="I3689" s="2" t="s">
        <v>23</v>
      </c>
      <c r="J3689" s="2" t="s">
        <v>37</v>
      </c>
      <c r="K3689" s="2" t="n">
        <v>1</v>
      </c>
      <c r="L3689" s="2" t="n">
        <v>0</v>
      </c>
      <c r="M3689" s="2" t="n">
        <v>1</v>
      </c>
    </row>
    <row r="3690" customFormat="false" ht="15" hidden="false" customHeight="false" outlineLevel="0" collapsed="false">
      <c r="A3690" s="2" t="s">
        <v>7639</v>
      </c>
      <c r="B3690" s="2" t="s">
        <v>7640</v>
      </c>
      <c r="C3690" s="2" t="n">
        <v>5</v>
      </c>
      <c r="D3690" s="2" t="s">
        <v>389</v>
      </c>
      <c r="E3690" s="2" t="s">
        <v>7523</v>
      </c>
      <c r="F3690" s="3" t="n">
        <v>46020.9861111111</v>
      </c>
      <c r="G3690" s="2" t="s">
        <v>7092</v>
      </c>
      <c r="H3690" s="4" t="n">
        <v>0.8519</v>
      </c>
      <c r="I3690" s="2" t="s">
        <v>23</v>
      </c>
      <c r="J3690" s="2" t="s">
        <v>37</v>
      </c>
      <c r="K3690" s="2" t="n">
        <v>2</v>
      </c>
      <c r="L3690" s="2" t="n">
        <v>0</v>
      </c>
      <c r="M3690" s="2" t="n">
        <v>1</v>
      </c>
    </row>
    <row r="3691" customFormat="false" ht="15" hidden="false" customHeight="false" outlineLevel="0" collapsed="false">
      <c r="A3691" s="2" t="s">
        <v>7641</v>
      </c>
      <c r="B3691" s="2" t="s">
        <v>7642</v>
      </c>
      <c r="C3691" s="2" t="n">
        <v>5</v>
      </c>
      <c r="D3691" s="2" t="s">
        <v>127</v>
      </c>
      <c r="E3691" s="2" t="s">
        <v>7523</v>
      </c>
      <c r="F3691" s="3" t="n">
        <v>46021.0958333333</v>
      </c>
      <c r="G3691" s="2" t="s">
        <v>7092</v>
      </c>
      <c r="H3691" s="4" t="n">
        <v>0.9359</v>
      </c>
      <c r="I3691" s="2" t="s">
        <v>23</v>
      </c>
      <c r="J3691" s="2" t="s">
        <v>37</v>
      </c>
      <c r="K3691" s="2" t="n">
        <v>0</v>
      </c>
      <c r="L3691" s="2" t="n">
        <v>0</v>
      </c>
      <c r="M3691" s="2" t="n">
        <v>1</v>
      </c>
    </row>
    <row r="3692" customFormat="false" ht="15" hidden="false" customHeight="false" outlineLevel="0" collapsed="false">
      <c r="A3692" s="2" t="s">
        <v>7643</v>
      </c>
      <c r="B3692" s="2" t="s">
        <v>7644</v>
      </c>
      <c r="C3692" s="2" t="n">
        <v>5</v>
      </c>
      <c r="D3692" s="2" t="s">
        <v>15</v>
      </c>
      <c r="E3692" s="2" t="s">
        <v>7523</v>
      </c>
      <c r="F3692" s="3" t="n">
        <v>46021.1034722222</v>
      </c>
      <c r="G3692" s="2" t="s">
        <v>7092</v>
      </c>
      <c r="H3692" s="4" t="n">
        <v>0</v>
      </c>
      <c r="I3692" s="2" t="s">
        <v>18</v>
      </c>
      <c r="J3692" s="2" t="s">
        <v>19</v>
      </c>
      <c r="K3692" s="2" t="n">
        <v>0</v>
      </c>
      <c r="L3692" s="2" t="n">
        <v>0</v>
      </c>
      <c r="M3692" s="2" t="n">
        <v>1</v>
      </c>
    </row>
    <row r="3693" customFormat="false" ht="15" hidden="false" customHeight="false" outlineLevel="0" collapsed="false">
      <c r="A3693" s="2" t="s">
        <v>7645</v>
      </c>
      <c r="B3693" s="2" t="s">
        <v>7646</v>
      </c>
      <c r="C3693" s="2" t="n">
        <v>5</v>
      </c>
      <c r="D3693" s="2" t="s">
        <v>90</v>
      </c>
      <c r="E3693" s="2" t="s">
        <v>7523</v>
      </c>
      <c r="F3693" s="3" t="n">
        <v>46021.3048611111</v>
      </c>
      <c r="G3693" s="2" t="s">
        <v>7092</v>
      </c>
      <c r="H3693" s="4" t="n">
        <v>0.6249</v>
      </c>
      <c r="I3693" s="2" t="s">
        <v>23</v>
      </c>
      <c r="J3693" s="2" t="s">
        <v>37</v>
      </c>
      <c r="K3693" s="2" t="n">
        <v>0</v>
      </c>
      <c r="L3693" s="2" t="n">
        <v>0</v>
      </c>
      <c r="M3693" s="2" t="n">
        <v>1</v>
      </c>
    </row>
    <row r="3694" customFormat="false" ht="15" hidden="false" customHeight="false" outlineLevel="0" collapsed="false">
      <c r="A3694" s="2" t="s">
        <v>7647</v>
      </c>
      <c r="B3694" s="2" t="s">
        <v>1015</v>
      </c>
      <c r="C3694" s="2" t="n">
        <v>5</v>
      </c>
      <c r="D3694" s="2" t="s">
        <v>52</v>
      </c>
      <c r="E3694" s="2" t="s">
        <v>7523</v>
      </c>
      <c r="F3694" s="3" t="n">
        <v>46021.3875</v>
      </c>
      <c r="G3694" s="2" t="s">
        <v>7092</v>
      </c>
      <c r="H3694" s="4" t="n">
        <v>0.6369</v>
      </c>
      <c r="I3694" s="2" t="s">
        <v>23</v>
      </c>
      <c r="J3694" s="2" t="s">
        <v>19</v>
      </c>
      <c r="K3694" s="2" t="n">
        <v>1</v>
      </c>
      <c r="L3694" s="2" t="n">
        <v>0</v>
      </c>
      <c r="M3694" s="2" t="n">
        <v>1</v>
      </c>
    </row>
    <row r="3695" customFormat="false" ht="15" hidden="false" customHeight="false" outlineLevel="0" collapsed="false">
      <c r="A3695" s="2" t="s">
        <v>7648</v>
      </c>
      <c r="B3695" s="2" t="s">
        <v>7649</v>
      </c>
      <c r="C3695" s="2" t="n">
        <v>5</v>
      </c>
      <c r="D3695" s="2" t="s">
        <v>15</v>
      </c>
      <c r="E3695" s="2" t="s">
        <v>7523</v>
      </c>
      <c r="F3695" s="3" t="n">
        <v>46021.5159722222</v>
      </c>
      <c r="G3695" s="2" t="s">
        <v>7092</v>
      </c>
      <c r="H3695" s="4" t="n">
        <v>0</v>
      </c>
      <c r="I3695" s="2" t="s">
        <v>18</v>
      </c>
      <c r="J3695" s="2" t="s">
        <v>19</v>
      </c>
      <c r="K3695" s="2" t="n">
        <v>3</v>
      </c>
      <c r="L3695" s="2" t="n">
        <v>0</v>
      </c>
      <c r="M3695" s="2" t="n">
        <v>1</v>
      </c>
    </row>
    <row r="3696" customFormat="false" ht="15" hidden="false" customHeight="false" outlineLevel="0" collapsed="false">
      <c r="A3696" s="2" t="s">
        <v>7650</v>
      </c>
      <c r="B3696" s="2" t="s">
        <v>7651</v>
      </c>
      <c r="C3696" s="2" t="n">
        <v>1</v>
      </c>
      <c r="D3696" s="2" t="s">
        <v>7652</v>
      </c>
      <c r="E3696" s="2" t="s">
        <v>7523</v>
      </c>
      <c r="F3696" s="3" t="n">
        <v>46021.6298611111</v>
      </c>
      <c r="G3696" s="2" t="s">
        <v>7092</v>
      </c>
      <c r="H3696" s="4" t="n">
        <v>0.2263</v>
      </c>
      <c r="I3696" s="2" t="s">
        <v>23</v>
      </c>
      <c r="J3696" s="2" t="s">
        <v>165</v>
      </c>
      <c r="K3696" s="2" t="n">
        <v>0</v>
      </c>
      <c r="L3696" s="2" t="n">
        <v>1</v>
      </c>
      <c r="M3696" s="2" t="n">
        <v>1</v>
      </c>
    </row>
    <row r="3697" customFormat="false" ht="15" hidden="false" customHeight="false" outlineLevel="0" collapsed="false">
      <c r="A3697" s="2" t="s">
        <v>7653</v>
      </c>
      <c r="B3697" s="2" t="s">
        <v>7654</v>
      </c>
      <c r="C3697" s="2" t="n">
        <v>1</v>
      </c>
      <c r="D3697" s="2" t="s">
        <v>6875</v>
      </c>
      <c r="E3697" s="2" t="s">
        <v>7523</v>
      </c>
      <c r="F3697" s="3" t="n">
        <v>46021.7243055556</v>
      </c>
      <c r="G3697" s="2" t="s">
        <v>7092</v>
      </c>
      <c r="H3697" s="4" t="n">
        <v>-0.3593</v>
      </c>
      <c r="I3697" s="2" t="s">
        <v>84</v>
      </c>
      <c r="J3697" s="2" t="s">
        <v>33</v>
      </c>
      <c r="K3697" s="2" t="n">
        <v>5</v>
      </c>
      <c r="L3697" s="2" t="n">
        <v>0</v>
      </c>
      <c r="M3697" s="2" t="n">
        <v>1</v>
      </c>
    </row>
    <row r="3698" customFormat="false" ht="15" hidden="false" customHeight="false" outlineLevel="0" collapsed="false">
      <c r="A3698" s="2" t="s">
        <v>7655</v>
      </c>
      <c r="B3698" s="2" t="s">
        <v>7656</v>
      </c>
      <c r="C3698" s="2" t="n">
        <v>5</v>
      </c>
      <c r="D3698" s="2" t="s">
        <v>52</v>
      </c>
      <c r="E3698" s="2" t="s">
        <v>7523</v>
      </c>
      <c r="F3698" s="3" t="n">
        <v>46021.9708333333</v>
      </c>
      <c r="G3698" s="2" t="s">
        <v>7092</v>
      </c>
      <c r="H3698" s="4" t="n">
        <v>0.6369</v>
      </c>
      <c r="I3698" s="2" t="s">
        <v>23</v>
      </c>
      <c r="J3698" s="2" t="s">
        <v>19</v>
      </c>
      <c r="K3698" s="2" t="n">
        <v>7</v>
      </c>
      <c r="L3698" s="2" t="n">
        <v>0</v>
      </c>
      <c r="M3698" s="2" t="n">
        <v>1</v>
      </c>
    </row>
    <row r="3699" customFormat="false" ht="15" hidden="false" customHeight="false" outlineLevel="0" collapsed="false">
      <c r="A3699" s="2" t="s">
        <v>7657</v>
      </c>
      <c r="B3699" s="2" t="s">
        <v>7658</v>
      </c>
      <c r="C3699" s="2" t="n">
        <v>3</v>
      </c>
      <c r="D3699" s="2" t="s">
        <v>301</v>
      </c>
      <c r="E3699" s="2" t="s">
        <v>7523</v>
      </c>
      <c r="F3699" s="3" t="n">
        <v>46021.9784722222</v>
      </c>
      <c r="G3699" s="2" t="s">
        <v>7092</v>
      </c>
      <c r="H3699" s="4" t="n">
        <v>0.2263</v>
      </c>
      <c r="I3699" s="2" t="s">
        <v>23</v>
      </c>
      <c r="J3699" s="2" t="s">
        <v>19</v>
      </c>
      <c r="K3699" s="2" t="n">
        <v>4</v>
      </c>
      <c r="L3699" s="2" t="n">
        <v>0</v>
      </c>
      <c r="M3699" s="2" t="n">
        <v>1</v>
      </c>
    </row>
    <row r="3700" customFormat="false" ht="15" hidden="false" customHeight="false" outlineLevel="0" collapsed="false">
      <c r="A3700" s="2" t="s">
        <v>7659</v>
      </c>
      <c r="B3700" s="2" t="s">
        <v>7660</v>
      </c>
      <c r="C3700" s="2" t="n">
        <v>4</v>
      </c>
      <c r="D3700" s="2" t="s">
        <v>52</v>
      </c>
      <c r="E3700" s="2" t="s">
        <v>7523</v>
      </c>
      <c r="F3700" s="3" t="n">
        <v>46022.0652777778</v>
      </c>
      <c r="G3700" s="2" t="s">
        <v>7092</v>
      </c>
      <c r="H3700" s="4" t="n">
        <v>0.6369</v>
      </c>
      <c r="I3700" s="2" t="s">
        <v>23</v>
      </c>
      <c r="J3700" s="2" t="s">
        <v>19</v>
      </c>
      <c r="K3700" s="2" t="n">
        <v>0</v>
      </c>
      <c r="L3700" s="2" t="n">
        <v>0</v>
      </c>
      <c r="M3700" s="2" t="n">
        <v>1</v>
      </c>
    </row>
    <row r="3701" customFormat="false" ht="15" hidden="false" customHeight="false" outlineLevel="0" collapsed="false">
      <c r="A3701" s="2" t="s">
        <v>7661</v>
      </c>
      <c r="B3701" s="2" t="s">
        <v>7662</v>
      </c>
      <c r="C3701" s="2" t="n">
        <v>5</v>
      </c>
      <c r="D3701" s="2" t="s">
        <v>790</v>
      </c>
      <c r="E3701" s="2" t="s">
        <v>7523</v>
      </c>
      <c r="F3701" s="3" t="n">
        <v>46022.1451388889</v>
      </c>
      <c r="G3701" s="2" t="s">
        <v>7092</v>
      </c>
      <c r="H3701" s="4" t="n">
        <v>0.9647</v>
      </c>
      <c r="I3701" s="2" t="s">
        <v>23</v>
      </c>
      <c r="J3701" s="2" t="s">
        <v>37</v>
      </c>
      <c r="K3701" s="2" t="n">
        <v>3</v>
      </c>
      <c r="L3701" s="2" t="n">
        <v>0</v>
      </c>
      <c r="M3701" s="2" t="n">
        <v>1</v>
      </c>
    </row>
    <row r="3702" customFormat="false" ht="15" hidden="false" customHeight="false" outlineLevel="0" collapsed="false">
      <c r="A3702" s="2" t="s">
        <v>7663</v>
      </c>
      <c r="B3702" s="2" t="s">
        <v>7664</v>
      </c>
      <c r="C3702" s="2" t="n">
        <v>1</v>
      </c>
      <c r="D3702" s="2" t="s">
        <v>5541</v>
      </c>
      <c r="E3702" s="2" t="s">
        <v>7523</v>
      </c>
      <c r="F3702" s="3" t="n">
        <v>46022.2006944444</v>
      </c>
      <c r="G3702" s="2" t="s">
        <v>7092</v>
      </c>
      <c r="H3702" s="4" t="n">
        <v>-0.3089</v>
      </c>
      <c r="I3702" s="2" t="s">
        <v>84</v>
      </c>
      <c r="J3702" s="2" t="s">
        <v>165</v>
      </c>
      <c r="K3702" s="2" t="n">
        <v>2</v>
      </c>
      <c r="L3702" s="2" t="n">
        <v>1</v>
      </c>
      <c r="M3702" s="2" t="n">
        <v>1</v>
      </c>
    </row>
    <row r="3703" customFormat="false" ht="15" hidden="false" customHeight="false" outlineLevel="0" collapsed="false">
      <c r="A3703" s="2" t="s">
        <v>7665</v>
      </c>
      <c r="B3703" s="2" t="s">
        <v>6893</v>
      </c>
      <c r="C3703" s="2" t="n">
        <v>5</v>
      </c>
      <c r="D3703" s="2" t="s">
        <v>15</v>
      </c>
      <c r="E3703" s="2" t="s">
        <v>7523</v>
      </c>
      <c r="F3703" s="3" t="n">
        <v>46022.2944444444</v>
      </c>
      <c r="G3703" s="2" t="s">
        <v>7092</v>
      </c>
      <c r="H3703" s="4" t="n">
        <v>0</v>
      </c>
      <c r="I3703" s="2" t="s">
        <v>18</v>
      </c>
      <c r="J3703" s="2" t="s">
        <v>19</v>
      </c>
      <c r="K3703" s="2" t="n">
        <v>1</v>
      </c>
      <c r="L3703" s="2" t="n">
        <v>0</v>
      </c>
      <c r="M3703" s="2" t="n">
        <v>1</v>
      </c>
    </row>
    <row r="3704" customFormat="false" ht="15" hidden="false" customHeight="false" outlineLevel="0" collapsed="false">
      <c r="A3704" s="2" t="s">
        <v>7666</v>
      </c>
      <c r="B3704" s="2" t="s">
        <v>7667</v>
      </c>
      <c r="C3704" s="2" t="n">
        <v>3</v>
      </c>
      <c r="D3704" s="2" t="s">
        <v>301</v>
      </c>
      <c r="E3704" s="2" t="s">
        <v>7523</v>
      </c>
      <c r="F3704" s="3" t="n">
        <v>46022.3020833333</v>
      </c>
      <c r="G3704" s="2" t="s">
        <v>7092</v>
      </c>
      <c r="H3704" s="4" t="n">
        <v>0.2263</v>
      </c>
      <c r="I3704" s="2" t="s">
        <v>23</v>
      </c>
      <c r="J3704" s="2" t="s">
        <v>19</v>
      </c>
      <c r="K3704" s="2" t="n">
        <v>2</v>
      </c>
      <c r="L3704" s="2" t="n">
        <v>0</v>
      </c>
      <c r="M3704" s="2" t="n">
        <v>1</v>
      </c>
    </row>
    <row r="3705" customFormat="false" ht="15" hidden="false" customHeight="false" outlineLevel="0" collapsed="false">
      <c r="A3705" s="2" t="s">
        <v>7668</v>
      </c>
      <c r="B3705" s="2" t="s">
        <v>3368</v>
      </c>
      <c r="C3705" s="2" t="n">
        <v>5</v>
      </c>
      <c r="D3705" s="2" t="s">
        <v>130</v>
      </c>
      <c r="E3705" s="2" t="s">
        <v>7523</v>
      </c>
      <c r="F3705" s="3" t="n">
        <v>46022.4520833333</v>
      </c>
      <c r="G3705" s="2" t="s">
        <v>7092</v>
      </c>
      <c r="H3705" s="4" t="n">
        <v>0.6369</v>
      </c>
      <c r="I3705" s="2" t="s">
        <v>23</v>
      </c>
      <c r="J3705" s="2" t="s">
        <v>19</v>
      </c>
      <c r="K3705" s="2" t="n">
        <v>0</v>
      </c>
      <c r="L3705" s="2" t="n">
        <v>0</v>
      </c>
      <c r="M3705" s="2" t="n">
        <v>1</v>
      </c>
    </row>
    <row r="3706" customFormat="false" ht="15" hidden="false" customHeight="false" outlineLevel="0" collapsed="false">
      <c r="A3706" s="2" t="s">
        <v>7669</v>
      </c>
      <c r="B3706" s="2" t="s">
        <v>7670</v>
      </c>
      <c r="C3706" s="2" t="n">
        <v>4</v>
      </c>
      <c r="D3706" s="2" t="s">
        <v>943</v>
      </c>
      <c r="E3706" s="2" t="s">
        <v>7523</v>
      </c>
      <c r="F3706" s="3" t="n">
        <v>46022.5555555556</v>
      </c>
      <c r="G3706" s="2" t="s">
        <v>7092</v>
      </c>
      <c r="H3706" s="4" t="n">
        <v>0.7549</v>
      </c>
      <c r="I3706" s="2" t="s">
        <v>23</v>
      </c>
      <c r="J3706" s="2" t="s">
        <v>19</v>
      </c>
      <c r="K3706" s="2" t="n">
        <v>7</v>
      </c>
      <c r="L3706" s="2" t="n">
        <v>0</v>
      </c>
      <c r="M3706" s="2" t="n">
        <v>1</v>
      </c>
    </row>
    <row r="3707" customFormat="false" ht="15" hidden="false" customHeight="false" outlineLevel="0" collapsed="false">
      <c r="A3707" s="2" t="s">
        <v>7671</v>
      </c>
      <c r="B3707" s="2" t="s">
        <v>7672</v>
      </c>
      <c r="C3707" s="2" t="n">
        <v>5</v>
      </c>
      <c r="D3707" s="2" t="s">
        <v>407</v>
      </c>
      <c r="E3707" s="2" t="s">
        <v>7523</v>
      </c>
      <c r="F3707" s="3" t="n">
        <v>46022.55625</v>
      </c>
      <c r="G3707" s="2" t="s">
        <v>7092</v>
      </c>
      <c r="H3707" s="4" t="n">
        <v>0.7783</v>
      </c>
      <c r="I3707" s="2" t="s">
        <v>23</v>
      </c>
      <c r="J3707" s="2" t="s">
        <v>37</v>
      </c>
      <c r="K3707" s="2" t="n">
        <v>1</v>
      </c>
      <c r="L3707" s="2" t="n">
        <v>0</v>
      </c>
      <c r="M3707" s="2" t="n">
        <v>1</v>
      </c>
    </row>
    <row r="3708" customFormat="false" ht="15" hidden="false" customHeight="false" outlineLevel="0" collapsed="false">
      <c r="A3708" s="2" t="s">
        <v>7673</v>
      </c>
      <c r="B3708" s="2" t="s">
        <v>7674</v>
      </c>
      <c r="C3708" s="2" t="n">
        <v>1</v>
      </c>
      <c r="D3708" s="2" t="s">
        <v>7675</v>
      </c>
      <c r="E3708" s="2" t="s">
        <v>7523</v>
      </c>
      <c r="F3708" s="3" t="n">
        <v>46022.5631944445</v>
      </c>
      <c r="G3708" s="2" t="s">
        <v>7092</v>
      </c>
      <c r="H3708" s="4" t="n">
        <v>0.3612</v>
      </c>
      <c r="I3708" s="2" t="s">
        <v>23</v>
      </c>
      <c r="J3708" s="2" t="s">
        <v>37</v>
      </c>
      <c r="K3708" s="2" t="n">
        <v>1</v>
      </c>
      <c r="L3708" s="2" t="n">
        <v>0</v>
      </c>
      <c r="M3708" s="2" t="n">
        <v>1</v>
      </c>
    </row>
    <row r="3709" customFormat="false" ht="15" hidden="false" customHeight="false" outlineLevel="0" collapsed="false">
      <c r="A3709" s="2" t="s">
        <v>7676</v>
      </c>
      <c r="B3709" s="2" t="s">
        <v>7677</v>
      </c>
      <c r="C3709" s="2" t="n">
        <v>5</v>
      </c>
      <c r="D3709" s="2" t="s">
        <v>15</v>
      </c>
      <c r="E3709" s="2" t="s">
        <v>7523</v>
      </c>
      <c r="F3709" s="3" t="n">
        <v>46022.8090277778</v>
      </c>
      <c r="G3709" s="2" t="s">
        <v>7092</v>
      </c>
      <c r="H3709" s="4" t="n">
        <v>0</v>
      </c>
      <c r="I3709" s="2" t="s">
        <v>18</v>
      </c>
      <c r="J3709" s="2" t="s">
        <v>19</v>
      </c>
      <c r="K3709" s="2" t="n">
        <v>2</v>
      </c>
      <c r="L3709" s="2" t="n">
        <v>0</v>
      </c>
      <c r="M3709" s="2" t="n">
        <v>1</v>
      </c>
    </row>
    <row r="3710" customFormat="false" ht="15" hidden="false" customHeight="false" outlineLevel="0" collapsed="false">
      <c r="A3710" s="2" t="s">
        <v>7678</v>
      </c>
      <c r="B3710" s="2" t="s">
        <v>7679</v>
      </c>
      <c r="C3710" s="2" t="n">
        <v>1</v>
      </c>
      <c r="D3710" s="2" t="s">
        <v>234</v>
      </c>
      <c r="E3710" s="2" t="s">
        <v>7523</v>
      </c>
      <c r="F3710" s="3" t="n">
        <v>46022.8979166667</v>
      </c>
      <c r="G3710" s="2" t="s">
        <v>7092</v>
      </c>
      <c r="H3710" s="4" t="n">
        <v>0</v>
      </c>
      <c r="I3710" s="2" t="s">
        <v>18</v>
      </c>
      <c r="J3710" s="2" t="s">
        <v>165</v>
      </c>
      <c r="K3710" s="2" t="n">
        <v>3</v>
      </c>
      <c r="L3710" s="2" t="n">
        <v>1</v>
      </c>
      <c r="M3710" s="2" t="n">
        <v>1</v>
      </c>
    </row>
    <row r="3711" customFormat="false" ht="15" hidden="false" customHeight="false" outlineLevel="0" collapsed="false">
      <c r="A3711" s="2" t="s">
        <v>7680</v>
      </c>
      <c r="B3711" s="2" t="s">
        <v>7681</v>
      </c>
      <c r="C3711" s="2" t="n">
        <v>1</v>
      </c>
      <c r="D3711" s="2" t="s">
        <v>733</v>
      </c>
      <c r="E3711" s="2" t="s">
        <v>7523</v>
      </c>
      <c r="F3711" s="3" t="n">
        <v>46022.9916666667</v>
      </c>
      <c r="G3711" s="2" t="s">
        <v>7092</v>
      </c>
      <c r="H3711" s="4" t="n">
        <v>-0.2846</v>
      </c>
      <c r="I3711" s="2" t="s">
        <v>84</v>
      </c>
      <c r="J3711" s="2" t="s">
        <v>37</v>
      </c>
      <c r="K3711" s="2" t="n">
        <v>5</v>
      </c>
      <c r="L3711" s="2" t="n">
        <v>0</v>
      </c>
      <c r="M3711" s="2" t="n">
        <v>1</v>
      </c>
    </row>
    <row r="3712" customFormat="false" ht="15" hidden="false" customHeight="false" outlineLevel="0" collapsed="false">
      <c r="A3712" s="2" t="s">
        <v>7682</v>
      </c>
      <c r="B3712" s="2" t="s">
        <v>7683</v>
      </c>
      <c r="C3712" s="2" t="n">
        <v>5</v>
      </c>
      <c r="D3712" s="2" t="s">
        <v>47</v>
      </c>
      <c r="E3712" s="2" t="s">
        <v>7523</v>
      </c>
      <c r="F3712" s="3" t="n">
        <v>46023.0340277778</v>
      </c>
      <c r="G3712" s="2" t="s">
        <v>7684</v>
      </c>
      <c r="H3712" s="4" t="n">
        <v>0.3089</v>
      </c>
      <c r="I3712" s="2" t="s">
        <v>23</v>
      </c>
      <c r="J3712" s="2" t="s">
        <v>19</v>
      </c>
      <c r="K3712" s="2" t="n">
        <v>3</v>
      </c>
      <c r="L3712" s="2" t="n">
        <v>0</v>
      </c>
      <c r="M3712" s="2" t="n">
        <v>1</v>
      </c>
    </row>
    <row r="3713" customFormat="false" ht="15" hidden="false" customHeight="false" outlineLevel="0" collapsed="false">
      <c r="A3713" s="2" t="s">
        <v>7685</v>
      </c>
      <c r="B3713" s="2" t="s">
        <v>7686</v>
      </c>
      <c r="C3713" s="2" t="n">
        <v>5</v>
      </c>
      <c r="D3713" s="2" t="s">
        <v>15</v>
      </c>
      <c r="E3713" s="2" t="s">
        <v>7523</v>
      </c>
      <c r="F3713" s="3" t="n">
        <v>46023.0361111111</v>
      </c>
      <c r="G3713" s="2" t="s">
        <v>7684</v>
      </c>
      <c r="H3713" s="4" t="n">
        <v>0</v>
      </c>
      <c r="I3713" s="2" t="s">
        <v>18</v>
      </c>
      <c r="J3713" s="2" t="s">
        <v>19</v>
      </c>
      <c r="K3713" s="2" t="n">
        <v>0</v>
      </c>
      <c r="L3713" s="2" t="n">
        <v>0</v>
      </c>
      <c r="M3713" s="2" t="n">
        <v>1</v>
      </c>
    </row>
    <row r="3714" customFormat="false" ht="15" hidden="false" customHeight="false" outlineLevel="0" collapsed="false">
      <c r="A3714" s="2" t="s">
        <v>7687</v>
      </c>
      <c r="B3714" s="2" t="s">
        <v>7688</v>
      </c>
      <c r="C3714" s="2" t="n">
        <v>1</v>
      </c>
      <c r="D3714" s="2" t="s">
        <v>32</v>
      </c>
      <c r="E3714" s="2" t="s">
        <v>7523</v>
      </c>
      <c r="F3714" s="3" t="n">
        <v>46023.1666666667</v>
      </c>
      <c r="G3714" s="2" t="s">
        <v>7684</v>
      </c>
      <c r="H3714" s="4" t="n">
        <v>0.2023</v>
      </c>
      <c r="I3714" s="2" t="s">
        <v>23</v>
      </c>
      <c r="J3714" s="2" t="s">
        <v>33</v>
      </c>
      <c r="K3714" s="2" t="n">
        <v>1</v>
      </c>
      <c r="L3714" s="2" t="n">
        <v>1</v>
      </c>
      <c r="M3714" s="2" t="n">
        <v>1</v>
      </c>
    </row>
    <row r="3715" customFormat="false" ht="15" hidden="false" customHeight="false" outlineLevel="0" collapsed="false">
      <c r="A3715" s="2" t="s">
        <v>7689</v>
      </c>
      <c r="B3715" s="2" t="s">
        <v>7690</v>
      </c>
      <c r="C3715" s="2" t="n">
        <v>4</v>
      </c>
      <c r="D3715" s="2" t="s">
        <v>1197</v>
      </c>
      <c r="E3715" s="2" t="s">
        <v>7523</v>
      </c>
      <c r="F3715" s="3" t="n">
        <v>46023.2958333333</v>
      </c>
      <c r="G3715" s="2" t="s">
        <v>7684</v>
      </c>
      <c r="H3715" s="4" t="n">
        <v>0.3089</v>
      </c>
      <c r="I3715" s="2" t="s">
        <v>23</v>
      </c>
      <c r="J3715" s="2" t="s">
        <v>19</v>
      </c>
      <c r="K3715" s="2" t="n">
        <v>8</v>
      </c>
      <c r="L3715" s="2" t="n">
        <v>0</v>
      </c>
      <c r="M3715" s="2" t="n">
        <v>1</v>
      </c>
    </row>
    <row r="3716" customFormat="false" ht="15" hidden="false" customHeight="false" outlineLevel="0" collapsed="false">
      <c r="A3716" s="2" t="s">
        <v>7691</v>
      </c>
      <c r="B3716" s="2" t="s">
        <v>7692</v>
      </c>
      <c r="C3716" s="2" t="n">
        <v>5</v>
      </c>
      <c r="D3716" s="2" t="s">
        <v>127</v>
      </c>
      <c r="E3716" s="2" t="s">
        <v>7523</v>
      </c>
      <c r="F3716" s="3" t="n">
        <v>46023.4458333333</v>
      </c>
      <c r="G3716" s="2" t="s">
        <v>7684</v>
      </c>
      <c r="H3716" s="4" t="n">
        <v>0.9359</v>
      </c>
      <c r="I3716" s="2" t="s">
        <v>23</v>
      </c>
      <c r="J3716" s="2" t="s">
        <v>37</v>
      </c>
      <c r="K3716" s="2" t="n">
        <v>7</v>
      </c>
      <c r="L3716" s="2" t="n">
        <v>0</v>
      </c>
      <c r="M3716" s="2" t="n">
        <v>1</v>
      </c>
    </row>
    <row r="3717" customFormat="false" ht="15" hidden="false" customHeight="false" outlineLevel="0" collapsed="false">
      <c r="A3717" s="2" t="s">
        <v>7693</v>
      </c>
      <c r="B3717" s="2" t="s">
        <v>7694</v>
      </c>
      <c r="C3717" s="2" t="n">
        <v>5</v>
      </c>
      <c r="D3717" s="2" t="s">
        <v>76</v>
      </c>
      <c r="E3717" s="2" t="s">
        <v>7523</v>
      </c>
      <c r="F3717" s="3" t="n">
        <v>46023.6194444444</v>
      </c>
      <c r="G3717" s="2" t="s">
        <v>7684</v>
      </c>
      <c r="H3717" s="4" t="n">
        <v>0.607</v>
      </c>
      <c r="I3717" s="2" t="s">
        <v>23</v>
      </c>
      <c r="J3717" s="2" t="s">
        <v>33</v>
      </c>
      <c r="K3717" s="2" t="n">
        <v>1</v>
      </c>
      <c r="L3717" s="2" t="n">
        <v>0</v>
      </c>
      <c r="M3717" s="2" t="n">
        <v>1</v>
      </c>
    </row>
    <row r="3718" customFormat="false" ht="15" hidden="false" customHeight="false" outlineLevel="0" collapsed="false">
      <c r="A3718" s="2" t="s">
        <v>7695</v>
      </c>
      <c r="B3718" s="2" t="s">
        <v>7696</v>
      </c>
      <c r="C3718" s="2" t="n">
        <v>5</v>
      </c>
      <c r="D3718" s="2" t="s">
        <v>269</v>
      </c>
      <c r="E3718" s="2" t="s">
        <v>7523</v>
      </c>
      <c r="F3718" s="3" t="n">
        <v>46023.6305555556</v>
      </c>
      <c r="G3718" s="2" t="s">
        <v>7684</v>
      </c>
      <c r="H3718" s="4" t="n">
        <v>0.8748</v>
      </c>
      <c r="I3718" s="2" t="s">
        <v>23</v>
      </c>
      <c r="J3718" s="2" t="s">
        <v>37</v>
      </c>
      <c r="K3718" s="2" t="n">
        <v>0</v>
      </c>
      <c r="L3718" s="2" t="n">
        <v>0</v>
      </c>
      <c r="M3718" s="2" t="n">
        <v>1</v>
      </c>
    </row>
    <row r="3719" customFormat="false" ht="15" hidden="false" customHeight="false" outlineLevel="0" collapsed="false">
      <c r="A3719" s="2" t="s">
        <v>7697</v>
      </c>
      <c r="B3719" s="2" t="s">
        <v>7698</v>
      </c>
      <c r="C3719" s="2" t="n">
        <v>5</v>
      </c>
      <c r="D3719" s="2" t="s">
        <v>692</v>
      </c>
      <c r="E3719" s="2" t="s">
        <v>7523</v>
      </c>
      <c r="F3719" s="3" t="n">
        <v>46023.66875</v>
      </c>
      <c r="G3719" s="2" t="s">
        <v>7684</v>
      </c>
      <c r="H3719" s="4" t="n">
        <v>0.9516</v>
      </c>
      <c r="I3719" s="2" t="s">
        <v>23</v>
      </c>
      <c r="J3719" s="2" t="s">
        <v>37</v>
      </c>
      <c r="K3719" s="2" t="n">
        <v>1</v>
      </c>
      <c r="L3719" s="2" t="n">
        <v>0</v>
      </c>
      <c r="M3719" s="2" t="n">
        <v>1</v>
      </c>
    </row>
    <row r="3720" customFormat="false" ht="15" hidden="false" customHeight="false" outlineLevel="0" collapsed="false">
      <c r="A3720" s="2" t="s">
        <v>7699</v>
      </c>
      <c r="B3720" s="2" t="s">
        <v>7700</v>
      </c>
      <c r="C3720" s="2" t="n">
        <v>5</v>
      </c>
      <c r="D3720" s="2" t="s">
        <v>96</v>
      </c>
      <c r="E3720" s="2" t="s">
        <v>7523</v>
      </c>
      <c r="F3720" s="3" t="n">
        <v>46023.7270833333</v>
      </c>
      <c r="G3720" s="2" t="s">
        <v>7684</v>
      </c>
      <c r="H3720" s="4" t="n">
        <v>0.6369</v>
      </c>
      <c r="I3720" s="2" t="s">
        <v>23</v>
      </c>
      <c r="J3720" s="2" t="s">
        <v>19</v>
      </c>
      <c r="K3720" s="2" t="n">
        <v>2</v>
      </c>
      <c r="L3720" s="2" t="n">
        <v>0</v>
      </c>
      <c r="M3720" s="2" t="n">
        <v>1</v>
      </c>
    </row>
    <row r="3721" customFormat="false" ht="15" hidden="false" customHeight="false" outlineLevel="0" collapsed="false">
      <c r="A3721" s="2" t="s">
        <v>7701</v>
      </c>
      <c r="B3721" s="2" t="s">
        <v>7702</v>
      </c>
      <c r="C3721" s="2" t="n">
        <v>5</v>
      </c>
      <c r="D3721" s="2" t="s">
        <v>799</v>
      </c>
      <c r="E3721" s="2" t="s">
        <v>7523</v>
      </c>
      <c r="F3721" s="3" t="n">
        <v>46023.7770833333</v>
      </c>
      <c r="G3721" s="2" t="s">
        <v>7684</v>
      </c>
      <c r="H3721" s="4" t="n">
        <v>0.9606</v>
      </c>
      <c r="I3721" s="2" t="s">
        <v>23</v>
      </c>
      <c r="J3721" s="2" t="s">
        <v>37</v>
      </c>
      <c r="K3721" s="2" t="n">
        <v>2</v>
      </c>
      <c r="L3721" s="2" t="n">
        <v>0</v>
      </c>
      <c r="M3721" s="2" t="n">
        <v>1</v>
      </c>
    </row>
    <row r="3722" customFormat="false" ht="15" hidden="false" customHeight="false" outlineLevel="0" collapsed="false">
      <c r="A3722" s="2" t="s">
        <v>7703</v>
      </c>
      <c r="B3722" s="2" t="s">
        <v>3164</v>
      </c>
      <c r="C3722" s="2" t="n">
        <v>4</v>
      </c>
      <c r="D3722" s="2" t="s">
        <v>1698</v>
      </c>
      <c r="E3722" s="2" t="s">
        <v>7523</v>
      </c>
      <c r="F3722" s="3" t="n">
        <v>46023.7986111111</v>
      </c>
      <c r="G3722" s="2" t="s">
        <v>7684</v>
      </c>
      <c r="H3722" s="4" t="n">
        <v>0.7845</v>
      </c>
      <c r="I3722" s="2" t="s">
        <v>23</v>
      </c>
      <c r="J3722" s="2" t="s">
        <v>33</v>
      </c>
      <c r="K3722" s="2" t="n">
        <v>6</v>
      </c>
      <c r="L3722" s="2" t="n">
        <v>0</v>
      </c>
      <c r="M3722" s="2" t="n">
        <v>1</v>
      </c>
    </row>
    <row r="3723" customFormat="false" ht="15" hidden="false" customHeight="false" outlineLevel="0" collapsed="false">
      <c r="A3723" s="2" t="s">
        <v>7704</v>
      </c>
      <c r="B3723" s="2" t="s">
        <v>7705</v>
      </c>
      <c r="C3723" s="2" t="n">
        <v>5</v>
      </c>
      <c r="D3723" s="2" t="s">
        <v>1254</v>
      </c>
      <c r="E3723" s="2" t="s">
        <v>7523</v>
      </c>
      <c r="F3723" s="3" t="n">
        <v>46023.8222222222</v>
      </c>
      <c r="G3723" s="2" t="s">
        <v>7684</v>
      </c>
      <c r="H3723" s="4" t="n">
        <v>0</v>
      </c>
      <c r="I3723" s="2" t="s">
        <v>18</v>
      </c>
      <c r="J3723" s="2" t="s">
        <v>19</v>
      </c>
      <c r="K3723" s="2" t="n">
        <v>0</v>
      </c>
      <c r="L3723" s="2" t="n">
        <v>0</v>
      </c>
      <c r="M3723" s="2" t="n">
        <v>1</v>
      </c>
    </row>
    <row r="3724" customFormat="false" ht="15" hidden="false" customHeight="false" outlineLevel="0" collapsed="false">
      <c r="A3724" s="2" t="s">
        <v>7706</v>
      </c>
      <c r="B3724" s="2" t="s">
        <v>6473</v>
      </c>
      <c r="C3724" s="2" t="n">
        <v>5</v>
      </c>
      <c r="D3724" s="2" t="s">
        <v>3798</v>
      </c>
      <c r="E3724" s="2" t="s">
        <v>7523</v>
      </c>
      <c r="F3724" s="3" t="n">
        <v>46023.8715277778</v>
      </c>
      <c r="G3724" s="2" t="s">
        <v>7684</v>
      </c>
      <c r="H3724" s="4" t="n">
        <v>0.7549</v>
      </c>
      <c r="I3724" s="2" t="s">
        <v>23</v>
      </c>
      <c r="J3724" s="2" t="s">
        <v>19</v>
      </c>
      <c r="K3724" s="2" t="n">
        <v>1</v>
      </c>
      <c r="L3724" s="2" t="n">
        <v>0</v>
      </c>
      <c r="M3724" s="2" t="n">
        <v>1</v>
      </c>
    </row>
    <row r="3725" customFormat="false" ht="15" hidden="false" customHeight="false" outlineLevel="0" collapsed="false">
      <c r="A3725" s="2" t="s">
        <v>7707</v>
      </c>
      <c r="B3725" s="2" t="s">
        <v>7708</v>
      </c>
      <c r="C3725" s="2" t="n">
        <v>4</v>
      </c>
      <c r="D3725" s="2" t="s">
        <v>96</v>
      </c>
      <c r="E3725" s="2" t="s">
        <v>7523</v>
      </c>
      <c r="F3725" s="3" t="n">
        <v>46024.0604166667</v>
      </c>
      <c r="G3725" s="2" t="s">
        <v>7684</v>
      </c>
      <c r="H3725" s="4" t="n">
        <v>0.6369</v>
      </c>
      <c r="I3725" s="2" t="s">
        <v>23</v>
      </c>
      <c r="J3725" s="2" t="s">
        <v>19</v>
      </c>
      <c r="K3725" s="2" t="n">
        <v>13</v>
      </c>
      <c r="L3725" s="2" t="n">
        <v>0</v>
      </c>
      <c r="M3725" s="2" t="n">
        <v>1</v>
      </c>
    </row>
    <row r="3726" customFormat="false" ht="15" hidden="false" customHeight="false" outlineLevel="0" collapsed="false">
      <c r="A3726" s="2" t="s">
        <v>7709</v>
      </c>
      <c r="B3726" s="2" t="s">
        <v>7710</v>
      </c>
      <c r="C3726" s="2" t="n">
        <v>5</v>
      </c>
      <c r="D3726" s="2" t="s">
        <v>1254</v>
      </c>
      <c r="E3726" s="2" t="s">
        <v>7523</v>
      </c>
      <c r="F3726" s="3" t="n">
        <v>46024.1666666667</v>
      </c>
      <c r="G3726" s="2" t="s">
        <v>7684</v>
      </c>
      <c r="H3726" s="4" t="n">
        <v>0</v>
      </c>
      <c r="I3726" s="2" t="s">
        <v>18</v>
      </c>
      <c r="J3726" s="2" t="s">
        <v>19</v>
      </c>
      <c r="K3726" s="2" t="n">
        <v>2</v>
      </c>
      <c r="L3726" s="2" t="n">
        <v>0</v>
      </c>
      <c r="M3726" s="2" t="n">
        <v>1</v>
      </c>
    </row>
    <row r="3727" customFormat="false" ht="15" hidden="false" customHeight="false" outlineLevel="0" collapsed="false">
      <c r="A3727" s="2" t="s">
        <v>7711</v>
      </c>
      <c r="B3727" s="2" t="s">
        <v>7712</v>
      </c>
      <c r="C3727" s="2" t="n">
        <v>4</v>
      </c>
      <c r="D3727" s="2" t="s">
        <v>90</v>
      </c>
      <c r="E3727" s="2" t="s">
        <v>7523</v>
      </c>
      <c r="F3727" s="3" t="n">
        <v>46024.2152777778</v>
      </c>
      <c r="G3727" s="2" t="s">
        <v>7684</v>
      </c>
      <c r="H3727" s="4" t="n">
        <v>0.6249</v>
      </c>
      <c r="I3727" s="2" t="s">
        <v>23</v>
      </c>
      <c r="J3727" s="2" t="s">
        <v>37</v>
      </c>
      <c r="K3727" s="2" t="n">
        <v>3</v>
      </c>
      <c r="L3727" s="2" t="n">
        <v>0</v>
      </c>
      <c r="M3727" s="2" t="n">
        <v>1</v>
      </c>
    </row>
    <row r="3728" customFormat="false" ht="15" hidden="false" customHeight="false" outlineLevel="0" collapsed="false">
      <c r="A3728" s="2" t="s">
        <v>7713</v>
      </c>
      <c r="B3728" s="2" t="s">
        <v>7434</v>
      </c>
      <c r="C3728" s="2" t="n">
        <v>5</v>
      </c>
      <c r="D3728" s="2" t="s">
        <v>47</v>
      </c>
      <c r="E3728" s="2" t="s">
        <v>7523</v>
      </c>
      <c r="F3728" s="3" t="n">
        <v>46024.225</v>
      </c>
      <c r="G3728" s="2" t="s">
        <v>7684</v>
      </c>
      <c r="H3728" s="4" t="n">
        <v>0.3089</v>
      </c>
      <c r="I3728" s="2" t="s">
        <v>23</v>
      </c>
      <c r="J3728" s="2" t="s">
        <v>19</v>
      </c>
      <c r="K3728" s="2" t="n">
        <v>5</v>
      </c>
      <c r="L3728" s="2" t="n">
        <v>0</v>
      </c>
      <c r="M3728" s="2" t="n">
        <v>1</v>
      </c>
    </row>
    <row r="3729" customFormat="false" ht="15" hidden="false" customHeight="false" outlineLevel="0" collapsed="false">
      <c r="A3729" s="2" t="s">
        <v>7714</v>
      </c>
      <c r="B3729" s="2" t="s">
        <v>7715</v>
      </c>
      <c r="C3729" s="2" t="n">
        <v>1</v>
      </c>
      <c r="D3729" s="2" t="s">
        <v>133</v>
      </c>
      <c r="E3729" s="2" t="s">
        <v>7523</v>
      </c>
      <c r="F3729" s="3" t="n">
        <v>46024.3930555556</v>
      </c>
      <c r="G3729" s="2" t="s">
        <v>7684</v>
      </c>
      <c r="H3729" s="4" t="n">
        <v>-0.5719</v>
      </c>
      <c r="I3729" s="2" t="s">
        <v>84</v>
      </c>
      <c r="J3729" s="2" t="s">
        <v>33</v>
      </c>
      <c r="K3729" s="2" t="n">
        <v>0</v>
      </c>
      <c r="L3729" s="2" t="n">
        <v>0</v>
      </c>
      <c r="M3729" s="2" t="n">
        <v>1</v>
      </c>
    </row>
    <row r="3730" customFormat="false" ht="15" hidden="false" customHeight="false" outlineLevel="0" collapsed="false">
      <c r="A3730" s="2" t="s">
        <v>7716</v>
      </c>
      <c r="B3730" s="2" t="s">
        <v>7717</v>
      </c>
      <c r="C3730" s="2" t="n">
        <v>4</v>
      </c>
      <c r="D3730" s="2" t="s">
        <v>407</v>
      </c>
      <c r="E3730" s="2" t="s">
        <v>7523</v>
      </c>
      <c r="F3730" s="3" t="n">
        <v>46024.4444444445</v>
      </c>
      <c r="G3730" s="2" t="s">
        <v>7684</v>
      </c>
      <c r="H3730" s="4" t="n">
        <v>0.7783</v>
      </c>
      <c r="I3730" s="2" t="s">
        <v>23</v>
      </c>
      <c r="J3730" s="2" t="s">
        <v>37</v>
      </c>
      <c r="K3730" s="2" t="n">
        <v>0</v>
      </c>
      <c r="L3730" s="2" t="n">
        <v>0</v>
      </c>
      <c r="M3730" s="2" t="n">
        <v>1</v>
      </c>
    </row>
    <row r="3731" customFormat="false" ht="15" hidden="false" customHeight="false" outlineLevel="0" collapsed="false">
      <c r="A3731" s="2" t="s">
        <v>7718</v>
      </c>
      <c r="B3731" s="2" t="s">
        <v>7719</v>
      </c>
      <c r="C3731" s="2" t="n">
        <v>3</v>
      </c>
      <c r="D3731" s="2" t="s">
        <v>58</v>
      </c>
      <c r="E3731" s="2" t="s">
        <v>7523</v>
      </c>
      <c r="F3731" s="3" t="n">
        <v>46024.5</v>
      </c>
      <c r="G3731" s="2" t="s">
        <v>7684</v>
      </c>
      <c r="H3731" s="4" t="n">
        <v>0</v>
      </c>
      <c r="I3731" s="2" t="s">
        <v>18</v>
      </c>
      <c r="J3731" s="2" t="s">
        <v>59</v>
      </c>
      <c r="K3731" s="2" t="n">
        <v>0</v>
      </c>
      <c r="L3731" s="2" t="n">
        <v>0</v>
      </c>
      <c r="M3731" s="2" t="n">
        <v>1</v>
      </c>
    </row>
    <row r="3732" customFormat="false" ht="15" hidden="false" customHeight="false" outlineLevel="0" collapsed="false">
      <c r="A3732" s="2" t="s">
        <v>7720</v>
      </c>
      <c r="B3732" s="2" t="s">
        <v>7721</v>
      </c>
      <c r="C3732" s="2" t="n">
        <v>5</v>
      </c>
      <c r="D3732" s="2" t="s">
        <v>127</v>
      </c>
      <c r="E3732" s="2" t="s">
        <v>7523</v>
      </c>
      <c r="F3732" s="3" t="n">
        <v>46024.6034722222</v>
      </c>
      <c r="G3732" s="2" t="s">
        <v>7684</v>
      </c>
      <c r="H3732" s="4" t="n">
        <v>0.9359</v>
      </c>
      <c r="I3732" s="2" t="s">
        <v>23</v>
      </c>
      <c r="J3732" s="2" t="s">
        <v>37</v>
      </c>
      <c r="K3732" s="2" t="n">
        <v>4</v>
      </c>
      <c r="L3732" s="2" t="n">
        <v>0</v>
      </c>
      <c r="M3732" s="2" t="n">
        <v>1</v>
      </c>
    </row>
    <row r="3733" customFormat="false" ht="15" hidden="false" customHeight="false" outlineLevel="0" collapsed="false">
      <c r="A3733" s="2" t="s">
        <v>7722</v>
      </c>
      <c r="B3733" s="2" t="s">
        <v>7723</v>
      </c>
      <c r="C3733" s="2" t="n">
        <v>5</v>
      </c>
      <c r="D3733" s="2" t="s">
        <v>210</v>
      </c>
      <c r="E3733" s="2" t="s">
        <v>7523</v>
      </c>
      <c r="F3733" s="3" t="n">
        <v>46024.6451388889</v>
      </c>
      <c r="G3733" s="2" t="s">
        <v>7684</v>
      </c>
      <c r="H3733" s="4" t="n">
        <v>0.5448</v>
      </c>
      <c r="I3733" s="2" t="s">
        <v>23</v>
      </c>
      <c r="J3733" s="2" t="s">
        <v>19</v>
      </c>
      <c r="K3733" s="2" t="n">
        <v>0</v>
      </c>
      <c r="L3733" s="2" t="n">
        <v>0</v>
      </c>
      <c r="M3733" s="2" t="n">
        <v>1</v>
      </c>
    </row>
    <row r="3734" customFormat="false" ht="15" hidden="false" customHeight="false" outlineLevel="0" collapsed="false">
      <c r="A3734" s="2" t="s">
        <v>7724</v>
      </c>
      <c r="B3734" s="2" t="s">
        <v>7725</v>
      </c>
      <c r="C3734" s="2" t="n">
        <v>5</v>
      </c>
      <c r="D3734" s="2" t="s">
        <v>787</v>
      </c>
      <c r="E3734" s="2" t="s">
        <v>7523</v>
      </c>
      <c r="F3734" s="3" t="n">
        <v>46024.7027777778</v>
      </c>
      <c r="G3734" s="2" t="s">
        <v>7684</v>
      </c>
      <c r="H3734" s="4" t="n">
        <v>0.7475</v>
      </c>
      <c r="I3734" s="2" t="s">
        <v>23</v>
      </c>
      <c r="J3734" s="2" t="s">
        <v>37</v>
      </c>
      <c r="K3734" s="2" t="n">
        <v>4</v>
      </c>
      <c r="L3734" s="2" t="n">
        <v>0</v>
      </c>
      <c r="M3734" s="2" t="n">
        <v>1</v>
      </c>
    </row>
    <row r="3735" customFormat="false" ht="15" hidden="false" customHeight="false" outlineLevel="0" collapsed="false">
      <c r="A3735" s="2" t="s">
        <v>7726</v>
      </c>
      <c r="B3735" s="2" t="s">
        <v>7727</v>
      </c>
      <c r="C3735" s="2" t="n">
        <v>5</v>
      </c>
      <c r="D3735" s="2" t="s">
        <v>692</v>
      </c>
      <c r="E3735" s="2" t="s">
        <v>7523</v>
      </c>
      <c r="F3735" s="3" t="n">
        <v>46024.8104166667</v>
      </c>
      <c r="G3735" s="2" t="s">
        <v>7684</v>
      </c>
      <c r="H3735" s="4" t="n">
        <v>0.9516</v>
      </c>
      <c r="I3735" s="2" t="s">
        <v>23</v>
      </c>
      <c r="J3735" s="2" t="s">
        <v>37</v>
      </c>
      <c r="K3735" s="2" t="n">
        <v>11</v>
      </c>
      <c r="L3735" s="2" t="n">
        <v>0</v>
      </c>
      <c r="M3735" s="2" t="n">
        <v>1</v>
      </c>
    </row>
    <row r="3736" customFormat="false" ht="15" hidden="false" customHeight="false" outlineLevel="0" collapsed="false">
      <c r="A3736" s="2" t="s">
        <v>7728</v>
      </c>
      <c r="B3736" s="2" t="s">
        <v>7729</v>
      </c>
      <c r="C3736" s="2" t="n">
        <v>5</v>
      </c>
      <c r="D3736" s="2" t="s">
        <v>62</v>
      </c>
      <c r="E3736" s="2" t="s">
        <v>7523</v>
      </c>
      <c r="F3736" s="3" t="n">
        <v>46024.9097222222</v>
      </c>
      <c r="G3736" s="2" t="s">
        <v>7684</v>
      </c>
      <c r="H3736" s="4" t="n">
        <v>0.7088</v>
      </c>
      <c r="I3736" s="2" t="s">
        <v>23</v>
      </c>
      <c r="J3736" s="2" t="s">
        <v>19</v>
      </c>
      <c r="K3736" s="2" t="n">
        <v>2</v>
      </c>
      <c r="L3736" s="2" t="n">
        <v>0</v>
      </c>
      <c r="M3736" s="2" t="n">
        <v>1</v>
      </c>
    </row>
    <row r="3737" customFormat="false" ht="15" hidden="false" customHeight="false" outlineLevel="0" collapsed="false">
      <c r="A3737" s="2" t="s">
        <v>7730</v>
      </c>
      <c r="B3737" s="2" t="s">
        <v>7731</v>
      </c>
      <c r="C3737" s="2" t="n">
        <v>3</v>
      </c>
      <c r="D3737" s="2" t="s">
        <v>168</v>
      </c>
      <c r="E3737" s="2" t="s">
        <v>7523</v>
      </c>
      <c r="F3737" s="3" t="n">
        <v>46025.1125</v>
      </c>
      <c r="G3737" s="2" t="s">
        <v>7684</v>
      </c>
      <c r="H3737" s="4" t="n">
        <v>-0.1027</v>
      </c>
      <c r="I3737" s="2" t="s">
        <v>84</v>
      </c>
      <c r="J3737" s="2" t="s">
        <v>33</v>
      </c>
      <c r="K3737" s="2" t="n">
        <v>10</v>
      </c>
      <c r="L3737" s="2" t="n">
        <v>0</v>
      </c>
      <c r="M3737" s="2" t="n">
        <v>1</v>
      </c>
    </row>
    <row r="3738" customFormat="false" ht="15" hidden="false" customHeight="false" outlineLevel="0" collapsed="false">
      <c r="A3738" s="2" t="s">
        <v>7732</v>
      </c>
      <c r="B3738" s="2" t="s">
        <v>7733</v>
      </c>
      <c r="C3738" s="2" t="n">
        <v>5</v>
      </c>
      <c r="D3738" s="2" t="s">
        <v>1949</v>
      </c>
      <c r="E3738" s="2" t="s">
        <v>7523</v>
      </c>
      <c r="F3738" s="3" t="n">
        <v>46025.1159722222</v>
      </c>
      <c r="G3738" s="2" t="s">
        <v>7684</v>
      </c>
      <c r="H3738" s="4" t="n">
        <v>0</v>
      </c>
      <c r="I3738" s="2" t="s">
        <v>18</v>
      </c>
      <c r="J3738" s="2" t="s">
        <v>19</v>
      </c>
      <c r="K3738" s="2" t="n">
        <v>5</v>
      </c>
      <c r="L3738" s="2" t="n">
        <v>0</v>
      </c>
      <c r="M3738" s="2" t="n">
        <v>1</v>
      </c>
    </row>
    <row r="3739" customFormat="false" ht="15" hidden="false" customHeight="false" outlineLevel="0" collapsed="false">
      <c r="A3739" s="2" t="s">
        <v>7734</v>
      </c>
      <c r="B3739" s="2" t="s">
        <v>7735</v>
      </c>
      <c r="C3739" s="2" t="n">
        <v>3</v>
      </c>
      <c r="D3739" s="2" t="s">
        <v>99</v>
      </c>
      <c r="E3739" s="2" t="s">
        <v>7523</v>
      </c>
      <c r="F3739" s="3" t="n">
        <v>46025.2465277778</v>
      </c>
      <c r="G3739" s="2" t="s">
        <v>7684</v>
      </c>
      <c r="H3739" s="4" t="n">
        <v>-0.3089</v>
      </c>
      <c r="I3739" s="2" t="s">
        <v>84</v>
      </c>
      <c r="J3739" s="2" t="s">
        <v>19</v>
      </c>
      <c r="K3739" s="2" t="n">
        <v>1</v>
      </c>
      <c r="L3739" s="2" t="n">
        <v>0</v>
      </c>
      <c r="M3739" s="2" t="n">
        <v>1</v>
      </c>
    </row>
    <row r="3740" customFormat="false" ht="15" hidden="false" customHeight="false" outlineLevel="0" collapsed="false">
      <c r="A3740" s="2" t="s">
        <v>7736</v>
      </c>
      <c r="B3740" s="2" t="s">
        <v>7737</v>
      </c>
      <c r="C3740" s="2" t="n">
        <v>3</v>
      </c>
      <c r="D3740" s="2" t="s">
        <v>1237</v>
      </c>
      <c r="E3740" s="2" t="s">
        <v>7523</v>
      </c>
      <c r="F3740" s="3" t="n">
        <v>46025.65625</v>
      </c>
      <c r="G3740" s="2" t="s">
        <v>7684</v>
      </c>
      <c r="H3740" s="4" t="n">
        <v>-0.3089</v>
      </c>
      <c r="I3740" s="2" t="s">
        <v>84</v>
      </c>
      <c r="J3740" s="2" t="s">
        <v>19</v>
      </c>
      <c r="K3740" s="2" t="n">
        <v>0</v>
      </c>
      <c r="L3740" s="2" t="n">
        <v>0</v>
      </c>
      <c r="M3740" s="2" t="n">
        <v>1</v>
      </c>
    </row>
    <row r="3741" customFormat="false" ht="15" hidden="false" customHeight="false" outlineLevel="0" collapsed="false">
      <c r="A3741" s="2" t="s">
        <v>7738</v>
      </c>
      <c r="B3741" s="2" t="s">
        <v>7739</v>
      </c>
      <c r="C3741" s="2" t="n">
        <v>4</v>
      </c>
      <c r="D3741" s="2" t="s">
        <v>52</v>
      </c>
      <c r="E3741" s="2" t="s">
        <v>7523</v>
      </c>
      <c r="F3741" s="3" t="n">
        <v>46025.7763888889</v>
      </c>
      <c r="G3741" s="2" t="s">
        <v>7684</v>
      </c>
      <c r="H3741" s="4" t="n">
        <v>0.6369</v>
      </c>
      <c r="I3741" s="2" t="s">
        <v>23</v>
      </c>
      <c r="J3741" s="2" t="s">
        <v>19</v>
      </c>
      <c r="K3741" s="2" t="n">
        <v>8</v>
      </c>
      <c r="L3741" s="2" t="n">
        <v>0</v>
      </c>
      <c r="M3741" s="2" t="n">
        <v>1</v>
      </c>
    </row>
    <row r="3742" customFormat="false" ht="15" hidden="false" customHeight="false" outlineLevel="0" collapsed="false">
      <c r="A3742" s="2" t="s">
        <v>7740</v>
      </c>
      <c r="B3742" s="2" t="s">
        <v>7741</v>
      </c>
      <c r="C3742" s="2" t="n">
        <v>5</v>
      </c>
      <c r="D3742" s="2" t="s">
        <v>2140</v>
      </c>
      <c r="E3742" s="2" t="s">
        <v>7523</v>
      </c>
      <c r="F3742" s="3" t="n">
        <v>46025.94375</v>
      </c>
      <c r="G3742" s="2" t="s">
        <v>7684</v>
      </c>
      <c r="H3742" s="4" t="n">
        <v>0.8777</v>
      </c>
      <c r="I3742" s="2" t="s">
        <v>23</v>
      </c>
      <c r="J3742" s="2" t="s">
        <v>19</v>
      </c>
      <c r="K3742" s="2" t="n">
        <v>3</v>
      </c>
      <c r="L3742" s="2" t="n">
        <v>0</v>
      </c>
      <c r="M3742" s="2" t="n">
        <v>1</v>
      </c>
    </row>
    <row r="3743" customFormat="false" ht="15" hidden="false" customHeight="false" outlineLevel="0" collapsed="false">
      <c r="A3743" s="2" t="s">
        <v>7742</v>
      </c>
      <c r="B3743" s="2" t="s">
        <v>7743</v>
      </c>
      <c r="C3743" s="2" t="n">
        <v>5</v>
      </c>
      <c r="D3743" s="2" t="s">
        <v>40</v>
      </c>
      <c r="E3743" s="2" t="s">
        <v>7523</v>
      </c>
      <c r="F3743" s="3" t="n">
        <v>46025.9722222222</v>
      </c>
      <c r="G3743" s="2" t="s">
        <v>7684</v>
      </c>
      <c r="H3743" s="4" t="n">
        <v>0.4019</v>
      </c>
      <c r="I3743" s="2" t="s">
        <v>23</v>
      </c>
      <c r="J3743" s="2" t="s">
        <v>33</v>
      </c>
      <c r="K3743" s="2" t="n">
        <v>0</v>
      </c>
      <c r="L3743" s="2" t="n">
        <v>0</v>
      </c>
      <c r="M3743" s="2" t="n">
        <v>1</v>
      </c>
    </row>
    <row r="3744" customFormat="false" ht="15" hidden="false" customHeight="false" outlineLevel="0" collapsed="false">
      <c r="A3744" s="2" t="s">
        <v>7744</v>
      </c>
      <c r="B3744" s="2" t="s">
        <v>7745</v>
      </c>
      <c r="C3744" s="2" t="n">
        <v>5</v>
      </c>
      <c r="D3744" s="2" t="s">
        <v>52</v>
      </c>
      <c r="E3744" s="2" t="s">
        <v>7523</v>
      </c>
      <c r="F3744" s="3" t="n">
        <v>46026.0347222222</v>
      </c>
      <c r="G3744" s="2" t="s">
        <v>7684</v>
      </c>
      <c r="H3744" s="4" t="n">
        <v>0.6369</v>
      </c>
      <c r="I3744" s="2" t="s">
        <v>23</v>
      </c>
      <c r="J3744" s="2" t="s">
        <v>19</v>
      </c>
      <c r="K3744" s="2" t="n">
        <v>0</v>
      </c>
      <c r="L3744" s="2" t="n">
        <v>0</v>
      </c>
      <c r="M3744" s="2" t="n">
        <v>1</v>
      </c>
    </row>
    <row r="3745" customFormat="false" ht="15" hidden="false" customHeight="false" outlineLevel="0" collapsed="false">
      <c r="A3745" s="2" t="s">
        <v>7746</v>
      </c>
      <c r="B3745" s="2" t="s">
        <v>7747</v>
      </c>
      <c r="C3745" s="2" t="n">
        <v>3</v>
      </c>
      <c r="D3745" s="2" t="s">
        <v>87</v>
      </c>
      <c r="E3745" s="2" t="s">
        <v>7523</v>
      </c>
      <c r="F3745" s="3" t="n">
        <v>46026.0756944444</v>
      </c>
      <c r="G3745" s="2" t="s">
        <v>7684</v>
      </c>
      <c r="H3745" s="4" t="n">
        <v>0</v>
      </c>
      <c r="I3745" s="2" t="s">
        <v>18</v>
      </c>
      <c r="J3745" s="2" t="s">
        <v>19</v>
      </c>
      <c r="K3745" s="2" t="n">
        <v>5</v>
      </c>
      <c r="L3745" s="2" t="n">
        <v>0</v>
      </c>
      <c r="M3745" s="2" t="n">
        <v>1</v>
      </c>
    </row>
    <row r="3746" customFormat="false" ht="15" hidden="false" customHeight="false" outlineLevel="0" collapsed="false">
      <c r="A3746" s="2" t="s">
        <v>7748</v>
      </c>
      <c r="B3746" s="2" t="s">
        <v>7749</v>
      </c>
      <c r="C3746" s="2" t="n">
        <v>4</v>
      </c>
      <c r="D3746" s="2" t="s">
        <v>420</v>
      </c>
      <c r="E3746" s="2" t="s">
        <v>7523</v>
      </c>
      <c r="F3746" s="3" t="n">
        <v>46026.2395833333</v>
      </c>
      <c r="G3746" s="2" t="s">
        <v>7684</v>
      </c>
      <c r="H3746" s="4" t="n">
        <v>0.7845</v>
      </c>
      <c r="I3746" s="2" t="s">
        <v>23</v>
      </c>
      <c r="J3746" s="2" t="s">
        <v>33</v>
      </c>
      <c r="K3746" s="2" t="n">
        <v>2</v>
      </c>
      <c r="L3746" s="2" t="n">
        <v>0</v>
      </c>
      <c r="M3746" s="2" t="n">
        <v>1</v>
      </c>
    </row>
    <row r="3747" customFormat="false" ht="15" hidden="false" customHeight="false" outlineLevel="0" collapsed="false">
      <c r="A3747" s="2" t="s">
        <v>7750</v>
      </c>
      <c r="B3747" s="2" t="s">
        <v>7751</v>
      </c>
      <c r="C3747" s="2" t="n">
        <v>4</v>
      </c>
      <c r="D3747" s="2" t="s">
        <v>62</v>
      </c>
      <c r="E3747" s="2" t="s">
        <v>7523</v>
      </c>
      <c r="F3747" s="3" t="n">
        <v>46026.3513888889</v>
      </c>
      <c r="G3747" s="2" t="s">
        <v>7684</v>
      </c>
      <c r="H3747" s="4" t="n">
        <v>0.7088</v>
      </c>
      <c r="I3747" s="2" t="s">
        <v>23</v>
      </c>
      <c r="J3747" s="2" t="s">
        <v>19</v>
      </c>
      <c r="K3747" s="2" t="n">
        <v>4</v>
      </c>
      <c r="L3747" s="2" t="n">
        <v>0</v>
      </c>
      <c r="M3747" s="2" t="n">
        <v>1</v>
      </c>
    </row>
    <row r="3748" customFormat="false" ht="15" hidden="false" customHeight="false" outlineLevel="0" collapsed="false">
      <c r="A3748" s="2" t="s">
        <v>7752</v>
      </c>
      <c r="B3748" s="2" t="s">
        <v>7753</v>
      </c>
      <c r="C3748" s="2" t="n">
        <v>5</v>
      </c>
      <c r="D3748" s="2" t="s">
        <v>1714</v>
      </c>
      <c r="E3748" s="2" t="s">
        <v>7523</v>
      </c>
      <c r="F3748" s="3" t="n">
        <v>46026.36875</v>
      </c>
      <c r="G3748" s="2" t="s">
        <v>7684</v>
      </c>
      <c r="H3748" s="4" t="n">
        <v>0.9359</v>
      </c>
      <c r="I3748" s="2" t="s">
        <v>23</v>
      </c>
      <c r="J3748" s="2" t="s">
        <v>37</v>
      </c>
      <c r="K3748" s="2" t="n">
        <v>6</v>
      </c>
      <c r="L3748" s="2" t="n">
        <v>0</v>
      </c>
      <c r="M3748" s="2" t="n">
        <v>1</v>
      </c>
    </row>
    <row r="3749" customFormat="false" ht="15" hidden="false" customHeight="false" outlineLevel="0" collapsed="false">
      <c r="A3749" s="2" t="s">
        <v>7754</v>
      </c>
      <c r="B3749" s="2" t="s">
        <v>7755</v>
      </c>
      <c r="C3749" s="2" t="n">
        <v>5</v>
      </c>
      <c r="D3749" s="2" t="s">
        <v>104</v>
      </c>
      <c r="E3749" s="2" t="s">
        <v>7523</v>
      </c>
      <c r="F3749" s="3" t="n">
        <v>46026.3986111111</v>
      </c>
      <c r="G3749" s="2" t="s">
        <v>7684</v>
      </c>
      <c r="H3749" s="4" t="n">
        <v>0.8481</v>
      </c>
      <c r="I3749" s="2" t="s">
        <v>23</v>
      </c>
      <c r="J3749" s="2" t="s">
        <v>37</v>
      </c>
      <c r="K3749" s="2" t="n">
        <v>0</v>
      </c>
      <c r="L3749" s="2" t="n">
        <v>0</v>
      </c>
      <c r="M3749" s="2" t="n">
        <v>1</v>
      </c>
    </row>
    <row r="3750" customFormat="false" ht="15" hidden="false" customHeight="false" outlineLevel="0" collapsed="false">
      <c r="A3750" s="2" t="s">
        <v>7756</v>
      </c>
      <c r="B3750" s="2" t="s">
        <v>7757</v>
      </c>
      <c r="C3750" s="2" t="n">
        <v>3</v>
      </c>
      <c r="D3750" s="2" t="s">
        <v>1400</v>
      </c>
      <c r="E3750" s="2" t="s">
        <v>7523</v>
      </c>
      <c r="F3750" s="3" t="n">
        <v>46026.4715277778</v>
      </c>
      <c r="G3750" s="2" t="s">
        <v>7684</v>
      </c>
      <c r="H3750" s="4" t="n">
        <v>0.4019</v>
      </c>
      <c r="I3750" s="2" t="s">
        <v>23</v>
      </c>
      <c r="J3750" s="2" t="s">
        <v>19</v>
      </c>
      <c r="K3750" s="2" t="n">
        <v>12</v>
      </c>
      <c r="L3750" s="2" t="n">
        <v>0</v>
      </c>
      <c r="M3750" s="2" t="n">
        <v>1</v>
      </c>
    </row>
    <row r="3751" customFormat="false" ht="15" hidden="false" customHeight="false" outlineLevel="0" collapsed="false">
      <c r="A3751" s="2" t="s">
        <v>7758</v>
      </c>
      <c r="B3751" s="2" t="s">
        <v>7759</v>
      </c>
      <c r="C3751" s="2" t="n">
        <v>5</v>
      </c>
      <c r="D3751" s="2" t="s">
        <v>3104</v>
      </c>
      <c r="E3751" s="2" t="s">
        <v>7523</v>
      </c>
      <c r="F3751" s="3" t="n">
        <v>46026.6597222222</v>
      </c>
      <c r="G3751" s="2" t="s">
        <v>7684</v>
      </c>
      <c r="H3751" s="4" t="n">
        <v>0.3089</v>
      </c>
      <c r="I3751" s="2" t="s">
        <v>23</v>
      </c>
      <c r="J3751" s="2" t="s">
        <v>19</v>
      </c>
      <c r="K3751" s="2" t="n">
        <v>4</v>
      </c>
      <c r="L3751" s="2" t="n">
        <v>0</v>
      </c>
      <c r="M3751" s="2" t="n">
        <v>1</v>
      </c>
    </row>
    <row r="3752" customFormat="false" ht="15" hidden="false" customHeight="false" outlineLevel="0" collapsed="false">
      <c r="A3752" s="2" t="s">
        <v>7760</v>
      </c>
      <c r="B3752" s="2" t="s">
        <v>7761</v>
      </c>
      <c r="C3752" s="2" t="n">
        <v>4</v>
      </c>
      <c r="D3752" s="2" t="s">
        <v>282</v>
      </c>
      <c r="E3752" s="2" t="s">
        <v>7523</v>
      </c>
      <c r="F3752" s="3" t="n">
        <v>46026.7541666667</v>
      </c>
      <c r="G3752" s="2" t="s">
        <v>7684</v>
      </c>
      <c r="H3752" s="4" t="n">
        <v>0.7992</v>
      </c>
      <c r="I3752" s="2" t="s">
        <v>23</v>
      </c>
      <c r="J3752" s="2" t="s">
        <v>19</v>
      </c>
      <c r="K3752" s="2" t="n">
        <v>3</v>
      </c>
      <c r="L3752" s="2" t="n">
        <v>0</v>
      </c>
      <c r="M3752" s="2" t="n">
        <v>1</v>
      </c>
    </row>
    <row r="3753" customFormat="false" ht="15" hidden="false" customHeight="false" outlineLevel="0" collapsed="false">
      <c r="A3753" s="2" t="s">
        <v>7762</v>
      </c>
      <c r="B3753" s="2" t="s">
        <v>7763</v>
      </c>
      <c r="C3753" s="2" t="n">
        <v>5</v>
      </c>
      <c r="D3753" s="2" t="s">
        <v>90</v>
      </c>
      <c r="E3753" s="2" t="s">
        <v>7523</v>
      </c>
      <c r="F3753" s="3" t="n">
        <v>46026.7659722222</v>
      </c>
      <c r="G3753" s="2" t="s">
        <v>7684</v>
      </c>
      <c r="H3753" s="4" t="n">
        <v>0.6249</v>
      </c>
      <c r="I3753" s="2" t="s">
        <v>23</v>
      </c>
      <c r="J3753" s="2" t="s">
        <v>37</v>
      </c>
      <c r="K3753" s="2" t="n">
        <v>0</v>
      </c>
      <c r="L3753" s="2" t="n">
        <v>0</v>
      </c>
      <c r="M3753" s="2" t="n">
        <v>1</v>
      </c>
    </row>
    <row r="3754" customFormat="false" ht="15" hidden="false" customHeight="false" outlineLevel="0" collapsed="false">
      <c r="A3754" s="2" t="s">
        <v>7764</v>
      </c>
      <c r="B3754" s="2" t="s">
        <v>7765</v>
      </c>
      <c r="C3754" s="2" t="n">
        <v>5</v>
      </c>
      <c r="D3754" s="2" t="s">
        <v>565</v>
      </c>
      <c r="E3754" s="2" t="s">
        <v>7523</v>
      </c>
      <c r="F3754" s="3" t="n">
        <v>46026.9555555556</v>
      </c>
      <c r="G3754" s="2" t="s">
        <v>7684</v>
      </c>
      <c r="H3754" s="4" t="n">
        <v>0.7549</v>
      </c>
      <c r="I3754" s="2" t="s">
        <v>23</v>
      </c>
      <c r="J3754" s="2" t="s">
        <v>19</v>
      </c>
      <c r="K3754" s="2" t="n">
        <v>6</v>
      </c>
      <c r="L3754" s="2" t="n">
        <v>0</v>
      </c>
      <c r="M3754" s="2" t="n">
        <v>1</v>
      </c>
    </row>
    <row r="3755" customFormat="false" ht="15" hidden="false" customHeight="false" outlineLevel="0" collapsed="false">
      <c r="A3755" s="2" t="s">
        <v>7766</v>
      </c>
      <c r="B3755" s="2" t="s">
        <v>7767</v>
      </c>
      <c r="C3755" s="2" t="n">
        <v>4</v>
      </c>
      <c r="D3755" s="2" t="s">
        <v>507</v>
      </c>
      <c r="E3755" s="2" t="s">
        <v>7523</v>
      </c>
      <c r="F3755" s="3" t="n">
        <v>46027.0131944444</v>
      </c>
      <c r="G3755" s="2" t="s">
        <v>7684</v>
      </c>
      <c r="H3755" s="4" t="n">
        <v>0.5574</v>
      </c>
      <c r="I3755" s="2" t="s">
        <v>23</v>
      </c>
      <c r="J3755" s="2" t="s">
        <v>33</v>
      </c>
      <c r="K3755" s="2" t="n">
        <v>3</v>
      </c>
      <c r="L3755" s="2" t="n">
        <v>0</v>
      </c>
      <c r="M3755" s="2" t="n">
        <v>1</v>
      </c>
    </row>
    <row r="3756" customFormat="false" ht="15" hidden="false" customHeight="false" outlineLevel="0" collapsed="false">
      <c r="A3756" s="2" t="s">
        <v>7768</v>
      </c>
      <c r="B3756" s="2" t="s">
        <v>7769</v>
      </c>
      <c r="C3756" s="2" t="n">
        <v>4</v>
      </c>
      <c r="D3756" s="2" t="s">
        <v>90</v>
      </c>
      <c r="E3756" s="2" t="s">
        <v>7523</v>
      </c>
      <c r="F3756" s="3" t="n">
        <v>46027.0791666667</v>
      </c>
      <c r="G3756" s="2" t="s">
        <v>7684</v>
      </c>
      <c r="H3756" s="4" t="n">
        <v>0.6249</v>
      </c>
      <c r="I3756" s="2" t="s">
        <v>23</v>
      </c>
      <c r="J3756" s="2" t="s">
        <v>37</v>
      </c>
      <c r="K3756" s="2" t="n">
        <v>2</v>
      </c>
      <c r="L3756" s="2" t="n">
        <v>0</v>
      </c>
      <c r="M3756" s="2" t="n">
        <v>1</v>
      </c>
    </row>
    <row r="3757" customFormat="false" ht="15" hidden="false" customHeight="false" outlineLevel="0" collapsed="false">
      <c r="A3757" s="2" t="s">
        <v>7770</v>
      </c>
      <c r="B3757" s="2" t="s">
        <v>7771</v>
      </c>
      <c r="C3757" s="2" t="n">
        <v>5</v>
      </c>
      <c r="D3757" s="2" t="s">
        <v>52</v>
      </c>
      <c r="E3757" s="2" t="s">
        <v>7523</v>
      </c>
      <c r="F3757" s="3" t="n">
        <v>46027.11875</v>
      </c>
      <c r="G3757" s="2" t="s">
        <v>7684</v>
      </c>
      <c r="H3757" s="4" t="n">
        <v>0.6369</v>
      </c>
      <c r="I3757" s="2" t="s">
        <v>23</v>
      </c>
      <c r="J3757" s="2" t="s">
        <v>19</v>
      </c>
      <c r="K3757" s="2" t="n">
        <v>1</v>
      </c>
      <c r="L3757" s="2" t="n">
        <v>0</v>
      </c>
      <c r="M3757" s="2" t="n">
        <v>1</v>
      </c>
    </row>
    <row r="3758" customFormat="false" ht="15" hidden="false" customHeight="false" outlineLevel="0" collapsed="false">
      <c r="A3758" s="2" t="s">
        <v>7772</v>
      </c>
      <c r="B3758" s="2" t="s">
        <v>7773</v>
      </c>
      <c r="C3758" s="2" t="n">
        <v>5</v>
      </c>
      <c r="D3758" s="2" t="s">
        <v>96</v>
      </c>
      <c r="E3758" s="2" t="s">
        <v>7523</v>
      </c>
      <c r="F3758" s="3" t="n">
        <v>46027.1972222222</v>
      </c>
      <c r="G3758" s="2" t="s">
        <v>7684</v>
      </c>
      <c r="H3758" s="4" t="n">
        <v>0.6369</v>
      </c>
      <c r="I3758" s="2" t="s">
        <v>23</v>
      </c>
      <c r="J3758" s="2" t="s">
        <v>19</v>
      </c>
      <c r="K3758" s="2" t="n">
        <v>0</v>
      </c>
      <c r="L3758" s="2" t="n">
        <v>0</v>
      </c>
      <c r="M3758" s="2" t="n">
        <v>1</v>
      </c>
    </row>
    <row r="3759" customFormat="false" ht="15" hidden="false" customHeight="false" outlineLevel="0" collapsed="false">
      <c r="A3759" s="2" t="s">
        <v>7774</v>
      </c>
      <c r="B3759" s="2" t="s">
        <v>7775</v>
      </c>
      <c r="C3759" s="2" t="n">
        <v>5</v>
      </c>
      <c r="D3759" s="2" t="s">
        <v>127</v>
      </c>
      <c r="E3759" s="2" t="s">
        <v>7523</v>
      </c>
      <c r="F3759" s="3" t="n">
        <v>46027.2236111111</v>
      </c>
      <c r="G3759" s="2" t="s">
        <v>7684</v>
      </c>
      <c r="H3759" s="4" t="n">
        <v>0.9359</v>
      </c>
      <c r="I3759" s="2" t="s">
        <v>23</v>
      </c>
      <c r="J3759" s="2" t="s">
        <v>37</v>
      </c>
      <c r="K3759" s="2" t="n">
        <v>1</v>
      </c>
      <c r="L3759" s="2" t="n">
        <v>0</v>
      </c>
      <c r="M3759" s="2" t="n">
        <v>1</v>
      </c>
    </row>
    <row r="3760" customFormat="false" ht="15" hidden="false" customHeight="false" outlineLevel="0" collapsed="false">
      <c r="A3760" s="2" t="s">
        <v>7776</v>
      </c>
      <c r="B3760" s="2" t="s">
        <v>7777</v>
      </c>
      <c r="C3760" s="2" t="n">
        <v>5</v>
      </c>
      <c r="D3760" s="2" t="s">
        <v>40</v>
      </c>
      <c r="E3760" s="2" t="s">
        <v>7523</v>
      </c>
      <c r="F3760" s="3" t="n">
        <v>46027.4194444444</v>
      </c>
      <c r="G3760" s="2" t="s">
        <v>7684</v>
      </c>
      <c r="H3760" s="4" t="n">
        <v>0.4019</v>
      </c>
      <c r="I3760" s="2" t="s">
        <v>23</v>
      </c>
      <c r="J3760" s="2" t="s">
        <v>33</v>
      </c>
      <c r="K3760" s="2" t="n">
        <v>2</v>
      </c>
      <c r="L3760" s="2" t="n">
        <v>0</v>
      </c>
      <c r="M3760" s="2" t="n">
        <v>1</v>
      </c>
    </row>
    <row r="3761" customFormat="false" ht="15" hidden="false" customHeight="false" outlineLevel="0" collapsed="false">
      <c r="A3761" s="2" t="s">
        <v>7778</v>
      </c>
      <c r="B3761" s="2" t="s">
        <v>7779</v>
      </c>
      <c r="C3761" s="2" t="n">
        <v>4</v>
      </c>
      <c r="D3761" s="2" t="s">
        <v>52</v>
      </c>
      <c r="E3761" s="2" t="s">
        <v>7523</v>
      </c>
      <c r="F3761" s="3" t="n">
        <v>46027.4236111111</v>
      </c>
      <c r="G3761" s="2" t="s">
        <v>7684</v>
      </c>
      <c r="H3761" s="4" t="n">
        <v>0.6369</v>
      </c>
      <c r="I3761" s="2" t="s">
        <v>23</v>
      </c>
      <c r="J3761" s="2" t="s">
        <v>19</v>
      </c>
      <c r="K3761" s="2" t="n">
        <v>5</v>
      </c>
      <c r="L3761" s="2" t="n">
        <v>0</v>
      </c>
      <c r="M3761" s="2" t="n">
        <v>1</v>
      </c>
    </row>
    <row r="3762" customFormat="false" ht="15" hidden="false" customHeight="false" outlineLevel="0" collapsed="false">
      <c r="A3762" s="2" t="s">
        <v>7780</v>
      </c>
      <c r="B3762" s="2" t="s">
        <v>7781</v>
      </c>
      <c r="C3762" s="2" t="n">
        <v>1</v>
      </c>
      <c r="D3762" s="2" t="s">
        <v>946</v>
      </c>
      <c r="E3762" s="2" t="s">
        <v>7523</v>
      </c>
      <c r="F3762" s="3" t="n">
        <v>46027.4520833333</v>
      </c>
      <c r="G3762" s="2" t="s">
        <v>7684</v>
      </c>
      <c r="H3762" s="4" t="n">
        <v>-0.25</v>
      </c>
      <c r="I3762" s="2" t="s">
        <v>84</v>
      </c>
      <c r="J3762" s="2" t="s">
        <v>37</v>
      </c>
      <c r="K3762" s="2" t="n">
        <v>3</v>
      </c>
      <c r="L3762" s="2" t="n">
        <v>1</v>
      </c>
      <c r="M3762" s="2" t="n">
        <v>1</v>
      </c>
    </row>
    <row r="3763" customFormat="false" ht="15" hidden="false" customHeight="false" outlineLevel="0" collapsed="false">
      <c r="A3763" s="2" t="s">
        <v>7782</v>
      </c>
      <c r="B3763" s="2" t="s">
        <v>7783</v>
      </c>
      <c r="C3763" s="2" t="n">
        <v>1</v>
      </c>
      <c r="D3763" s="2" t="s">
        <v>5541</v>
      </c>
      <c r="E3763" s="2" t="s">
        <v>7523</v>
      </c>
      <c r="F3763" s="3" t="n">
        <v>46027.5222222222</v>
      </c>
      <c r="G3763" s="2" t="s">
        <v>7684</v>
      </c>
      <c r="H3763" s="4" t="n">
        <v>-0.3089</v>
      </c>
      <c r="I3763" s="2" t="s">
        <v>84</v>
      </c>
      <c r="J3763" s="2" t="s">
        <v>165</v>
      </c>
      <c r="K3763" s="2" t="n">
        <v>4</v>
      </c>
      <c r="L3763" s="2" t="n">
        <v>0</v>
      </c>
      <c r="M3763" s="2" t="n">
        <v>1</v>
      </c>
    </row>
    <row r="3764" customFormat="false" ht="15" hidden="false" customHeight="false" outlineLevel="0" collapsed="false">
      <c r="A3764" s="2" t="s">
        <v>7784</v>
      </c>
      <c r="B3764" s="2" t="s">
        <v>7785</v>
      </c>
      <c r="C3764" s="2" t="n">
        <v>4</v>
      </c>
      <c r="D3764" s="2" t="s">
        <v>76</v>
      </c>
      <c r="E3764" s="2" t="s">
        <v>7523</v>
      </c>
      <c r="F3764" s="3" t="n">
        <v>46027.5944444445</v>
      </c>
      <c r="G3764" s="2" t="s">
        <v>7684</v>
      </c>
      <c r="H3764" s="4" t="n">
        <v>0.607</v>
      </c>
      <c r="I3764" s="2" t="s">
        <v>23</v>
      </c>
      <c r="J3764" s="2" t="s">
        <v>33</v>
      </c>
      <c r="K3764" s="2" t="n">
        <v>1</v>
      </c>
      <c r="L3764" s="2" t="n">
        <v>0</v>
      </c>
      <c r="M3764" s="2" t="n">
        <v>1</v>
      </c>
    </row>
    <row r="3765" customFormat="false" ht="15" hidden="false" customHeight="false" outlineLevel="0" collapsed="false">
      <c r="A3765" s="2" t="s">
        <v>7786</v>
      </c>
      <c r="B3765" s="2" t="s">
        <v>7787</v>
      </c>
      <c r="C3765" s="2" t="n">
        <v>3</v>
      </c>
      <c r="D3765" s="2" t="s">
        <v>22</v>
      </c>
      <c r="E3765" s="2" t="s">
        <v>7523</v>
      </c>
      <c r="F3765" s="3" t="n">
        <v>46027.6097222222</v>
      </c>
      <c r="G3765" s="2" t="s">
        <v>7684</v>
      </c>
      <c r="H3765" s="4" t="n">
        <v>0.2023</v>
      </c>
      <c r="I3765" s="2" t="s">
        <v>23</v>
      </c>
      <c r="J3765" s="2" t="s">
        <v>19</v>
      </c>
      <c r="K3765" s="2" t="n">
        <v>6</v>
      </c>
      <c r="L3765" s="2" t="n">
        <v>0</v>
      </c>
      <c r="M3765" s="2" t="n">
        <v>1</v>
      </c>
    </row>
    <row r="3766" customFormat="false" ht="15" hidden="false" customHeight="false" outlineLevel="0" collapsed="false">
      <c r="A3766" s="2" t="s">
        <v>7788</v>
      </c>
      <c r="B3766" s="2" t="s">
        <v>7789</v>
      </c>
      <c r="C3766" s="2" t="n">
        <v>5</v>
      </c>
      <c r="D3766" s="2" t="s">
        <v>392</v>
      </c>
      <c r="E3766" s="2" t="s">
        <v>7523</v>
      </c>
      <c r="F3766" s="3" t="n">
        <v>46028.0208333333</v>
      </c>
      <c r="G3766" s="2" t="s">
        <v>7684</v>
      </c>
      <c r="H3766" s="4" t="n">
        <v>0.7549</v>
      </c>
      <c r="I3766" s="2" t="s">
        <v>23</v>
      </c>
      <c r="J3766" s="2" t="s">
        <v>19</v>
      </c>
      <c r="K3766" s="2" t="n">
        <v>1</v>
      </c>
      <c r="L3766" s="2" t="n">
        <v>0</v>
      </c>
      <c r="M3766" s="2" t="n">
        <v>0</v>
      </c>
    </row>
    <row r="3767" customFormat="false" ht="15" hidden="false" customHeight="false" outlineLevel="0" collapsed="false">
      <c r="A3767" s="2" t="s">
        <v>7790</v>
      </c>
      <c r="B3767" s="2" t="s">
        <v>7791</v>
      </c>
      <c r="C3767" s="2" t="n">
        <v>1</v>
      </c>
      <c r="D3767" s="2" t="s">
        <v>2085</v>
      </c>
      <c r="E3767" s="2" t="s">
        <v>7523</v>
      </c>
      <c r="F3767" s="3" t="n">
        <v>46028.0416666667</v>
      </c>
      <c r="G3767" s="2" t="s">
        <v>7684</v>
      </c>
      <c r="H3767" s="4" t="n">
        <v>0.2263</v>
      </c>
      <c r="I3767" s="2" t="s">
        <v>23</v>
      </c>
      <c r="J3767" s="2" t="s">
        <v>110</v>
      </c>
      <c r="K3767" s="2" t="n">
        <v>1</v>
      </c>
      <c r="L3767" s="2" t="n">
        <v>1</v>
      </c>
      <c r="M3767" s="2" t="n">
        <v>0</v>
      </c>
    </row>
    <row r="3768" customFormat="false" ht="15" hidden="false" customHeight="false" outlineLevel="0" collapsed="false">
      <c r="A3768" s="2" t="s">
        <v>7792</v>
      </c>
      <c r="B3768" s="2" t="s">
        <v>7793</v>
      </c>
      <c r="C3768" s="2" t="n">
        <v>5</v>
      </c>
      <c r="D3768" s="2" t="s">
        <v>52</v>
      </c>
      <c r="E3768" s="2" t="s">
        <v>7523</v>
      </c>
      <c r="F3768" s="3" t="n">
        <v>46028.1041666667</v>
      </c>
      <c r="G3768" s="2" t="s">
        <v>7684</v>
      </c>
      <c r="H3768" s="4" t="n">
        <v>0.6369</v>
      </c>
      <c r="I3768" s="2" t="s">
        <v>23</v>
      </c>
      <c r="J3768" s="2" t="s">
        <v>19</v>
      </c>
      <c r="K3768" s="2" t="n">
        <v>0</v>
      </c>
      <c r="L3768" s="2" t="n">
        <v>0</v>
      </c>
      <c r="M3768" s="2" t="n">
        <v>0</v>
      </c>
    </row>
    <row r="3769" customFormat="false" ht="15" hidden="false" customHeight="false" outlineLevel="0" collapsed="false">
      <c r="A3769" s="2" t="s">
        <v>7794</v>
      </c>
      <c r="B3769" s="2" t="s">
        <v>1301</v>
      </c>
      <c r="C3769" s="2" t="n">
        <v>4</v>
      </c>
      <c r="D3769" s="2" t="s">
        <v>96</v>
      </c>
      <c r="E3769" s="2" t="s">
        <v>7523</v>
      </c>
      <c r="F3769" s="3" t="n">
        <v>46028.1958333333</v>
      </c>
      <c r="G3769" s="2" t="s">
        <v>7684</v>
      </c>
      <c r="H3769" s="4" t="n">
        <v>0.6369</v>
      </c>
      <c r="I3769" s="2" t="s">
        <v>23</v>
      </c>
      <c r="J3769" s="2" t="s">
        <v>19</v>
      </c>
      <c r="K3769" s="2" t="n">
        <v>3</v>
      </c>
      <c r="L3769" s="2" t="n">
        <v>0</v>
      </c>
      <c r="M3769" s="2" t="n">
        <v>0</v>
      </c>
    </row>
    <row r="3770" customFormat="false" ht="15" hidden="false" customHeight="false" outlineLevel="0" collapsed="false">
      <c r="A3770" s="2" t="s">
        <v>7795</v>
      </c>
      <c r="B3770" s="2" t="s">
        <v>7796</v>
      </c>
      <c r="C3770" s="2" t="n">
        <v>4</v>
      </c>
      <c r="D3770" s="2" t="s">
        <v>127</v>
      </c>
      <c r="E3770" s="2" t="s">
        <v>7523</v>
      </c>
      <c r="F3770" s="3" t="n">
        <v>46028.2694444444</v>
      </c>
      <c r="G3770" s="2" t="s">
        <v>7684</v>
      </c>
      <c r="H3770" s="4" t="n">
        <v>0.9359</v>
      </c>
      <c r="I3770" s="2" t="s">
        <v>23</v>
      </c>
      <c r="J3770" s="2" t="s">
        <v>37</v>
      </c>
      <c r="K3770" s="2" t="n">
        <v>2</v>
      </c>
      <c r="L3770" s="2" t="n">
        <v>0</v>
      </c>
      <c r="M3770" s="2" t="n">
        <v>0</v>
      </c>
    </row>
    <row r="3771" customFormat="false" ht="15" hidden="false" customHeight="false" outlineLevel="0" collapsed="false">
      <c r="A3771" s="2" t="s">
        <v>7797</v>
      </c>
      <c r="B3771" s="2" t="s">
        <v>7798</v>
      </c>
      <c r="C3771" s="2" t="n">
        <v>1</v>
      </c>
      <c r="D3771" s="2" t="s">
        <v>397</v>
      </c>
      <c r="E3771" s="2" t="s">
        <v>7523</v>
      </c>
      <c r="F3771" s="3" t="n">
        <v>46028.2826388889</v>
      </c>
      <c r="G3771" s="2" t="s">
        <v>7684</v>
      </c>
      <c r="H3771" s="4" t="n">
        <v>0</v>
      </c>
      <c r="I3771" s="2" t="s">
        <v>18</v>
      </c>
      <c r="J3771" s="2" t="s">
        <v>110</v>
      </c>
      <c r="K3771" s="2" t="n">
        <v>4</v>
      </c>
      <c r="L3771" s="2" t="n">
        <v>1</v>
      </c>
      <c r="M3771" s="2" t="n">
        <v>0</v>
      </c>
    </row>
    <row r="3772" customFormat="false" ht="15" hidden="false" customHeight="false" outlineLevel="0" collapsed="false">
      <c r="A3772" s="2" t="s">
        <v>7799</v>
      </c>
      <c r="B3772" s="2" t="s">
        <v>7800</v>
      </c>
      <c r="C3772" s="2" t="n">
        <v>4</v>
      </c>
      <c r="D3772" s="2" t="s">
        <v>127</v>
      </c>
      <c r="E3772" s="2" t="s">
        <v>7523</v>
      </c>
      <c r="F3772" s="3" t="n">
        <v>46028.3861111111</v>
      </c>
      <c r="G3772" s="2" t="s">
        <v>7684</v>
      </c>
      <c r="H3772" s="4" t="n">
        <v>0.9359</v>
      </c>
      <c r="I3772" s="2" t="s">
        <v>23</v>
      </c>
      <c r="J3772" s="2" t="s">
        <v>37</v>
      </c>
      <c r="K3772" s="2" t="n">
        <v>0</v>
      </c>
      <c r="L3772" s="2" t="n">
        <v>0</v>
      </c>
      <c r="M3772" s="2" t="n">
        <v>0</v>
      </c>
    </row>
    <row r="3773" customFormat="false" ht="15" hidden="false" customHeight="false" outlineLevel="0" collapsed="false">
      <c r="A3773" s="2" t="s">
        <v>7801</v>
      </c>
      <c r="B3773" s="2" t="s">
        <v>7802</v>
      </c>
      <c r="C3773" s="2" t="n">
        <v>5</v>
      </c>
      <c r="D3773" s="2" t="s">
        <v>96</v>
      </c>
      <c r="E3773" s="2" t="s">
        <v>7523</v>
      </c>
      <c r="F3773" s="3" t="n">
        <v>46028.3881944444</v>
      </c>
      <c r="G3773" s="2" t="s">
        <v>7684</v>
      </c>
      <c r="H3773" s="4" t="n">
        <v>0.6369</v>
      </c>
      <c r="I3773" s="2" t="s">
        <v>23</v>
      </c>
      <c r="J3773" s="2" t="s">
        <v>19</v>
      </c>
      <c r="K3773" s="2" t="n">
        <v>4</v>
      </c>
      <c r="L3773" s="2" t="n">
        <v>0</v>
      </c>
      <c r="M3773" s="2" t="n">
        <v>0</v>
      </c>
    </row>
    <row r="3774" customFormat="false" ht="15" hidden="false" customHeight="false" outlineLevel="0" collapsed="false">
      <c r="A3774" s="2" t="s">
        <v>7803</v>
      </c>
      <c r="B3774" s="2" t="s">
        <v>3152</v>
      </c>
      <c r="C3774" s="2" t="n">
        <v>5</v>
      </c>
      <c r="D3774" s="2" t="s">
        <v>127</v>
      </c>
      <c r="E3774" s="2" t="s">
        <v>7523</v>
      </c>
      <c r="F3774" s="3" t="n">
        <v>46028.4326388889</v>
      </c>
      <c r="G3774" s="2" t="s">
        <v>7684</v>
      </c>
      <c r="H3774" s="4" t="n">
        <v>0.9359</v>
      </c>
      <c r="I3774" s="2" t="s">
        <v>23</v>
      </c>
      <c r="J3774" s="2" t="s">
        <v>37</v>
      </c>
      <c r="K3774" s="2" t="n">
        <v>1</v>
      </c>
      <c r="L3774" s="2" t="n">
        <v>0</v>
      </c>
      <c r="M3774" s="2" t="n">
        <v>0</v>
      </c>
    </row>
    <row r="3775" customFormat="false" ht="15" hidden="false" customHeight="false" outlineLevel="0" collapsed="false">
      <c r="A3775" s="2" t="s">
        <v>7804</v>
      </c>
      <c r="B3775" s="2" t="s">
        <v>7805</v>
      </c>
      <c r="C3775" s="2" t="n">
        <v>1</v>
      </c>
      <c r="D3775" s="2" t="s">
        <v>1942</v>
      </c>
      <c r="E3775" s="2" t="s">
        <v>7523</v>
      </c>
      <c r="F3775" s="3" t="n">
        <v>46028.5569444444</v>
      </c>
      <c r="G3775" s="2" t="s">
        <v>7684</v>
      </c>
      <c r="H3775" s="4" t="n">
        <v>0</v>
      </c>
      <c r="I3775" s="2" t="s">
        <v>18</v>
      </c>
      <c r="J3775" s="2" t="s">
        <v>165</v>
      </c>
      <c r="K3775" s="2" t="n">
        <v>0</v>
      </c>
      <c r="L3775" s="2" t="n">
        <v>0</v>
      </c>
      <c r="M3775" s="2" t="n">
        <v>0</v>
      </c>
    </row>
    <row r="3776" customFormat="false" ht="15" hidden="false" customHeight="false" outlineLevel="0" collapsed="false">
      <c r="A3776" s="2" t="s">
        <v>7806</v>
      </c>
      <c r="B3776" s="2" t="s">
        <v>7807</v>
      </c>
      <c r="C3776" s="2" t="n">
        <v>4</v>
      </c>
      <c r="D3776" s="2" t="s">
        <v>7808</v>
      </c>
      <c r="E3776" s="2" t="s">
        <v>7523</v>
      </c>
      <c r="F3776" s="3" t="n">
        <v>46028.6958333333</v>
      </c>
      <c r="G3776" s="2" t="s">
        <v>7684</v>
      </c>
      <c r="H3776" s="4" t="n">
        <v>0.6848</v>
      </c>
      <c r="I3776" s="2" t="s">
        <v>23</v>
      </c>
      <c r="J3776" s="2" t="s">
        <v>37</v>
      </c>
      <c r="K3776" s="2" t="n">
        <v>5</v>
      </c>
      <c r="L3776" s="2" t="n">
        <v>0</v>
      </c>
      <c r="M3776" s="2" t="n">
        <v>0</v>
      </c>
    </row>
    <row r="3777" customFormat="false" ht="15" hidden="false" customHeight="false" outlineLevel="0" collapsed="false">
      <c r="A3777" s="2" t="s">
        <v>7809</v>
      </c>
      <c r="B3777" s="2" t="s">
        <v>2604</v>
      </c>
      <c r="C3777" s="2" t="n">
        <v>1</v>
      </c>
      <c r="D3777" s="2" t="s">
        <v>2294</v>
      </c>
      <c r="E3777" s="2" t="s">
        <v>7523</v>
      </c>
      <c r="F3777" s="3" t="n">
        <v>46028.7652777778</v>
      </c>
      <c r="G3777" s="2" t="s">
        <v>7684</v>
      </c>
      <c r="H3777" s="4" t="n">
        <v>-0.4588</v>
      </c>
      <c r="I3777" s="2" t="s">
        <v>84</v>
      </c>
      <c r="J3777" s="2" t="s">
        <v>37</v>
      </c>
      <c r="K3777" s="2" t="n">
        <v>4</v>
      </c>
      <c r="L3777" s="2" t="n">
        <v>1</v>
      </c>
      <c r="M3777" s="2" t="n">
        <v>0</v>
      </c>
    </row>
    <row r="3778" customFormat="false" ht="15" hidden="false" customHeight="false" outlineLevel="0" collapsed="false">
      <c r="A3778" s="2" t="s">
        <v>7810</v>
      </c>
      <c r="B3778" s="2" t="s">
        <v>7811</v>
      </c>
      <c r="C3778" s="2" t="n">
        <v>1</v>
      </c>
      <c r="D3778" s="2" t="s">
        <v>823</v>
      </c>
      <c r="E3778" s="2" t="s">
        <v>7523</v>
      </c>
      <c r="F3778" s="3" t="n">
        <v>46028.9</v>
      </c>
      <c r="G3778" s="2" t="s">
        <v>7684</v>
      </c>
      <c r="H3778" s="4" t="n">
        <v>-0.6997</v>
      </c>
      <c r="I3778" s="2" t="s">
        <v>84</v>
      </c>
      <c r="J3778" s="2" t="s">
        <v>19</v>
      </c>
      <c r="K3778" s="2" t="n">
        <v>3</v>
      </c>
      <c r="L3778" s="2" t="n">
        <v>1</v>
      </c>
      <c r="M3778" s="2" t="n">
        <v>0</v>
      </c>
    </row>
    <row r="3779" customFormat="false" ht="15" hidden="false" customHeight="false" outlineLevel="0" collapsed="false">
      <c r="A3779" s="2" t="s">
        <v>7812</v>
      </c>
      <c r="B3779" s="2" t="s">
        <v>7813</v>
      </c>
      <c r="C3779" s="2" t="n">
        <v>1</v>
      </c>
      <c r="D3779" s="2" t="s">
        <v>946</v>
      </c>
      <c r="E3779" s="2" t="s">
        <v>7523</v>
      </c>
      <c r="F3779" s="3" t="n">
        <v>46028.9256944444</v>
      </c>
      <c r="G3779" s="2" t="s">
        <v>7684</v>
      </c>
      <c r="H3779" s="4" t="n">
        <v>-0.25</v>
      </c>
      <c r="I3779" s="2" t="s">
        <v>84</v>
      </c>
      <c r="J3779" s="2" t="s">
        <v>37</v>
      </c>
      <c r="K3779" s="2" t="n">
        <v>3</v>
      </c>
      <c r="L3779" s="2" t="n">
        <v>1</v>
      </c>
      <c r="M3779" s="2" t="n">
        <v>0</v>
      </c>
    </row>
    <row r="3780" customFormat="false" ht="15" hidden="false" customHeight="false" outlineLevel="0" collapsed="false">
      <c r="A3780" s="2" t="s">
        <v>7814</v>
      </c>
      <c r="B3780" s="2" t="s">
        <v>7815</v>
      </c>
      <c r="C3780" s="2" t="n">
        <v>4</v>
      </c>
      <c r="D3780" s="2" t="s">
        <v>374</v>
      </c>
      <c r="E3780" s="2" t="s">
        <v>7523</v>
      </c>
      <c r="F3780" s="3" t="n">
        <v>46028.9333333333</v>
      </c>
      <c r="G3780" s="2" t="s">
        <v>7684</v>
      </c>
      <c r="H3780" s="4" t="n">
        <v>0.6369</v>
      </c>
      <c r="I3780" s="2" t="s">
        <v>23</v>
      </c>
      <c r="J3780" s="2" t="s">
        <v>19</v>
      </c>
      <c r="K3780" s="2" t="n">
        <v>0</v>
      </c>
      <c r="L3780" s="2" t="n">
        <v>0</v>
      </c>
      <c r="M3780" s="2" t="n">
        <v>0</v>
      </c>
    </row>
    <row r="3781" customFormat="false" ht="15" hidden="false" customHeight="false" outlineLevel="0" collapsed="false">
      <c r="A3781" s="2" t="s">
        <v>7816</v>
      </c>
      <c r="B3781" s="2" t="s">
        <v>7817</v>
      </c>
      <c r="C3781" s="2" t="n">
        <v>5</v>
      </c>
      <c r="D3781" s="2" t="s">
        <v>52</v>
      </c>
      <c r="E3781" s="2" t="s">
        <v>7523</v>
      </c>
      <c r="F3781" s="3" t="n">
        <v>46029.0034722222</v>
      </c>
      <c r="G3781" s="2" t="s">
        <v>7684</v>
      </c>
      <c r="H3781" s="4" t="n">
        <v>0.6369</v>
      </c>
      <c r="I3781" s="2" t="s">
        <v>23</v>
      </c>
      <c r="J3781" s="2" t="s">
        <v>19</v>
      </c>
      <c r="K3781" s="2" t="n">
        <v>4</v>
      </c>
      <c r="L3781" s="2" t="n">
        <v>0</v>
      </c>
      <c r="M3781" s="2" t="n">
        <v>0</v>
      </c>
    </row>
    <row r="3782" customFormat="false" ht="15" hidden="false" customHeight="false" outlineLevel="0" collapsed="false">
      <c r="A3782" s="2" t="s">
        <v>7818</v>
      </c>
      <c r="B3782" s="2" t="s">
        <v>7819</v>
      </c>
      <c r="C3782" s="2" t="n">
        <v>1</v>
      </c>
      <c r="D3782" s="2" t="s">
        <v>7096</v>
      </c>
      <c r="E3782" s="2" t="s">
        <v>7523</v>
      </c>
      <c r="F3782" s="3" t="n">
        <v>46029.0076388889</v>
      </c>
      <c r="G3782" s="2" t="s">
        <v>7684</v>
      </c>
      <c r="H3782" s="4" t="n">
        <v>-0.4019</v>
      </c>
      <c r="I3782" s="2" t="s">
        <v>84</v>
      </c>
      <c r="J3782" s="2" t="s">
        <v>37</v>
      </c>
      <c r="K3782" s="2" t="n">
        <v>5</v>
      </c>
      <c r="L3782" s="2" t="n">
        <v>1</v>
      </c>
      <c r="M3782" s="2" t="n">
        <v>0</v>
      </c>
    </row>
    <row r="3783" customFormat="false" ht="15" hidden="false" customHeight="false" outlineLevel="0" collapsed="false">
      <c r="A3783" s="2" t="s">
        <v>7820</v>
      </c>
      <c r="B3783" s="2" t="s">
        <v>7821</v>
      </c>
      <c r="C3783" s="2" t="n">
        <v>1</v>
      </c>
      <c r="D3783" s="2" t="s">
        <v>133</v>
      </c>
      <c r="E3783" s="2" t="s">
        <v>7523</v>
      </c>
      <c r="F3783" s="3" t="n">
        <v>46029.0826388889</v>
      </c>
      <c r="G3783" s="2" t="s">
        <v>7684</v>
      </c>
      <c r="H3783" s="4" t="n">
        <v>-0.5719</v>
      </c>
      <c r="I3783" s="2" t="s">
        <v>84</v>
      </c>
      <c r="J3783" s="2" t="s">
        <v>33</v>
      </c>
      <c r="K3783" s="2" t="n">
        <v>3</v>
      </c>
      <c r="L3783" s="2" t="n">
        <v>1</v>
      </c>
      <c r="M3783" s="2" t="n">
        <v>0</v>
      </c>
    </row>
    <row r="3784" customFormat="false" ht="15" hidden="false" customHeight="false" outlineLevel="0" collapsed="false">
      <c r="A3784" s="2" t="s">
        <v>7822</v>
      </c>
      <c r="B3784" s="2" t="s">
        <v>7823</v>
      </c>
      <c r="C3784" s="2" t="n">
        <v>5</v>
      </c>
      <c r="D3784" s="2" t="s">
        <v>90</v>
      </c>
      <c r="E3784" s="2" t="s">
        <v>7523</v>
      </c>
      <c r="F3784" s="3" t="n">
        <v>46029.0881944444</v>
      </c>
      <c r="G3784" s="2" t="s">
        <v>7684</v>
      </c>
      <c r="H3784" s="4" t="n">
        <v>0.6249</v>
      </c>
      <c r="I3784" s="2" t="s">
        <v>23</v>
      </c>
      <c r="J3784" s="2" t="s">
        <v>37</v>
      </c>
      <c r="K3784" s="2" t="n">
        <v>0</v>
      </c>
      <c r="L3784" s="2" t="n">
        <v>0</v>
      </c>
      <c r="M3784" s="2" t="n">
        <v>0</v>
      </c>
    </row>
    <row r="3785" customFormat="false" ht="15" hidden="false" customHeight="false" outlineLevel="0" collapsed="false">
      <c r="A3785" s="2" t="s">
        <v>7824</v>
      </c>
      <c r="B3785" s="2" t="s">
        <v>7825</v>
      </c>
      <c r="C3785" s="2" t="n">
        <v>1</v>
      </c>
      <c r="D3785" s="2" t="s">
        <v>733</v>
      </c>
      <c r="E3785" s="2" t="s">
        <v>7523</v>
      </c>
      <c r="F3785" s="3" t="n">
        <v>46029.1027777778</v>
      </c>
      <c r="G3785" s="2" t="s">
        <v>7684</v>
      </c>
      <c r="H3785" s="4" t="n">
        <v>-0.2846</v>
      </c>
      <c r="I3785" s="2" t="s">
        <v>84</v>
      </c>
      <c r="J3785" s="2" t="s">
        <v>37</v>
      </c>
      <c r="K3785" s="2" t="n">
        <v>0</v>
      </c>
      <c r="L3785" s="2" t="n">
        <v>0</v>
      </c>
      <c r="M3785" s="2" t="n">
        <v>0</v>
      </c>
    </row>
    <row r="3786" customFormat="false" ht="15" hidden="false" customHeight="false" outlineLevel="0" collapsed="false">
      <c r="A3786" s="2" t="s">
        <v>7826</v>
      </c>
      <c r="B3786" s="2" t="s">
        <v>7827</v>
      </c>
      <c r="C3786" s="2" t="n">
        <v>3</v>
      </c>
      <c r="D3786" s="2" t="s">
        <v>7828</v>
      </c>
      <c r="E3786" s="2" t="s">
        <v>7523</v>
      </c>
      <c r="F3786" s="3" t="n">
        <v>46029.1618055556</v>
      </c>
      <c r="G3786" s="2" t="s">
        <v>7684</v>
      </c>
      <c r="H3786" s="4" t="n">
        <v>0.4019</v>
      </c>
      <c r="I3786" s="2" t="s">
        <v>23</v>
      </c>
      <c r="J3786" s="2" t="s">
        <v>19</v>
      </c>
      <c r="K3786" s="2" t="n">
        <v>1</v>
      </c>
      <c r="L3786" s="2" t="n">
        <v>0</v>
      </c>
      <c r="M3786" s="2" t="n">
        <v>0</v>
      </c>
    </row>
    <row r="3787" customFormat="false" ht="15" hidden="false" customHeight="false" outlineLevel="0" collapsed="false">
      <c r="A3787" s="2" t="s">
        <v>7829</v>
      </c>
      <c r="B3787" s="2" t="s">
        <v>7830</v>
      </c>
      <c r="C3787" s="2" t="n">
        <v>5</v>
      </c>
      <c r="D3787" s="2" t="s">
        <v>52</v>
      </c>
      <c r="E3787" s="2" t="s">
        <v>7523</v>
      </c>
      <c r="F3787" s="3" t="n">
        <v>46029.2944444444</v>
      </c>
      <c r="G3787" s="2" t="s">
        <v>7684</v>
      </c>
      <c r="H3787" s="4" t="n">
        <v>0.6369</v>
      </c>
      <c r="I3787" s="2" t="s">
        <v>23</v>
      </c>
      <c r="J3787" s="2" t="s">
        <v>19</v>
      </c>
      <c r="K3787" s="2" t="n">
        <v>1</v>
      </c>
      <c r="L3787" s="2" t="n">
        <v>0</v>
      </c>
      <c r="M3787" s="2" t="n">
        <v>0</v>
      </c>
    </row>
    <row r="3788" customFormat="false" ht="15" hidden="false" customHeight="false" outlineLevel="0" collapsed="false">
      <c r="A3788" s="2" t="s">
        <v>7831</v>
      </c>
      <c r="B3788" s="2" t="s">
        <v>7832</v>
      </c>
      <c r="C3788" s="2" t="n">
        <v>5</v>
      </c>
      <c r="D3788" s="2" t="s">
        <v>1797</v>
      </c>
      <c r="E3788" s="2" t="s">
        <v>7523</v>
      </c>
      <c r="F3788" s="3" t="n">
        <v>46029.3180555556</v>
      </c>
      <c r="G3788" s="2" t="s">
        <v>7684</v>
      </c>
      <c r="H3788" s="4" t="n">
        <v>0.4019</v>
      </c>
      <c r="I3788" s="2" t="s">
        <v>23</v>
      </c>
      <c r="J3788" s="2" t="s">
        <v>33</v>
      </c>
      <c r="K3788" s="2" t="n">
        <v>5</v>
      </c>
      <c r="L3788" s="2" t="n">
        <v>0</v>
      </c>
      <c r="M3788" s="2" t="n">
        <v>0</v>
      </c>
    </row>
    <row r="3789" customFormat="false" ht="15" hidden="false" customHeight="false" outlineLevel="0" collapsed="false">
      <c r="A3789" s="2" t="s">
        <v>7833</v>
      </c>
      <c r="B3789" s="2" t="s">
        <v>7834</v>
      </c>
      <c r="C3789" s="2" t="n">
        <v>1</v>
      </c>
      <c r="D3789" s="2" t="s">
        <v>498</v>
      </c>
      <c r="E3789" s="2" t="s">
        <v>7523</v>
      </c>
      <c r="F3789" s="3" t="n">
        <v>46029.3902777778</v>
      </c>
      <c r="G3789" s="2" t="s">
        <v>7684</v>
      </c>
      <c r="H3789" s="4" t="n">
        <v>0</v>
      </c>
      <c r="I3789" s="2" t="s">
        <v>18</v>
      </c>
      <c r="J3789" s="2" t="s">
        <v>165</v>
      </c>
      <c r="K3789" s="2" t="n">
        <v>16</v>
      </c>
      <c r="L3789" s="2" t="n">
        <v>0</v>
      </c>
      <c r="M3789" s="2" t="n">
        <v>0</v>
      </c>
    </row>
    <row r="3790" customFormat="false" ht="15" hidden="false" customHeight="false" outlineLevel="0" collapsed="false">
      <c r="A3790" s="2" t="s">
        <v>7835</v>
      </c>
      <c r="B3790" s="2" t="s">
        <v>5737</v>
      </c>
      <c r="C3790" s="2" t="n">
        <v>5</v>
      </c>
      <c r="D3790" s="2" t="s">
        <v>96</v>
      </c>
      <c r="E3790" s="2" t="s">
        <v>7523</v>
      </c>
      <c r="F3790" s="3" t="n">
        <v>46029.5104166667</v>
      </c>
      <c r="G3790" s="2" t="s">
        <v>7684</v>
      </c>
      <c r="H3790" s="4" t="n">
        <v>0.6369</v>
      </c>
      <c r="I3790" s="2" t="s">
        <v>23</v>
      </c>
      <c r="J3790" s="2" t="s">
        <v>19</v>
      </c>
      <c r="K3790" s="2" t="n">
        <v>1</v>
      </c>
      <c r="L3790" s="2" t="n">
        <v>0</v>
      </c>
      <c r="M3790" s="2" t="n">
        <v>0</v>
      </c>
    </row>
    <row r="3791" customFormat="false" ht="15" hidden="false" customHeight="false" outlineLevel="0" collapsed="false">
      <c r="A3791" s="2" t="s">
        <v>7836</v>
      </c>
      <c r="B3791" s="2" t="s">
        <v>7837</v>
      </c>
      <c r="C3791" s="2" t="n">
        <v>1</v>
      </c>
      <c r="D3791" s="2" t="s">
        <v>2206</v>
      </c>
      <c r="E3791" s="2" t="s">
        <v>7523</v>
      </c>
      <c r="F3791" s="3" t="n">
        <v>46029.5125</v>
      </c>
      <c r="G3791" s="2" t="s">
        <v>7684</v>
      </c>
      <c r="H3791" s="4" t="n">
        <v>-0.6437</v>
      </c>
      <c r="I3791" s="2" t="s">
        <v>84</v>
      </c>
      <c r="J3791" s="2" t="s">
        <v>37</v>
      </c>
      <c r="K3791" s="2" t="n">
        <v>6</v>
      </c>
      <c r="L3791" s="2" t="n">
        <v>0</v>
      </c>
      <c r="M3791" s="2" t="n">
        <v>0</v>
      </c>
    </row>
    <row r="3792" customFormat="false" ht="15" hidden="false" customHeight="false" outlineLevel="0" collapsed="false">
      <c r="A3792" s="2" t="s">
        <v>7838</v>
      </c>
      <c r="B3792" s="2" t="s">
        <v>7839</v>
      </c>
      <c r="C3792" s="2" t="n">
        <v>4</v>
      </c>
      <c r="D3792" s="2" t="s">
        <v>210</v>
      </c>
      <c r="E3792" s="2" t="s">
        <v>7523</v>
      </c>
      <c r="F3792" s="3" t="n">
        <v>46029.8243055556</v>
      </c>
      <c r="G3792" s="2" t="s">
        <v>7684</v>
      </c>
      <c r="H3792" s="4" t="n">
        <v>0.5448</v>
      </c>
      <c r="I3792" s="2" t="s">
        <v>23</v>
      </c>
      <c r="J3792" s="2" t="s">
        <v>19</v>
      </c>
      <c r="K3792" s="2" t="n">
        <v>5</v>
      </c>
      <c r="L3792" s="2" t="n">
        <v>0</v>
      </c>
      <c r="M3792" s="2" t="n">
        <v>0</v>
      </c>
    </row>
    <row r="3793" customFormat="false" ht="15" hidden="false" customHeight="false" outlineLevel="0" collapsed="false">
      <c r="A3793" s="2" t="s">
        <v>7840</v>
      </c>
      <c r="B3793" s="2" t="s">
        <v>7841</v>
      </c>
      <c r="C3793" s="2" t="n">
        <v>2</v>
      </c>
      <c r="D3793" s="2" t="s">
        <v>701</v>
      </c>
      <c r="E3793" s="2" t="s">
        <v>7523</v>
      </c>
      <c r="F3793" s="3" t="n">
        <v>46029.9854166667</v>
      </c>
      <c r="G3793" s="2" t="s">
        <v>7684</v>
      </c>
      <c r="H3793" s="4" t="n">
        <v>-0.7184</v>
      </c>
      <c r="I3793" s="2" t="s">
        <v>84</v>
      </c>
      <c r="J3793" s="2" t="s">
        <v>37</v>
      </c>
      <c r="K3793" s="2" t="n">
        <v>1</v>
      </c>
      <c r="L3793" s="2" t="n">
        <v>1</v>
      </c>
      <c r="M3793" s="2" t="n">
        <v>0</v>
      </c>
    </row>
    <row r="3794" customFormat="false" ht="15" hidden="false" customHeight="false" outlineLevel="0" collapsed="false">
      <c r="A3794" s="2" t="s">
        <v>7842</v>
      </c>
      <c r="B3794" s="2" t="s">
        <v>7843</v>
      </c>
      <c r="C3794" s="2" t="n">
        <v>5</v>
      </c>
      <c r="D3794" s="2" t="s">
        <v>374</v>
      </c>
      <c r="E3794" s="2" t="s">
        <v>7523</v>
      </c>
      <c r="F3794" s="3" t="n">
        <v>46030.0069444445</v>
      </c>
      <c r="G3794" s="2" t="s">
        <v>7684</v>
      </c>
      <c r="H3794" s="4" t="n">
        <v>0.6369</v>
      </c>
      <c r="I3794" s="2" t="s">
        <v>23</v>
      </c>
      <c r="J3794" s="2" t="s">
        <v>19</v>
      </c>
      <c r="K3794" s="2" t="n">
        <v>3</v>
      </c>
      <c r="L3794" s="2" t="n">
        <v>0</v>
      </c>
      <c r="M3794" s="2" t="n">
        <v>0</v>
      </c>
    </row>
    <row r="3795" customFormat="false" ht="15" hidden="false" customHeight="false" outlineLevel="0" collapsed="false">
      <c r="A3795" s="2" t="s">
        <v>7844</v>
      </c>
      <c r="B3795" s="2" t="s">
        <v>7845</v>
      </c>
      <c r="C3795" s="2" t="n">
        <v>5</v>
      </c>
      <c r="D3795" s="2" t="s">
        <v>269</v>
      </c>
      <c r="E3795" s="2" t="s">
        <v>7523</v>
      </c>
      <c r="F3795" s="3" t="n">
        <v>46030.0590277778</v>
      </c>
      <c r="G3795" s="2" t="s">
        <v>7684</v>
      </c>
      <c r="H3795" s="4" t="n">
        <v>0.8748</v>
      </c>
      <c r="I3795" s="2" t="s">
        <v>23</v>
      </c>
      <c r="J3795" s="2" t="s">
        <v>37</v>
      </c>
      <c r="K3795" s="2" t="n">
        <v>0</v>
      </c>
      <c r="L3795" s="2" t="n">
        <v>0</v>
      </c>
      <c r="M3795" s="2" t="n">
        <v>0</v>
      </c>
    </row>
    <row r="3796" customFormat="false" ht="15" hidden="false" customHeight="false" outlineLevel="0" collapsed="false">
      <c r="A3796" s="2" t="s">
        <v>7846</v>
      </c>
      <c r="B3796" s="2" t="s">
        <v>7847</v>
      </c>
      <c r="C3796" s="2" t="n">
        <v>5</v>
      </c>
      <c r="D3796" s="2" t="s">
        <v>62</v>
      </c>
      <c r="E3796" s="2" t="s">
        <v>7523</v>
      </c>
      <c r="F3796" s="3" t="n">
        <v>46030.1145833333</v>
      </c>
      <c r="G3796" s="2" t="s">
        <v>7684</v>
      </c>
      <c r="H3796" s="4" t="n">
        <v>0.7088</v>
      </c>
      <c r="I3796" s="2" t="s">
        <v>23</v>
      </c>
      <c r="J3796" s="2" t="s">
        <v>19</v>
      </c>
      <c r="K3796" s="2" t="n">
        <v>2</v>
      </c>
      <c r="L3796" s="2" t="n">
        <v>0</v>
      </c>
      <c r="M3796" s="2" t="n">
        <v>0</v>
      </c>
    </row>
    <row r="3797" customFormat="false" ht="15" hidden="false" customHeight="false" outlineLevel="0" collapsed="false">
      <c r="A3797" s="2" t="s">
        <v>7848</v>
      </c>
      <c r="B3797" s="2" t="s">
        <v>7849</v>
      </c>
      <c r="C3797" s="2" t="n">
        <v>5</v>
      </c>
      <c r="D3797" s="2" t="s">
        <v>15</v>
      </c>
      <c r="E3797" s="2" t="s">
        <v>7523</v>
      </c>
      <c r="F3797" s="3" t="n">
        <v>46030.1368055556</v>
      </c>
      <c r="G3797" s="2" t="s">
        <v>7684</v>
      </c>
      <c r="H3797" s="4" t="n">
        <v>0</v>
      </c>
      <c r="I3797" s="2" t="s">
        <v>18</v>
      </c>
      <c r="J3797" s="2" t="s">
        <v>19</v>
      </c>
      <c r="K3797" s="2" t="n">
        <v>4</v>
      </c>
      <c r="L3797" s="2" t="n">
        <v>0</v>
      </c>
      <c r="M3797" s="2" t="n">
        <v>0</v>
      </c>
    </row>
    <row r="3798" customFormat="false" ht="15" hidden="false" customHeight="false" outlineLevel="0" collapsed="false">
      <c r="A3798" s="2" t="s">
        <v>7850</v>
      </c>
      <c r="B3798" s="2" t="s">
        <v>7851</v>
      </c>
      <c r="C3798" s="2" t="n">
        <v>5</v>
      </c>
      <c r="D3798" s="2" t="s">
        <v>52</v>
      </c>
      <c r="E3798" s="2" t="s">
        <v>7523</v>
      </c>
      <c r="F3798" s="3" t="n">
        <v>46030.1479166667</v>
      </c>
      <c r="G3798" s="2" t="s">
        <v>7684</v>
      </c>
      <c r="H3798" s="4" t="n">
        <v>0.6369</v>
      </c>
      <c r="I3798" s="2" t="s">
        <v>23</v>
      </c>
      <c r="J3798" s="2" t="s">
        <v>19</v>
      </c>
      <c r="K3798" s="2" t="n">
        <v>1</v>
      </c>
      <c r="L3798" s="2" t="n">
        <v>0</v>
      </c>
      <c r="M3798" s="2" t="n">
        <v>0</v>
      </c>
    </row>
    <row r="3799" customFormat="false" ht="15" hidden="false" customHeight="false" outlineLevel="0" collapsed="false">
      <c r="A3799" s="2" t="s">
        <v>7852</v>
      </c>
      <c r="B3799" s="2" t="s">
        <v>7853</v>
      </c>
      <c r="C3799" s="2" t="n">
        <v>3</v>
      </c>
      <c r="D3799" s="2" t="s">
        <v>36</v>
      </c>
      <c r="E3799" s="2" t="s">
        <v>7523</v>
      </c>
      <c r="F3799" s="3" t="n">
        <v>46030.6208333333</v>
      </c>
      <c r="G3799" s="2" t="s">
        <v>7684</v>
      </c>
      <c r="H3799" s="4" t="n">
        <v>0.4404</v>
      </c>
      <c r="I3799" s="2" t="s">
        <v>23</v>
      </c>
      <c r="J3799" s="2" t="s">
        <v>37</v>
      </c>
      <c r="K3799" s="2" t="n">
        <v>0</v>
      </c>
      <c r="L3799" s="2" t="n">
        <v>0</v>
      </c>
      <c r="M3799" s="2" t="n">
        <v>0</v>
      </c>
    </row>
    <row r="3800" customFormat="false" ht="15" hidden="false" customHeight="false" outlineLevel="0" collapsed="false">
      <c r="A3800" s="2" t="s">
        <v>7854</v>
      </c>
      <c r="B3800" s="2" t="s">
        <v>7855</v>
      </c>
      <c r="C3800" s="2" t="n">
        <v>3</v>
      </c>
      <c r="D3800" s="2" t="s">
        <v>560</v>
      </c>
      <c r="E3800" s="2" t="s">
        <v>7523</v>
      </c>
      <c r="F3800" s="3" t="n">
        <v>46030.6284722222</v>
      </c>
      <c r="G3800" s="2" t="s">
        <v>7684</v>
      </c>
      <c r="H3800" s="4" t="n">
        <v>0</v>
      </c>
      <c r="I3800" s="2" t="s">
        <v>18</v>
      </c>
      <c r="J3800" s="2" t="s">
        <v>19</v>
      </c>
      <c r="K3800" s="2" t="n">
        <v>1</v>
      </c>
      <c r="L3800" s="2" t="n">
        <v>0</v>
      </c>
      <c r="M3800" s="2" t="n">
        <v>0</v>
      </c>
    </row>
    <row r="3801" customFormat="false" ht="15" hidden="false" customHeight="false" outlineLevel="0" collapsed="false">
      <c r="A3801" s="2" t="s">
        <v>7856</v>
      </c>
      <c r="B3801" s="2" t="s">
        <v>7857</v>
      </c>
      <c r="C3801" s="2" t="n">
        <v>4</v>
      </c>
      <c r="D3801" s="2" t="s">
        <v>47</v>
      </c>
      <c r="E3801" s="2" t="s">
        <v>7523</v>
      </c>
      <c r="F3801" s="3" t="n">
        <v>46030.6763888889</v>
      </c>
      <c r="G3801" s="2" t="s">
        <v>7684</v>
      </c>
      <c r="H3801" s="4" t="n">
        <v>0.3089</v>
      </c>
      <c r="I3801" s="2" t="s">
        <v>23</v>
      </c>
      <c r="J3801" s="2" t="s">
        <v>19</v>
      </c>
      <c r="K3801" s="2" t="n">
        <v>7</v>
      </c>
      <c r="L3801" s="2" t="n">
        <v>0</v>
      </c>
      <c r="M3801" s="2" t="n">
        <v>0</v>
      </c>
    </row>
    <row r="3802" customFormat="false" ht="15" hidden="false" customHeight="false" outlineLevel="0" collapsed="false">
      <c r="A3802" s="2" t="s">
        <v>7858</v>
      </c>
      <c r="B3802" s="2" t="s">
        <v>7859</v>
      </c>
      <c r="C3802" s="2" t="n">
        <v>4</v>
      </c>
      <c r="D3802" s="2" t="s">
        <v>62</v>
      </c>
      <c r="E3802" s="2" t="s">
        <v>7523</v>
      </c>
      <c r="F3802" s="3" t="n">
        <v>46031.0423611111</v>
      </c>
      <c r="G3802" s="2" t="s">
        <v>7684</v>
      </c>
      <c r="H3802" s="4" t="n">
        <v>0.7088</v>
      </c>
      <c r="I3802" s="2" t="s">
        <v>23</v>
      </c>
      <c r="J3802" s="2" t="s">
        <v>19</v>
      </c>
      <c r="K3802" s="2" t="n">
        <v>2</v>
      </c>
      <c r="L3802" s="2" t="n">
        <v>0</v>
      </c>
      <c r="M3802" s="2" t="n">
        <v>0</v>
      </c>
    </row>
    <row r="3803" customFormat="false" ht="15" hidden="false" customHeight="false" outlineLevel="0" collapsed="false">
      <c r="A3803" s="2" t="s">
        <v>7860</v>
      </c>
      <c r="B3803" s="2" t="s">
        <v>7861</v>
      </c>
      <c r="C3803" s="2" t="n">
        <v>4</v>
      </c>
      <c r="D3803" s="2" t="s">
        <v>22</v>
      </c>
      <c r="E3803" s="2" t="s">
        <v>7523</v>
      </c>
      <c r="F3803" s="3" t="n">
        <v>46031.10625</v>
      </c>
      <c r="G3803" s="2" t="s">
        <v>7684</v>
      </c>
      <c r="H3803" s="4" t="n">
        <v>0.2023</v>
      </c>
      <c r="I3803" s="2" t="s">
        <v>23</v>
      </c>
      <c r="J3803" s="2" t="s">
        <v>19</v>
      </c>
      <c r="K3803" s="2" t="n">
        <v>6</v>
      </c>
      <c r="L3803" s="2" t="n">
        <v>0</v>
      </c>
      <c r="M3803" s="2" t="n">
        <v>0</v>
      </c>
    </row>
    <row r="3804" customFormat="false" ht="15" hidden="false" customHeight="false" outlineLevel="0" collapsed="false">
      <c r="A3804" s="2" t="s">
        <v>7862</v>
      </c>
      <c r="B3804" s="2" t="s">
        <v>7863</v>
      </c>
      <c r="C3804" s="2" t="n">
        <v>5</v>
      </c>
      <c r="D3804" s="2" t="s">
        <v>1363</v>
      </c>
      <c r="E3804" s="2" t="s">
        <v>7523</v>
      </c>
      <c r="F3804" s="3" t="n">
        <v>46031.1256944445</v>
      </c>
      <c r="G3804" s="2" t="s">
        <v>7684</v>
      </c>
      <c r="H3804" s="4" t="n">
        <v>0.6597</v>
      </c>
      <c r="I3804" s="2" t="s">
        <v>23</v>
      </c>
      <c r="J3804" s="2" t="s">
        <v>33</v>
      </c>
      <c r="K3804" s="2" t="n">
        <v>7</v>
      </c>
      <c r="L3804" s="2" t="n">
        <v>0</v>
      </c>
      <c r="M3804" s="2" t="n">
        <v>0</v>
      </c>
    </row>
    <row r="3805" customFormat="false" ht="15" hidden="false" customHeight="false" outlineLevel="0" collapsed="false">
      <c r="A3805" s="2" t="s">
        <v>7864</v>
      </c>
      <c r="B3805" s="2" t="s">
        <v>7865</v>
      </c>
      <c r="C3805" s="2" t="n">
        <v>1</v>
      </c>
      <c r="D3805" s="2" t="s">
        <v>168</v>
      </c>
      <c r="E3805" s="2" t="s">
        <v>7523</v>
      </c>
      <c r="F3805" s="3" t="n">
        <v>46031.2194444445</v>
      </c>
      <c r="G3805" s="2" t="s">
        <v>7684</v>
      </c>
      <c r="H3805" s="4" t="n">
        <v>-0.1027</v>
      </c>
      <c r="I3805" s="2" t="s">
        <v>84</v>
      </c>
      <c r="J3805" s="2" t="s">
        <v>33</v>
      </c>
      <c r="K3805" s="2" t="n">
        <v>7</v>
      </c>
      <c r="L3805" s="2" t="n">
        <v>0</v>
      </c>
      <c r="M3805" s="2" t="n">
        <v>0</v>
      </c>
    </row>
    <row r="3806" customFormat="false" ht="15" hidden="false" customHeight="false" outlineLevel="0" collapsed="false">
      <c r="A3806" s="2" t="s">
        <v>7866</v>
      </c>
      <c r="B3806" s="2" t="s">
        <v>3449</v>
      </c>
      <c r="C3806" s="2" t="n">
        <v>4</v>
      </c>
      <c r="D3806" s="2" t="s">
        <v>87</v>
      </c>
      <c r="E3806" s="2" t="s">
        <v>7523</v>
      </c>
      <c r="F3806" s="3" t="n">
        <v>46031.2826388889</v>
      </c>
      <c r="G3806" s="2" t="s">
        <v>7684</v>
      </c>
      <c r="H3806" s="4" t="n">
        <v>0</v>
      </c>
      <c r="I3806" s="2" t="s">
        <v>18</v>
      </c>
      <c r="J3806" s="2" t="s">
        <v>19</v>
      </c>
      <c r="K3806" s="2" t="n">
        <v>1</v>
      </c>
      <c r="L3806" s="2" t="n">
        <v>0</v>
      </c>
      <c r="M3806" s="2" t="n">
        <v>0</v>
      </c>
    </row>
    <row r="3807" customFormat="false" ht="15" hidden="false" customHeight="false" outlineLevel="0" collapsed="false">
      <c r="A3807" s="2" t="s">
        <v>7867</v>
      </c>
      <c r="B3807" s="2" t="s">
        <v>7868</v>
      </c>
      <c r="C3807" s="2" t="n">
        <v>3</v>
      </c>
      <c r="D3807" s="2" t="s">
        <v>22</v>
      </c>
      <c r="E3807" s="2" t="s">
        <v>7523</v>
      </c>
      <c r="F3807" s="3" t="n">
        <v>46031.4611111111</v>
      </c>
      <c r="G3807" s="2" t="s">
        <v>7684</v>
      </c>
      <c r="H3807" s="4" t="n">
        <v>0.2023</v>
      </c>
      <c r="I3807" s="2" t="s">
        <v>23</v>
      </c>
      <c r="J3807" s="2" t="s">
        <v>19</v>
      </c>
      <c r="K3807" s="2" t="n">
        <v>0</v>
      </c>
      <c r="L3807" s="2" t="n">
        <v>0</v>
      </c>
      <c r="M3807" s="2" t="n">
        <v>0</v>
      </c>
    </row>
    <row r="3808" customFormat="false" ht="15" hidden="false" customHeight="false" outlineLevel="0" collapsed="false">
      <c r="A3808" s="2" t="s">
        <v>7869</v>
      </c>
      <c r="B3808" s="2" t="s">
        <v>7870</v>
      </c>
      <c r="C3808" s="2" t="n">
        <v>4</v>
      </c>
      <c r="D3808" s="2" t="s">
        <v>15</v>
      </c>
      <c r="E3808" s="2" t="s">
        <v>7523</v>
      </c>
      <c r="F3808" s="3" t="n">
        <v>46031.4708333333</v>
      </c>
      <c r="G3808" s="2" t="s">
        <v>7684</v>
      </c>
      <c r="H3808" s="4" t="n">
        <v>0</v>
      </c>
      <c r="I3808" s="2" t="s">
        <v>18</v>
      </c>
      <c r="J3808" s="2" t="s">
        <v>19</v>
      </c>
      <c r="K3808" s="2" t="n">
        <v>2</v>
      </c>
      <c r="L3808" s="2" t="n">
        <v>0</v>
      </c>
      <c r="M3808" s="2" t="n">
        <v>0</v>
      </c>
    </row>
    <row r="3809" customFormat="false" ht="15" hidden="false" customHeight="false" outlineLevel="0" collapsed="false">
      <c r="A3809" s="2" t="s">
        <v>7871</v>
      </c>
      <c r="B3809" s="2" t="s">
        <v>7872</v>
      </c>
      <c r="C3809" s="2" t="n">
        <v>5</v>
      </c>
      <c r="D3809" s="2" t="s">
        <v>251</v>
      </c>
      <c r="E3809" s="2" t="s">
        <v>7523</v>
      </c>
      <c r="F3809" s="3" t="n">
        <v>46031.5479166667</v>
      </c>
      <c r="G3809" s="2" t="s">
        <v>7684</v>
      </c>
      <c r="H3809" s="4" t="n">
        <v>0.8651</v>
      </c>
      <c r="I3809" s="2" t="s">
        <v>23</v>
      </c>
      <c r="J3809" s="2" t="s">
        <v>19</v>
      </c>
      <c r="K3809" s="2" t="n">
        <v>0</v>
      </c>
      <c r="L3809" s="2" t="n">
        <v>0</v>
      </c>
      <c r="M3809" s="2" t="n">
        <v>0</v>
      </c>
    </row>
    <row r="3810" customFormat="false" ht="15" hidden="false" customHeight="false" outlineLevel="0" collapsed="false">
      <c r="A3810" s="2" t="s">
        <v>7873</v>
      </c>
      <c r="B3810" s="2" t="s">
        <v>7874</v>
      </c>
      <c r="C3810" s="2" t="n">
        <v>5</v>
      </c>
      <c r="D3810" s="2" t="s">
        <v>282</v>
      </c>
      <c r="E3810" s="2" t="s">
        <v>7523</v>
      </c>
      <c r="F3810" s="3" t="n">
        <v>46031.6034722222</v>
      </c>
      <c r="G3810" s="2" t="s">
        <v>7684</v>
      </c>
      <c r="H3810" s="4" t="n">
        <v>0.7992</v>
      </c>
      <c r="I3810" s="2" t="s">
        <v>23</v>
      </c>
      <c r="J3810" s="2" t="s">
        <v>19</v>
      </c>
      <c r="K3810" s="2" t="n">
        <v>7</v>
      </c>
      <c r="L3810" s="2" t="n">
        <v>0</v>
      </c>
      <c r="M3810" s="2" t="n">
        <v>0</v>
      </c>
    </row>
    <row r="3811" customFormat="false" ht="15" hidden="false" customHeight="false" outlineLevel="0" collapsed="false">
      <c r="A3811" s="2" t="s">
        <v>7875</v>
      </c>
      <c r="B3811" s="2" t="s">
        <v>7876</v>
      </c>
      <c r="C3811" s="2" t="n">
        <v>4</v>
      </c>
      <c r="D3811" s="2" t="s">
        <v>47</v>
      </c>
      <c r="E3811" s="2" t="s">
        <v>7523</v>
      </c>
      <c r="F3811" s="3" t="n">
        <v>46031.6555555556</v>
      </c>
      <c r="G3811" s="2" t="s">
        <v>7684</v>
      </c>
      <c r="H3811" s="4" t="n">
        <v>0.3089</v>
      </c>
      <c r="I3811" s="2" t="s">
        <v>23</v>
      </c>
      <c r="J3811" s="2" t="s">
        <v>19</v>
      </c>
      <c r="K3811" s="2" t="n">
        <v>3</v>
      </c>
      <c r="L3811" s="2" t="n">
        <v>0</v>
      </c>
      <c r="M3811" s="2" t="n">
        <v>0</v>
      </c>
    </row>
    <row r="3812" customFormat="false" ht="15" hidden="false" customHeight="false" outlineLevel="0" collapsed="false">
      <c r="A3812" s="2" t="s">
        <v>7877</v>
      </c>
      <c r="B3812" s="2" t="s">
        <v>7878</v>
      </c>
      <c r="C3812" s="2" t="n">
        <v>5</v>
      </c>
      <c r="D3812" s="2" t="s">
        <v>2140</v>
      </c>
      <c r="E3812" s="2" t="s">
        <v>7523</v>
      </c>
      <c r="F3812" s="3" t="n">
        <v>46031.95625</v>
      </c>
      <c r="G3812" s="2" t="s">
        <v>7684</v>
      </c>
      <c r="H3812" s="4" t="n">
        <v>0.8777</v>
      </c>
      <c r="I3812" s="2" t="s">
        <v>23</v>
      </c>
      <c r="J3812" s="2" t="s">
        <v>19</v>
      </c>
      <c r="K3812" s="2" t="n">
        <v>2</v>
      </c>
      <c r="L3812" s="2" t="n">
        <v>0</v>
      </c>
      <c r="M3812" s="2" t="n">
        <v>0</v>
      </c>
    </row>
    <row r="3813" customFormat="false" ht="15" hidden="false" customHeight="false" outlineLevel="0" collapsed="false">
      <c r="A3813" s="2" t="s">
        <v>7879</v>
      </c>
      <c r="B3813" s="2" t="s">
        <v>7880</v>
      </c>
      <c r="C3813" s="2" t="n">
        <v>5</v>
      </c>
      <c r="D3813" s="2" t="s">
        <v>127</v>
      </c>
      <c r="E3813" s="2" t="s">
        <v>7523</v>
      </c>
      <c r="F3813" s="3" t="n">
        <v>46032.10625</v>
      </c>
      <c r="G3813" s="2" t="s">
        <v>7684</v>
      </c>
      <c r="H3813" s="4" t="n">
        <v>0.9359</v>
      </c>
      <c r="I3813" s="2" t="s">
        <v>23</v>
      </c>
      <c r="J3813" s="2" t="s">
        <v>37</v>
      </c>
      <c r="K3813" s="2" t="n">
        <v>5</v>
      </c>
      <c r="L3813" s="2" t="n">
        <v>0</v>
      </c>
      <c r="M3813" s="2" t="n">
        <v>0</v>
      </c>
    </row>
    <row r="3814" customFormat="false" ht="15" hidden="false" customHeight="false" outlineLevel="0" collapsed="false">
      <c r="A3814" s="2" t="s">
        <v>7881</v>
      </c>
      <c r="B3814" s="2" t="s">
        <v>7270</v>
      </c>
      <c r="C3814" s="2" t="n">
        <v>1</v>
      </c>
      <c r="D3814" s="2" t="s">
        <v>234</v>
      </c>
      <c r="E3814" s="2" t="s">
        <v>7523</v>
      </c>
      <c r="F3814" s="3" t="n">
        <v>46032.1229166667</v>
      </c>
      <c r="G3814" s="2" t="s">
        <v>7684</v>
      </c>
      <c r="H3814" s="4" t="n">
        <v>0</v>
      </c>
      <c r="I3814" s="2" t="s">
        <v>18</v>
      </c>
      <c r="J3814" s="2" t="s">
        <v>165</v>
      </c>
      <c r="K3814" s="2" t="n">
        <v>1</v>
      </c>
      <c r="L3814" s="2" t="n">
        <v>0</v>
      </c>
      <c r="M3814" s="2" t="n">
        <v>0</v>
      </c>
    </row>
    <row r="3815" customFormat="false" ht="15" hidden="false" customHeight="false" outlineLevel="0" collapsed="false">
      <c r="A3815" s="2" t="s">
        <v>7882</v>
      </c>
      <c r="B3815" s="2" t="s">
        <v>7883</v>
      </c>
      <c r="C3815" s="2" t="n">
        <v>4</v>
      </c>
      <c r="D3815" s="2" t="s">
        <v>40</v>
      </c>
      <c r="E3815" s="2" t="s">
        <v>7523</v>
      </c>
      <c r="F3815" s="3" t="n">
        <v>46032.1354166667</v>
      </c>
      <c r="G3815" s="2" t="s">
        <v>7684</v>
      </c>
      <c r="H3815" s="4" t="n">
        <v>0.4019</v>
      </c>
      <c r="I3815" s="2" t="s">
        <v>23</v>
      </c>
      <c r="J3815" s="2" t="s">
        <v>33</v>
      </c>
      <c r="K3815" s="2" t="n">
        <v>1</v>
      </c>
      <c r="L3815" s="2" t="n">
        <v>0</v>
      </c>
      <c r="M3815" s="2" t="n">
        <v>0</v>
      </c>
    </row>
    <row r="3816" customFormat="false" ht="15" hidden="false" customHeight="false" outlineLevel="0" collapsed="false">
      <c r="A3816" s="2" t="s">
        <v>7884</v>
      </c>
      <c r="B3816" s="2" t="s">
        <v>7885</v>
      </c>
      <c r="C3816" s="2" t="n">
        <v>4</v>
      </c>
      <c r="D3816" s="2" t="s">
        <v>40</v>
      </c>
      <c r="E3816" s="2" t="s">
        <v>7523</v>
      </c>
      <c r="F3816" s="3" t="n">
        <v>46032.1694444444</v>
      </c>
      <c r="G3816" s="2" t="s">
        <v>7684</v>
      </c>
      <c r="H3816" s="4" t="n">
        <v>0.4019</v>
      </c>
      <c r="I3816" s="2" t="s">
        <v>23</v>
      </c>
      <c r="J3816" s="2" t="s">
        <v>33</v>
      </c>
      <c r="K3816" s="2" t="n">
        <v>0</v>
      </c>
      <c r="L3816" s="2" t="n">
        <v>0</v>
      </c>
      <c r="M3816" s="2" t="n">
        <v>0</v>
      </c>
    </row>
    <row r="3817" customFormat="false" ht="15" hidden="false" customHeight="false" outlineLevel="0" collapsed="false">
      <c r="A3817" s="2" t="s">
        <v>7886</v>
      </c>
      <c r="B3817" s="2" t="s">
        <v>7887</v>
      </c>
      <c r="C3817" s="2" t="n">
        <v>5</v>
      </c>
      <c r="D3817" s="2" t="s">
        <v>282</v>
      </c>
      <c r="E3817" s="2" t="s">
        <v>7523</v>
      </c>
      <c r="F3817" s="3" t="n">
        <v>46032.4583333333</v>
      </c>
      <c r="G3817" s="2" t="s">
        <v>7684</v>
      </c>
      <c r="H3817" s="4" t="n">
        <v>0.7992</v>
      </c>
      <c r="I3817" s="2" t="s">
        <v>23</v>
      </c>
      <c r="J3817" s="2" t="s">
        <v>19</v>
      </c>
      <c r="K3817" s="2" t="n">
        <v>1</v>
      </c>
      <c r="L3817" s="2" t="n">
        <v>0</v>
      </c>
      <c r="M3817" s="2" t="n">
        <v>0</v>
      </c>
    </row>
    <row r="3818" customFormat="false" ht="15" hidden="false" customHeight="false" outlineLevel="0" collapsed="false">
      <c r="A3818" s="2" t="s">
        <v>7888</v>
      </c>
      <c r="B3818" s="2" t="s">
        <v>7889</v>
      </c>
      <c r="C3818" s="2" t="n">
        <v>5</v>
      </c>
      <c r="D3818" s="2" t="s">
        <v>652</v>
      </c>
      <c r="E3818" s="2" t="s">
        <v>7523</v>
      </c>
      <c r="F3818" s="3" t="n">
        <v>46032.69375</v>
      </c>
      <c r="G3818" s="2" t="s">
        <v>7684</v>
      </c>
      <c r="H3818" s="4" t="n">
        <v>0.8555</v>
      </c>
      <c r="I3818" s="2" t="s">
        <v>23</v>
      </c>
      <c r="J3818" s="2" t="s">
        <v>19</v>
      </c>
      <c r="K3818" s="2" t="n">
        <v>3</v>
      </c>
      <c r="L3818" s="2" t="n">
        <v>0</v>
      </c>
      <c r="M3818" s="2" t="n">
        <v>0</v>
      </c>
    </row>
    <row r="3819" customFormat="false" ht="15" hidden="false" customHeight="false" outlineLevel="0" collapsed="false">
      <c r="A3819" s="2" t="s">
        <v>7890</v>
      </c>
      <c r="B3819" s="2" t="s">
        <v>7891</v>
      </c>
      <c r="C3819" s="2" t="n">
        <v>2</v>
      </c>
      <c r="D3819" s="2" t="s">
        <v>179</v>
      </c>
      <c r="E3819" s="2" t="s">
        <v>7523</v>
      </c>
      <c r="F3819" s="3" t="n">
        <v>46032.7375</v>
      </c>
      <c r="G3819" s="2" t="s">
        <v>7684</v>
      </c>
      <c r="H3819" s="4" t="n">
        <v>-0.0258</v>
      </c>
      <c r="I3819" s="2" t="s">
        <v>18</v>
      </c>
      <c r="J3819" s="2" t="s">
        <v>59</v>
      </c>
      <c r="K3819" s="2" t="n">
        <v>9</v>
      </c>
      <c r="L3819" s="2" t="n">
        <v>1</v>
      </c>
      <c r="M3819" s="2" t="n">
        <v>0</v>
      </c>
    </row>
    <row r="3820" customFormat="false" ht="15" hidden="false" customHeight="false" outlineLevel="0" collapsed="false">
      <c r="A3820" s="2" t="s">
        <v>7892</v>
      </c>
      <c r="B3820" s="2" t="s">
        <v>7893</v>
      </c>
      <c r="C3820" s="2" t="n">
        <v>5</v>
      </c>
      <c r="D3820" s="2" t="s">
        <v>127</v>
      </c>
      <c r="E3820" s="2" t="s">
        <v>7523</v>
      </c>
      <c r="F3820" s="3" t="n">
        <v>46032.7680555556</v>
      </c>
      <c r="G3820" s="2" t="s">
        <v>7684</v>
      </c>
      <c r="H3820" s="4" t="n">
        <v>0.9359</v>
      </c>
      <c r="I3820" s="2" t="s">
        <v>23</v>
      </c>
      <c r="J3820" s="2" t="s">
        <v>37</v>
      </c>
      <c r="K3820" s="2" t="n">
        <v>9</v>
      </c>
      <c r="L3820" s="2" t="n">
        <v>0</v>
      </c>
      <c r="M3820" s="2" t="n">
        <v>0</v>
      </c>
    </row>
    <row r="3821" customFormat="false" ht="15" hidden="false" customHeight="false" outlineLevel="0" collapsed="false">
      <c r="A3821" s="2" t="s">
        <v>7894</v>
      </c>
      <c r="B3821" s="2" t="s">
        <v>7895</v>
      </c>
      <c r="C3821" s="2" t="n">
        <v>5</v>
      </c>
      <c r="D3821" s="2" t="s">
        <v>40</v>
      </c>
      <c r="E3821" s="2" t="s">
        <v>7523</v>
      </c>
      <c r="F3821" s="3" t="n">
        <v>46032.925</v>
      </c>
      <c r="G3821" s="2" t="s">
        <v>7684</v>
      </c>
      <c r="H3821" s="4" t="n">
        <v>0.4019</v>
      </c>
      <c r="I3821" s="2" t="s">
        <v>23</v>
      </c>
      <c r="J3821" s="2" t="s">
        <v>33</v>
      </c>
      <c r="K3821" s="2" t="n">
        <v>0</v>
      </c>
      <c r="L3821" s="2" t="n">
        <v>0</v>
      </c>
      <c r="M3821" s="2" t="n">
        <v>0</v>
      </c>
    </row>
    <row r="3822" customFormat="false" ht="15" hidden="false" customHeight="false" outlineLevel="0" collapsed="false">
      <c r="A3822" s="2" t="s">
        <v>7896</v>
      </c>
      <c r="B3822" s="2" t="s">
        <v>7897</v>
      </c>
      <c r="C3822" s="2" t="n">
        <v>5</v>
      </c>
      <c r="D3822" s="2" t="s">
        <v>47</v>
      </c>
      <c r="E3822" s="2" t="s">
        <v>7523</v>
      </c>
      <c r="F3822" s="3" t="n">
        <v>46032.9743055556</v>
      </c>
      <c r="G3822" s="2" t="s">
        <v>7684</v>
      </c>
      <c r="H3822" s="4" t="n">
        <v>0.3089</v>
      </c>
      <c r="I3822" s="2" t="s">
        <v>23</v>
      </c>
      <c r="J3822" s="2" t="s">
        <v>19</v>
      </c>
      <c r="K3822" s="2" t="n">
        <v>1</v>
      </c>
      <c r="L3822" s="2" t="n">
        <v>0</v>
      </c>
      <c r="M3822" s="2" t="n">
        <v>0</v>
      </c>
    </row>
    <row r="3823" customFormat="false" ht="15" hidden="false" customHeight="false" outlineLevel="0" collapsed="false">
      <c r="A3823" s="2" t="s">
        <v>7898</v>
      </c>
      <c r="B3823" s="2" t="s">
        <v>7899</v>
      </c>
      <c r="C3823" s="2" t="n">
        <v>1</v>
      </c>
      <c r="D3823" s="2" t="s">
        <v>482</v>
      </c>
      <c r="E3823" s="2" t="s">
        <v>7523</v>
      </c>
      <c r="F3823" s="3" t="n">
        <v>46033.0194444444</v>
      </c>
      <c r="G3823" s="2" t="s">
        <v>7684</v>
      </c>
      <c r="H3823" s="4" t="n">
        <v>-0.6808</v>
      </c>
      <c r="I3823" s="2" t="s">
        <v>84</v>
      </c>
      <c r="J3823" s="2" t="s">
        <v>110</v>
      </c>
      <c r="K3823" s="2" t="n">
        <v>2</v>
      </c>
      <c r="L3823" s="2" t="n">
        <v>1</v>
      </c>
      <c r="M3823" s="2" t="n">
        <v>0</v>
      </c>
    </row>
    <row r="3824" customFormat="false" ht="15" hidden="false" customHeight="false" outlineLevel="0" collapsed="false">
      <c r="A3824" s="2" t="s">
        <v>7900</v>
      </c>
      <c r="B3824" s="2" t="s">
        <v>7901</v>
      </c>
      <c r="C3824" s="2" t="n">
        <v>4</v>
      </c>
      <c r="D3824" s="2" t="s">
        <v>76</v>
      </c>
      <c r="E3824" s="2" t="s">
        <v>7523</v>
      </c>
      <c r="F3824" s="3" t="n">
        <v>46033.0263888889</v>
      </c>
      <c r="G3824" s="2" t="s">
        <v>7684</v>
      </c>
      <c r="H3824" s="4" t="n">
        <v>0.607</v>
      </c>
      <c r="I3824" s="2" t="s">
        <v>23</v>
      </c>
      <c r="J3824" s="2" t="s">
        <v>33</v>
      </c>
      <c r="K3824" s="2" t="n">
        <v>6</v>
      </c>
      <c r="L3824" s="2" t="n">
        <v>0</v>
      </c>
      <c r="M3824" s="2" t="n">
        <v>0</v>
      </c>
    </row>
    <row r="3825" customFormat="false" ht="15" hidden="false" customHeight="false" outlineLevel="0" collapsed="false">
      <c r="A3825" s="2" t="s">
        <v>7902</v>
      </c>
      <c r="B3825" s="2" t="s">
        <v>7903</v>
      </c>
      <c r="C3825" s="2" t="n">
        <v>5</v>
      </c>
      <c r="D3825" s="2" t="s">
        <v>127</v>
      </c>
      <c r="E3825" s="2" t="s">
        <v>7523</v>
      </c>
      <c r="F3825" s="3" t="n">
        <v>46033.3395833333</v>
      </c>
      <c r="G3825" s="2" t="s">
        <v>7684</v>
      </c>
      <c r="H3825" s="4" t="n">
        <v>0.9359</v>
      </c>
      <c r="I3825" s="2" t="s">
        <v>23</v>
      </c>
      <c r="J3825" s="2" t="s">
        <v>37</v>
      </c>
      <c r="K3825" s="2" t="n">
        <v>3</v>
      </c>
      <c r="L3825" s="2" t="n">
        <v>0</v>
      </c>
      <c r="M3825" s="2" t="n">
        <v>0</v>
      </c>
    </row>
    <row r="3826" customFormat="false" ht="15" hidden="false" customHeight="false" outlineLevel="0" collapsed="false">
      <c r="A3826" s="2" t="s">
        <v>7904</v>
      </c>
      <c r="B3826" s="2" t="s">
        <v>7905</v>
      </c>
      <c r="C3826" s="2" t="n">
        <v>5</v>
      </c>
      <c r="D3826" s="2" t="s">
        <v>62</v>
      </c>
      <c r="E3826" s="2" t="s">
        <v>7523</v>
      </c>
      <c r="F3826" s="3" t="n">
        <v>46033.3506944445</v>
      </c>
      <c r="G3826" s="2" t="s">
        <v>7684</v>
      </c>
      <c r="H3826" s="4" t="n">
        <v>0.7088</v>
      </c>
      <c r="I3826" s="2" t="s">
        <v>23</v>
      </c>
      <c r="J3826" s="2" t="s">
        <v>19</v>
      </c>
      <c r="K3826" s="2" t="n">
        <v>2</v>
      </c>
      <c r="L3826" s="2" t="n">
        <v>0</v>
      </c>
      <c r="M3826" s="2" t="n">
        <v>0</v>
      </c>
    </row>
    <row r="3827" customFormat="false" ht="15" hidden="false" customHeight="false" outlineLevel="0" collapsed="false">
      <c r="A3827" s="2" t="s">
        <v>7906</v>
      </c>
      <c r="B3827" s="2" t="s">
        <v>7907</v>
      </c>
      <c r="C3827" s="2" t="n">
        <v>4</v>
      </c>
      <c r="D3827" s="2" t="s">
        <v>62</v>
      </c>
      <c r="E3827" s="2" t="s">
        <v>7523</v>
      </c>
      <c r="F3827" s="3" t="n">
        <v>46033.3694444444</v>
      </c>
      <c r="G3827" s="2" t="s">
        <v>7684</v>
      </c>
      <c r="H3827" s="4" t="n">
        <v>0.7088</v>
      </c>
      <c r="I3827" s="2" t="s">
        <v>23</v>
      </c>
      <c r="J3827" s="2" t="s">
        <v>19</v>
      </c>
      <c r="K3827" s="2" t="n">
        <v>6</v>
      </c>
      <c r="L3827" s="2" t="n">
        <v>0</v>
      </c>
      <c r="M3827" s="2" t="n">
        <v>0</v>
      </c>
    </row>
    <row r="3828" customFormat="false" ht="15" hidden="false" customHeight="false" outlineLevel="0" collapsed="false">
      <c r="A3828" s="2" t="s">
        <v>7908</v>
      </c>
      <c r="B3828" s="2" t="s">
        <v>7909</v>
      </c>
      <c r="C3828" s="2" t="n">
        <v>2</v>
      </c>
      <c r="D3828" s="2" t="s">
        <v>1092</v>
      </c>
      <c r="E3828" s="2" t="s">
        <v>7523</v>
      </c>
      <c r="F3828" s="3" t="n">
        <v>46033.4326388889</v>
      </c>
      <c r="G3828" s="2" t="s">
        <v>7684</v>
      </c>
      <c r="H3828" s="4" t="n">
        <v>0.2263</v>
      </c>
      <c r="I3828" s="2" t="s">
        <v>23</v>
      </c>
      <c r="J3828" s="2" t="s">
        <v>165</v>
      </c>
      <c r="K3828" s="2" t="n">
        <v>7</v>
      </c>
      <c r="L3828" s="2" t="n">
        <v>1</v>
      </c>
      <c r="M3828" s="2" t="n">
        <v>0</v>
      </c>
    </row>
    <row r="3829" customFormat="false" ht="15" hidden="false" customHeight="false" outlineLevel="0" collapsed="false">
      <c r="A3829" s="2" t="s">
        <v>7910</v>
      </c>
      <c r="B3829" s="2" t="s">
        <v>7911</v>
      </c>
      <c r="C3829" s="2" t="n">
        <v>2</v>
      </c>
      <c r="D3829" s="2" t="s">
        <v>179</v>
      </c>
      <c r="E3829" s="2" t="s">
        <v>7523</v>
      </c>
      <c r="F3829" s="3" t="n">
        <v>46033.5145833333</v>
      </c>
      <c r="G3829" s="2" t="s">
        <v>7684</v>
      </c>
      <c r="H3829" s="4" t="n">
        <v>-0.0258</v>
      </c>
      <c r="I3829" s="2" t="s">
        <v>18</v>
      </c>
      <c r="J3829" s="2" t="s">
        <v>59</v>
      </c>
      <c r="K3829" s="2" t="n">
        <v>0</v>
      </c>
      <c r="L3829" s="2" t="n">
        <v>1</v>
      </c>
      <c r="M3829" s="2" t="n">
        <v>0</v>
      </c>
    </row>
    <row r="3830" customFormat="false" ht="15" hidden="false" customHeight="false" outlineLevel="0" collapsed="false">
      <c r="A3830" s="2" t="s">
        <v>7912</v>
      </c>
      <c r="B3830" s="2" t="s">
        <v>7913</v>
      </c>
      <c r="C3830" s="2" t="n">
        <v>4</v>
      </c>
      <c r="D3830" s="2" t="s">
        <v>40</v>
      </c>
      <c r="E3830" s="2" t="s">
        <v>7523</v>
      </c>
      <c r="F3830" s="3" t="n">
        <v>46033.5493055556</v>
      </c>
      <c r="G3830" s="2" t="s">
        <v>7684</v>
      </c>
      <c r="H3830" s="4" t="n">
        <v>0.4019</v>
      </c>
      <c r="I3830" s="2" t="s">
        <v>23</v>
      </c>
      <c r="J3830" s="2" t="s">
        <v>33</v>
      </c>
      <c r="K3830" s="2" t="n">
        <v>1</v>
      </c>
      <c r="L3830" s="2" t="n">
        <v>0</v>
      </c>
      <c r="M3830" s="2" t="n">
        <v>0</v>
      </c>
    </row>
    <row r="3831" customFormat="false" ht="15" hidden="false" customHeight="false" outlineLevel="0" collapsed="false">
      <c r="A3831" s="2" t="s">
        <v>7914</v>
      </c>
      <c r="B3831" s="2" t="s">
        <v>7915</v>
      </c>
      <c r="C3831" s="2" t="n">
        <v>5</v>
      </c>
      <c r="D3831" s="2" t="s">
        <v>47</v>
      </c>
      <c r="E3831" s="2" t="s">
        <v>7523</v>
      </c>
      <c r="F3831" s="3" t="n">
        <v>46033.5881944444</v>
      </c>
      <c r="G3831" s="2" t="s">
        <v>7684</v>
      </c>
      <c r="H3831" s="4" t="n">
        <v>0.3089</v>
      </c>
      <c r="I3831" s="2" t="s">
        <v>23</v>
      </c>
      <c r="J3831" s="2" t="s">
        <v>19</v>
      </c>
      <c r="K3831" s="2" t="n">
        <v>11</v>
      </c>
      <c r="L3831" s="2" t="n">
        <v>0</v>
      </c>
      <c r="M3831" s="2" t="n">
        <v>0</v>
      </c>
    </row>
    <row r="3832" customFormat="false" ht="15" hidden="false" customHeight="false" outlineLevel="0" collapsed="false">
      <c r="A3832" s="2" t="s">
        <v>7916</v>
      </c>
      <c r="B3832" s="2" t="s">
        <v>7917</v>
      </c>
      <c r="C3832" s="2" t="n">
        <v>4</v>
      </c>
      <c r="D3832" s="2" t="s">
        <v>15</v>
      </c>
      <c r="E3832" s="2" t="s">
        <v>7523</v>
      </c>
      <c r="F3832" s="3" t="n">
        <v>46033.6875</v>
      </c>
      <c r="G3832" s="2" t="s">
        <v>7684</v>
      </c>
      <c r="H3832" s="4" t="n">
        <v>0</v>
      </c>
      <c r="I3832" s="2" t="s">
        <v>18</v>
      </c>
      <c r="J3832" s="2" t="s">
        <v>19</v>
      </c>
      <c r="K3832" s="2" t="n">
        <v>3</v>
      </c>
      <c r="L3832" s="2" t="n">
        <v>0</v>
      </c>
      <c r="M3832" s="2" t="n">
        <v>0</v>
      </c>
    </row>
    <row r="3833" customFormat="false" ht="15" hidden="false" customHeight="false" outlineLevel="0" collapsed="false">
      <c r="A3833" s="2" t="s">
        <v>7918</v>
      </c>
      <c r="B3833" s="2" t="s">
        <v>7919</v>
      </c>
      <c r="C3833" s="2" t="n">
        <v>2</v>
      </c>
      <c r="D3833" s="2" t="s">
        <v>357</v>
      </c>
      <c r="E3833" s="2" t="s">
        <v>7523</v>
      </c>
      <c r="F3833" s="3" t="n">
        <v>46033.7</v>
      </c>
      <c r="G3833" s="2" t="s">
        <v>7684</v>
      </c>
      <c r="H3833" s="4" t="n">
        <v>0</v>
      </c>
      <c r="I3833" s="2" t="s">
        <v>18</v>
      </c>
      <c r="J3833" s="2" t="s">
        <v>165</v>
      </c>
      <c r="K3833" s="2" t="n">
        <v>4</v>
      </c>
      <c r="L3833" s="2" t="n">
        <v>0</v>
      </c>
      <c r="M3833" s="2" t="n">
        <v>0</v>
      </c>
    </row>
    <row r="3834" customFormat="false" ht="15" hidden="false" customHeight="false" outlineLevel="0" collapsed="false">
      <c r="A3834" s="2" t="s">
        <v>7920</v>
      </c>
      <c r="B3834" s="2" t="s">
        <v>7921</v>
      </c>
      <c r="C3834" s="2" t="n">
        <v>4</v>
      </c>
      <c r="D3834" s="2" t="s">
        <v>62</v>
      </c>
      <c r="E3834" s="2" t="s">
        <v>7523</v>
      </c>
      <c r="F3834" s="3" t="n">
        <v>46033.7583333333</v>
      </c>
      <c r="G3834" s="2" t="s">
        <v>7684</v>
      </c>
      <c r="H3834" s="4" t="n">
        <v>0.7088</v>
      </c>
      <c r="I3834" s="2" t="s">
        <v>23</v>
      </c>
      <c r="J3834" s="2" t="s">
        <v>19</v>
      </c>
      <c r="K3834" s="2" t="n">
        <v>16</v>
      </c>
      <c r="L3834" s="2" t="n">
        <v>0</v>
      </c>
      <c r="M3834" s="2" t="n">
        <v>0</v>
      </c>
    </row>
    <row r="3835" customFormat="false" ht="15" hidden="false" customHeight="false" outlineLevel="0" collapsed="false">
      <c r="A3835" s="2" t="s">
        <v>7922</v>
      </c>
      <c r="B3835" s="2" t="s">
        <v>7923</v>
      </c>
      <c r="C3835" s="2" t="n">
        <v>5</v>
      </c>
      <c r="D3835" s="2" t="s">
        <v>40</v>
      </c>
      <c r="E3835" s="2" t="s">
        <v>7523</v>
      </c>
      <c r="F3835" s="3" t="n">
        <v>46033.8229166667</v>
      </c>
      <c r="G3835" s="2" t="s">
        <v>7684</v>
      </c>
      <c r="H3835" s="4" t="n">
        <v>0.4019</v>
      </c>
      <c r="I3835" s="2" t="s">
        <v>23</v>
      </c>
      <c r="J3835" s="2" t="s">
        <v>33</v>
      </c>
      <c r="K3835" s="2" t="n">
        <v>3</v>
      </c>
      <c r="L3835" s="2" t="n">
        <v>0</v>
      </c>
      <c r="M3835" s="2" t="n">
        <v>0</v>
      </c>
    </row>
    <row r="3836" customFormat="false" ht="15" hidden="false" customHeight="false" outlineLevel="0" collapsed="false">
      <c r="A3836" s="2" t="s">
        <v>7924</v>
      </c>
      <c r="B3836" s="2" t="s">
        <v>7925</v>
      </c>
      <c r="C3836" s="2" t="n">
        <v>4</v>
      </c>
      <c r="D3836" s="2" t="s">
        <v>298</v>
      </c>
      <c r="E3836" s="2" t="s">
        <v>7523</v>
      </c>
      <c r="F3836" s="3" t="n">
        <v>46033.9756944445</v>
      </c>
      <c r="G3836" s="2" t="s">
        <v>7684</v>
      </c>
      <c r="H3836" s="4" t="n">
        <v>0</v>
      </c>
      <c r="I3836" s="2" t="s">
        <v>18</v>
      </c>
      <c r="J3836" s="2" t="s">
        <v>19</v>
      </c>
      <c r="K3836" s="2" t="n">
        <v>1</v>
      </c>
      <c r="L3836" s="2" t="n">
        <v>0</v>
      </c>
      <c r="M3836" s="2" t="n">
        <v>0</v>
      </c>
    </row>
    <row r="3837" customFormat="false" ht="15" hidden="false" customHeight="false" outlineLevel="0" collapsed="false">
      <c r="A3837" s="2" t="s">
        <v>7926</v>
      </c>
      <c r="B3837" s="2" t="s">
        <v>7927</v>
      </c>
      <c r="C3837" s="2" t="n">
        <v>4</v>
      </c>
      <c r="D3837" s="2" t="s">
        <v>40</v>
      </c>
      <c r="E3837" s="2" t="s">
        <v>7523</v>
      </c>
      <c r="F3837" s="3" t="n">
        <v>46033.98125</v>
      </c>
      <c r="G3837" s="2" t="s">
        <v>7684</v>
      </c>
      <c r="H3837" s="4" t="n">
        <v>0.4019</v>
      </c>
      <c r="I3837" s="2" t="s">
        <v>23</v>
      </c>
      <c r="J3837" s="2" t="s">
        <v>33</v>
      </c>
      <c r="K3837" s="2" t="n">
        <v>0</v>
      </c>
      <c r="L3837" s="2" t="n">
        <v>0</v>
      </c>
      <c r="M3837" s="2" t="n">
        <v>0</v>
      </c>
    </row>
    <row r="3838" customFormat="false" ht="15" hidden="false" customHeight="false" outlineLevel="0" collapsed="false">
      <c r="A3838" s="2" t="s">
        <v>7928</v>
      </c>
      <c r="B3838" s="2" t="s">
        <v>7929</v>
      </c>
      <c r="C3838" s="2" t="n">
        <v>4</v>
      </c>
      <c r="D3838" s="2" t="s">
        <v>90</v>
      </c>
      <c r="E3838" s="2" t="s">
        <v>7523</v>
      </c>
      <c r="F3838" s="3" t="n">
        <v>46034.1006944445</v>
      </c>
      <c r="G3838" s="2" t="s">
        <v>7684</v>
      </c>
      <c r="H3838" s="4" t="n">
        <v>0.6249</v>
      </c>
      <c r="I3838" s="2" t="s">
        <v>23</v>
      </c>
      <c r="J3838" s="2" t="s">
        <v>37</v>
      </c>
      <c r="K3838" s="2" t="n">
        <v>0</v>
      </c>
      <c r="L3838" s="2" t="n">
        <v>0</v>
      </c>
      <c r="M3838" s="2" t="n">
        <v>0</v>
      </c>
    </row>
    <row r="3839" customFormat="false" ht="15" hidden="false" customHeight="false" outlineLevel="0" collapsed="false">
      <c r="A3839" s="2" t="s">
        <v>7930</v>
      </c>
      <c r="B3839" s="2" t="s">
        <v>7931</v>
      </c>
      <c r="C3839" s="2" t="n">
        <v>5</v>
      </c>
      <c r="D3839" s="2" t="s">
        <v>52</v>
      </c>
      <c r="E3839" s="2" t="s">
        <v>7523</v>
      </c>
      <c r="F3839" s="3" t="n">
        <v>46034.10625</v>
      </c>
      <c r="G3839" s="2" t="s">
        <v>7684</v>
      </c>
      <c r="H3839" s="4" t="n">
        <v>0.6369</v>
      </c>
      <c r="I3839" s="2" t="s">
        <v>23</v>
      </c>
      <c r="J3839" s="2" t="s">
        <v>19</v>
      </c>
      <c r="K3839" s="2" t="n">
        <v>9</v>
      </c>
      <c r="L3839" s="2" t="n">
        <v>0</v>
      </c>
      <c r="M3839" s="2" t="n">
        <v>0</v>
      </c>
    </row>
    <row r="3840" customFormat="false" ht="15" hidden="false" customHeight="false" outlineLevel="0" collapsed="false">
      <c r="A3840" s="2" t="s">
        <v>7932</v>
      </c>
      <c r="B3840" s="2" t="s">
        <v>7933</v>
      </c>
      <c r="C3840" s="2" t="n">
        <v>3</v>
      </c>
      <c r="D3840" s="2" t="s">
        <v>402</v>
      </c>
      <c r="E3840" s="2" t="s">
        <v>7523</v>
      </c>
      <c r="F3840" s="3" t="n">
        <v>46034.1486111111</v>
      </c>
      <c r="G3840" s="2" t="s">
        <v>7684</v>
      </c>
      <c r="H3840" s="4" t="n">
        <v>0</v>
      </c>
      <c r="I3840" s="2" t="s">
        <v>18</v>
      </c>
      <c r="J3840" s="2" t="s">
        <v>59</v>
      </c>
      <c r="K3840" s="2" t="n">
        <v>3</v>
      </c>
      <c r="L3840" s="2" t="n">
        <v>0</v>
      </c>
      <c r="M3840" s="2" t="n">
        <v>0</v>
      </c>
    </row>
    <row r="3841" customFormat="false" ht="15" hidden="false" customHeight="false" outlineLevel="0" collapsed="false">
      <c r="A3841" s="2" t="s">
        <v>7934</v>
      </c>
      <c r="B3841" s="2" t="s">
        <v>7935</v>
      </c>
      <c r="C3841" s="2" t="n">
        <v>3</v>
      </c>
      <c r="D3841" s="2" t="s">
        <v>301</v>
      </c>
      <c r="E3841" s="2" t="s">
        <v>7523</v>
      </c>
      <c r="F3841" s="3" t="n">
        <v>46034.1555555556</v>
      </c>
      <c r="G3841" s="2" t="s">
        <v>7684</v>
      </c>
      <c r="H3841" s="4" t="n">
        <v>0.2263</v>
      </c>
      <c r="I3841" s="2" t="s">
        <v>23</v>
      </c>
      <c r="J3841" s="2" t="s">
        <v>19</v>
      </c>
      <c r="K3841" s="2" t="n">
        <v>11</v>
      </c>
      <c r="L3841" s="2" t="n">
        <v>0</v>
      </c>
      <c r="M3841" s="2" t="n">
        <v>0</v>
      </c>
    </row>
    <row r="3842" customFormat="false" ht="15" hidden="false" customHeight="false" outlineLevel="0" collapsed="false">
      <c r="A3842" s="2" t="s">
        <v>7936</v>
      </c>
      <c r="B3842" s="2" t="s">
        <v>7937</v>
      </c>
      <c r="C3842" s="2" t="n">
        <v>5</v>
      </c>
      <c r="D3842" s="2" t="s">
        <v>1424</v>
      </c>
      <c r="E3842" s="2" t="s">
        <v>7523</v>
      </c>
      <c r="F3842" s="3" t="n">
        <v>46034.2027777778</v>
      </c>
      <c r="G3842" s="2" t="s">
        <v>7684</v>
      </c>
      <c r="H3842" s="4" t="n">
        <v>0.3089</v>
      </c>
      <c r="I3842" s="2" t="s">
        <v>23</v>
      </c>
      <c r="J3842" s="2" t="s">
        <v>19</v>
      </c>
      <c r="K3842" s="2" t="n">
        <v>1</v>
      </c>
      <c r="L3842" s="2" t="n">
        <v>1</v>
      </c>
      <c r="M3842" s="2" t="n">
        <v>0</v>
      </c>
    </row>
    <row r="3843" customFormat="false" ht="15" hidden="false" customHeight="false" outlineLevel="0" collapsed="false">
      <c r="A3843" s="2" t="s">
        <v>7938</v>
      </c>
      <c r="B3843" s="2" t="s">
        <v>7939</v>
      </c>
      <c r="C3843" s="2" t="n">
        <v>5</v>
      </c>
      <c r="D3843" s="2" t="s">
        <v>1622</v>
      </c>
      <c r="E3843" s="2" t="s">
        <v>7523</v>
      </c>
      <c r="F3843" s="3" t="n">
        <v>46034.2229166667</v>
      </c>
      <c r="G3843" s="2" t="s">
        <v>7684</v>
      </c>
      <c r="H3843" s="4" t="n">
        <v>0.8555</v>
      </c>
      <c r="I3843" s="2" t="s">
        <v>23</v>
      </c>
      <c r="J3843" s="2" t="s">
        <v>19</v>
      </c>
      <c r="K3843" s="2" t="n">
        <v>1</v>
      </c>
      <c r="L3843" s="2" t="n">
        <v>0</v>
      </c>
      <c r="M3843" s="2" t="n">
        <v>0</v>
      </c>
    </row>
    <row r="3844" customFormat="false" ht="15" hidden="false" customHeight="false" outlineLevel="0" collapsed="false">
      <c r="A3844" s="2" t="s">
        <v>7940</v>
      </c>
      <c r="B3844" s="2" t="s">
        <v>7941</v>
      </c>
      <c r="C3844" s="2" t="n">
        <v>3</v>
      </c>
      <c r="D3844" s="2" t="s">
        <v>99</v>
      </c>
      <c r="E3844" s="2" t="s">
        <v>7523</v>
      </c>
      <c r="F3844" s="3" t="n">
        <v>46034.3298611111</v>
      </c>
      <c r="G3844" s="2" t="s">
        <v>7684</v>
      </c>
      <c r="H3844" s="4" t="n">
        <v>-0.3089</v>
      </c>
      <c r="I3844" s="2" t="s">
        <v>84</v>
      </c>
      <c r="J3844" s="2" t="s">
        <v>19</v>
      </c>
      <c r="K3844" s="2" t="n">
        <v>8</v>
      </c>
      <c r="L3844" s="2" t="n">
        <v>0</v>
      </c>
      <c r="M3844" s="2" t="n">
        <v>0</v>
      </c>
    </row>
    <row r="3845" customFormat="false" ht="15" hidden="false" customHeight="false" outlineLevel="0" collapsed="false">
      <c r="A3845" s="2" t="s">
        <v>7942</v>
      </c>
      <c r="B3845" s="2" t="s">
        <v>7943</v>
      </c>
      <c r="C3845" s="2" t="n">
        <v>5</v>
      </c>
      <c r="D3845" s="2" t="s">
        <v>15</v>
      </c>
      <c r="E3845" s="2" t="s">
        <v>7523</v>
      </c>
      <c r="F3845" s="3" t="n">
        <v>46034.4159722222</v>
      </c>
      <c r="G3845" s="2" t="s">
        <v>7684</v>
      </c>
      <c r="H3845" s="4" t="n">
        <v>0</v>
      </c>
      <c r="I3845" s="2" t="s">
        <v>18</v>
      </c>
      <c r="J3845" s="2" t="s">
        <v>19</v>
      </c>
      <c r="K3845" s="2" t="n">
        <v>4</v>
      </c>
      <c r="L3845" s="2" t="n">
        <v>0</v>
      </c>
      <c r="M3845" s="2" t="n">
        <v>0</v>
      </c>
    </row>
    <row r="3846" customFormat="false" ht="15" hidden="false" customHeight="false" outlineLevel="0" collapsed="false">
      <c r="A3846" s="2" t="s">
        <v>7944</v>
      </c>
      <c r="B3846" s="2" t="s">
        <v>7945</v>
      </c>
      <c r="C3846" s="2" t="n">
        <v>3</v>
      </c>
      <c r="D3846" s="2" t="s">
        <v>22</v>
      </c>
      <c r="E3846" s="2" t="s">
        <v>7523</v>
      </c>
      <c r="F3846" s="3" t="n">
        <v>46034.4368055556</v>
      </c>
      <c r="G3846" s="2" t="s">
        <v>7684</v>
      </c>
      <c r="H3846" s="4" t="n">
        <v>0.2023</v>
      </c>
      <c r="I3846" s="2" t="s">
        <v>23</v>
      </c>
      <c r="J3846" s="2" t="s">
        <v>19</v>
      </c>
      <c r="K3846" s="2" t="n">
        <v>8</v>
      </c>
      <c r="L3846" s="2" t="n">
        <v>0</v>
      </c>
      <c r="M3846" s="2" t="n">
        <v>0</v>
      </c>
    </row>
    <row r="3847" customFormat="false" ht="15" hidden="false" customHeight="false" outlineLevel="0" collapsed="false">
      <c r="A3847" s="2" t="s">
        <v>7946</v>
      </c>
      <c r="B3847" s="2" t="s">
        <v>7947</v>
      </c>
      <c r="C3847" s="2" t="n">
        <v>5</v>
      </c>
      <c r="D3847" s="2" t="s">
        <v>269</v>
      </c>
      <c r="E3847" s="2" t="s">
        <v>7523</v>
      </c>
      <c r="F3847" s="3" t="n">
        <v>46034.4444444445</v>
      </c>
      <c r="G3847" s="2" t="s">
        <v>7684</v>
      </c>
      <c r="H3847" s="4" t="n">
        <v>0.8748</v>
      </c>
      <c r="I3847" s="2" t="s">
        <v>23</v>
      </c>
      <c r="J3847" s="2" t="s">
        <v>37</v>
      </c>
      <c r="K3847" s="2" t="n">
        <v>0</v>
      </c>
      <c r="L3847" s="2" t="n">
        <v>0</v>
      </c>
      <c r="M3847" s="2" t="n">
        <v>0</v>
      </c>
    </row>
    <row r="3848" customFormat="false" ht="15" hidden="false" customHeight="false" outlineLevel="0" collapsed="false">
      <c r="A3848" s="2" t="s">
        <v>7948</v>
      </c>
      <c r="B3848" s="2" t="s">
        <v>7949</v>
      </c>
      <c r="C3848" s="2" t="n">
        <v>5</v>
      </c>
      <c r="D3848" s="2" t="s">
        <v>2578</v>
      </c>
      <c r="E3848" s="2" t="s">
        <v>7523</v>
      </c>
      <c r="F3848" s="3" t="n">
        <v>46034.9840277778</v>
      </c>
      <c r="G3848" s="2" t="s">
        <v>7684</v>
      </c>
      <c r="H3848" s="4" t="n">
        <v>0.9626</v>
      </c>
      <c r="I3848" s="2" t="s">
        <v>23</v>
      </c>
      <c r="J3848" s="2" t="s">
        <v>37</v>
      </c>
      <c r="K3848" s="2" t="n">
        <v>1</v>
      </c>
      <c r="L3848" s="2" t="n">
        <v>0</v>
      </c>
      <c r="M3848" s="2" t="n">
        <v>0</v>
      </c>
    </row>
    <row r="3849" customFormat="false" ht="15" hidden="false" customHeight="false" outlineLevel="0" collapsed="false">
      <c r="A3849" s="2" t="s">
        <v>7950</v>
      </c>
      <c r="B3849" s="2" t="s">
        <v>7951</v>
      </c>
      <c r="C3849" s="2" t="n">
        <v>5</v>
      </c>
      <c r="D3849" s="2" t="s">
        <v>127</v>
      </c>
      <c r="E3849" s="2" t="s">
        <v>7523</v>
      </c>
      <c r="F3849" s="3" t="n">
        <v>46035.0465277778</v>
      </c>
      <c r="G3849" s="2" t="s">
        <v>7684</v>
      </c>
      <c r="H3849" s="4" t="n">
        <v>0.9359</v>
      </c>
      <c r="I3849" s="2" t="s">
        <v>23</v>
      </c>
      <c r="J3849" s="2" t="s">
        <v>37</v>
      </c>
      <c r="K3849" s="2" t="n">
        <v>4</v>
      </c>
      <c r="L3849" s="2" t="n">
        <v>0</v>
      </c>
      <c r="M3849" s="2" t="n">
        <v>0</v>
      </c>
    </row>
    <row r="3850" customFormat="false" ht="15" hidden="false" customHeight="false" outlineLevel="0" collapsed="false">
      <c r="A3850" s="2" t="s">
        <v>7952</v>
      </c>
      <c r="B3850" s="2" t="s">
        <v>7953</v>
      </c>
      <c r="C3850" s="2" t="n">
        <v>2</v>
      </c>
      <c r="D3850" s="2" t="s">
        <v>721</v>
      </c>
      <c r="E3850" s="2" t="s">
        <v>7523</v>
      </c>
      <c r="F3850" s="3" t="n">
        <v>46035.1326388889</v>
      </c>
      <c r="G3850" s="2" t="s">
        <v>7684</v>
      </c>
      <c r="H3850" s="4" t="n">
        <v>-0.4588</v>
      </c>
      <c r="I3850" s="2" t="s">
        <v>84</v>
      </c>
      <c r="J3850" s="2" t="s">
        <v>37</v>
      </c>
      <c r="K3850" s="2" t="n">
        <v>1</v>
      </c>
      <c r="L3850" s="2" t="n">
        <v>1</v>
      </c>
      <c r="M3850" s="2" t="n">
        <v>0</v>
      </c>
    </row>
    <row r="3851" customFormat="false" ht="15" hidden="false" customHeight="false" outlineLevel="0" collapsed="false">
      <c r="A3851" s="2" t="s">
        <v>7954</v>
      </c>
      <c r="B3851" s="2" t="s">
        <v>7955</v>
      </c>
      <c r="C3851" s="2" t="n">
        <v>3</v>
      </c>
      <c r="D3851" s="2" t="s">
        <v>99</v>
      </c>
      <c r="E3851" s="2" t="s">
        <v>7523</v>
      </c>
      <c r="F3851" s="3" t="n">
        <v>46035.2354166667</v>
      </c>
      <c r="G3851" s="2" t="s">
        <v>7684</v>
      </c>
      <c r="H3851" s="4" t="n">
        <v>-0.3089</v>
      </c>
      <c r="I3851" s="2" t="s">
        <v>84</v>
      </c>
      <c r="J3851" s="2" t="s">
        <v>19</v>
      </c>
      <c r="K3851" s="2" t="n">
        <v>1</v>
      </c>
      <c r="L3851" s="2" t="n">
        <v>0</v>
      </c>
      <c r="M3851" s="2" t="n">
        <v>0</v>
      </c>
    </row>
    <row r="3852" customFormat="false" ht="15" hidden="false" customHeight="false" outlineLevel="0" collapsed="false">
      <c r="A3852" s="2" t="s">
        <v>7956</v>
      </c>
      <c r="B3852" s="2" t="s">
        <v>7957</v>
      </c>
      <c r="C3852" s="2" t="n">
        <v>1</v>
      </c>
      <c r="D3852" s="2" t="s">
        <v>295</v>
      </c>
      <c r="E3852" s="2" t="s">
        <v>7523</v>
      </c>
      <c r="F3852" s="3" t="n">
        <v>46035.2916666667</v>
      </c>
      <c r="G3852" s="2" t="s">
        <v>7684</v>
      </c>
      <c r="H3852" s="4" t="n">
        <v>-0.5023</v>
      </c>
      <c r="I3852" s="2" t="s">
        <v>84</v>
      </c>
      <c r="J3852" s="2" t="s">
        <v>33</v>
      </c>
      <c r="K3852" s="2" t="n">
        <v>2</v>
      </c>
      <c r="L3852" s="2" t="n">
        <v>1</v>
      </c>
      <c r="M3852" s="2" t="n">
        <v>0</v>
      </c>
    </row>
    <row r="3853" customFormat="false" ht="15" hidden="false" customHeight="false" outlineLevel="0" collapsed="false">
      <c r="A3853" s="2" t="s">
        <v>7958</v>
      </c>
      <c r="B3853" s="2" t="s">
        <v>7959</v>
      </c>
      <c r="C3853" s="2" t="n">
        <v>5</v>
      </c>
      <c r="D3853" s="2" t="s">
        <v>52</v>
      </c>
      <c r="E3853" s="2" t="s">
        <v>7523</v>
      </c>
      <c r="F3853" s="3" t="n">
        <v>46035.6666666667</v>
      </c>
      <c r="G3853" s="2" t="s">
        <v>7684</v>
      </c>
      <c r="H3853" s="4" t="n">
        <v>0.6369</v>
      </c>
      <c r="I3853" s="2" t="s">
        <v>23</v>
      </c>
      <c r="J3853" s="2" t="s">
        <v>19</v>
      </c>
      <c r="K3853" s="2" t="n">
        <v>0</v>
      </c>
      <c r="L3853" s="2" t="n">
        <v>0</v>
      </c>
      <c r="M3853" s="2" t="n">
        <v>0</v>
      </c>
    </row>
    <row r="3854" customFormat="false" ht="15" hidden="false" customHeight="false" outlineLevel="0" collapsed="false">
      <c r="A3854" s="2" t="s">
        <v>7960</v>
      </c>
      <c r="B3854" s="2" t="s">
        <v>7961</v>
      </c>
      <c r="C3854" s="2" t="n">
        <v>4</v>
      </c>
      <c r="D3854" s="2" t="s">
        <v>90</v>
      </c>
      <c r="E3854" s="2" t="s">
        <v>7523</v>
      </c>
      <c r="F3854" s="3" t="n">
        <v>46035.8131944445</v>
      </c>
      <c r="G3854" s="2" t="s">
        <v>7684</v>
      </c>
      <c r="H3854" s="4" t="n">
        <v>0.6249</v>
      </c>
      <c r="I3854" s="2" t="s">
        <v>23</v>
      </c>
      <c r="J3854" s="2" t="s">
        <v>37</v>
      </c>
      <c r="K3854" s="2" t="n">
        <v>7</v>
      </c>
      <c r="L3854" s="2" t="n">
        <v>0</v>
      </c>
      <c r="M3854" s="2" t="n">
        <v>0</v>
      </c>
    </row>
    <row r="3855" customFormat="false" ht="15" hidden="false" customHeight="false" outlineLevel="0" collapsed="false">
      <c r="A3855" s="2" t="s">
        <v>7962</v>
      </c>
      <c r="B3855" s="2" t="s">
        <v>1334</v>
      </c>
      <c r="C3855" s="2" t="n">
        <v>3</v>
      </c>
      <c r="D3855" s="2" t="s">
        <v>87</v>
      </c>
      <c r="E3855" s="2" t="s">
        <v>7523</v>
      </c>
      <c r="F3855" s="3" t="n">
        <v>46035.8520833333</v>
      </c>
      <c r="G3855" s="2" t="s">
        <v>7684</v>
      </c>
      <c r="H3855" s="4" t="n">
        <v>0</v>
      </c>
      <c r="I3855" s="2" t="s">
        <v>18</v>
      </c>
      <c r="J3855" s="2" t="s">
        <v>19</v>
      </c>
      <c r="K3855" s="2" t="n">
        <v>1</v>
      </c>
      <c r="L3855" s="2" t="n">
        <v>1</v>
      </c>
      <c r="M3855" s="2" t="n">
        <v>0</v>
      </c>
    </row>
    <row r="3856" customFormat="false" ht="15" hidden="false" customHeight="false" outlineLevel="0" collapsed="false">
      <c r="A3856" s="2" t="s">
        <v>7963</v>
      </c>
      <c r="B3856" s="2" t="s">
        <v>7964</v>
      </c>
      <c r="C3856" s="2" t="n">
        <v>4</v>
      </c>
      <c r="D3856" s="2" t="s">
        <v>1878</v>
      </c>
      <c r="E3856" s="2" t="s">
        <v>7523</v>
      </c>
      <c r="F3856" s="3" t="n">
        <v>46035.8763888889</v>
      </c>
      <c r="G3856" s="2" t="s">
        <v>7684</v>
      </c>
      <c r="H3856" s="4" t="n">
        <v>0.9516</v>
      </c>
      <c r="I3856" s="2" t="s">
        <v>23</v>
      </c>
      <c r="J3856" s="2" t="s">
        <v>37</v>
      </c>
      <c r="K3856" s="2" t="n">
        <v>0</v>
      </c>
      <c r="L3856" s="2" t="n">
        <v>0</v>
      </c>
      <c r="M3856" s="2" t="n">
        <v>0</v>
      </c>
    </row>
    <row r="3857" customFormat="false" ht="15" hidden="false" customHeight="false" outlineLevel="0" collapsed="false">
      <c r="A3857" s="2" t="s">
        <v>7965</v>
      </c>
      <c r="B3857" s="2" t="s">
        <v>7966</v>
      </c>
      <c r="C3857" s="2" t="n">
        <v>5</v>
      </c>
      <c r="D3857" s="2" t="s">
        <v>47</v>
      </c>
      <c r="E3857" s="2" t="s">
        <v>7523</v>
      </c>
      <c r="F3857" s="3" t="n">
        <v>46035.8881944444</v>
      </c>
      <c r="G3857" s="2" t="s">
        <v>7684</v>
      </c>
      <c r="H3857" s="4" t="n">
        <v>0.3089</v>
      </c>
      <c r="I3857" s="2" t="s">
        <v>23</v>
      </c>
      <c r="J3857" s="2" t="s">
        <v>19</v>
      </c>
      <c r="K3857" s="2" t="n">
        <v>3</v>
      </c>
      <c r="L3857" s="2" t="n">
        <v>0</v>
      </c>
      <c r="M3857" s="2" t="n">
        <v>0</v>
      </c>
    </row>
    <row r="3858" customFormat="false" ht="15" hidden="false" customHeight="false" outlineLevel="0" collapsed="false">
      <c r="A3858" s="2" t="s">
        <v>7967</v>
      </c>
      <c r="B3858" s="2" t="s">
        <v>7968</v>
      </c>
      <c r="C3858" s="2" t="n">
        <v>3</v>
      </c>
      <c r="D3858" s="2" t="s">
        <v>3290</v>
      </c>
      <c r="E3858" s="2" t="s">
        <v>7523</v>
      </c>
      <c r="F3858" s="3" t="n">
        <v>46035.9041666667</v>
      </c>
      <c r="G3858" s="2" t="s">
        <v>7684</v>
      </c>
      <c r="H3858" s="4" t="n">
        <v>0.6448</v>
      </c>
      <c r="I3858" s="2" t="s">
        <v>23</v>
      </c>
      <c r="J3858" s="2" t="s">
        <v>37</v>
      </c>
      <c r="K3858" s="2" t="n">
        <v>13</v>
      </c>
      <c r="L3858" s="2" t="n">
        <v>0</v>
      </c>
      <c r="M3858" s="2" t="n">
        <v>0</v>
      </c>
    </row>
    <row r="3859" customFormat="false" ht="15" hidden="false" customHeight="false" outlineLevel="0" collapsed="false">
      <c r="A3859" s="2" t="s">
        <v>7969</v>
      </c>
      <c r="B3859" s="2" t="s">
        <v>7970</v>
      </c>
      <c r="C3859" s="2" t="n">
        <v>4</v>
      </c>
      <c r="D3859" s="2" t="s">
        <v>127</v>
      </c>
      <c r="E3859" s="2" t="s">
        <v>7523</v>
      </c>
      <c r="F3859" s="3" t="n">
        <v>46035.9097222222</v>
      </c>
      <c r="G3859" s="2" t="s">
        <v>7684</v>
      </c>
      <c r="H3859" s="4" t="n">
        <v>0.9359</v>
      </c>
      <c r="I3859" s="2" t="s">
        <v>23</v>
      </c>
      <c r="J3859" s="2" t="s">
        <v>37</v>
      </c>
      <c r="K3859" s="2" t="n">
        <v>6</v>
      </c>
      <c r="L3859" s="2" t="n">
        <v>0</v>
      </c>
      <c r="M3859" s="2" t="n">
        <v>0</v>
      </c>
    </row>
    <row r="3860" customFormat="false" ht="15" hidden="false" customHeight="false" outlineLevel="0" collapsed="false">
      <c r="A3860" s="2" t="s">
        <v>7971</v>
      </c>
      <c r="B3860" s="2" t="s">
        <v>7972</v>
      </c>
      <c r="C3860" s="2" t="n">
        <v>2</v>
      </c>
      <c r="D3860" s="2" t="s">
        <v>6365</v>
      </c>
      <c r="E3860" s="2" t="s">
        <v>7523</v>
      </c>
      <c r="F3860" s="3" t="n">
        <v>46035.9361111111</v>
      </c>
      <c r="G3860" s="2" t="s">
        <v>7684</v>
      </c>
      <c r="H3860" s="4" t="n">
        <v>-0.1757</v>
      </c>
      <c r="I3860" s="2" t="s">
        <v>84</v>
      </c>
      <c r="J3860" s="2" t="s">
        <v>33</v>
      </c>
      <c r="K3860" s="2" t="n">
        <v>3</v>
      </c>
      <c r="L3860" s="2" t="n">
        <v>0</v>
      </c>
      <c r="M3860" s="2" t="n">
        <v>0</v>
      </c>
    </row>
    <row r="3861" customFormat="false" ht="15" hidden="false" customHeight="false" outlineLevel="0" collapsed="false">
      <c r="A3861" s="2" t="s">
        <v>7973</v>
      </c>
      <c r="B3861" s="2" t="s">
        <v>7974</v>
      </c>
      <c r="C3861" s="2" t="n">
        <v>4</v>
      </c>
      <c r="D3861" s="2" t="s">
        <v>62</v>
      </c>
      <c r="E3861" s="2" t="s">
        <v>7523</v>
      </c>
      <c r="F3861" s="3" t="n">
        <v>46036.1319444445</v>
      </c>
      <c r="G3861" s="2" t="s">
        <v>7684</v>
      </c>
      <c r="H3861" s="4" t="n">
        <v>0.7088</v>
      </c>
      <c r="I3861" s="2" t="s">
        <v>23</v>
      </c>
      <c r="J3861" s="2" t="s">
        <v>19</v>
      </c>
      <c r="K3861" s="2" t="n">
        <v>4</v>
      </c>
      <c r="L3861" s="2" t="n">
        <v>0</v>
      </c>
      <c r="M3861" s="2" t="n">
        <v>0</v>
      </c>
    </row>
    <row r="3862" customFormat="false" ht="15" hidden="false" customHeight="false" outlineLevel="0" collapsed="false">
      <c r="A3862" s="2" t="s">
        <v>7975</v>
      </c>
      <c r="B3862" s="2" t="s">
        <v>7976</v>
      </c>
      <c r="C3862" s="2" t="n">
        <v>5</v>
      </c>
      <c r="D3862" s="2" t="s">
        <v>40</v>
      </c>
      <c r="E3862" s="2" t="s">
        <v>7523</v>
      </c>
      <c r="F3862" s="3" t="n">
        <v>46036.1472222222</v>
      </c>
      <c r="G3862" s="2" t="s">
        <v>7684</v>
      </c>
      <c r="H3862" s="4" t="n">
        <v>0.4019</v>
      </c>
      <c r="I3862" s="2" t="s">
        <v>23</v>
      </c>
      <c r="J3862" s="2" t="s">
        <v>33</v>
      </c>
      <c r="K3862" s="2" t="n">
        <v>0</v>
      </c>
      <c r="L3862" s="2" t="n">
        <v>0</v>
      </c>
      <c r="M3862" s="2" t="n">
        <v>0</v>
      </c>
    </row>
    <row r="3863" customFormat="false" ht="15" hidden="false" customHeight="false" outlineLevel="0" collapsed="false">
      <c r="A3863" s="2" t="s">
        <v>7977</v>
      </c>
      <c r="B3863" s="2" t="s">
        <v>7978</v>
      </c>
      <c r="C3863" s="2" t="n">
        <v>3</v>
      </c>
      <c r="D3863" s="2" t="s">
        <v>22</v>
      </c>
      <c r="E3863" s="2" t="s">
        <v>7523</v>
      </c>
      <c r="F3863" s="3" t="n">
        <v>46036.3784722222</v>
      </c>
      <c r="G3863" s="2" t="s">
        <v>7684</v>
      </c>
      <c r="H3863" s="4" t="n">
        <v>0.2023</v>
      </c>
      <c r="I3863" s="2" t="s">
        <v>23</v>
      </c>
      <c r="J3863" s="2" t="s">
        <v>19</v>
      </c>
      <c r="K3863" s="2" t="n">
        <v>3</v>
      </c>
      <c r="L3863" s="2" t="n">
        <v>0</v>
      </c>
      <c r="M3863" s="2" t="n">
        <v>0</v>
      </c>
    </row>
    <row r="3864" customFormat="false" ht="15" hidden="false" customHeight="false" outlineLevel="0" collapsed="false">
      <c r="A3864" s="2" t="s">
        <v>7979</v>
      </c>
      <c r="B3864" s="2" t="s">
        <v>7980</v>
      </c>
      <c r="C3864" s="2" t="n">
        <v>4</v>
      </c>
      <c r="D3864" s="2" t="s">
        <v>15</v>
      </c>
      <c r="E3864" s="2" t="s">
        <v>7523</v>
      </c>
      <c r="F3864" s="3" t="n">
        <v>46036.4409722222</v>
      </c>
      <c r="G3864" s="2" t="s">
        <v>7684</v>
      </c>
      <c r="H3864" s="4" t="n">
        <v>0</v>
      </c>
      <c r="I3864" s="2" t="s">
        <v>18</v>
      </c>
      <c r="J3864" s="2" t="s">
        <v>19</v>
      </c>
      <c r="K3864" s="2" t="n">
        <v>4</v>
      </c>
      <c r="L3864" s="2" t="n">
        <v>0</v>
      </c>
      <c r="M3864" s="2" t="n">
        <v>0</v>
      </c>
    </row>
    <row r="3865" customFormat="false" ht="15" hidden="false" customHeight="false" outlineLevel="0" collapsed="false">
      <c r="A3865" s="2" t="s">
        <v>7981</v>
      </c>
      <c r="B3865" s="2" t="s">
        <v>7982</v>
      </c>
      <c r="C3865" s="2" t="n">
        <v>4</v>
      </c>
      <c r="D3865" s="2" t="s">
        <v>15</v>
      </c>
      <c r="E3865" s="2" t="s">
        <v>7523</v>
      </c>
      <c r="F3865" s="3" t="n">
        <v>46036.4409722222</v>
      </c>
      <c r="G3865" s="2" t="s">
        <v>7684</v>
      </c>
      <c r="H3865" s="4" t="n">
        <v>0</v>
      </c>
      <c r="I3865" s="2" t="s">
        <v>18</v>
      </c>
      <c r="J3865" s="2" t="s">
        <v>19</v>
      </c>
      <c r="K3865" s="2" t="n">
        <v>13</v>
      </c>
      <c r="L3865" s="2" t="n">
        <v>0</v>
      </c>
      <c r="M3865" s="2" t="n">
        <v>0</v>
      </c>
    </row>
    <row r="3866" customFormat="false" ht="15" hidden="false" customHeight="false" outlineLevel="0" collapsed="false">
      <c r="A3866" s="2" t="s">
        <v>7983</v>
      </c>
      <c r="B3866" s="2" t="s">
        <v>7984</v>
      </c>
      <c r="C3866" s="2" t="n">
        <v>5</v>
      </c>
      <c r="D3866" s="2" t="s">
        <v>96</v>
      </c>
      <c r="E3866" s="2" t="s">
        <v>7523</v>
      </c>
      <c r="F3866" s="3" t="n">
        <v>46036.8534722222</v>
      </c>
      <c r="G3866" s="2" t="s">
        <v>7684</v>
      </c>
      <c r="H3866" s="4" t="n">
        <v>0.6369</v>
      </c>
      <c r="I3866" s="2" t="s">
        <v>23</v>
      </c>
      <c r="J3866" s="2" t="s">
        <v>19</v>
      </c>
      <c r="K3866" s="2" t="n">
        <v>3</v>
      </c>
      <c r="L3866" s="2" t="n">
        <v>0</v>
      </c>
      <c r="M3866" s="2" t="n">
        <v>0</v>
      </c>
    </row>
    <row r="3867" customFormat="false" ht="15" hidden="false" customHeight="false" outlineLevel="0" collapsed="false">
      <c r="A3867" s="2" t="s">
        <v>7985</v>
      </c>
      <c r="B3867" s="2" t="s">
        <v>7986</v>
      </c>
      <c r="C3867" s="2" t="n">
        <v>4</v>
      </c>
      <c r="D3867" s="2" t="s">
        <v>15</v>
      </c>
      <c r="E3867" s="2" t="s">
        <v>7523</v>
      </c>
      <c r="F3867" s="3" t="n">
        <v>46036.8590277778</v>
      </c>
      <c r="G3867" s="2" t="s">
        <v>7684</v>
      </c>
      <c r="H3867" s="4" t="n">
        <v>0</v>
      </c>
      <c r="I3867" s="2" t="s">
        <v>18</v>
      </c>
      <c r="J3867" s="2" t="s">
        <v>19</v>
      </c>
      <c r="K3867" s="2" t="n">
        <v>0</v>
      </c>
      <c r="L3867" s="2" t="n">
        <v>0</v>
      </c>
      <c r="M3867" s="2" t="n">
        <v>0</v>
      </c>
    </row>
    <row r="3868" customFormat="false" ht="15" hidden="false" customHeight="false" outlineLevel="0" collapsed="false">
      <c r="A3868" s="2" t="s">
        <v>7987</v>
      </c>
      <c r="B3868" s="2" t="s">
        <v>7988</v>
      </c>
      <c r="C3868" s="2" t="n">
        <v>4</v>
      </c>
      <c r="D3868" s="2" t="s">
        <v>36</v>
      </c>
      <c r="E3868" s="2" t="s">
        <v>7523</v>
      </c>
      <c r="F3868" s="3" t="n">
        <v>46037.0215277778</v>
      </c>
      <c r="G3868" s="2" t="s">
        <v>7684</v>
      </c>
      <c r="H3868" s="4" t="n">
        <v>0.4404</v>
      </c>
      <c r="I3868" s="2" t="s">
        <v>23</v>
      </c>
      <c r="J3868" s="2" t="s">
        <v>37</v>
      </c>
      <c r="K3868" s="2" t="n">
        <v>4</v>
      </c>
      <c r="L3868" s="2" t="n">
        <v>0</v>
      </c>
      <c r="M3868" s="2" t="n">
        <v>0</v>
      </c>
    </row>
    <row r="3869" customFormat="false" ht="15" hidden="false" customHeight="false" outlineLevel="0" collapsed="false">
      <c r="A3869" s="2" t="s">
        <v>7989</v>
      </c>
      <c r="B3869" s="2" t="s">
        <v>7990</v>
      </c>
      <c r="C3869" s="2" t="n">
        <v>5</v>
      </c>
      <c r="D3869" s="2" t="s">
        <v>62</v>
      </c>
      <c r="E3869" s="2" t="s">
        <v>7523</v>
      </c>
      <c r="F3869" s="3" t="n">
        <v>46037.2590277778</v>
      </c>
      <c r="G3869" s="2" t="s">
        <v>7684</v>
      </c>
      <c r="H3869" s="4" t="n">
        <v>0.7088</v>
      </c>
      <c r="I3869" s="2" t="s">
        <v>23</v>
      </c>
      <c r="J3869" s="2" t="s">
        <v>19</v>
      </c>
      <c r="K3869" s="2" t="n">
        <v>0</v>
      </c>
      <c r="L3869" s="2" t="n">
        <v>0</v>
      </c>
      <c r="M3869" s="2" t="n">
        <v>0</v>
      </c>
    </row>
    <row r="3870" customFormat="false" ht="15" hidden="false" customHeight="false" outlineLevel="0" collapsed="false">
      <c r="A3870" s="2" t="s">
        <v>7991</v>
      </c>
      <c r="B3870" s="2" t="s">
        <v>7992</v>
      </c>
      <c r="C3870" s="2" t="n">
        <v>5</v>
      </c>
      <c r="D3870" s="2" t="s">
        <v>15</v>
      </c>
      <c r="E3870" s="2" t="s">
        <v>7523</v>
      </c>
      <c r="F3870" s="3" t="n">
        <v>46037.3590277778</v>
      </c>
      <c r="G3870" s="2" t="s">
        <v>7684</v>
      </c>
      <c r="H3870" s="4" t="n">
        <v>0</v>
      </c>
      <c r="I3870" s="2" t="s">
        <v>18</v>
      </c>
      <c r="J3870" s="2" t="s">
        <v>19</v>
      </c>
      <c r="K3870" s="2" t="n">
        <v>4</v>
      </c>
      <c r="L3870" s="2" t="n">
        <v>0</v>
      </c>
      <c r="M3870" s="2" t="n">
        <v>0</v>
      </c>
    </row>
    <row r="3871" customFormat="false" ht="15" hidden="false" customHeight="false" outlineLevel="0" collapsed="false">
      <c r="A3871" s="2" t="s">
        <v>7993</v>
      </c>
      <c r="B3871" s="2" t="s">
        <v>7994</v>
      </c>
      <c r="C3871" s="2" t="n">
        <v>5</v>
      </c>
      <c r="D3871" s="2" t="s">
        <v>40</v>
      </c>
      <c r="E3871" s="2" t="s">
        <v>7523</v>
      </c>
      <c r="F3871" s="3" t="n">
        <v>46037.3631944444</v>
      </c>
      <c r="G3871" s="2" t="s">
        <v>7684</v>
      </c>
      <c r="H3871" s="4" t="n">
        <v>0.4019</v>
      </c>
      <c r="I3871" s="2" t="s">
        <v>23</v>
      </c>
      <c r="J3871" s="2" t="s">
        <v>33</v>
      </c>
      <c r="K3871" s="2" t="n">
        <v>0</v>
      </c>
      <c r="L3871" s="2" t="n">
        <v>0</v>
      </c>
      <c r="M3871" s="2" t="n">
        <v>0</v>
      </c>
    </row>
    <row r="3872" customFormat="false" ht="15" hidden="false" customHeight="false" outlineLevel="0" collapsed="false">
      <c r="A3872" s="2" t="s">
        <v>7995</v>
      </c>
      <c r="B3872" s="2" t="s">
        <v>5065</v>
      </c>
      <c r="C3872" s="2" t="n">
        <v>2</v>
      </c>
      <c r="D3872" s="2" t="s">
        <v>58</v>
      </c>
      <c r="E3872" s="2" t="s">
        <v>7523</v>
      </c>
      <c r="F3872" s="3" t="n">
        <v>46037.4444444445</v>
      </c>
      <c r="G3872" s="2" t="s">
        <v>7684</v>
      </c>
      <c r="H3872" s="4" t="n">
        <v>0</v>
      </c>
      <c r="I3872" s="2" t="s">
        <v>18</v>
      </c>
      <c r="J3872" s="2" t="s">
        <v>59</v>
      </c>
      <c r="K3872" s="2" t="n">
        <v>0</v>
      </c>
      <c r="L3872" s="2" t="n">
        <v>0</v>
      </c>
      <c r="M3872" s="2" t="n">
        <v>0</v>
      </c>
    </row>
    <row r="3873" customFormat="false" ht="15" hidden="false" customHeight="false" outlineLevel="0" collapsed="false">
      <c r="A3873" s="2" t="s">
        <v>7996</v>
      </c>
      <c r="B3873" s="2" t="s">
        <v>6275</v>
      </c>
      <c r="C3873" s="2" t="n">
        <v>4</v>
      </c>
      <c r="D3873" s="2" t="s">
        <v>15</v>
      </c>
      <c r="E3873" s="2" t="s">
        <v>7523</v>
      </c>
      <c r="F3873" s="3" t="n">
        <v>46037.4805555556</v>
      </c>
      <c r="G3873" s="2" t="s">
        <v>7684</v>
      </c>
      <c r="H3873" s="4" t="n">
        <v>0</v>
      </c>
      <c r="I3873" s="2" t="s">
        <v>18</v>
      </c>
      <c r="J3873" s="2" t="s">
        <v>19</v>
      </c>
      <c r="K3873" s="2" t="n">
        <v>4</v>
      </c>
      <c r="L3873" s="2" t="n">
        <v>0</v>
      </c>
      <c r="M3873" s="2" t="n">
        <v>0</v>
      </c>
    </row>
    <row r="3874" customFormat="false" ht="15" hidden="false" customHeight="false" outlineLevel="0" collapsed="false">
      <c r="A3874" s="2" t="s">
        <v>7997</v>
      </c>
      <c r="B3874" s="2" t="s">
        <v>7998</v>
      </c>
      <c r="C3874" s="2" t="n">
        <v>4</v>
      </c>
      <c r="D3874" s="2" t="s">
        <v>52</v>
      </c>
      <c r="E3874" s="2" t="s">
        <v>7523</v>
      </c>
      <c r="F3874" s="3" t="n">
        <v>46037.6888888889</v>
      </c>
      <c r="G3874" s="2" t="s">
        <v>7684</v>
      </c>
      <c r="H3874" s="4" t="n">
        <v>0.6369</v>
      </c>
      <c r="I3874" s="2" t="s">
        <v>23</v>
      </c>
      <c r="J3874" s="2" t="s">
        <v>19</v>
      </c>
      <c r="K3874" s="2" t="n">
        <v>3</v>
      </c>
      <c r="L3874" s="2" t="n">
        <v>0</v>
      </c>
      <c r="M3874" s="2" t="n">
        <v>0</v>
      </c>
    </row>
    <row r="3875" customFormat="false" ht="15" hidden="false" customHeight="false" outlineLevel="0" collapsed="false">
      <c r="A3875" s="2" t="s">
        <v>7999</v>
      </c>
      <c r="B3875" s="2" t="s">
        <v>8000</v>
      </c>
      <c r="C3875" s="2" t="n">
        <v>1</v>
      </c>
      <c r="D3875" s="2" t="s">
        <v>32</v>
      </c>
      <c r="E3875" s="2" t="s">
        <v>7523</v>
      </c>
      <c r="F3875" s="3" t="n">
        <v>46037.8576388889</v>
      </c>
      <c r="G3875" s="2" t="s">
        <v>7684</v>
      </c>
      <c r="H3875" s="4" t="n">
        <v>0.2023</v>
      </c>
      <c r="I3875" s="2" t="s">
        <v>23</v>
      </c>
      <c r="J3875" s="2" t="s">
        <v>33</v>
      </c>
      <c r="K3875" s="2" t="n">
        <v>1</v>
      </c>
      <c r="L3875" s="2" t="n">
        <v>0</v>
      </c>
      <c r="M3875" s="2" t="n">
        <v>0</v>
      </c>
    </row>
    <row r="3876" customFormat="false" ht="15" hidden="false" customHeight="false" outlineLevel="0" collapsed="false">
      <c r="A3876" s="2" t="s">
        <v>8001</v>
      </c>
      <c r="B3876" s="2" t="s">
        <v>8002</v>
      </c>
      <c r="C3876" s="2" t="n">
        <v>3</v>
      </c>
      <c r="D3876" s="2" t="s">
        <v>1237</v>
      </c>
      <c r="E3876" s="2" t="s">
        <v>7523</v>
      </c>
      <c r="F3876" s="3" t="n">
        <v>46038.1229166667</v>
      </c>
      <c r="G3876" s="2" t="s">
        <v>7684</v>
      </c>
      <c r="H3876" s="4" t="n">
        <v>-0.3089</v>
      </c>
      <c r="I3876" s="2" t="s">
        <v>84</v>
      </c>
      <c r="J3876" s="2" t="s">
        <v>19</v>
      </c>
      <c r="K3876" s="2" t="n">
        <v>9</v>
      </c>
      <c r="L3876" s="2" t="n">
        <v>0</v>
      </c>
      <c r="M3876" s="2" t="n">
        <v>0</v>
      </c>
    </row>
    <row r="3877" customFormat="false" ht="15" hidden="false" customHeight="false" outlineLevel="0" collapsed="false">
      <c r="A3877" s="2" t="s">
        <v>8003</v>
      </c>
      <c r="B3877" s="2" t="s">
        <v>8004</v>
      </c>
      <c r="C3877" s="2" t="n">
        <v>1</v>
      </c>
      <c r="D3877" s="2" t="s">
        <v>3431</v>
      </c>
      <c r="E3877" s="2" t="s">
        <v>7523</v>
      </c>
      <c r="F3877" s="3" t="n">
        <v>46038.1284722222</v>
      </c>
      <c r="G3877" s="2" t="s">
        <v>7684</v>
      </c>
      <c r="H3877" s="4" t="n">
        <v>-0.5719</v>
      </c>
      <c r="I3877" s="2" t="s">
        <v>84</v>
      </c>
      <c r="J3877" s="2" t="s">
        <v>110</v>
      </c>
      <c r="K3877" s="2" t="n">
        <v>2</v>
      </c>
      <c r="L3877" s="2" t="n">
        <v>1</v>
      </c>
      <c r="M3877" s="2" t="n">
        <v>0</v>
      </c>
    </row>
    <row r="3878" customFormat="false" ht="15" hidden="false" customHeight="false" outlineLevel="0" collapsed="false">
      <c r="A3878" s="2" t="s">
        <v>8005</v>
      </c>
      <c r="B3878" s="2" t="s">
        <v>8006</v>
      </c>
      <c r="C3878" s="2" t="n">
        <v>1</v>
      </c>
      <c r="D3878" s="2" t="s">
        <v>455</v>
      </c>
      <c r="E3878" s="2" t="s">
        <v>7523</v>
      </c>
      <c r="F3878" s="3" t="n">
        <v>46038.1347222222</v>
      </c>
      <c r="G3878" s="2" t="s">
        <v>7684</v>
      </c>
      <c r="H3878" s="4" t="n">
        <v>-0.2263</v>
      </c>
      <c r="I3878" s="2" t="s">
        <v>84</v>
      </c>
      <c r="J3878" s="2" t="s">
        <v>165</v>
      </c>
      <c r="K3878" s="2" t="n">
        <v>0</v>
      </c>
      <c r="L3878" s="2" t="n">
        <v>1</v>
      </c>
      <c r="M3878" s="2" t="n">
        <v>0</v>
      </c>
    </row>
    <row r="3879" customFormat="false" ht="15" hidden="false" customHeight="false" outlineLevel="0" collapsed="false">
      <c r="A3879" s="2" t="s">
        <v>8007</v>
      </c>
      <c r="B3879" s="2" t="s">
        <v>8008</v>
      </c>
      <c r="C3879" s="2" t="n">
        <v>1</v>
      </c>
      <c r="D3879" s="2" t="s">
        <v>124</v>
      </c>
      <c r="E3879" s="2" t="s">
        <v>7523</v>
      </c>
      <c r="F3879" s="3" t="n">
        <v>46038.2090277778</v>
      </c>
      <c r="G3879" s="2" t="s">
        <v>7684</v>
      </c>
      <c r="H3879" s="4" t="n">
        <v>-0.0129</v>
      </c>
      <c r="I3879" s="2" t="s">
        <v>18</v>
      </c>
      <c r="J3879" s="2" t="s">
        <v>59</v>
      </c>
      <c r="K3879" s="2" t="n">
        <v>0</v>
      </c>
      <c r="L3879" s="2" t="n">
        <v>1</v>
      </c>
      <c r="M3879" s="2" t="n">
        <v>0</v>
      </c>
    </row>
    <row r="3880" customFormat="false" ht="15" hidden="false" customHeight="false" outlineLevel="0" collapsed="false">
      <c r="A3880" s="2" t="s">
        <v>8009</v>
      </c>
      <c r="B3880" s="2" t="s">
        <v>8010</v>
      </c>
      <c r="C3880" s="2" t="n">
        <v>2</v>
      </c>
      <c r="D3880" s="2" t="s">
        <v>231</v>
      </c>
      <c r="E3880" s="2" t="s">
        <v>7523</v>
      </c>
      <c r="F3880" s="3" t="n">
        <v>46038.3291666667</v>
      </c>
      <c r="G3880" s="2" t="s">
        <v>7684</v>
      </c>
      <c r="H3880" s="4" t="n">
        <v>-0.3593</v>
      </c>
      <c r="I3880" s="2" t="s">
        <v>84</v>
      </c>
      <c r="J3880" s="2" t="s">
        <v>33</v>
      </c>
      <c r="K3880" s="2" t="n">
        <v>0</v>
      </c>
      <c r="L3880" s="2" t="n">
        <v>1</v>
      </c>
      <c r="M3880" s="2" t="n">
        <v>0</v>
      </c>
    </row>
    <row r="3881" customFormat="false" ht="15" hidden="false" customHeight="false" outlineLevel="0" collapsed="false">
      <c r="A3881" s="2" t="s">
        <v>8011</v>
      </c>
      <c r="B3881" s="2" t="s">
        <v>8012</v>
      </c>
      <c r="C3881" s="2" t="n">
        <v>2</v>
      </c>
      <c r="D3881" s="2" t="s">
        <v>8013</v>
      </c>
      <c r="E3881" s="2" t="s">
        <v>7523</v>
      </c>
      <c r="F3881" s="3" t="n">
        <v>46038.4298611111</v>
      </c>
      <c r="G3881" s="2" t="s">
        <v>7684</v>
      </c>
      <c r="H3881" s="4" t="n">
        <v>-0.3945</v>
      </c>
      <c r="I3881" s="2" t="s">
        <v>84</v>
      </c>
      <c r="J3881" s="2" t="s">
        <v>59</v>
      </c>
      <c r="K3881" s="2" t="n">
        <v>1</v>
      </c>
      <c r="L3881" s="2" t="n">
        <v>1</v>
      </c>
      <c r="M3881" s="2" t="n">
        <v>0</v>
      </c>
    </row>
    <row r="3882" customFormat="false" ht="15" hidden="false" customHeight="false" outlineLevel="0" collapsed="false">
      <c r="A3882" s="2" t="s">
        <v>8014</v>
      </c>
      <c r="B3882" s="2" t="s">
        <v>8015</v>
      </c>
      <c r="C3882" s="2" t="n">
        <v>5</v>
      </c>
      <c r="D3882" s="2" t="s">
        <v>15</v>
      </c>
      <c r="E3882" s="2" t="s">
        <v>7523</v>
      </c>
      <c r="F3882" s="3" t="n">
        <v>46038.4736111111</v>
      </c>
      <c r="G3882" s="2" t="s">
        <v>7684</v>
      </c>
      <c r="H3882" s="4" t="n">
        <v>0</v>
      </c>
      <c r="I3882" s="2" t="s">
        <v>18</v>
      </c>
      <c r="J3882" s="2" t="s">
        <v>19</v>
      </c>
      <c r="K3882" s="2" t="n">
        <v>3</v>
      </c>
      <c r="L3882" s="2" t="n">
        <v>0</v>
      </c>
      <c r="M3882" s="2" t="n">
        <v>0</v>
      </c>
    </row>
    <row r="3883" customFormat="false" ht="15" hidden="false" customHeight="false" outlineLevel="0" collapsed="false">
      <c r="A3883" s="2" t="s">
        <v>8016</v>
      </c>
      <c r="B3883" s="2" t="s">
        <v>8017</v>
      </c>
      <c r="C3883" s="2" t="n">
        <v>4</v>
      </c>
      <c r="D3883" s="2" t="s">
        <v>22</v>
      </c>
      <c r="E3883" s="2" t="s">
        <v>7523</v>
      </c>
      <c r="F3883" s="3" t="n">
        <v>46038.9354166667</v>
      </c>
      <c r="G3883" s="2" t="s">
        <v>7684</v>
      </c>
      <c r="H3883" s="4" t="n">
        <v>0.2023</v>
      </c>
      <c r="I3883" s="2" t="s">
        <v>23</v>
      </c>
      <c r="J3883" s="2" t="s">
        <v>19</v>
      </c>
      <c r="K3883" s="2" t="n">
        <v>3</v>
      </c>
      <c r="L3883" s="2" t="n">
        <v>0</v>
      </c>
      <c r="M3883" s="2" t="n">
        <v>0</v>
      </c>
    </row>
    <row r="3884" customFormat="false" ht="15" hidden="false" customHeight="false" outlineLevel="0" collapsed="false">
      <c r="A3884" s="2" t="s">
        <v>8018</v>
      </c>
      <c r="B3884" s="2" t="s">
        <v>8019</v>
      </c>
      <c r="C3884" s="2" t="n">
        <v>5</v>
      </c>
      <c r="D3884" s="2" t="s">
        <v>62</v>
      </c>
      <c r="E3884" s="2" t="s">
        <v>7523</v>
      </c>
      <c r="F3884" s="3" t="n">
        <v>46039.0395833333</v>
      </c>
      <c r="G3884" s="2" t="s">
        <v>7684</v>
      </c>
      <c r="H3884" s="4" t="n">
        <v>0.7088</v>
      </c>
      <c r="I3884" s="2" t="s">
        <v>23</v>
      </c>
      <c r="J3884" s="2" t="s">
        <v>19</v>
      </c>
      <c r="K3884" s="2" t="n">
        <v>4</v>
      </c>
      <c r="L3884" s="2" t="n">
        <v>0</v>
      </c>
      <c r="M3884" s="2" t="n">
        <v>0</v>
      </c>
    </row>
    <row r="3885" customFormat="false" ht="15" hidden="false" customHeight="false" outlineLevel="0" collapsed="false">
      <c r="A3885" s="2" t="s">
        <v>8020</v>
      </c>
      <c r="B3885" s="2" t="s">
        <v>8021</v>
      </c>
      <c r="C3885" s="2" t="n">
        <v>5</v>
      </c>
      <c r="D3885" s="2" t="s">
        <v>96</v>
      </c>
      <c r="E3885" s="2" t="s">
        <v>7523</v>
      </c>
      <c r="F3885" s="3" t="n">
        <v>46039.075</v>
      </c>
      <c r="G3885" s="2" t="s">
        <v>7684</v>
      </c>
      <c r="H3885" s="4" t="n">
        <v>0.6369</v>
      </c>
      <c r="I3885" s="2" t="s">
        <v>23</v>
      </c>
      <c r="J3885" s="2" t="s">
        <v>19</v>
      </c>
      <c r="K3885" s="2" t="n">
        <v>1</v>
      </c>
      <c r="L3885" s="2" t="n">
        <v>0</v>
      </c>
      <c r="M3885" s="2" t="n">
        <v>0</v>
      </c>
    </row>
    <row r="3886" customFormat="false" ht="15" hidden="false" customHeight="false" outlineLevel="0" collapsed="false">
      <c r="A3886" s="2" t="s">
        <v>8022</v>
      </c>
      <c r="B3886" s="2" t="s">
        <v>8023</v>
      </c>
      <c r="C3886" s="2" t="n">
        <v>5</v>
      </c>
      <c r="D3886" s="2" t="s">
        <v>62</v>
      </c>
      <c r="E3886" s="2" t="s">
        <v>7523</v>
      </c>
      <c r="F3886" s="3" t="n">
        <v>46039.1951388889</v>
      </c>
      <c r="G3886" s="2" t="s">
        <v>7684</v>
      </c>
      <c r="H3886" s="4" t="n">
        <v>0.7088</v>
      </c>
      <c r="I3886" s="2" t="s">
        <v>23</v>
      </c>
      <c r="J3886" s="2" t="s">
        <v>19</v>
      </c>
      <c r="K3886" s="2" t="n">
        <v>0</v>
      </c>
      <c r="L3886" s="2" t="n">
        <v>0</v>
      </c>
      <c r="M3886" s="2" t="n">
        <v>0</v>
      </c>
    </row>
    <row r="3887" customFormat="false" ht="15" hidden="false" customHeight="false" outlineLevel="0" collapsed="false">
      <c r="A3887" s="2" t="s">
        <v>8024</v>
      </c>
      <c r="B3887" s="2" t="s">
        <v>8025</v>
      </c>
      <c r="C3887" s="2" t="n">
        <v>4</v>
      </c>
      <c r="D3887" s="2" t="s">
        <v>807</v>
      </c>
      <c r="E3887" s="2" t="s">
        <v>7523</v>
      </c>
      <c r="F3887" s="3" t="n">
        <v>46039.2354166667</v>
      </c>
      <c r="G3887" s="2" t="s">
        <v>7684</v>
      </c>
      <c r="H3887" s="4" t="n">
        <v>0.6369</v>
      </c>
      <c r="I3887" s="2" t="s">
        <v>23</v>
      </c>
      <c r="J3887" s="2" t="s">
        <v>19</v>
      </c>
      <c r="K3887" s="2" t="n">
        <v>0</v>
      </c>
      <c r="L3887" s="2" t="n">
        <v>0</v>
      </c>
      <c r="M3887" s="2" t="n">
        <v>0</v>
      </c>
    </row>
    <row r="3888" customFormat="false" ht="15" hidden="false" customHeight="false" outlineLevel="0" collapsed="false">
      <c r="A3888" s="2" t="s">
        <v>8026</v>
      </c>
      <c r="B3888" s="2" t="s">
        <v>8027</v>
      </c>
      <c r="C3888" s="2" t="n">
        <v>3</v>
      </c>
      <c r="D3888" s="2" t="s">
        <v>22</v>
      </c>
      <c r="E3888" s="2" t="s">
        <v>7523</v>
      </c>
      <c r="F3888" s="3" t="n">
        <v>46039.5513888889</v>
      </c>
      <c r="G3888" s="2" t="s">
        <v>7684</v>
      </c>
      <c r="H3888" s="4" t="n">
        <v>0.2023</v>
      </c>
      <c r="I3888" s="2" t="s">
        <v>23</v>
      </c>
      <c r="J3888" s="2" t="s">
        <v>19</v>
      </c>
      <c r="K3888" s="2" t="n">
        <v>13</v>
      </c>
      <c r="L3888" s="2" t="n">
        <v>0</v>
      </c>
      <c r="M3888" s="2" t="n">
        <v>0</v>
      </c>
    </row>
    <row r="3889" customFormat="false" ht="15" hidden="false" customHeight="false" outlineLevel="0" collapsed="false">
      <c r="A3889" s="2" t="s">
        <v>8028</v>
      </c>
      <c r="B3889" s="2" t="s">
        <v>8029</v>
      </c>
      <c r="C3889" s="2" t="n">
        <v>5</v>
      </c>
      <c r="D3889" s="2" t="s">
        <v>40</v>
      </c>
      <c r="E3889" s="2" t="s">
        <v>7523</v>
      </c>
      <c r="F3889" s="3" t="n">
        <v>46039.5805555556</v>
      </c>
      <c r="G3889" s="2" t="s">
        <v>7684</v>
      </c>
      <c r="H3889" s="4" t="n">
        <v>0.4019</v>
      </c>
      <c r="I3889" s="2" t="s">
        <v>23</v>
      </c>
      <c r="J3889" s="2" t="s">
        <v>33</v>
      </c>
      <c r="K3889" s="2" t="n">
        <v>7</v>
      </c>
      <c r="L3889" s="2" t="n">
        <v>0</v>
      </c>
      <c r="M3889" s="2" t="n">
        <v>0</v>
      </c>
    </row>
    <row r="3890" customFormat="false" ht="15" hidden="false" customHeight="false" outlineLevel="0" collapsed="false">
      <c r="A3890" s="2" t="s">
        <v>8030</v>
      </c>
      <c r="B3890" s="2" t="s">
        <v>8031</v>
      </c>
      <c r="C3890" s="2" t="n">
        <v>4</v>
      </c>
      <c r="D3890" s="2" t="s">
        <v>62</v>
      </c>
      <c r="E3890" s="2" t="s">
        <v>7523</v>
      </c>
      <c r="F3890" s="3" t="n">
        <v>46039.7736111111</v>
      </c>
      <c r="G3890" s="2" t="s">
        <v>7684</v>
      </c>
      <c r="H3890" s="4" t="n">
        <v>0.7088</v>
      </c>
      <c r="I3890" s="2" t="s">
        <v>23</v>
      </c>
      <c r="J3890" s="2" t="s">
        <v>19</v>
      </c>
      <c r="K3890" s="2" t="n">
        <v>6</v>
      </c>
      <c r="L3890" s="2" t="n">
        <v>0</v>
      </c>
      <c r="M3890" s="2" t="n">
        <v>0</v>
      </c>
    </row>
    <row r="3891" customFormat="false" ht="15" hidden="false" customHeight="false" outlineLevel="0" collapsed="false">
      <c r="A3891" s="2" t="s">
        <v>8032</v>
      </c>
      <c r="B3891" s="2" t="s">
        <v>8033</v>
      </c>
      <c r="C3891" s="2" t="n">
        <v>4</v>
      </c>
      <c r="D3891" s="2" t="s">
        <v>52</v>
      </c>
      <c r="E3891" s="2" t="s">
        <v>7523</v>
      </c>
      <c r="F3891" s="3" t="n">
        <v>46039.7847222222</v>
      </c>
      <c r="G3891" s="2" t="s">
        <v>7684</v>
      </c>
      <c r="H3891" s="4" t="n">
        <v>0.6369</v>
      </c>
      <c r="I3891" s="2" t="s">
        <v>23</v>
      </c>
      <c r="J3891" s="2" t="s">
        <v>19</v>
      </c>
      <c r="K3891" s="2" t="n">
        <v>0</v>
      </c>
      <c r="L3891" s="2" t="n">
        <v>0</v>
      </c>
      <c r="M3891" s="2" t="n">
        <v>0</v>
      </c>
    </row>
    <row r="3892" customFormat="false" ht="15" hidden="false" customHeight="false" outlineLevel="0" collapsed="false">
      <c r="A3892" s="2" t="s">
        <v>8034</v>
      </c>
      <c r="B3892" s="2" t="s">
        <v>8035</v>
      </c>
      <c r="C3892" s="2" t="n">
        <v>5</v>
      </c>
      <c r="D3892" s="2" t="s">
        <v>90</v>
      </c>
      <c r="E3892" s="2" t="s">
        <v>7523</v>
      </c>
      <c r="F3892" s="3" t="n">
        <v>46039.8201388889</v>
      </c>
      <c r="G3892" s="2" t="s">
        <v>7684</v>
      </c>
      <c r="H3892" s="4" t="n">
        <v>0.6249</v>
      </c>
      <c r="I3892" s="2" t="s">
        <v>23</v>
      </c>
      <c r="J3892" s="2" t="s">
        <v>37</v>
      </c>
      <c r="K3892" s="2" t="n">
        <v>1</v>
      </c>
      <c r="L3892" s="2" t="n">
        <v>0</v>
      </c>
      <c r="M3892" s="2" t="n">
        <v>0</v>
      </c>
    </row>
    <row r="3893" customFormat="false" ht="15" hidden="false" customHeight="false" outlineLevel="0" collapsed="false">
      <c r="A3893" s="2" t="s">
        <v>8036</v>
      </c>
      <c r="B3893" s="2" t="s">
        <v>8037</v>
      </c>
      <c r="C3893" s="2" t="n">
        <v>2</v>
      </c>
      <c r="D3893" s="2" t="s">
        <v>1034</v>
      </c>
      <c r="E3893" s="2" t="s">
        <v>7523</v>
      </c>
      <c r="F3893" s="3" t="n">
        <v>46039.8361111111</v>
      </c>
      <c r="G3893" s="2" t="s">
        <v>7684</v>
      </c>
      <c r="H3893" s="4" t="n">
        <v>0</v>
      </c>
      <c r="I3893" s="2" t="s">
        <v>18</v>
      </c>
      <c r="J3893" s="2" t="s">
        <v>110</v>
      </c>
      <c r="K3893" s="2" t="n">
        <v>9</v>
      </c>
      <c r="L3893" s="2" t="n">
        <v>1</v>
      </c>
      <c r="M3893" s="2" t="n">
        <v>0</v>
      </c>
    </row>
    <row r="3894" customFormat="false" ht="15" hidden="false" customHeight="false" outlineLevel="0" collapsed="false">
      <c r="A3894" s="2" t="s">
        <v>8038</v>
      </c>
      <c r="B3894" s="2" t="s">
        <v>8039</v>
      </c>
      <c r="C3894" s="2" t="n">
        <v>5</v>
      </c>
      <c r="D3894" s="2" t="s">
        <v>96</v>
      </c>
      <c r="E3894" s="2" t="s">
        <v>7523</v>
      </c>
      <c r="F3894" s="3" t="n">
        <v>46039.8868055556</v>
      </c>
      <c r="G3894" s="2" t="s">
        <v>7684</v>
      </c>
      <c r="H3894" s="4" t="n">
        <v>0.6369</v>
      </c>
      <c r="I3894" s="2" t="s">
        <v>23</v>
      </c>
      <c r="J3894" s="2" t="s">
        <v>19</v>
      </c>
      <c r="K3894" s="2" t="n">
        <v>0</v>
      </c>
      <c r="L3894" s="2" t="n">
        <v>0</v>
      </c>
      <c r="M3894" s="2" t="n">
        <v>0</v>
      </c>
    </row>
    <row r="3895" customFormat="false" ht="15" hidden="false" customHeight="false" outlineLevel="0" collapsed="false">
      <c r="A3895" s="2" t="s">
        <v>8040</v>
      </c>
      <c r="B3895" s="2" t="s">
        <v>8041</v>
      </c>
      <c r="C3895" s="2" t="n">
        <v>5</v>
      </c>
      <c r="D3895" s="2" t="s">
        <v>2587</v>
      </c>
      <c r="E3895" s="2" t="s">
        <v>7523</v>
      </c>
      <c r="F3895" s="3" t="n">
        <v>46040.0229166667</v>
      </c>
      <c r="G3895" s="2" t="s">
        <v>7684</v>
      </c>
      <c r="H3895" s="4" t="n">
        <v>0.9828</v>
      </c>
      <c r="I3895" s="2" t="s">
        <v>23</v>
      </c>
      <c r="J3895" s="2" t="s">
        <v>37</v>
      </c>
      <c r="K3895" s="2" t="n">
        <v>1</v>
      </c>
      <c r="L3895" s="2" t="n">
        <v>0</v>
      </c>
      <c r="M3895" s="2" t="n">
        <v>0</v>
      </c>
    </row>
    <row r="3896" customFormat="false" ht="15" hidden="false" customHeight="false" outlineLevel="0" collapsed="false">
      <c r="A3896" s="2" t="s">
        <v>8042</v>
      </c>
      <c r="B3896" s="2" t="s">
        <v>8043</v>
      </c>
      <c r="C3896" s="2" t="n">
        <v>2</v>
      </c>
      <c r="D3896" s="2" t="s">
        <v>295</v>
      </c>
      <c r="E3896" s="2" t="s">
        <v>7523</v>
      </c>
      <c r="F3896" s="3" t="n">
        <v>46040.0652777778</v>
      </c>
      <c r="G3896" s="2" t="s">
        <v>7684</v>
      </c>
      <c r="H3896" s="4" t="n">
        <v>-0.5023</v>
      </c>
      <c r="I3896" s="2" t="s">
        <v>84</v>
      </c>
      <c r="J3896" s="2" t="s">
        <v>33</v>
      </c>
      <c r="K3896" s="2" t="n">
        <v>2</v>
      </c>
      <c r="L3896" s="2" t="n">
        <v>0</v>
      </c>
      <c r="M3896" s="2" t="n">
        <v>0</v>
      </c>
    </row>
    <row r="3897" customFormat="false" ht="15" hidden="false" customHeight="false" outlineLevel="0" collapsed="false">
      <c r="A3897" s="2" t="s">
        <v>8044</v>
      </c>
      <c r="B3897" s="2" t="s">
        <v>8045</v>
      </c>
      <c r="C3897" s="2" t="n">
        <v>2</v>
      </c>
      <c r="D3897" s="2" t="s">
        <v>823</v>
      </c>
      <c r="E3897" s="2" t="s">
        <v>7523</v>
      </c>
      <c r="F3897" s="3" t="n">
        <v>46040.1381944444</v>
      </c>
      <c r="G3897" s="2" t="s">
        <v>7684</v>
      </c>
      <c r="H3897" s="4" t="n">
        <v>-0.6997</v>
      </c>
      <c r="I3897" s="2" t="s">
        <v>84</v>
      </c>
      <c r="J3897" s="2" t="s">
        <v>19</v>
      </c>
      <c r="K3897" s="2" t="n">
        <v>0</v>
      </c>
      <c r="L3897" s="2" t="n">
        <v>1</v>
      </c>
      <c r="M3897" s="2" t="n">
        <v>0</v>
      </c>
    </row>
    <row r="3898" customFormat="false" ht="15" hidden="false" customHeight="false" outlineLevel="0" collapsed="false">
      <c r="A3898" s="2" t="s">
        <v>8046</v>
      </c>
      <c r="B3898" s="2" t="s">
        <v>8047</v>
      </c>
      <c r="C3898" s="2" t="n">
        <v>5</v>
      </c>
      <c r="D3898" s="2" t="s">
        <v>828</v>
      </c>
      <c r="E3898" s="2" t="s">
        <v>7523</v>
      </c>
      <c r="F3898" s="3" t="n">
        <v>46040.20625</v>
      </c>
      <c r="G3898" s="2" t="s">
        <v>7684</v>
      </c>
      <c r="H3898" s="4" t="n">
        <v>0.8519</v>
      </c>
      <c r="I3898" s="2" t="s">
        <v>23</v>
      </c>
      <c r="J3898" s="2" t="s">
        <v>37</v>
      </c>
      <c r="K3898" s="2" t="n">
        <v>3</v>
      </c>
      <c r="L3898" s="2" t="n">
        <v>0</v>
      </c>
      <c r="M3898" s="2" t="n">
        <v>0</v>
      </c>
    </row>
    <row r="3899" customFormat="false" ht="15" hidden="false" customHeight="false" outlineLevel="0" collapsed="false">
      <c r="A3899" s="2" t="s">
        <v>8048</v>
      </c>
      <c r="B3899" s="2" t="s">
        <v>8049</v>
      </c>
      <c r="C3899" s="2" t="n">
        <v>5</v>
      </c>
      <c r="D3899" s="2" t="s">
        <v>62</v>
      </c>
      <c r="E3899" s="2" t="s">
        <v>7523</v>
      </c>
      <c r="F3899" s="3" t="n">
        <v>46040.2625</v>
      </c>
      <c r="G3899" s="2" t="s">
        <v>7684</v>
      </c>
      <c r="H3899" s="4" t="n">
        <v>0.7088</v>
      </c>
      <c r="I3899" s="2" t="s">
        <v>23</v>
      </c>
      <c r="J3899" s="2" t="s">
        <v>19</v>
      </c>
      <c r="K3899" s="2" t="n">
        <v>3</v>
      </c>
      <c r="L3899" s="2" t="n">
        <v>0</v>
      </c>
      <c r="M3899" s="2" t="n">
        <v>0</v>
      </c>
    </row>
    <row r="3900" customFormat="false" ht="15" hidden="false" customHeight="false" outlineLevel="0" collapsed="false">
      <c r="A3900" s="2" t="s">
        <v>8050</v>
      </c>
      <c r="B3900" s="2" t="s">
        <v>8051</v>
      </c>
      <c r="C3900" s="2" t="n">
        <v>5</v>
      </c>
      <c r="D3900" s="2" t="s">
        <v>96</v>
      </c>
      <c r="E3900" s="2" t="s">
        <v>7523</v>
      </c>
      <c r="F3900" s="3" t="n">
        <v>46040.3777777778</v>
      </c>
      <c r="G3900" s="2" t="s">
        <v>7684</v>
      </c>
      <c r="H3900" s="4" t="n">
        <v>0.6369</v>
      </c>
      <c r="I3900" s="2" t="s">
        <v>23</v>
      </c>
      <c r="J3900" s="2" t="s">
        <v>19</v>
      </c>
      <c r="K3900" s="2" t="n">
        <v>3</v>
      </c>
      <c r="L3900" s="2" t="n">
        <v>0</v>
      </c>
      <c r="M3900" s="2" t="n">
        <v>0</v>
      </c>
    </row>
    <row r="3901" customFormat="false" ht="15" hidden="false" customHeight="false" outlineLevel="0" collapsed="false">
      <c r="A3901" s="2" t="s">
        <v>8052</v>
      </c>
      <c r="B3901" s="2" t="s">
        <v>8053</v>
      </c>
      <c r="C3901" s="2" t="n">
        <v>5</v>
      </c>
      <c r="D3901" s="2" t="s">
        <v>15</v>
      </c>
      <c r="E3901" s="2" t="s">
        <v>7523</v>
      </c>
      <c r="F3901" s="3" t="n">
        <v>46040.6493055556</v>
      </c>
      <c r="G3901" s="2" t="s">
        <v>7684</v>
      </c>
      <c r="H3901" s="4" t="n">
        <v>0</v>
      </c>
      <c r="I3901" s="2" t="s">
        <v>18</v>
      </c>
      <c r="J3901" s="2" t="s">
        <v>19</v>
      </c>
      <c r="K3901" s="2" t="n">
        <v>1</v>
      </c>
      <c r="L3901" s="2" t="n">
        <v>0</v>
      </c>
      <c r="M3901" s="2" t="n">
        <v>0</v>
      </c>
    </row>
    <row r="3902" customFormat="false" ht="15" hidden="false" customHeight="false" outlineLevel="0" collapsed="false">
      <c r="A3902" s="2" t="s">
        <v>8054</v>
      </c>
      <c r="B3902" s="2" t="s">
        <v>8055</v>
      </c>
      <c r="C3902" s="2" t="n">
        <v>1</v>
      </c>
      <c r="D3902" s="2" t="s">
        <v>1659</v>
      </c>
      <c r="E3902" s="2" t="s">
        <v>7523</v>
      </c>
      <c r="F3902" s="3" t="n">
        <v>46040.6840277778</v>
      </c>
      <c r="G3902" s="2" t="s">
        <v>7684</v>
      </c>
      <c r="H3902" s="4" t="n">
        <v>0</v>
      </c>
      <c r="I3902" s="2" t="s">
        <v>18</v>
      </c>
      <c r="J3902" s="2" t="s">
        <v>59</v>
      </c>
      <c r="K3902" s="2" t="n">
        <v>3</v>
      </c>
      <c r="L3902" s="2" t="n">
        <v>0</v>
      </c>
      <c r="M3902" s="2" t="n">
        <v>0</v>
      </c>
    </row>
    <row r="3903" customFormat="false" ht="15" hidden="false" customHeight="false" outlineLevel="0" collapsed="false">
      <c r="A3903" s="2" t="s">
        <v>8056</v>
      </c>
      <c r="B3903" s="2" t="s">
        <v>8057</v>
      </c>
      <c r="C3903" s="2" t="n">
        <v>4</v>
      </c>
      <c r="D3903" s="2" t="s">
        <v>1878</v>
      </c>
      <c r="E3903" s="2" t="s">
        <v>7523</v>
      </c>
      <c r="F3903" s="3" t="n">
        <v>46040.7631944444</v>
      </c>
      <c r="G3903" s="2" t="s">
        <v>7684</v>
      </c>
      <c r="H3903" s="4" t="n">
        <v>0.9516</v>
      </c>
      <c r="I3903" s="2" t="s">
        <v>23</v>
      </c>
      <c r="J3903" s="2" t="s">
        <v>37</v>
      </c>
      <c r="K3903" s="2" t="n">
        <v>3</v>
      </c>
      <c r="L3903" s="2" t="n">
        <v>0</v>
      </c>
      <c r="M3903" s="2" t="n">
        <v>0</v>
      </c>
    </row>
    <row r="3904" customFormat="false" ht="15" hidden="false" customHeight="false" outlineLevel="0" collapsed="false">
      <c r="A3904" s="2" t="s">
        <v>8058</v>
      </c>
      <c r="B3904" s="2" t="s">
        <v>8059</v>
      </c>
      <c r="C3904" s="2" t="n">
        <v>1</v>
      </c>
      <c r="D3904" s="2" t="s">
        <v>482</v>
      </c>
      <c r="E3904" s="2" t="s">
        <v>7523</v>
      </c>
      <c r="F3904" s="3" t="n">
        <v>46040.7840277778</v>
      </c>
      <c r="G3904" s="2" t="s">
        <v>7684</v>
      </c>
      <c r="H3904" s="4" t="n">
        <v>-0.6808</v>
      </c>
      <c r="I3904" s="2" t="s">
        <v>84</v>
      </c>
      <c r="J3904" s="2" t="s">
        <v>110</v>
      </c>
      <c r="K3904" s="2" t="n">
        <v>2</v>
      </c>
      <c r="L3904" s="2" t="n">
        <v>1</v>
      </c>
      <c r="M3904" s="2" t="n">
        <v>0</v>
      </c>
    </row>
    <row r="3905" customFormat="false" ht="15" hidden="false" customHeight="false" outlineLevel="0" collapsed="false">
      <c r="A3905" s="2" t="s">
        <v>8060</v>
      </c>
      <c r="B3905" s="2" t="s">
        <v>8061</v>
      </c>
      <c r="C3905" s="2" t="n">
        <v>1</v>
      </c>
      <c r="D3905" s="2" t="s">
        <v>83</v>
      </c>
      <c r="E3905" s="2" t="s">
        <v>7523</v>
      </c>
      <c r="F3905" s="3" t="n">
        <v>46041.0194444444</v>
      </c>
      <c r="G3905" s="2" t="s">
        <v>7684</v>
      </c>
      <c r="H3905" s="4" t="n">
        <v>-0.6166</v>
      </c>
      <c r="I3905" s="2" t="s">
        <v>84</v>
      </c>
      <c r="J3905" s="2" t="s">
        <v>59</v>
      </c>
      <c r="K3905" s="2" t="n">
        <v>2</v>
      </c>
      <c r="L3905" s="2" t="n">
        <v>1</v>
      </c>
      <c r="M3905" s="2" t="n">
        <v>0</v>
      </c>
    </row>
    <row r="3906" customFormat="false" ht="15" hidden="false" customHeight="false" outlineLevel="0" collapsed="false">
      <c r="A3906" s="2" t="s">
        <v>8062</v>
      </c>
      <c r="B3906" s="2" t="s">
        <v>8063</v>
      </c>
      <c r="C3906" s="2" t="n">
        <v>5</v>
      </c>
      <c r="D3906" s="2" t="s">
        <v>47</v>
      </c>
      <c r="E3906" s="2" t="s">
        <v>7523</v>
      </c>
      <c r="F3906" s="3" t="n">
        <v>46041.0451388889</v>
      </c>
      <c r="G3906" s="2" t="s">
        <v>7684</v>
      </c>
      <c r="H3906" s="4" t="n">
        <v>0.3089</v>
      </c>
      <c r="I3906" s="2" t="s">
        <v>23</v>
      </c>
      <c r="J3906" s="2" t="s">
        <v>19</v>
      </c>
      <c r="K3906" s="2" t="n">
        <v>4</v>
      </c>
      <c r="L3906" s="2" t="n">
        <v>0</v>
      </c>
      <c r="M3906" s="2" t="n">
        <v>0</v>
      </c>
    </row>
    <row r="3907" customFormat="false" ht="15" hidden="false" customHeight="false" outlineLevel="0" collapsed="false">
      <c r="A3907" s="2" t="s">
        <v>8064</v>
      </c>
      <c r="B3907" s="2" t="s">
        <v>8065</v>
      </c>
      <c r="C3907" s="2" t="n">
        <v>4</v>
      </c>
      <c r="D3907" s="2" t="s">
        <v>301</v>
      </c>
      <c r="E3907" s="2" t="s">
        <v>7523</v>
      </c>
      <c r="F3907" s="3" t="n">
        <v>46041.1347222222</v>
      </c>
      <c r="G3907" s="2" t="s">
        <v>7684</v>
      </c>
      <c r="H3907" s="4" t="n">
        <v>0.2263</v>
      </c>
      <c r="I3907" s="2" t="s">
        <v>23</v>
      </c>
      <c r="J3907" s="2" t="s">
        <v>19</v>
      </c>
      <c r="K3907" s="2" t="n">
        <v>2</v>
      </c>
      <c r="L3907" s="2" t="n">
        <v>0</v>
      </c>
      <c r="M3907" s="2" t="n">
        <v>0</v>
      </c>
    </row>
    <row r="3908" customFormat="false" ht="15" hidden="false" customHeight="false" outlineLevel="0" collapsed="false">
      <c r="A3908" s="2" t="s">
        <v>8066</v>
      </c>
      <c r="B3908" s="2" t="s">
        <v>8067</v>
      </c>
      <c r="C3908" s="2" t="n">
        <v>5</v>
      </c>
      <c r="D3908" s="2" t="s">
        <v>1004</v>
      </c>
      <c r="E3908" s="2" t="s">
        <v>7523</v>
      </c>
      <c r="F3908" s="3" t="n">
        <v>46041.3020833333</v>
      </c>
      <c r="G3908" s="2" t="s">
        <v>7684</v>
      </c>
      <c r="H3908" s="4" t="n">
        <v>0.6249</v>
      </c>
      <c r="I3908" s="2" t="s">
        <v>23</v>
      </c>
      <c r="J3908" s="2" t="s">
        <v>37</v>
      </c>
      <c r="K3908" s="2" t="n">
        <v>2</v>
      </c>
      <c r="L3908" s="2" t="n">
        <v>0</v>
      </c>
      <c r="M3908" s="2" t="n">
        <v>0</v>
      </c>
    </row>
    <row r="3909" customFormat="false" ht="15" hidden="false" customHeight="false" outlineLevel="0" collapsed="false">
      <c r="A3909" s="2" t="s">
        <v>8068</v>
      </c>
      <c r="B3909" s="2" t="s">
        <v>1511</v>
      </c>
      <c r="C3909" s="2" t="n">
        <v>4</v>
      </c>
      <c r="D3909" s="2" t="s">
        <v>36</v>
      </c>
      <c r="E3909" s="2" t="s">
        <v>7523</v>
      </c>
      <c r="F3909" s="3" t="n">
        <v>46041.3076388889</v>
      </c>
      <c r="G3909" s="2" t="s">
        <v>7684</v>
      </c>
      <c r="H3909" s="4" t="n">
        <v>0.4404</v>
      </c>
      <c r="I3909" s="2" t="s">
        <v>23</v>
      </c>
      <c r="J3909" s="2" t="s">
        <v>37</v>
      </c>
      <c r="K3909" s="2" t="n">
        <v>3</v>
      </c>
      <c r="L3909" s="2" t="n">
        <v>0</v>
      </c>
      <c r="M3909" s="2" t="n">
        <v>0</v>
      </c>
    </row>
    <row r="3910" customFormat="false" ht="15" hidden="false" customHeight="false" outlineLevel="0" collapsed="false">
      <c r="A3910" s="2" t="s">
        <v>8069</v>
      </c>
      <c r="B3910" s="2" t="s">
        <v>8070</v>
      </c>
      <c r="C3910" s="2" t="n">
        <v>4</v>
      </c>
      <c r="D3910" s="2" t="s">
        <v>127</v>
      </c>
      <c r="E3910" s="2" t="s">
        <v>7523</v>
      </c>
      <c r="F3910" s="3" t="n">
        <v>46041.3520833333</v>
      </c>
      <c r="G3910" s="2" t="s">
        <v>7684</v>
      </c>
      <c r="H3910" s="4" t="n">
        <v>0.9359</v>
      </c>
      <c r="I3910" s="2" t="s">
        <v>23</v>
      </c>
      <c r="J3910" s="2" t="s">
        <v>37</v>
      </c>
      <c r="K3910" s="2" t="n">
        <v>1</v>
      </c>
      <c r="L3910" s="2" t="n">
        <v>0</v>
      </c>
      <c r="M3910" s="2" t="n">
        <v>0</v>
      </c>
    </row>
    <row r="3911" customFormat="false" ht="15" hidden="false" customHeight="false" outlineLevel="0" collapsed="false">
      <c r="A3911" s="2" t="s">
        <v>8071</v>
      </c>
      <c r="B3911" s="2" t="s">
        <v>8072</v>
      </c>
      <c r="C3911" s="2" t="n">
        <v>4</v>
      </c>
      <c r="D3911" s="2" t="s">
        <v>301</v>
      </c>
      <c r="E3911" s="2" t="s">
        <v>7523</v>
      </c>
      <c r="F3911" s="3" t="n">
        <v>46041.5194444444</v>
      </c>
      <c r="G3911" s="2" t="s">
        <v>7684</v>
      </c>
      <c r="H3911" s="4" t="n">
        <v>0.2263</v>
      </c>
      <c r="I3911" s="2" t="s">
        <v>23</v>
      </c>
      <c r="J3911" s="2" t="s">
        <v>19</v>
      </c>
      <c r="K3911" s="2" t="n">
        <v>7</v>
      </c>
      <c r="L3911" s="2" t="n">
        <v>0</v>
      </c>
      <c r="M3911" s="2" t="n">
        <v>0</v>
      </c>
    </row>
    <row r="3912" customFormat="false" ht="15" hidden="false" customHeight="false" outlineLevel="0" collapsed="false">
      <c r="A3912" s="2" t="s">
        <v>8073</v>
      </c>
      <c r="B3912" s="2" t="s">
        <v>8074</v>
      </c>
      <c r="C3912" s="2" t="n">
        <v>1</v>
      </c>
      <c r="D3912" s="2" t="s">
        <v>164</v>
      </c>
      <c r="E3912" s="2" t="s">
        <v>7523</v>
      </c>
      <c r="F3912" s="3" t="n">
        <v>46041.6645833333</v>
      </c>
      <c r="G3912" s="2" t="s">
        <v>7684</v>
      </c>
      <c r="H3912" s="4" t="n">
        <v>0.25</v>
      </c>
      <c r="I3912" s="2" t="s">
        <v>23</v>
      </c>
      <c r="J3912" s="2" t="s">
        <v>165</v>
      </c>
      <c r="K3912" s="2" t="n">
        <v>2</v>
      </c>
      <c r="L3912" s="2" t="n">
        <v>0</v>
      </c>
      <c r="M3912" s="2" t="n">
        <v>0</v>
      </c>
    </row>
    <row r="3913" customFormat="false" ht="15" hidden="false" customHeight="false" outlineLevel="0" collapsed="false">
      <c r="A3913" s="2" t="s">
        <v>8075</v>
      </c>
      <c r="B3913" s="2" t="s">
        <v>8076</v>
      </c>
      <c r="C3913" s="2" t="n">
        <v>4</v>
      </c>
      <c r="D3913" s="2" t="s">
        <v>96</v>
      </c>
      <c r="E3913" s="2" t="s">
        <v>7523</v>
      </c>
      <c r="F3913" s="3" t="n">
        <v>46041.9173611111</v>
      </c>
      <c r="G3913" s="2" t="s">
        <v>7684</v>
      </c>
      <c r="H3913" s="4" t="n">
        <v>0.6369</v>
      </c>
      <c r="I3913" s="2" t="s">
        <v>23</v>
      </c>
      <c r="J3913" s="2" t="s">
        <v>19</v>
      </c>
      <c r="K3913" s="2" t="n">
        <v>7</v>
      </c>
      <c r="L3913" s="2" t="n">
        <v>0</v>
      </c>
      <c r="M3913" s="2" t="n">
        <v>0</v>
      </c>
    </row>
    <row r="3914" customFormat="false" ht="15" hidden="false" customHeight="false" outlineLevel="0" collapsed="false">
      <c r="A3914" s="2" t="s">
        <v>8077</v>
      </c>
      <c r="B3914" s="2" t="s">
        <v>8078</v>
      </c>
      <c r="C3914" s="2" t="n">
        <v>5</v>
      </c>
      <c r="D3914" s="2" t="s">
        <v>6060</v>
      </c>
      <c r="E3914" s="2" t="s">
        <v>7523</v>
      </c>
      <c r="F3914" s="3" t="n">
        <v>46041.9458333333</v>
      </c>
      <c r="G3914" s="2" t="s">
        <v>7684</v>
      </c>
      <c r="H3914" s="4" t="n">
        <v>0.7549</v>
      </c>
      <c r="I3914" s="2" t="s">
        <v>23</v>
      </c>
      <c r="J3914" s="2" t="s">
        <v>19</v>
      </c>
      <c r="K3914" s="2" t="n">
        <v>2</v>
      </c>
      <c r="L3914" s="2" t="n">
        <v>0</v>
      </c>
      <c r="M3914" s="2" t="n">
        <v>0</v>
      </c>
    </row>
    <row r="3915" customFormat="false" ht="15" hidden="false" customHeight="false" outlineLevel="0" collapsed="false">
      <c r="A3915" s="2" t="s">
        <v>8079</v>
      </c>
      <c r="B3915" s="2" t="s">
        <v>8080</v>
      </c>
      <c r="C3915" s="2" t="n">
        <v>1</v>
      </c>
      <c r="D3915" s="2" t="s">
        <v>83</v>
      </c>
      <c r="E3915" s="2" t="s">
        <v>7523</v>
      </c>
      <c r="F3915" s="3" t="n">
        <v>46041.9819444444</v>
      </c>
      <c r="G3915" s="2" t="s">
        <v>7684</v>
      </c>
      <c r="H3915" s="4" t="n">
        <v>-0.6166</v>
      </c>
      <c r="I3915" s="2" t="s">
        <v>84</v>
      </c>
      <c r="J3915" s="2" t="s">
        <v>59</v>
      </c>
      <c r="K3915" s="2" t="n">
        <v>0</v>
      </c>
      <c r="L3915" s="2" t="n">
        <v>1</v>
      </c>
      <c r="M3915" s="2" t="n">
        <v>0</v>
      </c>
    </row>
    <row r="3916" customFormat="false" ht="15" hidden="false" customHeight="false" outlineLevel="0" collapsed="false">
      <c r="A3916" s="2" t="s">
        <v>8081</v>
      </c>
      <c r="B3916" s="2" t="s">
        <v>8082</v>
      </c>
      <c r="C3916" s="2" t="n">
        <v>5</v>
      </c>
      <c r="D3916" s="2" t="s">
        <v>40</v>
      </c>
      <c r="E3916" s="2" t="s">
        <v>8083</v>
      </c>
      <c r="F3916" s="3" t="n">
        <v>46042.0326388889</v>
      </c>
      <c r="G3916" s="2" t="s">
        <v>7684</v>
      </c>
      <c r="H3916" s="4" t="n">
        <v>0.4019</v>
      </c>
      <c r="I3916" s="2" t="s">
        <v>23</v>
      </c>
      <c r="J3916" s="2" t="s">
        <v>33</v>
      </c>
      <c r="K3916" s="2" t="n">
        <v>2</v>
      </c>
      <c r="L3916" s="2" t="n">
        <v>0</v>
      </c>
      <c r="M3916" s="2" t="n">
        <v>1</v>
      </c>
    </row>
    <row r="3917" customFormat="false" ht="15" hidden="false" customHeight="false" outlineLevel="0" collapsed="false">
      <c r="A3917" s="2" t="s">
        <v>8084</v>
      </c>
      <c r="B3917" s="2" t="s">
        <v>8085</v>
      </c>
      <c r="C3917" s="2" t="n">
        <v>2</v>
      </c>
      <c r="D3917" s="2" t="s">
        <v>823</v>
      </c>
      <c r="E3917" s="2" t="s">
        <v>8083</v>
      </c>
      <c r="F3917" s="3" t="n">
        <v>46042.2493055556</v>
      </c>
      <c r="G3917" s="2" t="s">
        <v>7684</v>
      </c>
      <c r="H3917" s="4" t="n">
        <v>-0.6997</v>
      </c>
      <c r="I3917" s="2" t="s">
        <v>84</v>
      </c>
      <c r="J3917" s="2" t="s">
        <v>19</v>
      </c>
      <c r="K3917" s="2" t="n">
        <v>1</v>
      </c>
      <c r="L3917" s="2" t="n">
        <v>1</v>
      </c>
      <c r="M3917" s="2" t="n">
        <v>1</v>
      </c>
    </row>
    <row r="3918" customFormat="false" ht="15" hidden="false" customHeight="false" outlineLevel="0" collapsed="false">
      <c r="A3918" s="2" t="s">
        <v>8086</v>
      </c>
      <c r="B3918" s="2" t="s">
        <v>8087</v>
      </c>
      <c r="C3918" s="2" t="n">
        <v>5</v>
      </c>
      <c r="D3918" s="2" t="s">
        <v>96</v>
      </c>
      <c r="E3918" s="2" t="s">
        <v>8083</v>
      </c>
      <c r="F3918" s="3" t="n">
        <v>46042.3055555556</v>
      </c>
      <c r="G3918" s="2" t="s">
        <v>7684</v>
      </c>
      <c r="H3918" s="4" t="n">
        <v>0.6369</v>
      </c>
      <c r="I3918" s="2" t="s">
        <v>23</v>
      </c>
      <c r="J3918" s="2" t="s">
        <v>19</v>
      </c>
      <c r="K3918" s="2" t="n">
        <v>1</v>
      </c>
      <c r="L3918" s="2" t="n">
        <v>0</v>
      </c>
      <c r="M3918" s="2" t="n">
        <v>1</v>
      </c>
    </row>
    <row r="3919" customFormat="false" ht="15" hidden="false" customHeight="false" outlineLevel="0" collapsed="false">
      <c r="A3919" s="2" t="s">
        <v>8088</v>
      </c>
      <c r="B3919" s="2" t="s">
        <v>8089</v>
      </c>
      <c r="C3919" s="2" t="n">
        <v>5</v>
      </c>
      <c r="D3919" s="2" t="s">
        <v>62</v>
      </c>
      <c r="E3919" s="2" t="s">
        <v>8083</v>
      </c>
      <c r="F3919" s="3" t="n">
        <v>46042.4979166667</v>
      </c>
      <c r="G3919" s="2" t="s">
        <v>7684</v>
      </c>
      <c r="H3919" s="4" t="n">
        <v>0.7088</v>
      </c>
      <c r="I3919" s="2" t="s">
        <v>23</v>
      </c>
      <c r="J3919" s="2" t="s">
        <v>19</v>
      </c>
      <c r="K3919" s="2" t="n">
        <v>2</v>
      </c>
      <c r="L3919" s="2" t="n">
        <v>0</v>
      </c>
      <c r="M3919" s="2" t="n">
        <v>1</v>
      </c>
    </row>
    <row r="3920" customFormat="false" ht="15" hidden="false" customHeight="false" outlineLevel="0" collapsed="false">
      <c r="A3920" s="2" t="s">
        <v>8090</v>
      </c>
      <c r="B3920" s="2" t="s">
        <v>8091</v>
      </c>
      <c r="C3920" s="2" t="n">
        <v>4</v>
      </c>
      <c r="D3920" s="2" t="s">
        <v>8092</v>
      </c>
      <c r="E3920" s="2" t="s">
        <v>8083</v>
      </c>
      <c r="F3920" s="3" t="n">
        <v>46042.5208333333</v>
      </c>
      <c r="G3920" s="2" t="s">
        <v>7684</v>
      </c>
      <c r="H3920" s="4" t="n">
        <v>0.9516</v>
      </c>
      <c r="I3920" s="2" t="s">
        <v>23</v>
      </c>
      <c r="J3920" s="2" t="s">
        <v>37</v>
      </c>
      <c r="K3920" s="2" t="n">
        <v>10</v>
      </c>
      <c r="L3920" s="2" t="n">
        <v>0</v>
      </c>
      <c r="M3920" s="2" t="n">
        <v>1</v>
      </c>
    </row>
    <row r="3921" customFormat="false" ht="15" hidden="false" customHeight="false" outlineLevel="0" collapsed="false">
      <c r="A3921" s="2" t="s">
        <v>8093</v>
      </c>
      <c r="B3921" s="2" t="s">
        <v>8094</v>
      </c>
      <c r="C3921" s="2" t="n">
        <v>5</v>
      </c>
      <c r="D3921" s="2" t="s">
        <v>62</v>
      </c>
      <c r="E3921" s="2" t="s">
        <v>8083</v>
      </c>
      <c r="F3921" s="3" t="n">
        <v>46042.9138888889</v>
      </c>
      <c r="G3921" s="2" t="s">
        <v>7684</v>
      </c>
      <c r="H3921" s="4" t="n">
        <v>0.7088</v>
      </c>
      <c r="I3921" s="2" t="s">
        <v>23</v>
      </c>
      <c r="J3921" s="2" t="s">
        <v>19</v>
      </c>
      <c r="K3921" s="2" t="n">
        <v>2</v>
      </c>
      <c r="L3921" s="2" t="n">
        <v>0</v>
      </c>
      <c r="M3921" s="2" t="n">
        <v>1</v>
      </c>
    </row>
    <row r="3922" customFormat="false" ht="15" hidden="false" customHeight="false" outlineLevel="0" collapsed="false">
      <c r="A3922" s="2" t="s">
        <v>8095</v>
      </c>
      <c r="B3922" s="2" t="s">
        <v>8096</v>
      </c>
      <c r="C3922" s="2" t="n">
        <v>4</v>
      </c>
      <c r="D3922" s="2" t="s">
        <v>62</v>
      </c>
      <c r="E3922" s="2" t="s">
        <v>8083</v>
      </c>
      <c r="F3922" s="3" t="n">
        <v>46043.0215277778</v>
      </c>
      <c r="G3922" s="2" t="s">
        <v>7684</v>
      </c>
      <c r="H3922" s="4" t="n">
        <v>0.7088</v>
      </c>
      <c r="I3922" s="2" t="s">
        <v>23</v>
      </c>
      <c r="J3922" s="2" t="s">
        <v>19</v>
      </c>
      <c r="K3922" s="2" t="n">
        <v>1</v>
      </c>
      <c r="L3922" s="2" t="n">
        <v>0</v>
      </c>
      <c r="M3922" s="2" t="n">
        <v>1</v>
      </c>
    </row>
    <row r="3923" customFormat="false" ht="15" hidden="false" customHeight="false" outlineLevel="0" collapsed="false">
      <c r="A3923" s="2" t="s">
        <v>8097</v>
      </c>
      <c r="B3923" s="2" t="s">
        <v>8098</v>
      </c>
      <c r="C3923" s="2" t="n">
        <v>2</v>
      </c>
      <c r="D3923" s="2" t="s">
        <v>32</v>
      </c>
      <c r="E3923" s="2" t="s">
        <v>8083</v>
      </c>
      <c r="F3923" s="3" t="n">
        <v>46043.0722222222</v>
      </c>
      <c r="G3923" s="2" t="s">
        <v>7684</v>
      </c>
      <c r="H3923" s="4" t="n">
        <v>0.2023</v>
      </c>
      <c r="I3923" s="2" t="s">
        <v>23</v>
      </c>
      <c r="J3923" s="2" t="s">
        <v>33</v>
      </c>
      <c r="K3923" s="2" t="n">
        <v>0</v>
      </c>
      <c r="L3923" s="2" t="n">
        <v>1</v>
      </c>
      <c r="M3923" s="2" t="n">
        <v>1</v>
      </c>
    </row>
    <row r="3924" customFormat="false" ht="15" hidden="false" customHeight="false" outlineLevel="0" collapsed="false">
      <c r="A3924" s="2" t="s">
        <v>8099</v>
      </c>
      <c r="B3924" s="2" t="s">
        <v>8100</v>
      </c>
      <c r="C3924" s="2" t="n">
        <v>5</v>
      </c>
      <c r="D3924" s="2" t="s">
        <v>127</v>
      </c>
      <c r="E3924" s="2" t="s">
        <v>8083</v>
      </c>
      <c r="F3924" s="3" t="n">
        <v>46043.0763888889</v>
      </c>
      <c r="G3924" s="2" t="s">
        <v>7684</v>
      </c>
      <c r="H3924" s="4" t="n">
        <v>0.9359</v>
      </c>
      <c r="I3924" s="2" t="s">
        <v>23</v>
      </c>
      <c r="J3924" s="2" t="s">
        <v>37</v>
      </c>
      <c r="K3924" s="2" t="n">
        <v>1</v>
      </c>
      <c r="L3924" s="2" t="n">
        <v>0</v>
      </c>
      <c r="M3924" s="2" t="n">
        <v>1</v>
      </c>
    </row>
    <row r="3925" customFormat="false" ht="15" hidden="false" customHeight="false" outlineLevel="0" collapsed="false">
      <c r="A3925" s="2" t="s">
        <v>8101</v>
      </c>
      <c r="B3925" s="2" t="s">
        <v>8102</v>
      </c>
      <c r="C3925" s="2" t="n">
        <v>5</v>
      </c>
      <c r="D3925" s="2" t="s">
        <v>26</v>
      </c>
      <c r="E3925" s="2" t="s">
        <v>8083</v>
      </c>
      <c r="F3925" s="3" t="n">
        <v>46043.2604166667</v>
      </c>
      <c r="G3925" s="2" t="s">
        <v>7684</v>
      </c>
      <c r="H3925" s="4" t="n">
        <v>0.8848</v>
      </c>
      <c r="I3925" s="2" t="s">
        <v>23</v>
      </c>
      <c r="J3925" s="2" t="s">
        <v>19</v>
      </c>
      <c r="K3925" s="2" t="n">
        <v>2</v>
      </c>
      <c r="L3925" s="2" t="n">
        <v>0</v>
      </c>
      <c r="M3925" s="2" t="n">
        <v>1</v>
      </c>
    </row>
    <row r="3926" customFormat="false" ht="15" hidden="false" customHeight="false" outlineLevel="0" collapsed="false">
      <c r="A3926" s="2" t="s">
        <v>8103</v>
      </c>
      <c r="B3926" s="2" t="s">
        <v>8104</v>
      </c>
      <c r="C3926" s="2" t="n">
        <v>4</v>
      </c>
      <c r="D3926" s="2" t="s">
        <v>90</v>
      </c>
      <c r="E3926" s="2" t="s">
        <v>8083</v>
      </c>
      <c r="F3926" s="3" t="n">
        <v>46043.3284722222</v>
      </c>
      <c r="G3926" s="2" t="s">
        <v>7684</v>
      </c>
      <c r="H3926" s="4" t="n">
        <v>0.6249</v>
      </c>
      <c r="I3926" s="2" t="s">
        <v>23</v>
      </c>
      <c r="J3926" s="2" t="s">
        <v>37</v>
      </c>
      <c r="K3926" s="2" t="n">
        <v>0</v>
      </c>
      <c r="L3926" s="2" t="n">
        <v>0</v>
      </c>
      <c r="M3926" s="2" t="n">
        <v>1</v>
      </c>
    </row>
    <row r="3927" customFormat="false" ht="15" hidden="false" customHeight="false" outlineLevel="0" collapsed="false">
      <c r="A3927" s="2" t="s">
        <v>8105</v>
      </c>
      <c r="B3927" s="2" t="s">
        <v>8106</v>
      </c>
      <c r="C3927" s="2" t="n">
        <v>1</v>
      </c>
      <c r="D3927" s="2" t="s">
        <v>1942</v>
      </c>
      <c r="E3927" s="2" t="s">
        <v>8083</v>
      </c>
      <c r="F3927" s="3" t="n">
        <v>46043.3402777778</v>
      </c>
      <c r="G3927" s="2" t="s">
        <v>7684</v>
      </c>
      <c r="H3927" s="4" t="n">
        <v>0</v>
      </c>
      <c r="I3927" s="2" t="s">
        <v>18</v>
      </c>
      <c r="J3927" s="2" t="s">
        <v>165</v>
      </c>
      <c r="K3927" s="2" t="n">
        <v>5</v>
      </c>
      <c r="L3927" s="2" t="n">
        <v>1</v>
      </c>
      <c r="M3927" s="2" t="n">
        <v>1</v>
      </c>
    </row>
    <row r="3928" customFormat="false" ht="15" hidden="false" customHeight="false" outlineLevel="0" collapsed="false">
      <c r="A3928" s="2" t="s">
        <v>8107</v>
      </c>
      <c r="B3928" s="2" t="s">
        <v>8108</v>
      </c>
      <c r="C3928" s="2" t="n">
        <v>3</v>
      </c>
      <c r="D3928" s="2" t="s">
        <v>87</v>
      </c>
      <c r="E3928" s="2" t="s">
        <v>8083</v>
      </c>
      <c r="F3928" s="3" t="n">
        <v>46043.3645833333</v>
      </c>
      <c r="G3928" s="2" t="s">
        <v>7684</v>
      </c>
      <c r="H3928" s="4" t="n">
        <v>0</v>
      </c>
      <c r="I3928" s="2" t="s">
        <v>18</v>
      </c>
      <c r="J3928" s="2" t="s">
        <v>19</v>
      </c>
      <c r="K3928" s="2" t="n">
        <v>6</v>
      </c>
      <c r="L3928" s="2" t="n">
        <v>1</v>
      </c>
      <c r="M3928" s="2" t="n">
        <v>1</v>
      </c>
    </row>
    <row r="3929" customFormat="false" ht="15" hidden="false" customHeight="false" outlineLevel="0" collapsed="false">
      <c r="A3929" s="2" t="s">
        <v>8109</v>
      </c>
      <c r="B3929" s="2" t="s">
        <v>3176</v>
      </c>
      <c r="C3929" s="2" t="n">
        <v>2</v>
      </c>
      <c r="D3929" s="2" t="s">
        <v>823</v>
      </c>
      <c r="E3929" s="2" t="s">
        <v>8083</v>
      </c>
      <c r="F3929" s="3" t="n">
        <v>46043.5756944444</v>
      </c>
      <c r="G3929" s="2" t="s">
        <v>7684</v>
      </c>
      <c r="H3929" s="4" t="n">
        <v>-0.6997</v>
      </c>
      <c r="I3929" s="2" t="s">
        <v>84</v>
      </c>
      <c r="J3929" s="2" t="s">
        <v>19</v>
      </c>
      <c r="K3929" s="2" t="n">
        <v>3</v>
      </c>
      <c r="L3929" s="2" t="n">
        <v>1</v>
      </c>
      <c r="M3929" s="2" t="n">
        <v>1</v>
      </c>
    </row>
    <row r="3930" customFormat="false" ht="15" hidden="false" customHeight="false" outlineLevel="0" collapsed="false">
      <c r="A3930" s="2" t="s">
        <v>8110</v>
      </c>
      <c r="B3930" s="2" t="s">
        <v>8111</v>
      </c>
      <c r="C3930" s="2" t="n">
        <v>5</v>
      </c>
      <c r="D3930" s="2" t="s">
        <v>127</v>
      </c>
      <c r="E3930" s="2" t="s">
        <v>8083</v>
      </c>
      <c r="F3930" s="3" t="n">
        <v>46043.6055555556</v>
      </c>
      <c r="G3930" s="2" t="s">
        <v>7684</v>
      </c>
      <c r="H3930" s="4" t="n">
        <v>0.9359</v>
      </c>
      <c r="I3930" s="2" t="s">
        <v>23</v>
      </c>
      <c r="J3930" s="2" t="s">
        <v>37</v>
      </c>
      <c r="K3930" s="2" t="n">
        <v>2</v>
      </c>
      <c r="L3930" s="2" t="n">
        <v>0</v>
      </c>
      <c r="M3930" s="2" t="n">
        <v>1</v>
      </c>
    </row>
    <row r="3931" customFormat="false" ht="15" hidden="false" customHeight="false" outlineLevel="0" collapsed="false">
      <c r="A3931" s="2" t="s">
        <v>8112</v>
      </c>
      <c r="B3931" s="2" t="s">
        <v>8113</v>
      </c>
      <c r="C3931" s="2" t="n">
        <v>2</v>
      </c>
      <c r="D3931" s="2" t="s">
        <v>733</v>
      </c>
      <c r="E3931" s="2" t="s">
        <v>8083</v>
      </c>
      <c r="F3931" s="3" t="n">
        <v>46043.7493055556</v>
      </c>
      <c r="G3931" s="2" t="s">
        <v>7684</v>
      </c>
      <c r="H3931" s="4" t="n">
        <v>-0.2846</v>
      </c>
      <c r="I3931" s="2" t="s">
        <v>84</v>
      </c>
      <c r="J3931" s="2" t="s">
        <v>37</v>
      </c>
      <c r="K3931" s="2" t="n">
        <v>1</v>
      </c>
      <c r="L3931" s="2" t="n">
        <v>1</v>
      </c>
      <c r="M3931" s="2" t="n">
        <v>1</v>
      </c>
    </row>
    <row r="3932" customFormat="false" ht="15" hidden="false" customHeight="false" outlineLevel="0" collapsed="false">
      <c r="A3932" s="2" t="s">
        <v>8114</v>
      </c>
      <c r="B3932" s="2" t="s">
        <v>8115</v>
      </c>
      <c r="C3932" s="2" t="n">
        <v>5</v>
      </c>
      <c r="D3932" s="2" t="s">
        <v>62</v>
      </c>
      <c r="E3932" s="2" t="s">
        <v>8083</v>
      </c>
      <c r="F3932" s="3" t="n">
        <v>46043.8701388889</v>
      </c>
      <c r="G3932" s="2" t="s">
        <v>7684</v>
      </c>
      <c r="H3932" s="4" t="n">
        <v>0.7088</v>
      </c>
      <c r="I3932" s="2" t="s">
        <v>23</v>
      </c>
      <c r="J3932" s="2" t="s">
        <v>19</v>
      </c>
      <c r="K3932" s="2" t="n">
        <v>0</v>
      </c>
      <c r="L3932" s="2" t="n">
        <v>0</v>
      </c>
      <c r="M3932" s="2" t="n">
        <v>1</v>
      </c>
    </row>
    <row r="3933" customFormat="false" ht="15" hidden="false" customHeight="false" outlineLevel="0" collapsed="false">
      <c r="A3933" s="2" t="s">
        <v>8116</v>
      </c>
      <c r="B3933" s="2" t="s">
        <v>8117</v>
      </c>
      <c r="C3933" s="2" t="n">
        <v>3</v>
      </c>
      <c r="D3933" s="2" t="s">
        <v>295</v>
      </c>
      <c r="E3933" s="2" t="s">
        <v>8083</v>
      </c>
      <c r="F3933" s="3" t="n">
        <v>46043.9048611111</v>
      </c>
      <c r="G3933" s="2" t="s">
        <v>7684</v>
      </c>
      <c r="H3933" s="4" t="n">
        <v>-0.5023</v>
      </c>
      <c r="I3933" s="2" t="s">
        <v>84</v>
      </c>
      <c r="J3933" s="2" t="s">
        <v>33</v>
      </c>
      <c r="K3933" s="2" t="n">
        <v>2</v>
      </c>
      <c r="L3933" s="2" t="n">
        <v>0</v>
      </c>
      <c r="M3933" s="2" t="n">
        <v>1</v>
      </c>
    </row>
    <row r="3934" customFormat="false" ht="15" hidden="false" customHeight="false" outlineLevel="0" collapsed="false">
      <c r="A3934" s="2" t="s">
        <v>8118</v>
      </c>
      <c r="B3934" s="2" t="s">
        <v>8119</v>
      </c>
      <c r="C3934" s="2" t="n">
        <v>5</v>
      </c>
      <c r="D3934" s="2" t="s">
        <v>15</v>
      </c>
      <c r="E3934" s="2" t="s">
        <v>8083</v>
      </c>
      <c r="F3934" s="3" t="n">
        <v>46043.9826388889</v>
      </c>
      <c r="G3934" s="2" t="s">
        <v>7684</v>
      </c>
      <c r="H3934" s="4" t="n">
        <v>0</v>
      </c>
      <c r="I3934" s="2" t="s">
        <v>18</v>
      </c>
      <c r="J3934" s="2" t="s">
        <v>19</v>
      </c>
      <c r="K3934" s="2" t="n">
        <v>2</v>
      </c>
      <c r="L3934" s="2" t="n">
        <v>0</v>
      </c>
      <c r="M3934" s="2" t="n">
        <v>1</v>
      </c>
    </row>
    <row r="3935" customFormat="false" ht="15" hidden="false" customHeight="false" outlineLevel="0" collapsed="false">
      <c r="A3935" s="2" t="s">
        <v>8120</v>
      </c>
      <c r="B3935" s="2" t="s">
        <v>8121</v>
      </c>
      <c r="C3935" s="2" t="n">
        <v>4</v>
      </c>
      <c r="D3935" s="2" t="s">
        <v>127</v>
      </c>
      <c r="E3935" s="2" t="s">
        <v>8083</v>
      </c>
      <c r="F3935" s="3" t="n">
        <v>46044.0951388889</v>
      </c>
      <c r="G3935" s="2" t="s">
        <v>7684</v>
      </c>
      <c r="H3935" s="4" t="n">
        <v>0.9359</v>
      </c>
      <c r="I3935" s="2" t="s">
        <v>23</v>
      </c>
      <c r="J3935" s="2" t="s">
        <v>37</v>
      </c>
      <c r="K3935" s="2" t="n">
        <v>1</v>
      </c>
      <c r="L3935" s="2" t="n">
        <v>0</v>
      </c>
      <c r="M3935" s="2" t="n">
        <v>1</v>
      </c>
    </row>
    <row r="3936" customFormat="false" ht="15" hidden="false" customHeight="false" outlineLevel="0" collapsed="false">
      <c r="A3936" s="2" t="s">
        <v>8122</v>
      </c>
      <c r="B3936" s="2" t="s">
        <v>8123</v>
      </c>
      <c r="C3936" s="2" t="n">
        <v>3</v>
      </c>
      <c r="D3936" s="2" t="s">
        <v>455</v>
      </c>
      <c r="E3936" s="2" t="s">
        <v>8083</v>
      </c>
      <c r="F3936" s="3" t="n">
        <v>46044.1909722222</v>
      </c>
      <c r="G3936" s="2" t="s">
        <v>7684</v>
      </c>
      <c r="H3936" s="4" t="n">
        <v>-0.2263</v>
      </c>
      <c r="I3936" s="2" t="s">
        <v>84</v>
      </c>
      <c r="J3936" s="2" t="s">
        <v>165</v>
      </c>
      <c r="K3936" s="2" t="n">
        <v>2</v>
      </c>
      <c r="L3936" s="2" t="n">
        <v>0</v>
      </c>
      <c r="M3936" s="2" t="n">
        <v>1</v>
      </c>
    </row>
    <row r="3937" customFormat="false" ht="15" hidden="false" customHeight="false" outlineLevel="0" collapsed="false">
      <c r="A3937" s="2" t="s">
        <v>8124</v>
      </c>
      <c r="B3937" s="2" t="s">
        <v>8125</v>
      </c>
      <c r="C3937" s="2" t="n">
        <v>5</v>
      </c>
      <c r="D3937" s="2" t="s">
        <v>127</v>
      </c>
      <c r="E3937" s="2" t="s">
        <v>8083</v>
      </c>
      <c r="F3937" s="3" t="n">
        <v>46044.3916666667</v>
      </c>
      <c r="G3937" s="2" t="s">
        <v>7684</v>
      </c>
      <c r="H3937" s="4" t="n">
        <v>0.9359</v>
      </c>
      <c r="I3937" s="2" t="s">
        <v>23</v>
      </c>
      <c r="J3937" s="2" t="s">
        <v>37</v>
      </c>
      <c r="K3937" s="2" t="n">
        <v>6</v>
      </c>
      <c r="L3937" s="2" t="n">
        <v>0</v>
      </c>
      <c r="M3937" s="2" t="n">
        <v>1</v>
      </c>
    </row>
    <row r="3938" customFormat="false" ht="15" hidden="false" customHeight="false" outlineLevel="0" collapsed="false">
      <c r="A3938" s="2" t="s">
        <v>8126</v>
      </c>
      <c r="B3938" s="2" t="s">
        <v>8127</v>
      </c>
      <c r="C3938" s="2" t="n">
        <v>1</v>
      </c>
      <c r="D3938" s="2" t="s">
        <v>701</v>
      </c>
      <c r="E3938" s="2" t="s">
        <v>8083</v>
      </c>
      <c r="F3938" s="3" t="n">
        <v>46044.5347222222</v>
      </c>
      <c r="G3938" s="2" t="s">
        <v>7684</v>
      </c>
      <c r="H3938" s="4" t="n">
        <v>-0.7184</v>
      </c>
      <c r="I3938" s="2" t="s">
        <v>84</v>
      </c>
      <c r="J3938" s="2" t="s">
        <v>37</v>
      </c>
      <c r="K3938" s="2" t="n">
        <v>5</v>
      </c>
      <c r="L3938" s="2" t="n">
        <v>1</v>
      </c>
      <c r="M3938" s="2" t="n">
        <v>1</v>
      </c>
    </row>
    <row r="3939" customFormat="false" ht="15" hidden="false" customHeight="false" outlineLevel="0" collapsed="false">
      <c r="A3939" s="2" t="s">
        <v>8128</v>
      </c>
      <c r="B3939" s="2" t="s">
        <v>8129</v>
      </c>
      <c r="C3939" s="2" t="n">
        <v>3</v>
      </c>
      <c r="D3939" s="2" t="s">
        <v>2834</v>
      </c>
      <c r="E3939" s="2" t="s">
        <v>8083</v>
      </c>
      <c r="F3939" s="3" t="n">
        <v>46044.6618055556</v>
      </c>
      <c r="G3939" s="2" t="s">
        <v>7684</v>
      </c>
      <c r="H3939" s="4" t="n">
        <v>0.7003</v>
      </c>
      <c r="I3939" s="2" t="s">
        <v>23</v>
      </c>
      <c r="J3939" s="2" t="s">
        <v>37</v>
      </c>
      <c r="K3939" s="2" t="n">
        <v>13</v>
      </c>
      <c r="L3939" s="2" t="n">
        <v>0</v>
      </c>
      <c r="M3939" s="2" t="n">
        <v>1</v>
      </c>
    </row>
    <row r="3940" customFormat="false" ht="15" hidden="false" customHeight="false" outlineLevel="0" collapsed="false">
      <c r="A3940" s="2" t="s">
        <v>8130</v>
      </c>
      <c r="B3940" s="2" t="s">
        <v>8131</v>
      </c>
      <c r="C3940" s="2" t="n">
        <v>4</v>
      </c>
      <c r="D3940" s="2" t="s">
        <v>96</v>
      </c>
      <c r="E3940" s="2" t="s">
        <v>8083</v>
      </c>
      <c r="F3940" s="3" t="n">
        <v>46044.73125</v>
      </c>
      <c r="G3940" s="2" t="s">
        <v>7684</v>
      </c>
      <c r="H3940" s="4" t="n">
        <v>0.6369</v>
      </c>
      <c r="I3940" s="2" t="s">
        <v>23</v>
      </c>
      <c r="J3940" s="2" t="s">
        <v>19</v>
      </c>
      <c r="K3940" s="2" t="n">
        <v>0</v>
      </c>
      <c r="L3940" s="2" t="n">
        <v>0</v>
      </c>
      <c r="M3940" s="2" t="n">
        <v>1</v>
      </c>
    </row>
    <row r="3941" customFormat="false" ht="15" hidden="false" customHeight="false" outlineLevel="0" collapsed="false">
      <c r="A3941" s="2" t="s">
        <v>8132</v>
      </c>
      <c r="B3941" s="2" t="s">
        <v>8133</v>
      </c>
      <c r="C3941" s="2" t="n">
        <v>5</v>
      </c>
      <c r="D3941" s="2" t="s">
        <v>52</v>
      </c>
      <c r="E3941" s="2" t="s">
        <v>8083</v>
      </c>
      <c r="F3941" s="3" t="n">
        <v>46044.7791666667</v>
      </c>
      <c r="G3941" s="2" t="s">
        <v>7684</v>
      </c>
      <c r="H3941" s="4" t="n">
        <v>0.6369</v>
      </c>
      <c r="I3941" s="2" t="s">
        <v>23</v>
      </c>
      <c r="J3941" s="2" t="s">
        <v>19</v>
      </c>
      <c r="K3941" s="2" t="n">
        <v>0</v>
      </c>
      <c r="L3941" s="2" t="n">
        <v>0</v>
      </c>
      <c r="M3941" s="2" t="n">
        <v>1</v>
      </c>
    </row>
    <row r="3942" customFormat="false" ht="15" hidden="false" customHeight="false" outlineLevel="0" collapsed="false">
      <c r="A3942" s="2" t="s">
        <v>8134</v>
      </c>
      <c r="B3942" s="2" t="s">
        <v>8135</v>
      </c>
      <c r="C3942" s="2" t="n">
        <v>4</v>
      </c>
      <c r="D3942" s="2" t="s">
        <v>62</v>
      </c>
      <c r="E3942" s="2" t="s">
        <v>8083</v>
      </c>
      <c r="F3942" s="3" t="n">
        <v>46044.7909722222</v>
      </c>
      <c r="G3942" s="2" t="s">
        <v>7684</v>
      </c>
      <c r="H3942" s="4" t="n">
        <v>0.7088</v>
      </c>
      <c r="I3942" s="2" t="s">
        <v>23</v>
      </c>
      <c r="J3942" s="2" t="s">
        <v>19</v>
      </c>
      <c r="K3942" s="2" t="n">
        <v>7</v>
      </c>
      <c r="L3942" s="2" t="n">
        <v>0</v>
      </c>
      <c r="M3942" s="2" t="n">
        <v>1</v>
      </c>
    </row>
    <row r="3943" customFormat="false" ht="15" hidden="false" customHeight="false" outlineLevel="0" collapsed="false">
      <c r="A3943" s="2" t="s">
        <v>8136</v>
      </c>
      <c r="B3943" s="2" t="s">
        <v>8137</v>
      </c>
      <c r="C3943" s="2" t="n">
        <v>5</v>
      </c>
      <c r="D3943" s="2" t="s">
        <v>15</v>
      </c>
      <c r="E3943" s="2" t="s">
        <v>8083</v>
      </c>
      <c r="F3943" s="3" t="n">
        <v>46044.8479166667</v>
      </c>
      <c r="G3943" s="2" t="s">
        <v>7684</v>
      </c>
      <c r="H3943" s="4" t="n">
        <v>0</v>
      </c>
      <c r="I3943" s="2" t="s">
        <v>18</v>
      </c>
      <c r="J3943" s="2" t="s">
        <v>19</v>
      </c>
      <c r="K3943" s="2" t="n">
        <v>4</v>
      </c>
      <c r="L3943" s="2" t="n">
        <v>0</v>
      </c>
      <c r="M3943" s="2" t="n">
        <v>1</v>
      </c>
    </row>
    <row r="3944" customFormat="false" ht="15" hidden="false" customHeight="false" outlineLevel="0" collapsed="false">
      <c r="A3944" s="2" t="s">
        <v>8138</v>
      </c>
      <c r="B3944" s="2" t="s">
        <v>8139</v>
      </c>
      <c r="C3944" s="2" t="n">
        <v>5</v>
      </c>
      <c r="D3944" s="2" t="s">
        <v>62</v>
      </c>
      <c r="E3944" s="2" t="s">
        <v>8083</v>
      </c>
      <c r="F3944" s="3" t="n">
        <v>46044.9368055556</v>
      </c>
      <c r="G3944" s="2" t="s">
        <v>7684</v>
      </c>
      <c r="H3944" s="4" t="n">
        <v>0.7088</v>
      </c>
      <c r="I3944" s="2" t="s">
        <v>23</v>
      </c>
      <c r="J3944" s="2" t="s">
        <v>19</v>
      </c>
      <c r="K3944" s="2" t="n">
        <v>7</v>
      </c>
      <c r="L3944" s="2" t="n">
        <v>0</v>
      </c>
      <c r="M3944" s="2" t="n">
        <v>1</v>
      </c>
    </row>
    <row r="3945" customFormat="false" ht="15" hidden="false" customHeight="false" outlineLevel="0" collapsed="false">
      <c r="A3945" s="2" t="s">
        <v>8140</v>
      </c>
      <c r="B3945" s="2" t="s">
        <v>8141</v>
      </c>
      <c r="C3945" s="2" t="n">
        <v>4</v>
      </c>
      <c r="D3945" s="2" t="s">
        <v>692</v>
      </c>
      <c r="E3945" s="2" t="s">
        <v>8083</v>
      </c>
      <c r="F3945" s="3" t="n">
        <v>46044.9506944444</v>
      </c>
      <c r="G3945" s="2" t="s">
        <v>7684</v>
      </c>
      <c r="H3945" s="4" t="n">
        <v>0.9516</v>
      </c>
      <c r="I3945" s="2" t="s">
        <v>23</v>
      </c>
      <c r="J3945" s="2" t="s">
        <v>37</v>
      </c>
      <c r="K3945" s="2" t="n">
        <v>0</v>
      </c>
      <c r="L3945" s="2" t="n">
        <v>0</v>
      </c>
      <c r="M3945" s="2" t="n">
        <v>1</v>
      </c>
    </row>
    <row r="3946" customFormat="false" ht="15" hidden="false" customHeight="false" outlineLevel="0" collapsed="false">
      <c r="A3946" s="2" t="s">
        <v>8142</v>
      </c>
      <c r="B3946" s="2" t="s">
        <v>8143</v>
      </c>
      <c r="C3946" s="2" t="n">
        <v>5</v>
      </c>
      <c r="D3946" s="2" t="s">
        <v>40</v>
      </c>
      <c r="E3946" s="2" t="s">
        <v>8083</v>
      </c>
      <c r="F3946" s="3" t="n">
        <v>46045.0194444444</v>
      </c>
      <c r="G3946" s="2" t="s">
        <v>7684</v>
      </c>
      <c r="H3946" s="4" t="n">
        <v>0.4019</v>
      </c>
      <c r="I3946" s="2" t="s">
        <v>23</v>
      </c>
      <c r="J3946" s="2" t="s">
        <v>33</v>
      </c>
      <c r="K3946" s="2" t="n">
        <v>3</v>
      </c>
      <c r="L3946" s="2" t="n">
        <v>0</v>
      </c>
      <c r="M3946" s="2" t="n">
        <v>1</v>
      </c>
    </row>
    <row r="3947" customFormat="false" ht="15" hidden="false" customHeight="false" outlineLevel="0" collapsed="false">
      <c r="A3947" s="2" t="s">
        <v>8144</v>
      </c>
      <c r="B3947" s="2" t="s">
        <v>8145</v>
      </c>
      <c r="C3947" s="2" t="n">
        <v>5</v>
      </c>
      <c r="D3947" s="2" t="s">
        <v>62</v>
      </c>
      <c r="E3947" s="2" t="s">
        <v>8083</v>
      </c>
      <c r="F3947" s="3" t="n">
        <v>46045.1</v>
      </c>
      <c r="G3947" s="2" t="s">
        <v>7684</v>
      </c>
      <c r="H3947" s="4" t="n">
        <v>0.7088</v>
      </c>
      <c r="I3947" s="2" t="s">
        <v>23</v>
      </c>
      <c r="J3947" s="2" t="s">
        <v>19</v>
      </c>
      <c r="K3947" s="2" t="n">
        <v>6</v>
      </c>
      <c r="L3947" s="2" t="n">
        <v>0</v>
      </c>
      <c r="M3947" s="2" t="n">
        <v>1</v>
      </c>
    </row>
    <row r="3948" customFormat="false" ht="15" hidden="false" customHeight="false" outlineLevel="0" collapsed="false">
      <c r="A3948" s="2" t="s">
        <v>8146</v>
      </c>
      <c r="B3948" s="2" t="s">
        <v>8147</v>
      </c>
      <c r="C3948" s="2" t="n">
        <v>3</v>
      </c>
      <c r="D3948" s="2" t="s">
        <v>36</v>
      </c>
      <c r="E3948" s="2" t="s">
        <v>8083</v>
      </c>
      <c r="F3948" s="3" t="n">
        <v>46045.1111111111</v>
      </c>
      <c r="G3948" s="2" t="s">
        <v>7684</v>
      </c>
      <c r="H3948" s="4" t="n">
        <v>0.4404</v>
      </c>
      <c r="I3948" s="2" t="s">
        <v>23</v>
      </c>
      <c r="J3948" s="2" t="s">
        <v>37</v>
      </c>
      <c r="K3948" s="2" t="n">
        <v>3</v>
      </c>
      <c r="L3948" s="2" t="n">
        <v>0</v>
      </c>
      <c r="M3948" s="2" t="n">
        <v>1</v>
      </c>
    </row>
    <row r="3949" customFormat="false" ht="15" hidden="false" customHeight="false" outlineLevel="0" collapsed="false">
      <c r="A3949" s="2" t="s">
        <v>8148</v>
      </c>
      <c r="B3949" s="2" t="s">
        <v>8149</v>
      </c>
      <c r="C3949" s="2" t="n">
        <v>5</v>
      </c>
      <c r="D3949" s="2" t="s">
        <v>15</v>
      </c>
      <c r="E3949" s="2" t="s">
        <v>8083</v>
      </c>
      <c r="F3949" s="3" t="n">
        <v>46045.2513888889</v>
      </c>
      <c r="G3949" s="2" t="s">
        <v>7684</v>
      </c>
      <c r="H3949" s="4" t="n">
        <v>0</v>
      </c>
      <c r="I3949" s="2" t="s">
        <v>18</v>
      </c>
      <c r="J3949" s="2" t="s">
        <v>19</v>
      </c>
      <c r="K3949" s="2" t="n">
        <v>6</v>
      </c>
      <c r="L3949" s="2" t="n">
        <v>0</v>
      </c>
      <c r="M3949" s="2" t="n">
        <v>1</v>
      </c>
    </row>
    <row r="3950" customFormat="false" ht="15" hidden="false" customHeight="false" outlineLevel="0" collapsed="false">
      <c r="A3950" s="2" t="s">
        <v>8150</v>
      </c>
      <c r="B3950" s="2" t="s">
        <v>8151</v>
      </c>
      <c r="C3950" s="2" t="n">
        <v>3</v>
      </c>
      <c r="D3950" s="2" t="s">
        <v>301</v>
      </c>
      <c r="E3950" s="2" t="s">
        <v>8083</v>
      </c>
      <c r="F3950" s="3" t="n">
        <v>46045.3083333333</v>
      </c>
      <c r="G3950" s="2" t="s">
        <v>7684</v>
      </c>
      <c r="H3950" s="4" t="n">
        <v>0.2263</v>
      </c>
      <c r="I3950" s="2" t="s">
        <v>23</v>
      </c>
      <c r="J3950" s="2" t="s">
        <v>19</v>
      </c>
      <c r="K3950" s="2" t="n">
        <v>7</v>
      </c>
      <c r="L3950" s="2" t="n">
        <v>0</v>
      </c>
      <c r="M3950" s="2" t="n">
        <v>1</v>
      </c>
    </row>
    <row r="3951" customFormat="false" ht="15" hidden="false" customHeight="false" outlineLevel="0" collapsed="false">
      <c r="A3951" s="2" t="s">
        <v>8152</v>
      </c>
      <c r="B3951" s="2" t="s">
        <v>8153</v>
      </c>
      <c r="C3951" s="2" t="n">
        <v>3</v>
      </c>
      <c r="D3951" s="2" t="s">
        <v>87</v>
      </c>
      <c r="E3951" s="2" t="s">
        <v>8083</v>
      </c>
      <c r="F3951" s="3" t="n">
        <v>46045.4131944445</v>
      </c>
      <c r="G3951" s="2" t="s">
        <v>7684</v>
      </c>
      <c r="H3951" s="4" t="n">
        <v>0</v>
      </c>
      <c r="I3951" s="2" t="s">
        <v>18</v>
      </c>
      <c r="J3951" s="2" t="s">
        <v>19</v>
      </c>
      <c r="K3951" s="2" t="n">
        <v>4</v>
      </c>
      <c r="L3951" s="2" t="n">
        <v>0</v>
      </c>
      <c r="M3951" s="2" t="n">
        <v>1</v>
      </c>
    </row>
    <row r="3952" customFormat="false" ht="15" hidden="false" customHeight="false" outlineLevel="0" collapsed="false">
      <c r="A3952" s="2" t="s">
        <v>8154</v>
      </c>
      <c r="B3952" s="2" t="s">
        <v>6161</v>
      </c>
      <c r="C3952" s="2" t="n">
        <v>4</v>
      </c>
      <c r="D3952" s="2" t="s">
        <v>1004</v>
      </c>
      <c r="E3952" s="2" t="s">
        <v>8083</v>
      </c>
      <c r="F3952" s="3" t="n">
        <v>46045.4395833333</v>
      </c>
      <c r="G3952" s="2" t="s">
        <v>7684</v>
      </c>
      <c r="H3952" s="4" t="n">
        <v>0.6249</v>
      </c>
      <c r="I3952" s="2" t="s">
        <v>23</v>
      </c>
      <c r="J3952" s="2" t="s">
        <v>37</v>
      </c>
      <c r="K3952" s="2" t="n">
        <v>3</v>
      </c>
      <c r="L3952" s="2" t="n">
        <v>0</v>
      </c>
      <c r="M3952" s="2" t="n">
        <v>1</v>
      </c>
    </row>
    <row r="3953" customFormat="false" ht="15" hidden="false" customHeight="false" outlineLevel="0" collapsed="false">
      <c r="A3953" s="2" t="s">
        <v>8155</v>
      </c>
      <c r="B3953" s="2" t="s">
        <v>8156</v>
      </c>
      <c r="C3953" s="2" t="n">
        <v>3</v>
      </c>
      <c r="D3953" s="2" t="s">
        <v>99</v>
      </c>
      <c r="E3953" s="2" t="s">
        <v>8083</v>
      </c>
      <c r="F3953" s="3" t="n">
        <v>46045.5604166667</v>
      </c>
      <c r="G3953" s="2" t="s">
        <v>7684</v>
      </c>
      <c r="H3953" s="4" t="n">
        <v>-0.3089</v>
      </c>
      <c r="I3953" s="2" t="s">
        <v>84</v>
      </c>
      <c r="J3953" s="2" t="s">
        <v>19</v>
      </c>
      <c r="K3953" s="2" t="n">
        <v>6</v>
      </c>
      <c r="L3953" s="2" t="n">
        <v>0</v>
      </c>
      <c r="M3953" s="2" t="n">
        <v>1</v>
      </c>
    </row>
    <row r="3954" customFormat="false" ht="15" hidden="false" customHeight="false" outlineLevel="0" collapsed="false">
      <c r="A3954" s="2" t="s">
        <v>8157</v>
      </c>
      <c r="B3954" s="2" t="s">
        <v>8158</v>
      </c>
      <c r="C3954" s="2" t="n">
        <v>1</v>
      </c>
      <c r="D3954" s="2" t="s">
        <v>234</v>
      </c>
      <c r="E3954" s="2" t="s">
        <v>8083</v>
      </c>
      <c r="F3954" s="3" t="n">
        <v>46045.8618055556</v>
      </c>
      <c r="G3954" s="2" t="s">
        <v>7684</v>
      </c>
      <c r="H3954" s="4" t="n">
        <v>0</v>
      </c>
      <c r="I3954" s="2" t="s">
        <v>18</v>
      </c>
      <c r="J3954" s="2" t="s">
        <v>165</v>
      </c>
      <c r="K3954" s="2" t="n">
        <v>8</v>
      </c>
      <c r="L3954" s="2" t="n">
        <v>0</v>
      </c>
      <c r="M3954" s="2" t="n">
        <v>1</v>
      </c>
    </row>
    <row r="3955" customFormat="false" ht="15" hidden="false" customHeight="false" outlineLevel="0" collapsed="false">
      <c r="A3955" s="2" t="s">
        <v>8159</v>
      </c>
      <c r="B3955" s="2" t="s">
        <v>8160</v>
      </c>
      <c r="C3955" s="2" t="n">
        <v>3</v>
      </c>
      <c r="D3955" s="2" t="s">
        <v>36</v>
      </c>
      <c r="E3955" s="2" t="s">
        <v>8083</v>
      </c>
      <c r="F3955" s="3" t="n">
        <v>46045.9416666667</v>
      </c>
      <c r="G3955" s="2" t="s">
        <v>7684</v>
      </c>
      <c r="H3955" s="4" t="n">
        <v>0.4404</v>
      </c>
      <c r="I3955" s="2" t="s">
        <v>23</v>
      </c>
      <c r="J3955" s="2" t="s">
        <v>37</v>
      </c>
      <c r="K3955" s="2" t="n">
        <v>2</v>
      </c>
      <c r="L3955" s="2" t="n">
        <v>0</v>
      </c>
      <c r="M3955" s="2" t="n">
        <v>1</v>
      </c>
    </row>
    <row r="3956" customFormat="false" ht="15" hidden="false" customHeight="false" outlineLevel="0" collapsed="false">
      <c r="A3956" s="2" t="s">
        <v>8161</v>
      </c>
      <c r="B3956" s="2" t="s">
        <v>5805</v>
      </c>
      <c r="C3956" s="2" t="n">
        <v>5</v>
      </c>
      <c r="D3956" s="2" t="s">
        <v>15</v>
      </c>
      <c r="E3956" s="2" t="s">
        <v>8083</v>
      </c>
      <c r="F3956" s="3" t="n">
        <v>46046.0069444445</v>
      </c>
      <c r="G3956" s="2" t="s">
        <v>7684</v>
      </c>
      <c r="H3956" s="4" t="n">
        <v>0</v>
      </c>
      <c r="I3956" s="2" t="s">
        <v>18</v>
      </c>
      <c r="J3956" s="2" t="s">
        <v>19</v>
      </c>
      <c r="K3956" s="2" t="n">
        <v>0</v>
      </c>
      <c r="L3956" s="2" t="n">
        <v>0</v>
      </c>
      <c r="M3956" s="2" t="n">
        <v>1</v>
      </c>
    </row>
    <row r="3957" customFormat="false" ht="15" hidden="false" customHeight="false" outlineLevel="0" collapsed="false">
      <c r="A3957" s="2" t="s">
        <v>8162</v>
      </c>
      <c r="B3957" s="2" t="s">
        <v>8163</v>
      </c>
      <c r="C3957" s="2" t="n">
        <v>4</v>
      </c>
      <c r="D3957" s="2" t="s">
        <v>52</v>
      </c>
      <c r="E3957" s="2" t="s">
        <v>8083</v>
      </c>
      <c r="F3957" s="3" t="n">
        <v>46046.0229166667</v>
      </c>
      <c r="G3957" s="2" t="s">
        <v>7684</v>
      </c>
      <c r="H3957" s="4" t="n">
        <v>0.6369</v>
      </c>
      <c r="I3957" s="2" t="s">
        <v>23</v>
      </c>
      <c r="J3957" s="2" t="s">
        <v>19</v>
      </c>
      <c r="K3957" s="2" t="n">
        <v>7</v>
      </c>
      <c r="L3957" s="2" t="n">
        <v>0</v>
      </c>
      <c r="M3957" s="2" t="n">
        <v>1</v>
      </c>
    </row>
    <row r="3958" customFormat="false" ht="15" hidden="false" customHeight="false" outlineLevel="0" collapsed="false">
      <c r="A3958" s="2" t="s">
        <v>8164</v>
      </c>
      <c r="B3958" s="2" t="s">
        <v>8165</v>
      </c>
      <c r="C3958" s="2" t="n">
        <v>5</v>
      </c>
      <c r="D3958" s="2" t="s">
        <v>52</v>
      </c>
      <c r="E3958" s="2" t="s">
        <v>8083</v>
      </c>
      <c r="F3958" s="3" t="n">
        <v>46046.0909722222</v>
      </c>
      <c r="G3958" s="2" t="s">
        <v>7684</v>
      </c>
      <c r="H3958" s="4" t="n">
        <v>0.6369</v>
      </c>
      <c r="I3958" s="2" t="s">
        <v>23</v>
      </c>
      <c r="J3958" s="2" t="s">
        <v>19</v>
      </c>
      <c r="K3958" s="2" t="n">
        <v>0</v>
      </c>
      <c r="L3958" s="2" t="n">
        <v>0</v>
      </c>
      <c r="M3958" s="2" t="n">
        <v>1</v>
      </c>
    </row>
    <row r="3959" customFormat="false" ht="15" hidden="false" customHeight="false" outlineLevel="0" collapsed="false">
      <c r="A3959" s="2" t="s">
        <v>8166</v>
      </c>
      <c r="B3959" s="2" t="s">
        <v>8167</v>
      </c>
      <c r="C3959" s="2" t="n">
        <v>1</v>
      </c>
      <c r="D3959" s="2" t="s">
        <v>168</v>
      </c>
      <c r="E3959" s="2" t="s">
        <v>8083</v>
      </c>
      <c r="F3959" s="3" t="n">
        <v>46046.2180555556</v>
      </c>
      <c r="G3959" s="2" t="s">
        <v>7684</v>
      </c>
      <c r="H3959" s="4" t="n">
        <v>-0.1027</v>
      </c>
      <c r="I3959" s="2" t="s">
        <v>84</v>
      </c>
      <c r="J3959" s="2" t="s">
        <v>33</v>
      </c>
      <c r="K3959" s="2" t="n">
        <v>3</v>
      </c>
      <c r="L3959" s="2" t="n">
        <v>0</v>
      </c>
      <c r="M3959" s="2" t="n">
        <v>1</v>
      </c>
    </row>
    <row r="3960" customFormat="false" ht="15" hidden="false" customHeight="false" outlineLevel="0" collapsed="false">
      <c r="A3960" s="2" t="s">
        <v>8168</v>
      </c>
      <c r="B3960" s="2" t="s">
        <v>8169</v>
      </c>
      <c r="C3960" s="2" t="n">
        <v>1</v>
      </c>
      <c r="D3960" s="2" t="s">
        <v>58</v>
      </c>
      <c r="E3960" s="2" t="s">
        <v>8083</v>
      </c>
      <c r="F3960" s="3" t="n">
        <v>46046.2923611111</v>
      </c>
      <c r="G3960" s="2" t="s">
        <v>7684</v>
      </c>
      <c r="H3960" s="4" t="n">
        <v>0</v>
      </c>
      <c r="I3960" s="2" t="s">
        <v>18</v>
      </c>
      <c r="J3960" s="2" t="s">
        <v>59</v>
      </c>
      <c r="K3960" s="2" t="n">
        <v>0</v>
      </c>
      <c r="L3960" s="2" t="n">
        <v>1</v>
      </c>
      <c r="M3960" s="2" t="n">
        <v>1</v>
      </c>
    </row>
    <row r="3961" customFormat="false" ht="15" hidden="false" customHeight="false" outlineLevel="0" collapsed="false">
      <c r="A3961" s="2" t="s">
        <v>8170</v>
      </c>
      <c r="B3961" s="2" t="s">
        <v>8171</v>
      </c>
      <c r="C3961" s="2" t="n">
        <v>1</v>
      </c>
      <c r="D3961" s="2" t="s">
        <v>721</v>
      </c>
      <c r="E3961" s="2" t="s">
        <v>8083</v>
      </c>
      <c r="F3961" s="3" t="n">
        <v>46046.3270833333</v>
      </c>
      <c r="G3961" s="2" t="s">
        <v>7684</v>
      </c>
      <c r="H3961" s="4" t="n">
        <v>-0.4588</v>
      </c>
      <c r="I3961" s="2" t="s">
        <v>84</v>
      </c>
      <c r="J3961" s="2" t="s">
        <v>37</v>
      </c>
      <c r="K3961" s="2" t="n">
        <v>7</v>
      </c>
      <c r="L3961" s="2" t="n">
        <v>0</v>
      </c>
      <c r="M3961" s="2" t="n">
        <v>1</v>
      </c>
    </row>
    <row r="3962" customFormat="false" ht="15" hidden="false" customHeight="false" outlineLevel="0" collapsed="false">
      <c r="A3962" s="2" t="s">
        <v>8172</v>
      </c>
      <c r="B3962" s="2" t="s">
        <v>8173</v>
      </c>
      <c r="C3962" s="2" t="n">
        <v>5</v>
      </c>
      <c r="D3962" s="2" t="s">
        <v>127</v>
      </c>
      <c r="E3962" s="2" t="s">
        <v>8083</v>
      </c>
      <c r="F3962" s="3" t="n">
        <v>46046.4430555556</v>
      </c>
      <c r="G3962" s="2" t="s">
        <v>7684</v>
      </c>
      <c r="H3962" s="4" t="n">
        <v>0.9359</v>
      </c>
      <c r="I3962" s="2" t="s">
        <v>23</v>
      </c>
      <c r="J3962" s="2" t="s">
        <v>37</v>
      </c>
      <c r="K3962" s="2" t="n">
        <v>0</v>
      </c>
      <c r="L3962" s="2" t="n">
        <v>0</v>
      </c>
      <c r="M3962" s="2" t="n">
        <v>1</v>
      </c>
    </row>
    <row r="3963" customFormat="false" ht="15" hidden="false" customHeight="false" outlineLevel="0" collapsed="false">
      <c r="A3963" s="2" t="s">
        <v>8174</v>
      </c>
      <c r="B3963" s="2" t="s">
        <v>8175</v>
      </c>
      <c r="C3963" s="2" t="n">
        <v>3</v>
      </c>
      <c r="D3963" s="2" t="s">
        <v>721</v>
      </c>
      <c r="E3963" s="2" t="s">
        <v>8083</v>
      </c>
      <c r="F3963" s="3" t="n">
        <v>46046.6125</v>
      </c>
      <c r="G3963" s="2" t="s">
        <v>7684</v>
      </c>
      <c r="H3963" s="4" t="n">
        <v>-0.4588</v>
      </c>
      <c r="I3963" s="2" t="s">
        <v>84</v>
      </c>
      <c r="J3963" s="2" t="s">
        <v>37</v>
      </c>
      <c r="K3963" s="2" t="n">
        <v>0</v>
      </c>
      <c r="L3963" s="2" t="n">
        <v>1</v>
      </c>
      <c r="M3963" s="2" t="n">
        <v>1</v>
      </c>
    </row>
    <row r="3964" customFormat="false" ht="15" hidden="false" customHeight="false" outlineLevel="0" collapsed="false">
      <c r="A3964" s="2" t="s">
        <v>8176</v>
      </c>
      <c r="B3964" s="2" t="s">
        <v>8177</v>
      </c>
      <c r="C3964" s="2" t="n">
        <v>4</v>
      </c>
      <c r="D3964" s="2" t="s">
        <v>127</v>
      </c>
      <c r="E3964" s="2" t="s">
        <v>8083</v>
      </c>
      <c r="F3964" s="3" t="n">
        <v>46046.6375</v>
      </c>
      <c r="G3964" s="2" t="s">
        <v>7684</v>
      </c>
      <c r="H3964" s="4" t="n">
        <v>0.9359</v>
      </c>
      <c r="I3964" s="2" t="s">
        <v>23</v>
      </c>
      <c r="J3964" s="2" t="s">
        <v>37</v>
      </c>
      <c r="K3964" s="2" t="n">
        <v>4</v>
      </c>
      <c r="L3964" s="2" t="n">
        <v>0</v>
      </c>
      <c r="M3964" s="2" t="n">
        <v>1</v>
      </c>
    </row>
    <row r="3965" customFormat="false" ht="15" hidden="false" customHeight="false" outlineLevel="0" collapsed="false">
      <c r="A3965" s="2" t="s">
        <v>8178</v>
      </c>
      <c r="B3965" s="2" t="s">
        <v>8179</v>
      </c>
      <c r="C3965" s="2" t="n">
        <v>5</v>
      </c>
      <c r="D3965" s="2" t="s">
        <v>96</v>
      </c>
      <c r="E3965" s="2" t="s">
        <v>8083</v>
      </c>
      <c r="F3965" s="3" t="n">
        <v>46046.6840277778</v>
      </c>
      <c r="G3965" s="2" t="s">
        <v>7684</v>
      </c>
      <c r="H3965" s="4" t="n">
        <v>0.6369</v>
      </c>
      <c r="I3965" s="2" t="s">
        <v>23</v>
      </c>
      <c r="J3965" s="2" t="s">
        <v>19</v>
      </c>
      <c r="K3965" s="2" t="n">
        <v>1</v>
      </c>
      <c r="L3965" s="2" t="n">
        <v>0</v>
      </c>
      <c r="M3965" s="2" t="n">
        <v>1</v>
      </c>
    </row>
    <row r="3966" customFormat="false" ht="15" hidden="false" customHeight="false" outlineLevel="0" collapsed="false">
      <c r="A3966" s="2" t="s">
        <v>8180</v>
      </c>
      <c r="B3966" s="2" t="s">
        <v>8181</v>
      </c>
      <c r="C3966" s="2" t="n">
        <v>5</v>
      </c>
      <c r="D3966" s="2" t="s">
        <v>47</v>
      </c>
      <c r="E3966" s="2" t="s">
        <v>8083</v>
      </c>
      <c r="F3966" s="3" t="n">
        <v>46046.8034722222</v>
      </c>
      <c r="G3966" s="2" t="s">
        <v>7684</v>
      </c>
      <c r="H3966" s="4" t="n">
        <v>0.3089</v>
      </c>
      <c r="I3966" s="2" t="s">
        <v>23</v>
      </c>
      <c r="J3966" s="2" t="s">
        <v>19</v>
      </c>
      <c r="K3966" s="2" t="n">
        <v>0</v>
      </c>
      <c r="L3966" s="2" t="n">
        <v>0</v>
      </c>
      <c r="M3966" s="2" t="n">
        <v>1</v>
      </c>
    </row>
    <row r="3967" customFormat="false" ht="15" hidden="false" customHeight="false" outlineLevel="0" collapsed="false">
      <c r="A3967" s="2" t="s">
        <v>8182</v>
      </c>
      <c r="B3967" s="2" t="s">
        <v>8183</v>
      </c>
      <c r="C3967" s="2" t="n">
        <v>4</v>
      </c>
      <c r="D3967" s="2" t="s">
        <v>943</v>
      </c>
      <c r="E3967" s="2" t="s">
        <v>8083</v>
      </c>
      <c r="F3967" s="3" t="n">
        <v>46046.8930555556</v>
      </c>
      <c r="G3967" s="2" t="s">
        <v>7684</v>
      </c>
      <c r="H3967" s="4" t="n">
        <v>0.7549</v>
      </c>
      <c r="I3967" s="2" t="s">
        <v>23</v>
      </c>
      <c r="J3967" s="2" t="s">
        <v>19</v>
      </c>
      <c r="K3967" s="2" t="n">
        <v>0</v>
      </c>
      <c r="L3967" s="2" t="n">
        <v>0</v>
      </c>
      <c r="M3967" s="2" t="n">
        <v>1</v>
      </c>
    </row>
    <row r="3968" customFormat="false" ht="15" hidden="false" customHeight="false" outlineLevel="0" collapsed="false">
      <c r="A3968" s="2" t="s">
        <v>8184</v>
      </c>
      <c r="B3968" s="2" t="s">
        <v>8185</v>
      </c>
      <c r="C3968" s="2" t="n">
        <v>5</v>
      </c>
      <c r="D3968" s="2" t="s">
        <v>15</v>
      </c>
      <c r="E3968" s="2" t="s">
        <v>8083</v>
      </c>
      <c r="F3968" s="3" t="n">
        <v>46047.0895833333</v>
      </c>
      <c r="G3968" s="2" t="s">
        <v>7684</v>
      </c>
      <c r="H3968" s="4" t="n">
        <v>0</v>
      </c>
      <c r="I3968" s="2" t="s">
        <v>18</v>
      </c>
      <c r="J3968" s="2" t="s">
        <v>19</v>
      </c>
      <c r="K3968" s="2" t="n">
        <v>0</v>
      </c>
      <c r="L3968" s="2" t="n">
        <v>0</v>
      </c>
      <c r="M3968" s="2" t="n">
        <v>1</v>
      </c>
    </row>
    <row r="3969" customFormat="false" ht="15" hidden="false" customHeight="false" outlineLevel="0" collapsed="false">
      <c r="A3969" s="2" t="s">
        <v>8186</v>
      </c>
      <c r="B3969" s="2" t="s">
        <v>8187</v>
      </c>
      <c r="C3969" s="2" t="n">
        <v>5</v>
      </c>
      <c r="D3969" s="2" t="s">
        <v>127</v>
      </c>
      <c r="E3969" s="2" t="s">
        <v>8083</v>
      </c>
      <c r="F3969" s="3" t="n">
        <v>46047.1229166667</v>
      </c>
      <c r="G3969" s="2" t="s">
        <v>7684</v>
      </c>
      <c r="H3969" s="4" t="n">
        <v>0.9359</v>
      </c>
      <c r="I3969" s="2" t="s">
        <v>23</v>
      </c>
      <c r="J3969" s="2" t="s">
        <v>37</v>
      </c>
      <c r="K3969" s="2" t="n">
        <v>2</v>
      </c>
      <c r="L3969" s="2" t="n">
        <v>1</v>
      </c>
      <c r="M3969" s="2" t="n">
        <v>1</v>
      </c>
    </row>
    <row r="3970" customFormat="false" ht="15" hidden="false" customHeight="false" outlineLevel="0" collapsed="false">
      <c r="A3970" s="2" t="s">
        <v>8188</v>
      </c>
      <c r="B3970" s="2" t="s">
        <v>8189</v>
      </c>
      <c r="C3970" s="2" t="n">
        <v>1</v>
      </c>
      <c r="D3970" s="2" t="s">
        <v>199</v>
      </c>
      <c r="E3970" s="2" t="s">
        <v>8083</v>
      </c>
      <c r="F3970" s="3" t="n">
        <v>46047.2</v>
      </c>
      <c r="G3970" s="2" t="s">
        <v>7684</v>
      </c>
      <c r="H3970" s="4" t="n">
        <v>-0.7424</v>
      </c>
      <c r="I3970" s="2" t="s">
        <v>84</v>
      </c>
      <c r="J3970" s="2" t="s">
        <v>59</v>
      </c>
      <c r="K3970" s="2" t="n">
        <v>0</v>
      </c>
      <c r="L3970" s="2" t="n">
        <v>1</v>
      </c>
      <c r="M3970" s="2" t="n">
        <v>1</v>
      </c>
    </row>
    <row r="3971" customFormat="false" ht="15" hidden="false" customHeight="false" outlineLevel="0" collapsed="false">
      <c r="A3971" s="2" t="s">
        <v>8190</v>
      </c>
      <c r="B3971" s="2" t="s">
        <v>8191</v>
      </c>
      <c r="C3971" s="2" t="n">
        <v>5</v>
      </c>
      <c r="D3971" s="2" t="s">
        <v>96</v>
      </c>
      <c r="E3971" s="2" t="s">
        <v>8083</v>
      </c>
      <c r="F3971" s="3" t="n">
        <v>46047.2604166667</v>
      </c>
      <c r="G3971" s="2" t="s">
        <v>7684</v>
      </c>
      <c r="H3971" s="4" t="n">
        <v>0.6369</v>
      </c>
      <c r="I3971" s="2" t="s">
        <v>23</v>
      </c>
      <c r="J3971" s="2" t="s">
        <v>19</v>
      </c>
      <c r="K3971" s="2" t="n">
        <v>4</v>
      </c>
      <c r="L3971" s="2" t="n">
        <v>0</v>
      </c>
      <c r="M3971" s="2" t="n">
        <v>1</v>
      </c>
    </row>
    <row r="3972" customFormat="false" ht="15" hidden="false" customHeight="false" outlineLevel="0" collapsed="false">
      <c r="A3972" s="2" t="s">
        <v>8192</v>
      </c>
      <c r="B3972" s="2" t="s">
        <v>8193</v>
      </c>
      <c r="C3972" s="2" t="n">
        <v>5</v>
      </c>
      <c r="D3972" s="2" t="s">
        <v>555</v>
      </c>
      <c r="E3972" s="2" t="s">
        <v>8083</v>
      </c>
      <c r="F3972" s="3" t="n">
        <v>46047.3430555556</v>
      </c>
      <c r="G3972" s="2" t="s">
        <v>7684</v>
      </c>
      <c r="H3972" s="4" t="n">
        <v>0.8221</v>
      </c>
      <c r="I3972" s="2" t="s">
        <v>23</v>
      </c>
      <c r="J3972" s="2" t="s">
        <v>33</v>
      </c>
      <c r="K3972" s="2" t="n">
        <v>9</v>
      </c>
      <c r="L3972" s="2" t="n">
        <v>0</v>
      </c>
      <c r="M3972" s="2" t="n">
        <v>1</v>
      </c>
    </row>
    <row r="3973" customFormat="false" ht="15" hidden="false" customHeight="false" outlineLevel="0" collapsed="false">
      <c r="A3973" s="2" t="s">
        <v>8194</v>
      </c>
      <c r="B3973" s="2" t="s">
        <v>8195</v>
      </c>
      <c r="C3973" s="2" t="n">
        <v>2</v>
      </c>
      <c r="D3973" s="2" t="s">
        <v>402</v>
      </c>
      <c r="E3973" s="2" t="s">
        <v>8083</v>
      </c>
      <c r="F3973" s="3" t="n">
        <v>46047.4625</v>
      </c>
      <c r="G3973" s="2" t="s">
        <v>7684</v>
      </c>
      <c r="H3973" s="4" t="n">
        <v>0</v>
      </c>
      <c r="I3973" s="2" t="s">
        <v>18</v>
      </c>
      <c r="J3973" s="2" t="s">
        <v>59</v>
      </c>
      <c r="K3973" s="2" t="n">
        <v>4</v>
      </c>
      <c r="L3973" s="2" t="n">
        <v>1</v>
      </c>
      <c r="M3973" s="2" t="n">
        <v>1</v>
      </c>
    </row>
    <row r="3974" customFormat="false" ht="15" hidden="false" customHeight="false" outlineLevel="0" collapsed="false">
      <c r="A3974" s="2" t="s">
        <v>8196</v>
      </c>
      <c r="B3974" s="2" t="s">
        <v>8197</v>
      </c>
      <c r="C3974" s="2" t="n">
        <v>5</v>
      </c>
      <c r="D3974" s="2" t="s">
        <v>76</v>
      </c>
      <c r="E3974" s="2" t="s">
        <v>8083</v>
      </c>
      <c r="F3974" s="3" t="n">
        <v>46047.8868055556</v>
      </c>
      <c r="G3974" s="2" t="s">
        <v>7684</v>
      </c>
      <c r="H3974" s="4" t="n">
        <v>0.607</v>
      </c>
      <c r="I3974" s="2" t="s">
        <v>23</v>
      </c>
      <c r="J3974" s="2" t="s">
        <v>33</v>
      </c>
      <c r="K3974" s="2" t="n">
        <v>4</v>
      </c>
      <c r="L3974" s="2" t="n">
        <v>0</v>
      </c>
      <c r="M3974" s="2" t="n">
        <v>1</v>
      </c>
    </row>
    <row r="3975" customFormat="false" ht="15" hidden="false" customHeight="false" outlineLevel="0" collapsed="false">
      <c r="A3975" s="2" t="s">
        <v>8198</v>
      </c>
      <c r="B3975" s="2" t="s">
        <v>8199</v>
      </c>
      <c r="C3975" s="2" t="n">
        <v>5</v>
      </c>
      <c r="D3975" s="2" t="s">
        <v>40</v>
      </c>
      <c r="E3975" s="2" t="s">
        <v>8083</v>
      </c>
      <c r="F3975" s="3" t="n">
        <v>46047.9131944445</v>
      </c>
      <c r="G3975" s="2" t="s">
        <v>7684</v>
      </c>
      <c r="H3975" s="4" t="n">
        <v>0.4019</v>
      </c>
      <c r="I3975" s="2" t="s">
        <v>23</v>
      </c>
      <c r="J3975" s="2" t="s">
        <v>33</v>
      </c>
      <c r="K3975" s="2" t="n">
        <v>1</v>
      </c>
      <c r="L3975" s="2" t="n">
        <v>0</v>
      </c>
      <c r="M3975" s="2" t="n">
        <v>1</v>
      </c>
    </row>
    <row r="3976" customFormat="false" ht="15" hidden="false" customHeight="false" outlineLevel="0" collapsed="false">
      <c r="A3976" s="2" t="s">
        <v>8200</v>
      </c>
      <c r="B3976" s="2" t="s">
        <v>8201</v>
      </c>
      <c r="C3976" s="2" t="n">
        <v>5</v>
      </c>
      <c r="D3976" s="2" t="s">
        <v>62</v>
      </c>
      <c r="E3976" s="2" t="s">
        <v>8083</v>
      </c>
      <c r="F3976" s="3" t="n">
        <v>46048.3569444444</v>
      </c>
      <c r="G3976" s="2" t="s">
        <v>7684</v>
      </c>
      <c r="H3976" s="4" t="n">
        <v>0.7088</v>
      </c>
      <c r="I3976" s="2" t="s">
        <v>23</v>
      </c>
      <c r="J3976" s="2" t="s">
        <v>19</v>
      </c>
      <c r="K3976" s="2" t="n">
        <v>7</v>
      </c>
      <c r="L3976" s="2" t="n">
        <v>0</v>
      </c>
      <c r="M3976" s="2" t="n">
        <v>1</v>
      </c>
    </row>
    <row r="3977" customFormat="false" ht="15" hidden="false" customHeight="false" outlineLevel="0" collapsed="false">
      <c r="A3977" s="2" t="s">
        <v>8202</v>
      </c>
      <c r="B3977" s="2" t="s">
        <v>8203</v>
      </c>
      <c r="C3977" s="2" t="n">
        <v>3</v>
      </c>
      <c r="D3977" s="2" t="s">
        <v>99</v>
      </c>
      <c r="E3977" s="2" t="s">
        <v>8083</v>
      </c>
      <c r="F3977" s="3" t="n">
        <v>46048.3611111111</v>
      </c>
      <c r="G3977" s="2" t="s">
        <v>7684</v>
      </c>
      <c r="H3977" s="4" t="n">
        <v>-0.3089</v>
      </c>
      <c r="I3977" s="2" t="s">
        <v>84</v>
      </c>
      <c r="J3977" s="2" t="s">
        <v>19</v>
      </c>
      <c r="K3977" s="2" t="n">
        <v>12</v>
      </c>
      <c r="L3977" s="2" t="n">
        <v>0</v>
      </c>
      <c r="M3977" s="2" t="n">
        <v>1</v>
      </c>
    </row>
    <row r="3978" customFormat="false" ht="15" hidden="false" customHeight="false" outlineLevel="0" collapsed="false">
      <c r="A3978" s="2" t="s">
        <v>8204</v>
      </c>
      <c r="B3978" s="2" t="s">
        <v>8205</v>
      </c>
      <c r="C3978" s="2" t="n">
        <v>5</v>
      </c>
      <c r="D3978" s="2" t="s">
        <v>96</v>
      </c>
      <c r="E3978" s="2" t="s">
        <v>8083</v>
      </c>
      <c r="F3978" s="3" t="n">
        <v>46048.4236111111</v>
      </c>
      <c r="G3978" s="2" t="s">
        <v>7684</v>
      </c>
      <c r="H3978" s="4" t="n">
        <v>0.6369</v>
      </c>
      <c r="I3978" s="2" t="s">
        <v>23</v>
      </c>
      <c r="J3978" s="2" t="s">
        <v>19</v>
      </c>
      <c r="K3978" s="2" t="n">
        <v>2</v>
      </c>
      <c r="L3978" s="2" t="n">
        <v>0</v>
      </c>
      <c r="M3978" s="2" t="n">
        <v>1</v>
      </c>
    </row>
    <row r="3979" customFormat="false" ht="15" hidden="false" customHeight="false" outlineLevel="0" collapsed="false">
      <c r="A3979" s="2" t="s">
        <v>8206</v>
      </c>
      <c r="B3979" s="2" t="s">
        <v>8207</v>
      </c>
      <c r="C3979" s="2" t="n">
        <v>4</v>
      </c>
      <c r="D3979" s="2" t="s">
        <v>36</v>
      </c>
      <c r="E3979" s="2" t="s">
        <v>8083</v>
      </c>
      <c r="F3979" s="3" t="n">
        <v>46048.4784722222</v>
      </c>
      <c r="G3979" s="2" t="s">
        <v>7684</v>
      </c>
      <c r="H3979" s="4" t="n">
        <v>0.4404</v>
      </c>
      <c r="I3979" s="2" t="s">
        <v>23</v>
      </c>
      <c r="J3979" s="2" t="s">
        <v>37</v>
      </c>
      <c r="K3979" s="2" t="n">
        <v>5</v>
      </c>
      <c r="L3979" s="2" t="n">
        <v>0</v>
      </c>
      <c r="M3979" s="2" t="n">
        <v>1</v>
      </c>
    </row>
    <row r="3980" customFormat="false" ht="15" hidden="false" customHeight="false" outlineLevel="0" collapsed="false">
      <c r="A3980" s="2" t="s">
        <v>8208</v>
      </c>
      <c r="B3980" s="2" t="s">
        <v>8209</v>
      </c>
      <c r="C3980" s="2" t="n">
        <v>3</v>
      </c>
      <c r="D3980" s="2" t="s">
        <v>7675</v>
      </c>
      <c r="E3980" s="2" t="s">
        <v>8083</v>
      </c>
      <c r="F3980" s="3" t="n">
        <v>46048.4791666667</v>
      </c>
      <c r="G3980" s="2" t="s">
        <v>7684</v>
      </c>
      <c r="H3980" s="4" t="n">
        <v>0.3612</v>
      </c>
      <c r="I3980" s="2" t="s">
        <v>23</v>
      </c>
      <c r="J3980" s="2" t="s">
        <v>37</v>
      </c>
      <c r="K3980" s="2" t="n">
        <v>6</v>
      </c>
      <c r="L3980" s="2" t="n">
        <v>0</v>
      </c>
      <c r="M3980" s="2" t="n">
        <v>1</v>
      </c>
    </row>
    <row r="3981" customFormat="false" ht="15" hidden="false" customHeight="false" outlineLevel="0" collapsed="false">
      <c r="A3981" s="2" t="s">
        <v>8210</v>
      </c>
      <c r="B3981" s="2" t="s">
        <v>8211</v>
      </c>
      <c r="C3981" s="2" t="n">
        <v>5</v>
      </c>
      <c r="D3981" s="2" t="s">
        <v>40</v>
      </c>
      <c r="E3981" s="2" t="s">
        <v>8083</v>
      </c>
      <c r="F3981" s="3" t="n">
        <v>46048.4895833333</v>
      </c>
      <c r="G3981" s="2" t="s">
        <v>7684</v>
      </c>
      <c r="H3981" s="4" t="n">
        <v>0.4019</v>
      </c>
      <c r="I3981" s="2" t="s">
        <v>23</v>
      </c>
      <c r="J3981" s="2" t="s">
        <v>33</v>
      </c>
      <c r="K3981" s="2" t="n">
        <v>1</v>
      </c>
      <c r="L3981" s="2" t="n">
        <v>0</v>
      </c>
      <c r="M3981" s="2" t="n">
        <v>1</v>
      </c>
    </row>
    <row r="3982" customFormat="false" ht="15" hidden="false" customHeight="false" outlineLevel="0" collapsed="false">
      <c r="A3982" s="2" t="s">
        <v>8212</v>
      </c>
      <c r="B3982" s="2" t="s">
        <v>8213</v>
      </c>
      <c r="C3982" s="2" t="n">
        <v>5</v>
      </c>
      <c r="D3982" s="2" t="s">
        <v>1387</v>
      </c>
      <c r="E3982" s="2" t="s">
        <v>8083</v>
      </c>
      <c r="F3982" s="3" t="n">
        <v>46048.8069444444</v>
      </c>
      <c r="G3982" s="2" t="s">
        <v>7684</v>
      </c>
      <c r="H3982" s="4" t="n">
        <v>0.9359</v>
      </c>
      <c r="I3982" s="2" t="s">
        <v>23</v>
      </c>
      <c r="J3982" s="2" t="s">
        <v>37</v>
      </c>
      <c r="K3982" s="2" t="n">
        <v>2</v>
      </c>
      <c r="L3982" s="2" t="n">
        <v>0</v>
      </c>
      <c r="M3982" s="2" t="n">
        <v>1</v>
      </c>
    </row>
    <row r="3983" customFormat="false" ht="15" hidden="false" customHeight="false" outlineLevel="0" collapsed="false">
      <c r="A3983" s="2" t="s">
        <v>8214</v>
      </c>
      <c r="B3983" s="2" t="s">
        <v>8215</v>
      </c>
      <c r="C3983" s="2" t="n">
        <v>5</v>
      </c>
      <c r="D3983" s="2" t="s">
        <v>1878</v>
      </c>
      <c r="E3983" s="2" t="s">
        <v>8083</v>
      </c>
      <c r="F3983" s="3" t="n">
        <v>46049.0013888889</v>
      </c>
      <c r="G3983" s="2" t="s">
        <v>7684</v>
      </c>
      <c r="H3983" s="4" t="n">
        <v>0.9516</v>
      </c>
      <c r="I3983" s="2" t="s">
        <v>23</v>
      </c>
      <c r="J3983" s="2" t="s">
        <v>37</v>
      </c>
      <c r="K3983" s="2" t="n">
        <v>1</v>
      </c>
      <c r="L3983" s="2" t="n">
        <v>0</v>
      </c>
      <c r="M3983" s="2" t="n">
        <v>1</v>
      </c>
    </row>
    <row r="3984" customFormat="false" ht="15" hidden="false" customHeight="false" outlineLevel="0" collapsed="false">
      <c r="A3984" s="2" t="s">
        <v>8216</v>
      </c>
      <c r="B3984" s="2" t="s">
        <v>8217</v>
      </c>
      <c r="C3984" s="2" t="n">
        <v>3</v>
      </c>
      <c r="D3984" s="2" t="s">
        <v>301</v>
      </c>
      <c r="E3984" s="2" t="s">
        <v>8083</v>
      </c>
      <c r="F3984" s="3" t="n">
        <v>46049.1402777778</v>
      </c>
      <c r="G3984" s="2" t="s">
        <v>7684</v>
      </c>
      <c r="H3984" s="4" t="n">
        <v>0.2263</v>
      </c>
      <c r="I3984" s="2" t="s">
        <v>23</v>
      </c>
      <c r="J3984" s="2" t="s">
        <v>19</v>
      </c>
      <c r="K3984" s="2" t="n">
        <v>5</v>
      </c>
      <c r="L3984" s="2" t="n">
        <v>0</v>
      </c>
      <c r="M3984" s="2" t="n">
        <v>1</v>
      </c>
    </row>
    <row r="3985" customFormat="false" ht="15" hidden="false" customHeight="false" outlineLevel="0" collapsed="false">
      <c r="A3985" s="2" t="s">
        <v>8218</v>
      </c>
      <c r="B3985" s="2" t="s">
        <v>8219</v>
      </c>
      <c r="C3985" s="2" t="n">
        <v>5</v>
      </c>
      <c r="D3985" s="2" t="s">
        <v>121</v>
      </c>
      <c r="E3985" s="2" t="s">
        <v>8083</v>
      </c>
      <c r="F3985" s="3" t="n">
        <v>46049.2118055556</v>
      </c>
      <c r="G3985" s="2" t="s">
        <v>7684</v>
      </c>
      <c r="H3985" s="4" t="n">
        <v>0.607</v>
      </c>
      <c r="I3985" s="2" t="s">
        <v>23</v>
      </c>
      <c r="J3985" s="2" t="s">
        <v>33</v>
      </c>
      <c r="K3985" s="2" t="n">
        <v>2</v>
      </c>
      <c r="L3985" s="2" t="n">
        <v>1</v>
      </c>
      <c r="M3985" s="2" t="n">
        <v>1</v>
      </c>
    </row>
    <row r="3986" customFormat="false" ht="15" hidden="false" customHeight="false" outlineLevel="0" collapsed="false">
      <c r="A3986" s="2" t="s">
        <v>8220</v>
      </c>
      <c r="B3986" s="2" t="s">
        <v>8221</v>
      </c>
      <c r="C3986" s="2" t="n">
        <v>4</v>
      </c>
      <c r="D3986" s="2" t="s">
        <v>62</v>
      </c>
      <c r="E3986" s="2" t="s">
        <v>8083</v>
      </c>
      <c r="F3986" s="3" t="n">
        <v>46049.3381944444</v>
      </c>
      <c r="G3986" s="2" t="s">
        <v>7684</v>
      </c>
      <c r="H3986" s="4" t="n">
        <v>0.7088</v>
      </c>
      <c r="I3986" s="2" t="s">
        <v>23</v>
      </c>
      <c r="J3986" s="2" t="s">
        <v>19</v>
      </c>
      <c r="K3986" s="2" t="n">
        <v>3</v>
      </c>
      <c r="L3986" s="2" t="n">
        <v>0</v>
      </c>
      <c r="M3986" s="2" t="n">
        <v>1</v>
      </c>
    </row>
    <row r="3987" customFormat="false" ht="15" hidden="false" customHeight="false" outlineLevel="0" collapsed="false">
      <c r="A3987" s="2" t="s">
        <v>8222</v>
      </c>
      <c r="B3987" s="2" t="s">
        <v>8223</v>
      </c>
      <c r="C3987" s="2" t="n">
        <v>5</v>
      </c>
      <c r="D3987" s="2" t="s">
        <v>420</v>
      </c>
      <c r="E3987" s="2" t="s">
        <v>8083</v>
      </c>
      <c r="F3987" s="3" t="n">
        <v>46049.3854166667</v>
      </c>
      <c r="G3987" s="2" t="s">
        <v>7684</v>
      </c>
      <c r="H3987" s="4" t="n">
        <v>0.7845</v>
      </c>
      <c r="I3987" s="2" t="s">
        <v>23</v>
      </c>
      <c r="J3987" s="2" t="s">
        <v>33</v>
      </c>
      <c r="K3987" s="2" t="n">
        <v>2</v>
      </c>
      <c r="L3987" s="2" t="n">
        <v>0</v>
      </c>
      <c r="M3987" s="2" t="n">
        <v>1</v>
      </c>
    </row>
    <row r="3988" customFormat="false" ht="15" hidden="false" customHeight="false" outlineLevel="0" collapsed="false">
      <c r="A3988" s="2" t="s">
        <v>8224</v>
      </c>
      <c r="B3988" s="2" t="s">
        <v>8225</v>
      </c>
      <c r="C3988" s="2" t="n">
        <v>5</v>
      </c>
      <c r="D3988" s="2" t="s">
        <v>62</v>
      </c>
      <c r="E3988" s="2" t="s">
        <v>8083</v>
      </c>
      <c r="F3988" s="3" t="n">
        <v>46049.5416666667</v>
      </c>
      <c r="G3988" s="2" t="s">
        <v>7684</v>
      </c>
      <c r="H3988" s="4" t="n">
        <v>0.7088</v>
      </c>
      <c r="I3988" s="2" t="s">
        <v>23</v>
      </c>
      <c r="J3988" s="2" t="s">
        <v>19</v>
      </c>
      <c r="K3988" s="2" t="n">
        <v>0</v>
      </c>
      <c r="L3988" s="2" t="n">
        <v>0</v>
      </c>
      <c r="M3988" s="2" t="n">
        <v>1</v>
      </c>
    </row>
    <row r="3989" customFormat="false" ht="15" hidden="false" customHeight="false" outlineLevel="0" collapsed="false">
      <c r="A3989" s="2" t="s">
        <v>8226</v>
      </c>
      <c r="B3989" s="2" t="s">
        <v>8227</v>
      </c>
      <c r="C3989" s="2" t="n">
        <v>5</v>
      </c>
      <c r="D3989" s="2" t="s">
        <v>62</v>
      </c>
      <c r="E3989" s="2" t="s">
        <v>8083</v>
      </c>
      <c r="F3989" s="3" t="n">
        <v>46049.5541666667</v>
      </c>
      <c r="G3989" s="2" t="s">
        <v>7684</v>
      </c>
      <c r="H3989" s="4" t="n">
        <v>0.7088</v>
      </c>
      <c r="I3989" s="2" t="s">
        <v>23</v>
      </c>
      <c r="J3989" s="2" t="s">
        <v>19</v>
      </c>
      <c r="K3989" s="2" t="n">
        <v>0</v>
      </c>
      <c r="L3989" s="2" t="n">
        <v>0</v>
      </c>
      <c r="M3989" s="2" t="n">
        <v>1</v>
      </c>
    </row>
    <row r="3990" customFormat="false" ht="15" hidden="false" customHeight="false" outlineLevel="0" collapsed="false">
      <c r="A3990" s="2" t="s">
        <v>8228</v>
      </c>
      <c r="B3990" s="2" t="s">
        <v>8229</v>
      </c>
      <c r="C3990" s="2" t="n">
        <v>2</v>
      </c>
      <c r="D3990" s="2" t="s">
        <v>32</v>
      </c>
      <c r="E3990" s="2" t="s">
        <v>8083</v>
      </c>
      <c r="F3990" s="3" t="n">
        <v>46049.6034722222</v>
      </c>
      <c r="G3990" s="2" t="s">
        <v>7684</v>
      </c>
      <c r="H3990" s="4" t="n">
        <v>0.2023</v>
      </c>
      <c r="I3990" s="2" t="s">
        <v>23</v>
      </c>
      <c r="J3990" s="2" t="s">
        <v>33</v>
      </c>
      <c r="K3990" s="2" t="n">
        <v>0</v>
      </c>
      <c r="L3990" s="2" t="n">
        <v>1</v>
      </c>
      <c r="M3990" s="2" t="n">
        <v>1</v>
      </c>
    </row>
    <row r="3991" customFormat="false" ht="15" hidden="false" customHeight="false" outlineLevel="0" collapsed="false">
      <c r="A3991" s="2" t="s">
        <v>8230</v>
      </c>
      <c r="B3991" s="2" t="s">
        <v>8231</v>
      </c>
      <c r="C3991" s="2" t="n">
        <v>5</v>
      </c>
      <c r="D3991" s="2" t="s">
        <v>52</v>
      </c>
      <c r="E3991" s="2" t="s">
        <v>8083</v>
      </c>
      <c r="F3991" s="3" t="n">
        <v>46049.6618055556</v>
      </c>
      <c r="G3991" s="2" t="s">
        <v>7684</v>
      </c>
      <c r="H3991" s="4" t="n">
        <v>0.6369</v>
      </c>
      <c r="I3991" s="2" t="s">
        <v>23</v>
      </c>
      <c r="J3991" s="2" t="s">
        <v>19</v>
      </c>
      <c r="K3991" s="2" t="n">
        <v>3</v>
      </c>
      <c r="L3991" s="2" t="n">
        <v>0</v>
      </c>
      <c r="M3991" s="2" t="n">
        <v>1</v>
      </c>
    </row>
    <row r="3992" customFormat="false" ht="15" hidden="false" customHeight="false" outlineLevel="0" collapsed="false">
      <c r="A3992" s="2" t="s">
        <v>8232</v>
      </c>
      <c r="B3992" s="2" t="s">
        <v>8233</v>
      </c>
      <c r="C3992" s="2" t="n">
        <v>4</v>
      </c>
      <c r="D3992" s="2" t="s">
        <v>1197</v>
      </c>
      <c r="E3992" s="2" t="s">
        <v>8083</v>
      </c>
      <c r="F3992" s="3" t="n">
        <v>46049.7041666667</v>
      </c>
      <c r="G3992" s="2" t="s">
        <v>7684</v>
      </c>
      <c r="H3992" s="4" t="n">
        <v>0.3089</v>
      </c>
      <c r="I3992" s="2" t="s">
        <v>23</v>
      </c>
      <c r="J3992" s="2" t="s">
        <v>19</v>
      </c>
      <c r="K3992" s="2" t="n">
        <v>2</v>
      </c>
      <c r="L3992" s="2" t="n">
        <v>0</v>
      </c>
      <c r="M3992" s="2" t="n">
        <v>1</v>
      </c>
    </row>
    <row r="3993" customFormat="false" ht="15" hidden="false" customHeight="false" outlineLevel="0" collapsed="false">
      <c r="A3993" s="2" t="s">
        <v>8234</v>
      </c>
      <c r="B3993" s="2" t="s">
        <v>8235</v>
      </c>
      <c r="C3993" s="2" t="n">
        <v>3</v>
      </c>
      <c r="D3993" s="2" t="s">
        <v>1034</v>
      </c>
      <c r="E3993" s="2" t="s">
        <v>8083</v>
      </c>
      <c r="F3993" s="3" t="n">
        <v>46049.8840277778</v>
      </c>
      <c r="G3993" s="2" t="s">
        <v>7684</v>
      </c>
      <c r="H3993" s="4" t="n">
        <v>0</v>
      </c>
      <c r="I3993" s="2" t="s">
        <v>18</v>
      </c>
      <c r="J3993" s="2" t="s">
        <v>110</v>
      </c>
      <c r="K3993" s="2" t="n">
        <v>4</v>
      </c>
      <c r="L3993" s="2" t="n">
        <v>0</v>
      </c>
      <c r="M3993" s="2" t="n">
        <v>1</v>
      </c>
    </row>
    <row r="3994" customFormat="false" ht="15" hidden="false" customHeight="false" outlineLevel="0" collapsed="false">
      <c r="A3994" s="2" t="s">
        <v>8236</v>
      </c>
      <c r="B3994" s="2" t="s">
        <v>8237</v>
      </c>
      <c r="C3994" s="2" t="n">
        <v>5</v>
      </c>
      <c r="D3994" s="2" t="s">
        <v>251</v>
      </c>
      <c r="E3994" s="2" t="s">
        <v>8083</v>
      </c>
      <c r="F3994" s="3" t="n">
        <v>46049.9222222222</v>
      </c>
      <c r="G3994" s="2" t="s">
        <v>7684</v>
      </c>
      <c r="H3994" s="4" t="n">
        <v>0.8651</v>
      </c>
      <c r="I3994" s="2" t="s">
        <v>23</v>
      </c>
      <c r="J3994" s="2" t="s">
        <v>19</v>
      </c>
      <c r="K3994" s="2" t="n">
        <v>1</v>
      </c>
      <c r="L3994" s="2" t="n">
        <v>0</v>
      </c>
      <c r="M3994" s="2" t="n">
        <v>1</v>
      </c>
    </row>
    <row r="3995" customFormat="false" ht="15" hidden="false" customHeight="false" outlineLevel="0" collapsed="false">
      <c r="A3995" s="2" t="s">
        <v>8238</v>
      </c>
      <c r="B3995" s="2" t="s">
        <v>8239</v>
      </c>
      <c r="C3995" s="2" t="n">
        <v>5</v>
      </c>
      <c r="D3995" s="2" t="s">
        <v>790</v>
      </c>
      <c r="E3995" s="2" t="s">
        <v>8083</v>
      </c>
      <c r="F3995" s="3" t="n">
        <v>46050.0069444445</v>
      </c>
      <c r="G3995" s="2" t="s">
        <v>7684</v>
      </c>
      <c r="H3995" s="4" t="n">
        <v>0.9647</v>
      </c>
      <c r="I3995" s="2" t="s">
        <v>23</v>
      </c>
      <c r="J3995" s="2" t="s">
        <v>37</v>
      </c>
      <c r="K3995" s="2" t="n">
        <v>0</v>
      </c>
      <c r="L3995" s="2" t="n">
        <v>0</v>
      </c>
      <c r="M3995" s="2" t="n">
        <v>1</v>
      </c>
    </row>
    <row r="3996" customFormat="false" ht="15" hidden="false" customHeight="false" outlineLevel="0" collapsed="false">
      <c r="A3996" s="2" t="s">
        <v>8240</v>
      </c>
      <c r="B3996" s="2" t="s">
        <v>8241</v>
      </c>
      <c r="C3996" s="2" t="n">
        <v>3</v>
      </c>
      <c r="D3996" s="2" t="s">
        <v>301</v>
      </c>
      <c r="E3996" s="2" t="s">
        <v>8083</v>
      </c>
      <c r="F3996" s="3" t="n">
        <v>46050.1736111111</v>
      </c>
      <c r="G3996" s="2" t="s">
        <v>7684</v>
      </c>
      <c r="H3996" s="4" t="n">
        <v>0.2263</v>
      </c>
      <c r="I3996" s="2" t="s">
        <v>23</v>
      </c>
      <c r="J3996" s="2" t="s">
        <v>19</v>
      </c>
      <c r="K3996" s="2" t="n">
        <v>3</v>
      </c>
      <c r="L3996" s="2" t="n">
        <v>0</v>
      </c>
      <c r="M3996" s="2" t="n">
        <v>1</v>
      </c>
    </row>
    <row r="3997" customFormat="false" ht="15" hidden="false" customHeight="false" outlineLevel="0" collapsed="false">
      <c r="A3997" s="2" t="s">
        <v>8242</v>
      </c>
      <c r="B3997" s="2" t="s">
        <v>8243</v>
      </c>
      <c r="C3997" s="2" t="n">
        <v>1</v>
      </c>
      <c r="D3997" s="2" t="s">
        <v>1942</v>
      </c>
      <c r="E3997" s="2" t="s">
        <v>8083</v>
      </c>
      <c r="F3997" s="3" t="n">
        <v>46050.3625</v>
      </c>
      <c r="G3997" s="2" t="s">
        <v>7684</v>
      </c>
      <c r="H3997" s="4" t="n">
        <v>0</v>
      </c>
      <c r="I3997" s="2" t="s">
        <v>18</v>
      </c>
      <c r="J3997" s="2" t="s">
        <v>165</v>
      </c>
      <c r="K3997" s="2" t="n">
        <v>0</v>
      </c>
      <c r="L3997" s="2" t="n">
        <v>0</v>
      </c>
      <c r="M3997" s="2" t="n">
        <v>1</v>
      </c>
    </row>
    <row r="3998" customFormat="false" ht="15" hidden="false" customHeight="false" outlineLevel="0" collapsed="false">
      <c r="A3998" s="2" t="s">
        <v>8244</v>
      </c>
      <c r="B3998" s="2" t="s">
        <v>8245</v>
      </c>
      <c r="C3998" s="2" t="n">
        <v>2</v>
      </c>
      <c r="D3998" s="2" t="s">
        <v>591</v>
      </c>
      <c r="E3998" s="2" t="s">
        <v>8083</v>
      </c>
      <c r="F3998" s="3" t="n">
        <v>46050.6840277778</v>
      </c>
      <c r="G3998" s="2" t="s">
        <v>7684</v>
      </c>
      <c r="H3998" s="4" t="n">
        <v>0</v>
      </c>
      <c r="I3998" s="2" t="s">
        <v>18</v>
      </c>
      <c r="J3998" s="2" t="s">
        <v>37</v>
      </c>
      <c r="K3998" s="2" t="n">
        <v>3</v>
      </c>
      <c r="L3998" s="2" t="n">
        <v>0</v>
      </c>
      <c r="M3998" s="2" t="n">
        <v>1</v>
      </c>
    </row>
    <row r="3999" customFormat="false" ht="15" hidden="false" customHeight="false" outlineLevel="0" collapsed="false">
      <c r="A3999" s="2" t="s">
        <v>8246</v>
      </c>
      <c r="B3999" s="2" t="s">
        <v>8247</v>
      </c>
      <c r="C3999" s="2" t="n">
        <v>3</v>
      </c>
      <c r="D3999" s="2" t="s">
        <v>22</v>
      </c>
      <c r="E3999" s="2" t="s">
        <v>8083</v>
      </c>
      <c r="F3999" s="3" t="n">
        <v>46050.7145833333</v>
      </c>
      <c r="G3999" s="2" t="s">
        <v>7684</v>
      </c>
      <c r="H3999" s="4" t="n">
        <v>0.2023</v>
      </c>
      <c r="I3999" s="2" t="s">
        <v>23</v>
      </c>
      <c r="J3999" s="2" t="s">
        <v>19</v>
      </c>
      <c r="K3999" s="2" t="n">
        <v>1</v>
      </c>
      <c r="L3999" s="2" t="n">
        <v>0</v>
      </c>
      <c r="M3999" s="2" t="n">
        <v>1</v>
      </c>
    </row>
    <row r="4000" customFormat="false" ht="15" hidden="false" customHeight="false" outlineLevel="0" collapsed="false">
      <c r="A4000" s="2" t="s">
        <v>8248</v>
      </c>
      <c r="B4000" s="2" t="s">
        <v>8249</v>
      </c>
      <c r="C4000" s="2" t="n">
        <v>5</v>
      </c>
      <c r="D4000" s="2" t="s">
        <v>47</v>
      </c>
      <c r="E4000" s="2" t="s">
        <v>8083</v>
      </c>
      <c r="F4000" s="3" t="n">
        <v>46050.8611111111</v>
      </c>
      <c r="G4000" s="2" t="s">
        <v>7684</v>
      </c>
      <c r="H4000" s="4" t="n">
        <v>0.3089</v>
      </c>
      <c r="I4000" s="2" t="s">
        <v>23</v>
      </c>
      <c r="J4000" s="2" t="s">
        <v>19</v>
      </c>
      <c r="K4000" s="2" t="n">
        <v>3</v>
      </c>
      <c r="L4000" s="2" t="n">
        <v>0</v>
      </c>
      <c r="M4000" s="2" t="n">
        <v>1</v>
      </c>
    </row>
    <row r="4001" customFormat="false" ht="15" hidden="false" customHeight="false" outlineLevel="0" collapsed="false">
      <c r="A4001" s="2" t="s">
        <v>8250</v>
      </c>
      <c r="B4001" s="2" t="s">
        <v>8251</v>
      </c>
      <c r="C4001" s="2" t="n">
        <v>5</v>
      </c>
      <c r="D4001" s="2" t="s">
        <v>90</v>
      </c>
      <c r="E4001" s="2" t="s">
        <v>8083</v>
      </c>
      <c r="F4001" s="3" t="n">
        <v>46050.9048611111</v>
      </c>
      <c r="G4001" s="2" t="s">
        <v>7684</v>
      </c>
      <c r="H4001" s="4" t="n">
        <v>0.6249</v>
      </c>
      <c r="I4001" s="2" t="s">
        <v>23</v>
      </c>
      <c r="J4001" s="2" t="s">
        <v>37</v>
      </c>
      <c r="K4001" s="2" t="n">
        <v>9</v>
      </c>
      <c r="L4001" s="2" t="n">
        <v>0</v>
      </c>
      <c r="M4001" s="2" t="n">
        <v>1</v>
      </c>
    </row>
    <row r="4002" customFormat="false" ht="15" hidden="false" customHeight="false" outlineLevel="0" collapsed="false">
      <c r="A4002" s="2" t="s">
        <v>8252</v>
      </c>
      <c r="B4002" s="2" t="s">
        <v>8253</v>
      </c>
      <c r="C4002" s="2" t="n">
        <v>5</v>
      </c>
      <c r="D4002" s="2" t="s">
        <v>40</v>
      </c>
      <c r="E4002" s="2" t="s">
        <v>8083</v>
      </c>
      <c r="F4002" s="3" t="n">
        <v>46050.9298611111</v>
      </c>
      <c r="G4002" s="2" t="s">
        <v>7684</v>
      </c>
      <c r="H4002" s="4" t="n">
        <v>0.4019</v>
      </c>
      <c r="I4002" s="2" t="s">
        <v>23</v>
      </c>
      <c r="J4002" s="2" t="s">
        <v>33</v>
      </c>
      <c r="K4002" s="2" t="n">
        <v>1</v>
      </c>
      <c r="L4002" s="2" t="n">
        <v>0</v>
      </c>
      <c r="M4002" s="2" t="n">
        <v>1</v>
      </c>
    </row>
    <row r="4003" customFormat="false" ht="15" hidden="false" customHeight="false" outlineLevel="0" collapsed="false">
      <c r="A4003" s="2" t="s">
        <v>8254</v>
      </c>
      <c r="B4003" s="2" t="s">
        <v>8255</v>
      </c>
      <c r="C4003" s="2" t="n">
        <v>3</v>
      </c>
      <c r="D4003" s="2" t="s">
        <v>113</v>
      </c>
      <c r="E4003" s="2" t="s">
        <v>8083</v>
      </c>
      <c r="F4003" s="3" t="n">
        <v>46051.0701388889</v>
      </c>
      <c r="G4003" s="2" t="s">
        <v>7684</v>
      </c>
      <c r="H4003" s="4" t="n">
        <v>-0.431</v>
      </c>
      <c r="I4003" s="2" t="s">
        <v>84</v>
      </c>
      <c r="J4003" s="2" t="s">
        <v>19</v>
      </c>
      <c r="K4003" s="2" t="n">
        <v>2</v>
      </c>
      <c r="L4003" s="2" t="n">
        <v>0</v>
      </c>
      <c r="M4003" s="2" t="n">
        <v>1</v>
      </c>
    </row>
    <row r="4004" customFormat="false" ht="15" hidden="false" customHeight="false" outlineLevel="0" collapsed="false">
      <c r="A4004" s="2" t="s">
        <v>8256</v>
      </c>
      <c r="B4004" s="2" t="s">
        <v>8257</v>
      </c>
      <c r="C4004" s="2" t="n">
        <v>3</v>
      </c>
      <c r="D4004" s="2" t="s">
        <v>36</v>
      </c>
      <c r="E4004" s="2" t="s">
        <v>8083</v>
      </c>
      <c r="F4004" s="3" t="n">
        <v>46051.1263888889</v>
      </c>
      <c r="G4004" s="2" t="s">
        <v>7684</v>
      </c>
      <c r="H4004" s="4" t="n">
        <v>0.4404</v>
      </c>
      <c r="I4004" s="2" t="s">
        <v>23</v>
      </c>
      <c r="J4004" s="2" t="s">
        <v>37</v>
      </c>
      <c r="K4004" s="2" t="n">
        <v>0</v>
      </c>
      <c r="L4004" s="2" t="n">
        <v>0</v>
      </c>
      <c r="M4004" s="2" t="n">
        <v>1</v>
      </c>
    </row>
    <row r="4005" customFormat="false" ht="15" hidden="false" customHeight="false" outlineLevel="0" collapsed="false">
      <c r="A4005" s="2" t="s">
        <v>8258</v>
      </c>
      <c r="B4005" s="2" t="s">
        <v>8259</v>
      </c>
      <c r="C4005" s="2" t="n">
        <v>1</v>
      </c>
      <c r="D4005" s="2" t="s">
        <v>5049</v>
      </c>
      <c r="E4005" s="2" t="s">
        <v>8083</v>
      </c>
      <c r="F4005" s="3" t="n">
        <v>46051.3638888889</v>
      </c>
      <c r="G4005" s="2" t="s">
        <v>7684</v>
      </c>
      <c r="H4005" s="4" t="n">
        <v>0.2023</v>
      </c>
      <c r="I4005" s="2" t="s">
        <v>23</v>
      </c>
      <c r="J4005" s="2" t="s">
        <v>37</v>
      </c>
      <c r="K4005" s="2" t="n">
        <v>9</v>
      </c>
      <c r="L4005" s="2" t="n">
        <v>1</v>
      </c>
      <c r="M4005" s="2" t="n">
        <v>1</v>
      </c>
    </row>
    <row r="4006" customFormat="false" ht="15" hidden="false" customHeight="false" outlineLevel="0" collapsed="false">
      <c r="A4006" s="2" t="s">
        <v>8260</v>
      </c>
      <c r="B4006" s="2" t="s">
        <v>8261</v>
      </c>
      <c r="C4006" s="2" t="n">
        <v>5</v>
      </c>
      <c r="D4006" s="2" t="s">
        <v>787</v>
      </c>
      <c r="E4006" s="2" t="s">
        <v>8083</v>
      </c>
      <c r="F4006" s="3" t="n">
        <v>46051.4173611111</v>
      </c>
      <c r="G4006" s="2" t="s">
        <v>7684</v>
      </c>
      <c r="H4006" s="4" t="n">
        <v>0.7475</v>
      </c>
      <c r="I4006" s="2" t="s">
        <v>23</v>
      </c>
      <c r="J4006" s="2" t="s">
        <v>37</v>
      </c>
      <c r="K4006" s="2" t="n">
        <v>8</v>
      </c>
      <c r="L4006" s="2" t="n">
        <v>0</v>
      </c>
      <c r="M4006" s="2" t="n">
        <v>1</v>
      </c>
    </row>
    <row r="4007" customFormat="false" ht="15" hidden="false" customHeight="false" outlineLevel="0" collapsed="false">
      <c r="A4007" s="2" t="s">
        <v>8262</v>
      </c>
      <c r="B4007" s="2" t="s">
        <v>8263</v>
      </c>
      <c r="C4007" s="2" t="n">
        <v>5</v>
      </c>
      <c r="D4007" s="2" t="s">
        <v>40</v>
      </c>
      <c r="E4007" s="2" t="s">
        <v>8083</v>
      </c>
      <c r="F4007" s="3" t="n">
        <v>46051.4256944444</v>
      </c>
      <c r="G4007" s="2" t="s">
        <v>7684</v>
      </c>
      <c r="H4007" s="4" t="n">
        <v>0.4019</v>
      </c>
      <c r="I4007" s="2" t="s">
        <v>23</v>
      </c>
      <c r="J4007" s="2" t="s">
        <v>33</v>
      </c>
      <c r="K4007" s="2" t="n">
        <v>2</v>
      </c>
      <c r="L4007" s="2" t="n">
        <v>0</v>
      </c>
      <c r="M4007" s="2" t="n">
        <v>1</v>
      </c>
    </row>
    <row r="4008" customFormat="false" ht="15" hidden="false" customHeight="false" outlineLevel="0" collapsed="false">
      <c r="A4008" s="2" t="s">
        <v>8264</v>
      </c>
      <c r="B4008" s="2" t="s">
        <v>8265</v>
      </c>
      <c r="C4008" s="2" t="n">
        <v>5</v>
      </c>
      <c r="D4008" s="2" t="s">
        <v>47</v>
      </c>
      <c r="E4008" s="2" t="s">
        <v>8083</v>
      </c>
      <c r="F4008" s="3" t="n">
        <v>46051.4361111111</v>
      </c>
      <c r="G4008" s="2" t="s">
        <v>7684</v>
      </c>
      <c r="H4008" s="4" t="n">
        <v>0.3089</v>
      </c>
      <c r="I4008" s="2" t="s">
        <v>23</v>
      </c>
      <c r="J4008" s="2" t="s">
        <v>19</v>
      </c>
      <c r="K4008" s="2" t="n">
        <v>1</v>
      </c>
      <c r="L4008" s="2" t="n">
        <v>0</v>
      </c>
      <c r="M4008" s="2" t="n">
        <v>1</v>
      </c>
    </row>
    <row r="4009" customFormat="false" ht="15" hidden="false" customHeight="false" outlineLevel="0" collapsed="false">
      <c r="A4009" s="2" t="s">
        <v>8266</v>
      </c>
      <c r="B4009" s="2" t="s">
        <v>8267</v>
      </c>
      <c r="C4009" s="2" t="n">
        <v>5</v>
      </c>
      <c r="D4009" s="2" t="s">
        <v>15</v>
      </c>
      <c r="E4009" s="2" t="s">
        <v>8083</v>
      </c>
      <c r="F4009" s="3" t="n">
        <v>46051.4604166667</v>
      </c>
      <c r="G4009" s="2" t="s">
        <v>7684</v>
      </c>
      <c r="H4009" s="4" t="n">
        <v>0</v>
      </c>
      <c r="I4009" s="2" t="s">
        <v>18</v>
      </c>
      <c r="J4009" s="2" t="s">
        <v>19</v>
      </c>
      <c r="K4009" s="2" t="n">
        <v>1</v>
      </c>
      <c r="L4009" s="2" t="n">
        <v>0</v>
      </c>
      <c r="M4009" s="2" t="n">
        <v>1</v>
      </c>
    </row>
    <row r="4010" customFormat="false" ht="15" hidden="false" customHeight="false" outlineLevel="0" collapsed="false">
      <c r="A4010" s="2" t="s">
        <v>8268</v>
      </c>
      <c r="B4010" s="2" t="s">
        <v>8269</v>
      </c>
      <c r="C4010" s="2" t="n">
        <v>4</v>
      </c>
      <c r="D4010" s="2" t="s">
        <v>96</v>
      </c>
      <c r="E4010" s="2" t="s">
        <v>8083</v>
      </c>
      <c r="F4010" s="3" t="n">
        <v>46051.6340277778</v>
      </c>
      <c r="G4010" s="2" t="s">
        <v>7684</v>
      </c>
      <c r="H4010" s="4" t="n">
        <v>0.6369</v>
      </c>
      <c r="I4010" s="2" t="s">
        <v>23</v>
      </c>
      <c r="J4010" s="2" t="s">
        <v>19</v>
      </c>
      <c r="K4010" s="2" t="n">
        <v>0</v>
      </c>
      <c r="L4010" s="2" t="n">
        <v>0</v>
      </c>
      <c r="M4010" s="2" t="n">
        <v>1</v>
      </c>
    </row>
    <row r="4011" customFormat="false" ht="15" hidden="false" customHeight="false" outlineLevel="0" collapsed="false">
      <c r="A4011" s="2" t="s">
        <v>8270</v>
      </c>
      <c r="B4011" s="2" t="s">
        <v>8271</v>
      </c>
      <c r="C4011" s="2" t="n">
        <v>5</v>
      </c>
      <c r="D4011" s="2" t="s">
        <v>62</v>
      </c>
      <c r="E4011" s="2" t="s">
        <v>8083</v>
      </c>
      <c r="F4011" s="3" t="n">
        <v>46051.6513888889</v>
      </c>
      <c r="G4011" s="2" t="s">
        <v>7684</v>
      </c>
      <c r="H4011" s="4" t="n">
        <v>0.7088</v>
      </c>
      <c r="I4011" s="2" t="s">
        <v>23</v>
      </c>
      <c r="J4011" s="2" t="s">
        <v>19</v>
      </c>
      <c r="K4011" s="2" t="n">
        <v>0</v>
      </c>
      <c r="L4011" s="2" t="n">
        <v>0</v>
      </c>
      <c r="M4011" s="2" t="n">
        <v>1</v>
      </c>
    </row>
    <row r="4012" customFormat="false" ht="15" hidden="false" customHeight="false" outlineLevel="0" collapsed="false">
      <c r="A4012" s="2" t="s">
        <v>8272</v>
      </c>
      <c r="B4012" s="2" t="s">
        <v>8273</v>
      </c>
      <c r="C4012" s="2" t="n">
        <v>2</v>
      </c>
      <c r="D4012" s="2" t="s">
        <v>3342</v>
      </c>
      <c r="E4012" s="2" t="s">
        <v>8083</v>
      </c>
      <c r="F4012" s="3" t="n">
        <v>46051.9145833333</v>
      </c>
      <c r="G4012" s="2" t="s">
        <v>7684</v>
      </c>
      <c r="H4012" s="4" t="n">
        <v>-0.3089</v>
      </c>
      <c r="I4012" s="2" t="s">
        <v>84</v>
      </c>
      <c r="J4012" s="2" t="s">
        <v>59</v>
      </c>
      <c r="K4012" s="2" t="n">
        <v>1</v>
      </c>
      <c r="L4012" s="2" t="n">
        <v>0</v>
      </c>
      <c r="M4012" s="2" t="n">
        <v>1</v>
      </c>
    </row>
    <row r="4013" customFormat="false" ht="15" hidden="false" customHeight="false" outlineLevel="0" collapsed="false">
      <c r="A4013" s="2" t="s">
        <v>8274</v>
      </c>
      <c r="B4013" s="2" t="s">
        <v>8275</v>
      </c>
      <c r="C4013" s="2" t="n">
        <v>5</v>
      </c>
      <c r="D4013" s="2" t="s">
        <v>90</v>
      </c>
      <c r="E4013" s="2" t="s">
        <v>8083</v>
      </c>
      <c r="F4013" s="3" t="n">
        <v>46051.9847222222</v>
      </c>
      <c r="G4013" s="2" t="s">
        <v>7684</v>
      </c>
      <c r="H4013" s="4" t="n">
        <v>0.6249</v>
      </c>
      <c r="I4013" s="2" t="s">
        <v>23</v>
      </c>
      <c r="J4013" s="2" t="s">
        <v>37</v>
      </c>
      <c r="K4013" s="2" t="n">
        <v>1</v>
      </c>
      <c r="L4013" s="2" t="n">
        <v>0</v>
      </c>
      <c r="M4013" s="2" t="n">
        <v>1</v>
      </c>
    </row>
    <row r="4014" customFormat="false" ht="15" hidden="false" customHeight="false" outlineLevel="0" collapsed="false">
      <c r="A4014" s="2" t="s">
        <v>8276</v>
      </c>
      <c r="B4014" s="2" t="s">
        <v>8277</v>
      </c>
      <c r="C4014" s="2" t="n">
        <v>4</v>
      </c>
      <c r="D4014" s="2" t="s">
        <v>90</v>
      </c>
      <c r="E4014" s="2" t="s">
        <v>8083</v>
      </c>
      <c r="F4014" s="3" t="n">
        <v>46052.0236111111</v>
      </c>
      <c r="G4014" s="2" t="s">
        <v>7684</v>
      </c>
      <c r="H4014" s="4" t="n">
        <v>0.6249</v>
      </c>
      <c r="I4014" s="2" t="s">
        <v>23</v>
      </c>
      <c r="J4014" s="2" t="s">
        <v>37</v>
      </c>
      <c r="K4014" s="2" t="n">
        <v>3</v>
      </c>
      <c r="L4014" s="2" t="n">
        <v>0</v>
      </c>
      <c r="M4014" s="2" t="n">
        <v>1</v>
      </c>
    </row>
    <row r="4015" customFormat="false" ht="15" hidden="false" customHeight="false" outlineLevel="0" collapsed="false">
      <c r="A4015" s="2" t="s">
        <v>8278</v>
      </c>
      <c r="B4015" s="2" t="s">
        <v>8279</v>
      </c>
      <c r="C4015" s="2" t="n">
        <v>5</v>
      </c>
      <c r="D4015" s="2" t="s">
        <v>269</v>
      </c>
      <c r="E4015" s="2" t="s">
        <v>8083</v>
      </c>
      <c r="F4015" s="3" t="n">
        <v>46052.0826388889</v>
      </c>
      <c r="G4015" s="2" t="s">
        <v>7684</v>
      </c>
      <c r="H4015" s="4" t="n">
        <v>0.8748</v>
      </c>
      <c r="I4015" s="2" t="s">
        <v>23</v>
      </c>
      <c r="J4015" s="2" t="s">
        <v>37</v>
      </c>
      <c r="K4015" s="2" t="n">
        <v>1</v>
      </c>
      <c r="L4015" s="2" t="n">
        <v>0</v>
      </c>
      <c r="M4015" s="2" t="n">
        <v>1</v>
      </c>
    </row>
    <row r="4016" customFormat="false" ht="15" hidden="false" customHeight="false" outlineLevel="0" collapsed="false">
      <c r="A4016" s="2" t="s">
        <v>8280</v>
      </c>
      <c r="B4016" s="2" t="s">
        <v>8281</v>
      </c>
      <c r="C4016" s="2" t="n">
        <v>4</v>
      </c>
      <c r="D4016" s="2" t="s">
        <v>47</v>
      </c>
      <c r="E4016" s="2" t="s">
        <v>8083</v>
      </c>
      <c r="F4016" s="3" t="n">
        <v>46052.1784722222</v>
      </c>
      <c r="G4016" s="2" t="s">
        <v>7684</v>
      </c>
      <c r="H4016" s="4" t="n">
        <v>0.3089</v>
      </c>
      <c r="I4016" s="2" t="s">
        <v>23</v>
      </c>
      <c r="J4016" s="2" t="s">
        <v>19</v>
      </c>
      <c r="K4016" s="2" t="n">
        <v>0</v>
      </c>
      <c r="L4016" s="2" t="n">
        <v>0</v>
      </c>
      <c r="M4016" s="2" t="n">
        <v>1</v>
      </c>
    </row>
    <row r="4017" customFormat="false" ht="15" hidden="false" customHeight="false" outlineLevel="0" collapsed="false">
      <c r="A4017" s="2" t="s">
        <v>8282</v>
      </c>
      <c r="B4017" s="2" t="s">
        <v>8283</v>
      </c>
      <c r="C4017" s="2" t="n">
        <v>4</v>
      </c>
      <c r="D4017" s="2" t="s">
        <v>1167</v>
      </c>
      <c r="E4017" s="2" t="s">
        <v>8083</v>
      </c>
      <c r="F4017" s="3" t="n">
        <v>46052.2027777778</v>
      </c>
      <c r="G4017" s="2" t="s">
        <v>7684</v>
      </c>
      <c r="H4017" s="4" t="n">
        <v>0.8519</v>
      </c>
      <c r="I4017" s="2" t="s">
        <v>23</v>
      </c>
      <c r="J4017" s="2" t="s">
        <v>37</v>
      </c>
      <c r="K4017" s="2" t="n">
        <v>0</v>
      </c>
      <c r="L4017" s="2" t="n">
        <v>0</v>
      </c>
      <c r="M4017" s="2" t="n">
        <v>1</v>
      </c>
    </row>
    <row r="4018" customFormat="false" ht="15" hidden="false" customHeight="false" outlineLevel="0" collapsed="false">
      <c r="A4018" s="2" t="s">
        <v>8284</v>
      </c>
      <c r="B4018" s="2" t="s">
        <v>8285</v>
      </c>
      <c r="C4018" s="2" t="n">
        <v>4</v>
      </c>
      <c r="D4018" s="2" t="s">
        <v>127</v>
      </c>
      <c r="E4018" s="2" t="s">
        <v>8083</v>
      </c>
      <c r="F4018" s="3" t="n">
        <v>46052.24375</v>
      </c>
      <c r="G4018" s="2" t="s">
        <v>7684</v>
      </c>
      <c r="H4018" s="4" t="n">
        <v>0.9359</v>
      </c>
      <c r="I4018" s="2" t="s">
        <v>23</v>
      </c>
      <c r="J4018" s="2" t="s">
        <v>37</v>
      </c>
      <c r="K4018" s="2" t="n">
        <v>3</v>
      </c>
      <c r="L4018" s="2" t="n">
        <v>0</v>
      </c>
      <c r="M4018" s="2" t="n">
        <v>1</v>
      </c>
    </row>
    <row r="4019" customFormat="false" ht="15" hidden="false" customHeight="false" outlineLevel="0" collapsed="false">
      <c r="A4019" s="2" t="s">
        <v>8286</v>
      </c>
      <c r="B4019" s="2" t="s">
        <v>8287</v>
      </c>
      <c r="C4019" s="2" t="n">
        <v>5</v>
      </c>
      <c r="D4019" s="2" t="s">
        <v>15</v>
      </c>
      <c r="E4019" s="2" t="s">
        <v>8083</v>
      </c>
      <c r="F4019" s="3" t="n">
        <v>46052.3534722222</v>
      </c>
      <c r="G4019" s="2" t="s">
        <v>7684</v>
      </c>
      <c r="H4019" s="4" t="n">
        <v>0</v>
      </c>
      <c r="I4019" s="2" t="s">
        <v>18</v>
      </c>
      <c r="J4019" s="2" t="s">
        <v>19</v>
      </c>
      <c r="K4019" s="2" t="n">
        <v>7</v>
      </c>
      <c r="L4019" s="2" t="n">
        <v>0</v>
      </c>
      <c r="M4019" s="2" t="n">
        <v>1</v>
      </c>
    </row>
    <row r="4020" customFormat="false" ht="15" hidden="false" customHeight="false" outlineLevel="0" collapsed="false">
      <c r="A4020" s="2" t="s">
        <v>8288</v>
      </c>
      <c r="B4020" s="2" t="s">
        <v>8289</v>
      </c>
      <c r="C4020" s="2" t="n">
        <v>3</v>
      </c>
      <c r="D4020" s="2" t="s">
        <v>872</v>
      </c>
      <c r="E4020" s="2" t="s">
        <v>8083</v>
      </c>
      <c r="F4020" s="3" t="n">
        <v>46052.3597222222</v>
      </c>
      <c r="G4020" s="2" t="s">
        <v>7684</v>
      </c>
      <c r="H4020" s="4" t="n">
        <v>0.1027</v>
      </c>
      <c r="I4020" s="2" t="s">
        <v>23</v>
      </c>
      <c r="J4020" s="2" t="s">
        <v>19</v>
      </c>
      <c r="K4020" s="2" t="n">
        <v>0</v>
      </c>
      <c r="L4020" s="2" t="n">
        <v>0</v>
      </c>
      <c r="M4020" s="2" t="n">
        <v>1</v>
      </c>
    </row>
    <row r="4021" customFormat="false" ht="15" hidden="false" customHeight="false" outlineLevel="0" collapsed="false">
      <c r="A4021" s="2" t="s">
        <v>8290</v>
      </c>
      <c r="B4021" s="2" t="s">
        <v>8291</v>
      </c>
      <c r="C4021" s="2" t="n">
        <v>5</v>
      </c>
      <c r="D4021" s="2" t="s">
        <v>52</v>
      </c>
      <c r="E4021" s="2" t="s">
        <v>8083</v>
      </c>
      <c r="F4021" s="3" t="n">
        <v>46052.4597222222</v>
      </c>
      <c r="G4021" s="2" t="s">
        <v>7684</v>
      </c>
      <c r="H4021" s="4" t="n">
        <v>0.6369</v>
      </c>
      <c r="I4021" s="2" t="s">
        <v>23</v>
      </c>
      <c r="J4021" s="2" t="s">
        <v>19</v>
      </c>
      <c r="K4021" s="2" t="n">
        <v>15</v>
      </c>
      <c r="L4021" s="2" t="n">
        <v>0</v>
      </c>
      <c r="M4021" s="2" t="n">
        <v>1</v>
      </c>
    </row>
    <row r="4022" customFormat="false" ht="15" hidden="false" customHeight="false" outlineLevel="0" collapsed="false">
      <c r="A4022" s="2" t="s">
        <v>8292</v>
      </c>
      <c r="B4022" s="2" t="s">
        <v>8293</v>
      </c>
      <c r="C4022" s="2" t="n">
        <v>5</v>
      </c>
      <c r="D4022" s="2" t="s">
        <v>96</v>
      </c>
      <c r="E4022" s="2" t="s">
        <v>8083</v>
      </c>
      <c r="F4022" s="3" t="n">
        <v>46052.65</v>
      </c>
      <c r="G4022" s="2" t="s">
        <v>7684</v>
      </c>
      <c r="H4022" s="4" t="n">
        <v>0.6369</v>
      </c>
      <c r="I4022" s="2" t="s">
        <v>23</v>
      </c>
      <c r="J4022" s="2" t="s">
        <v>19</v>
      </c>
      <c r="K4022" s="2" t="n">
        <v>3</v>
      </c>
      <c r="L4022" s="2" t="n">
        <v>0</v>
      </c>
      <c r="M4022" s="2" t="n">
        <v>1</v>
      </c>
    </row>
    <row r="4023" customFormat="false" ht="15" hidden="false" customHeight="false" outlineLevel="0" collapsed="false">
      <c r="A4023" s="2" t="s">
        <v>8294</v>
      </c>
      <c r="B4023" s="2" t="s">
        <v>8295</v>
      </c>
      <c r="C4023" s="2" t="n">
        <v>4</v>
      </c>
      <c r="D4023" s="2" t="s">
        <v>127</v>
      </c>
      <c r="E4023" s="2" t="s">
        <v>8083</v>
      </c>
      <c r="F4023" s="3" t="n">
        <v>46052.6520833333</v>
      </c>
      <c r="G4023" s="2" t="s">
        <v>7684</v>
      </c>
      <c r="H4023" s="4" t="n">
        <v>0.9359</v>
      </c>
      <c r="I4023" s="2" t="s">
        <v>23</v>
      </c>
      <c r="J4023" s="2" t="s">
        <v>37</v>
      </c>
      <c r="K4023" s="2" t="n">
        <v>9</v>
      </c>
      <c r="L4023" s="2" t="n">
        <v>0</v>
      </c>
      <c r="M4023" s="2" t="n">
        <v>1</v>
      </c>
    </row>
    <row r="4024" customFormat="false" ht="15" hidden="false" customHeight="false" outlineLevel="0" collapsed="false">
      <c r="A4024" s="2" t="s">
        <v>8296</v>
      </c>
      <c r="B4024" s="2" t="s">
        <v>8297</v>
      </c>
      <c r="C4024" s="2" t="n">
        <v>4</v>
      </c>
      <c r="D4024" s="2" t="s">
        <v>943</v>
      </c>
      <c r="E4024" s="2" t="s">
        <v>8083</v>
      </c>
      <c r="F4024" s="3" t="n">
        <v>46052.7180555556</v>
      </c>
      <c r="G4024" s="2" t="s">
        <v>7684</v>
      </c>
      <c r="H4024" s="4" t="n">
        <v>0.7549</v>
      </c>
      <c r="I4024" s="2" t="s">
        <v>23</v>
      </c>
      <c r="J4024" s="2" t="s">
        <v>19</v>
      </c>
      <c r="K4024" s="2" t="n">
        <v>9</v>
      </c>
      <c r="L4024" s="2" t="n">
        <v>0</v>
      </c>
      <c r="M4024" s="2" t="n">
        <v>1</v>
      </c>
    </row>
    <row r="4025" customFormat="false" ht="15" hidden="false" customHeight="false" outlineLevel="0" collapsed="false">
      <c r="A4025" s="2" t="s">
        <v>8298</v>
      </c>
      <c r="B4025" s="2" t="s">
        <v>5486</v>
      </c>
      <c r="C4025" s="2" t="n">
        <v>3</v>
      </c>
      <c r="D4025" s="2" t="s">
        <v>295</v>
      </c>
      <c r="E4025" s="2" t="s">
        <v>8083</v>
      </c>
      <c r="F4025" s="3" t="n">
        <v>46052.7861111111</v>
      </c>
      <c r="G4025" s="2" t="s">
        <v>7684</v>
      </c>
      <c r="H4025" s="4" t="n">
        <v>-0.5023</v>
      </c>
      <c r="I4025" s="2" t="s">
        <v>84</v>
      </c>
      <c r="J4025" s="2" t="s">
        <v>33</v>
      </c>
      <c r="K4025" s="2" t="n">
        <v>0</v>
      </c>
      <c r="L4025" s="2" t="n">
        <v>0</v>
      </c>
      <c r="M4025" s="2" t="n">
        <v>1</v>
      </c>
    </row>
    <row r="4026" customFormat="false" ht="15" hidden="false" customHeight="false" outlineLevel="0" collapsed="false">
      <c r="A4026" s="2" t="s">
        <v>8299</v>
      </c>
      <c r="B4026" s="2" t="s">
        <v>8300</v>
      </c>
      <c r="C4026" s="2" t="n">
        <v>1</v>
      </c>
      <c r="D4026" s="2" t="s">
        <v>721</v>
      </c>
      <c r="E4026" s="2" t="s">
        <v>8083</v>
      </c>
      <c r="F4026" s="3" t="n">
        <v>46052.94375</v>
      </c>
      <c r="G4026" s="2" t="s">
        <v>7684</v>
      </c>
      <c r="H4026" s="4" t="n">
        <v>-0.4588</v>
      </c>
      <c r="I4026" s="2" t="s">
        <v>84</v>
      </c>
      <c r="J4026" s="2" t="s">
        <v>37</v>
      </c>
      <c r="K4026" s="2" t="n">
        <v>6</v>
      </c>
      <c r="L4026" s="2" t="n">
        <v>1</v>
      </c>
      <c r="M4026" s="2" t="n">
        <v>1</v>
      </c>
    </row>
    <row r="4027" customFormat="false" ht="15" hidden="false" customHeight="false" outlineLevel="0" collapsed="false">
      <c r="A4027" s="2" t="s">
        <v>8301</v>
      </c>
      <c r="B4027" s="2" t="s">
        <v>8302</v>
      </c>
      <c r="C4027" s="2" t="n">
        <v>1</v>
      </c>
      <c r="D4027" s="2" t="s">
        <v>2258</v>
      </c>
      <c r="E4027" s="2" t="s">
        <v>8083</v>
      </c>
      <c r="F4027" s="3" t="n">
        <v>46053.025</v>
      </c>
      <c r="G4027" s="2" t="s">
        <v>7684</v>
      </c>
      <c r="H4027" s="4" t="n">
        <v>-0.1154</v>
      </c>
      <c r="I4027" s="2" t="s">
        <v>84</v>
      </c>
      <c r="J4027" s="2" t="s">
        <v>165</v>
      </c>
      <c r="K4027" s="2" t="n">
        <v>0</v>
      </c>
      <c r="L4027" s="2" t="n">
        <v>0</v>
      </c>
      <c r="M4027" s="2" t="n">
        <v>1</v>
      </c>
    </row>
    <row r="4028" customFormat="false" ht="15" hidden="false" customHeight="false" outlineLevel="0" collapsed="false">
      <c r="A4028" s="2" t="s">
        <v>8303</v>
      </c>
      <c r="B4028" s="2" t="s">
        <v>8304</v>
      </c>
      <c r="C4028" s="2" t="n">
        <v>1</v>
      </c>
      <c r="D4028" s="2" t="s">
        <v>8305</v>
      </c>
      <c r="E4028" s="2" t="s">
        <v>8083</v>
      </c>
      <c r="F4028" s="3" t="n">
        <v>46053.2145833333</v>
      </c>
      <c r="G4028" s="2" t="s">
        <v>7684</v>
      </c>
      <c r="H4028" s="4" t="n">
        <v>-0.5037</v>
      </c>
      <c r="I4028" s="2" t="s">
        <v>84</v>
      </c>
      <c r="J4028" s="2" t="s">
        <v>37</v>
      </c>
      <c r="K4028" s="2" t="n">
        <v>1</v>
      </c>
      <c r="L4028" s="2" t="n">
        <v>1</v>
      </c>
      <c r="M4028" s="2" t="n">
        <v>1</v>
      </c>
    </row>
    <row r="4029" customFormat="false" ht="15" hidden="false" customHeight="false" outlineLevel="0" collapsed="false">
      <c r="A4029" s="2" t="s">
        <v>8306</v>
      </c>
      <c r="B4029" s="2" t="s">
        <v>8307</v>
      </c>
      <c r="C4029" s="2" t="n">
        <v>5</v>
      </c>
      <c r="D4029" s="2" t="s">
        <v>127</v>
      </c>
      <c r="E4029" s="2" t="s">
        <v>8083</v>
      </c>
      <c r="F4029" s="3" t="n">
        <v>46053.2409722222</v>
      </c>
      <c r="G4029" s="2" t="s">
        <v>7684</v>
      </c>
      <c r="H4029" s="4" t="n">
        <v>0.9359</v>
      </c>
      <c r="I4029" s="2" t="s">
        <v>23</v>
      </c>
      <c r="J4029" s="2" t="s">
        <v>37</v>
      </c>
      <c r="K4029" s="2" t="n">
        <v>8</v>
      </c>
      <c r="L4029" s="2" t="n">
        <v>0</v>
      </c>
      <c r="M4029" s="2" t="n">
        <v>1</v>
      </c>
    </row>
    <row r="4030" customFormat="false" ht="15" hidden="false" customHeight="false" outlineLevel="0" collapsed="false">
      <c r="A4030" s="2" t="s">
        <v>8308</v>
      </c>
      <c r="B4030" s="2" t="s">
        <v>8309</v>
      </c>
      <c r="C4030" s="2" t="n">
        <v>1</v>
      </c>
      <c r="D4030" s="2" t="s">
        <v>2879</v>
      </c>
      <c r="E4030" s="2" t="s">
        <v>8083</v>
      </c>
      <c r="F4030" s="3" t="n">
        <v>46053.3875</v>
      </c>
      <c r="G4030" s="2" t="s">
        <v>7684</v>
      </c>
      <c r="H4030" s="4" t="n">
        <v>0.2263</v>
      </c>
      <c r="I4030" s="2" t="s">
        <v>23</v>
      </c>
      <c r="J4030" s="2" t="s">
        <v>110</v>
      </c>
      <c r="K4030" s="2" t="n">
        <v>3</v>
      </c>
      <c r="L4030" s="2" t="n">
        <v>0</v>
      </c>
      <c r="M4030" s="2" t="n">
        <v>1</v>
      </c>
    </row>
    <row r="4031" customFormat="false" ht="15" hidden="false" customHeight="false" outlineLevel="0" collapsed="false">
      <c r="A4031" s="2" t="s">
        <v>8310</v>
      </c>
      <c r="B4031" s="2" t="s">
        <v>8311</v>
      </c>
      <c r="C4031" s="2" t="n">
        <v>4</v>
      </c>
      <c r="D4031" s="2" t="s">
        <v>15</v>
      </c>
      <c r="E4031" s="2" t="s">
        <v>8083</v>
      </c>
      <c r="F4031" s="3" t="n">
        <v>46053.6069444444</v>
      </c>
      <c r="G4031" s="2" t="s">
        <v>7684</v>
      </c>
      <c r="H4031" s="4" t="n">
        <v>0</v>
      </c>
      <c r="I4031" s="2" t="s">
        <v>18</v>
      </c>
      <c r="J4031" s="2" t="s">
        <v>19</v>
      </c>
      <c r="K4031" s="2" t="n">
        <v>1</v>
      </c>
      <c r="L4031" s="2" t="n">
        <v>0</v>
      </c>
      <c r="M4031" s="2" t="n">
        <v>1</v>
      </c>
    </row>
    <row r="4032" customFormat="false" ht="15" hidden="false" customHeight="false" outlineLevel="0" collapsed="false">
      <c r="A4032" s="2" t="s">
        <v>8312</v>
      </c>
      <c r="B4032" s="2" t="s">
        <v>8313</v>
      </c>
      <c r="C4032" s="2" t="n">
        <v>5</v>
      </c>
      <c r="D4032" s="2" t="s">
        <v>47</v>
      </c>
      <c r="E4032" s="2" t="s">
        <v>8083</v>
      </c>
      <c r="F4032" s="3" t="n">
        <v>46053.6805555556</v>
      </c>
      <c r="G4032" s="2" t="s">
        <v>7684</v>
      </c>
      <c r="H4032" s="4" t="n">
        <v>0.3089</v>
      </c>
      <c r="I4032" s="2" t="s">
        <v>23</v>
      </c>
      <c r="J4032" s="2" t="s">
        <v>19</v>
      </c>
      <c r="K4032" s="2" t="n">
        <v>3</v>
      </c>
      <c r="L4032" s="2" t="n">
        <v>0</v>
      </c>
      <c r="M4032" s="2" t="n">
        <v>1</v>
      </c>
    </row>
    <row r="4033" customFormat="false" ht="15" hidden="false" customHeight="false" outlineLevel="0" collapsed="false">
      <c r="A4033" s="2" t="s">
        <v>8314</v>
      </c>
      <c r="B4033" s="2" t="s">
        <v>8315</v>
      </c>
      <c r="C4033" s="2" t="n">
        <v>3</v>
      </c>
      <c r="D4033" s="2" t="s">
        <v>99</v>
      </c>
      <c r="E4033" s="2" t="s">
        <v>8083</v>
      </c>
      <c r="F4033" s="3" t="n">
        <v>46053.6854166667</v>
      </c>
      <c r="G4033" s="2" t="s">
        <v>7684</v>
      </c>
      <c r="H4033" s="4" t="n">
        <v>-0.3089</v>
      </c>
      <c r="I4033" s="2" t="s">
        <v>84</v>
      </c>
      <c r="J4033" s="2" t="s">
        <v>19</v>
      </c>
      <c r="K4033" s="2" t="n">
        <v>4</v>
      </c>
      <c r="L4033" s="2" t="n">
        <v>0</v>
      </c>
      <c r="M4033" s="2" t="n">
        <v>1</v>
      </c>
    </row>
    <row r="4034" customFormat="false" ht="15" hidden="false" customHeight="false" outlineLevel="0" collapsed="false">
      <c r="A4034" s="2" t="s">
        <v>8316</v>
      </c>
      <c r="B4034" s="2" t="s">
        <v>8317</v>
      </c>
      <c r="C4034" s="2" t="n">
        <v>5</v>
      </c>
      <c r="D4034" s="2" t="s">
        <v>3104</v>
      </c>
      <c r="E4034" s="2" t="s">
        <v>8083</v>
      </c>
      <c r="F4034" s="3" t="n">
        <v>46053.7263888889</v>
      </c>
      <c r="G4034" s="2" t="s">
        <v>7684</v>
      </c>
      <c r="H4034" s="4" t="n">
        <v>0.3089</v>
      </c>
      <c r="I4034" s="2" t="s">
        <v>23</v>
      </c>
      <c r="J4034" s="2" t="s">
        <v>19</v>
      </c>
      <c r="K4034" s="2" t="n">
        <v>3</v>
      </c>
      <c r="L4034" s="2" t="n">
        <v>0</v>
      </c>
      <c r="M4034" s="2" t="n">
        <v>1</v>
      </c>
    </row>
    <row r="4035" customFormat="false" ht="15" hidden="false" customHeight="false" outlineLevel="0" collapsed="false">
      <c r="A4035" s="2" t="s">
        <v>8318</v>
      </c>
      <c r="B4035" s="2" t="s">
        <v>8319</v>
      </c>
      <c r="C4035" s="2" t="n">
        <v>5</v>
      </c>
      <c r="D4035" s="2" t="s">
        <v>96</v>
      </c>
      <c r="E4035" s="2" t="s">
        <v>8083</v>
      </c>
      <c r="F4035" s="3" t="n">
        <v>46053.7958333333</v>
      </c>
      <c r="G4035" s="2" t="s">
        <v>7684</v>
      </c>
      <c r="H4035" s="4" t="n">
        <v>0.6369</v>
      </c>
      <c r="I4035" s="2" t="s">
        <v>23</v>
      </c>
      <c r="J4035" s="2" t="s">
        <v>19</v>
      </c>
      <c r="K4035" s="2" t="n">
        <v>3</v>
      </c>
      <c r="L4035" s="2" t="n">
        <v>0</v>
      </c>
      <c r="M4035" s="2" t="n">
        <v>1</v>
      </c>
    </row>
    <row r="4036" customFormat="false" ht="15" hidden="false" customHeight="false" outlineLevel="0" collapsed="false">
      <c r="A4036" s="2" t="s">
        <v>8320</v>
      </c>
      <c r="B4036" s="2" t="s">
        <v>8321</v>
      </c>
      <c r="C4036" s="2" t="n">
        <v>5</v>
      </c>
      <c r="D4036" s="2" t="s">
        <v>1714</v>
      </c>
      <c r="E4036" s="2" t="s">
        <v>8083</v>
      </c>
      <c r="F4036" s="3" t="n">
        <v>46053.8166666667</v>
      </c>
      <c r="G4036" s="2" t="s">
        <v>7684</v>
      </c>
      <c r="H4036" s="4" t="n">
        <v>0.9359</v>
      </c>
      <c r="I4036" s="2" t="s">
        <v>23</v>
      </c>
      <c r="J4036" s="2" t="s">
        <v>37</v>
      </c>
      <c r="K4036" s="2" t="n">
        <v>3</v>
      </c>
      <c r="L4036" s="2" t="n">
        <v>0</v>
      </c>
      <c r="M4036" s="2" t="n">
        <v>1</v>
      </c>
    </row>
    <row r="4037" customFormat="false" ht="15" hidden="false" customHeight="false" outlineLevel="0" collapsed="false">
      <c r="A4037" s="2" t="s">
        <v>8322</v>
      </c>
      <c r="B4037" s="2" t="s">
        <v>8323</v>
      </c>
      <c r="C4037" s="2" t="n">
        <v>4</v>
      </c>
      <c r="D4037" s="2" t="s">
        <v>90</v>
      </c>
      <c r="E4037" s="2" t="s">
        <v>8083</v>
      </c>
      <c r="F4037" s="3" t="n">
        <v>46053.8618055556</v>
      </c>
      <c r="G4037" s="2" t="s">
        <v>7684</v>
      </c>
      <c r="H4037" s="4" t="n">
        <v>0.6249</v>
      </c>
      <c r="I4037" s="2" t="s">
        <v>23</v>
      </c>
      <c r="J4037" s="2" t="s">
        <v>37</v>
      </c>
      <c r="K4037" s="2" t="n">
        <v>0</v>
      </c>
      <c r="L4037" s="2" t="n">
        <v>0</v>
      </c>
      <c r="M4037" s="2" t="n">
        <v>1</v>
      </c>
    </row>
    <row r="4038" customFormat="false" ht="15" hidden="false" customHeight="false" outlineLevel="0" collapsed="false">
      <c r="A4038" s="2" t="s">
        <v>8324</v>
      </c>
      <c r="B4038" s="2" t="s">
        <v>8325</v>
      </c>
      <c r="C4038" s="2" t="n">
        <v>2</v>
      </c>
      <c r="D4038" s="2" t="s">
        <v>133</v>
      </c>
      <c r="E4038" s="2" t="s">
        <v>8083</v>
      </c>
      <c r="F4038" s="3" t="n">
        <v>46054.0680555556</v>
      </c>
      <c r="G4038" s="2" t="s">
        <v>8326</v>
      </c>
      <c r="H4038" s="4" t="n">
        <v>-0.5719</v>
      </c>
      <c r="I4038" s="2" t="s">
        <v>84</v>
      </c>
      <c r="J4038" s="2" t="s">
        <v>33</v>
      </c>
      <c r="K4038" s="2" t="n">
        <v>4</v>
      </c>
      <c r="L4038" s="2" t="n">
        <v>1</v>
      </c>
      <c r="M4038" s="2" t="n">
        <v>1</v>
      </c>
    </row>
    <row r="4039" customFormat="false" ht="15" hidden="false" customHeight="false" outlineLevel="0" collapsed="false">
      <c r="A4039" s="2" t="s">
        <v>8327</v>
      </c>
      <c r="B4039" s="2" t="s">
        <v>8328</v>
      </c>
      <c r="C4039" s="2" t="n">
        <v>5</v>
      </c>
      <c r="D4039" s="2" t="s">
        <v>15</v>
      </c>
      <c r="E4039" s="2" t="s">
        <v>8083</v>
      </c>
      <c r="F4039" s="3" t="n">
        <v>46054.2055555556</v>
      </c>
      <c r="G4039" s="2" t="s">
        <v>8326</v>
      </c>
      <c r="H4039" s="4" t="n">
        <v>0</v>
      </c>
      <c r="I4039" s="2" t="s">
        <v>18</v>
      </c>
      <c r="J4039" s="2" t="s">
        <v>19</v>
      </c>
      <c r="K4039" s="2" t="n">
        <v>1</v>
      </c>
      <c r="L4039" s="2" t="n">
        <v>0</v>
      </c>
      <c r="M4039" s="2" t="n">
        <v>1</v>
      </c>
    </row>
    <row r="4040" customFormat="false" ht="15" hidden="false" customHeight="false" outlineLevel="0" collapsed="false">
      <c r="A4040" s="2" t="s">
        <v>8329</v>
      </c>
      <c r="B4040" s="2" t="s">
        <v>8330</v>
      </c>
      <c r="C4040" s="2" t="n">
        <v>2</v>
      </c>
      <c r="D4040" s="2" t="s">
        <v>8331</v>
      </c>
      <c r="E4040" s="2" t="s">
        <v>8083</v>
      </c>
      <c r="F4040" s="3" t="n">
        <v>46054.35</v>
      </c>
      <c r="G4040" s="2" t="s">
        <v>8326</v>
      </c>
      <c r="H4040" s="4" t="n">
        <v>-0.3089</v>
      </c>
      <c r="I4040" s="2" t="s">
        <v>84</v>
      </c>
      <c r="J4040" s="2" t="s">
        <v>59</v>
      </c>
      <c r="K4040" s="2" t="n">
        <v>7</v>
      </c>
      <c r="L4040" s="2" t="n">
        <v>0</v>
      </c>
      <c r="M4040" s="2" t="n">
        <v>1</v>
      </c>
    </row>
    <row r="4041" customFormat="false" ht="15" hidden="false" customHeight="false" outlineLevel="0" collapsed="false">
      <c r="A4041" s="2" t="s">
        <v>8332</v>
      </c>
      <c r="B4041" s="2" t="s">
        <v>8333</v>
      </c>
      <c r="C4041" s="2" t="n">
        <v>3</v>
      </c>
      <c r="D4041" s="2" t="s">
        <v>22</v>
      </c>
      <c r="E4041" s="2" t="s">
        <v>8083</v>
      </c>
      <c r="F4041" s="3" t="n">
        <v>46054.4256944444</v>
      </c>
      <c r="G4041" s="2" t="s">
        <v>8326</v>
      </c>
      <c r="H4041" s="4" t="n">
        <v>0.2023</v>
      </c>
      <c r="I4041" s="2" t="s">
        <v>23</v>
      </c>
      <c r="J4041" s="2" t="s">
        <v>19</v>
      </c>
      <c r="K4041" s="2" t="n">
        <v>4</v>
      </c>
      <c r="L4041" s="2" t="n">
        <v>0</v>
      </c>
      <c r="M4041" s="2" t="n">
        <v>1</v>
      </c>
    </row>
    <row r="4042" customFormat="false" ht="15" hidden="false" customHeight="false" outlineLevel="0" collapsed="false">
      <c r="A4042" s="2" t="s">
        <v>8334</v>
      </c>
      <c r="B4042" s="2" t="s">
        <v>8335</v>
      </c>
      <c r="C4042" s="2" t="n">
        <v>4</v>
      </c>
      <c r="D4042" s="2" t="s">
        <v>62</v>
      </c>
      <c r="E4042" s="2" t="s">
        <v>8083</v>
      </c>
      <c r="F4042" s="3" t="n">
        <v>46054.4409722222</v>
      </c>
      <c r="G4042" s="2" t="s">
        <v>8326</v>
      </c>
      <c r="H4042" s="4" t="n">
        <v>0.7088</v>
      </c>
      <c r="I4042" s="2" t="s">
        <v>23</v>
      </c>
      <c r="J4042" s="2" t="s">
        <v>19</v>
      </c>
      <c r="K4042" s="2" t="n">
        <v>0</v>
      </c>
      <c r="L4042" s="2" t="n">
        <v>0</v>
      </c>
      <c r="M4042" s="2" t="n">
        <v>1</v>
      </c>
    </row>
    <row r="4043" customFormat="false" ht="15" hidden="false" customHeight="false" outlineLevel="0" collapsed="false">
      <c r="A4043" s="2" t="s">
        <v>8336</v>
      </c>
      <c r="B4043" s="2" t="s">
        <v>8337</v>
      </c>
      <c r="C4043" s="2" t="n">
        <v>5</v>
      </c>
      <c r="D4043" s="2" t="s">
        <v>62</v>
      </c>
      <c r="E4043" s="2" t="s">
        <v>8083</v>
      </c>
      <c r="F4043" s="3" t="n">
        <v>46054.5131944444</v>
      </c>
      <c r="G4043" s="2" t="s">
        <v>8326</v>
      </c>
      <c r="H4043" s="4" t="n">
        <v>0.7088</v>
      </c>
      <c r="I4043" s="2" t="s">
        <v>23</v>
      </c>
      <c r="J4043" s="2" t="s">
        <v>19</v>
      </c>
      <c r="K4043" s="2" t="n">
        <v>10</v>
      </c>
      <c r="L4043" s="2" t="n">
        <v>0</v>
      </c>
      <c r="M4043" s="2" t="n">
        <v>1</v>
      </c>
    </row>
    <row r="4044" customFormat="false" ht="15" hidden="false" customHeight="false" outlineLevel="0" collapsed="false">
      <c r="A4044" s="2" t="s">
        <v>8338</v>
      </c>
      <c r="B4044" s="2" t="s">
        <v>8339</v>
      </c>
      <c r="C4044" s="2" t="n">
        <v>4</v>
      </c>
      <c r="D4044" s="2" t="s">
        <v>62</v>
      </c>
      <c r="E4044" s="2" t="s">
        <v>8083</v>
      </c>
      <c r="F4044" s="3" t="n">
        <v>46054.6895833333</v>
      </c>
      <c r="G4044" s="2" t="s">
        <v>8326</v>
      </c>
      <c r="H4044" s="4" t="n">
        <v>0.7088</v>
      </c>
      <c r="I4044" s="2" t="s">
        <v>23</v>
      </c>
      <c r="J4044" s="2" t="s">
        <v>19</v>
      </c>
      <c r="K4044" s="2" t="n">
        <v>1</v>
      </c>
      <c r="L4044" s="2" t="n">
        <v>0</v>
      </c>
      <c r="M4044" s="2" t="n">
        <v>1</v>
      </c>
    </row>
    <row r="4045" customFormat="false" ht="15" hidden="false" customHeight="false" outlineLevel="0" collapsed="false">
      <c r="A4045" s="2" t="s">
        <v>8340</v>
      </c>
      <c r="B4045" s="2" t="s">
        <v>8341</v>
      </c>
      <c r="C4045" s="2" t="n">
        <v>3</v>
      </c>
      <c r="D4045" s="2" t="s">
        <v>234</v>
      </c>
      <c r="E4045" s="2" t="s">
        <v>8083</v>
      </c>
      <c r="F4045" s="3" t="n">
        <v>46054.8854166667</v>
      </c>
      <c r="G4045" s="2" t="s">
        <v>8326</v>
      </c>
      <c r="H4045" s="4" t="n">
        <v>0</v>
      </c>
      <c r="I4045" s="2" t="s">
        <v>18</v>
      </c>
      <c r="J4045" s="2" t="s">
        <v>165</v>
      </c>
      <c r="K4045" s="2" t="n">
        <v>2</v>
      </c>
      <c r="L4045" s="2" t="n">
        <v>0</v>
      </c>
      <c r="M4045" s="2" t="n">
        <v>1</v>
      </c>
    </row>
    <row r="4046" customFormat="false" ht="15" hidden="false" customHeight="false" outlineLevel="0" collapsed="false">
      <c r="A4046" s="2" t="s">
        <v>8342</v>
      </c>
      <c r="B4046" s="2" t="s">
        <v>8343</v>
      </c>
      <c r="C4046" s="2" t="n">
        <v>3</v>
      </c>
      <c r="D4046" s="2" t="s">
        <v>301</v>
      </c>
      <c r="E4046" s="2" t="s">
        <v>8083</v>
      </c>
      <c r="F4046" s="3" t="n">
        <v>46054.9694444445</v>
      </c>
      <c r="G4046" s="2" t="s">
        <v>8326</v>
      </c>
      <c r="H4046" s="4" t="n">
        <v>0.2263</v>
      </c>
      <c r="I4046" s="2" t="s">
        <v>23</v>
      </c>
      <c r="J4046" s="2" t="s">
        <v>19</v>
      </c>
      <c r="K4046" s="2" t="n">
        <v>0</v>
      </c>
      <c r="L4046" s="2" t="n">
        <v>0</v>
      </c>
      <c r="M4046" s="2" t="n">
        <v>1</v>
      </c>
    </row>
    <row r="4047" customFormat="false" ht="15" hidden="false" customHeight="false" outlineLevel="0" collapsed="false">
      <c r="A4047" s="2" t="s">
        <v>8344</v>
      </c>
      <c r="B4047" s="2" t="s">
        <v>183</v>
      </c>
      <c r="C4047" s="2" t="n">
        <v>4</v>
      </c>
      <c r="D4047" s="2" t="s">
        <v>692</v>
      </c>
      <c r="E4047" s="2" t="s">
        <v>8083</v>
      </c>
      <c r="F4047" s="3" t="n">
        <v>46054.9923611111</v>
      </c>
      <c r="G4047" s="2" t="s">
        <v>8326</v>
      </c>
      <c r="H4047" s="4" t="n">
        <v>0.9516</v>
      </c>
      <c r="I4047" s="2" t="s">
        <v>23</v>
      </c>
      <c r="J4047" s="2" t="s">
        <v>37</v>
      </c>
      <c r="K4047" s="2" t="n">
        <v>1</v>
      </c>
      <c r="L4047" s="2" t="n">
        <v>0</v>
      </c>
      <c r="M4047" s="2" t="n">
        <v>1</v>
      </c>
    </row>
    <row r="4048" customFormat="false" ht="15" hidden="false" customHeight="false" outlineLevel="0" collapsed="false">
      <c r="A4048" s="2" t="s">
        <v>8345</v>
      </c>
      <c r="B4048" s="2" t="s">
        <v>8346</v>
      </c>
      <c r="C4048" s="2" t="n">
        <v>5</v>
      </c>
      <c r="D4048" s="2" t="s">
        <v>127</v>
      </c>
      <c r="E4048" s="2" t="s">
        <v>8083</v>
      </c>
      <c r="F4048" s="3" t="n">
        <v>46055.0041666667</v>
      </c>
      <c r="G4048" s="2" t="s">
        <v>8326</v>
      </c>
      <c r="H4048" s="4" t="n">
        <v>0.9359</v>
      </c>
      <c r="I4048" s="2" t="s">
        <v>23</v>
      </c>
      <c r="J4048" s="2" t="s">
        <v>37</v>
      </c>
      <c r="K4048" s="2" t="n">
        <v>11</v>
      </c>
      <c r="L4048" s="2" t="n">
        <v>0</v>
      </c>
      <c r="M4048" s="2" t="n">
        <v>1</v>
      </c>
    </row>
    <row r="4049" customFormat="false" ht="15" hidden="false" customHeight="false" outlineLevel="0" collapsed="false">
      <c r="A4049" s="2" t="s">
        <v>8347</v>
      </c>
      <c r="B4049" s="2" t="s">
        <v>8348</v>
      </c>
      <c r="C4049" s="2" t="n">
        <v>4</v>
      </c>
      <c r="D4049" s="2" t="s">
        <v>15</v>
      </c>
      <c r="E4049" s="2" t="s">
        <v>8083</v>
      </c>
      <c r="F4049" s="3" t="n">
        <v>46055.00625</v>
      </c>
      <c r="G4049" s="2" t="s">
        <v>8326</v>
      </c>
      <c r="H4049" s="4" t="n">
        <v>0</v>
      </c>
      <c r="I4049" s="2" t="s">
        <v>18</v>
      </c>
      <c r="J4049" s="2" t="s">
        <v>19</v>
      </c>
      <c r="K4049" s="2" t="n">
        <v>3</v>
      </c>
      <c r="L4049" s="2" t="n">
        <v>0</v>
      </c>
      <c r="M4049" s="2" t="n">
        <v>1</v>
      </c>
    </row>
    <row r="4050" customFormat="false" ht="15" hidden="false" customHeight="false" outlineLevel="0" collapsed="false">
      <c r="A4050" s="2" t="s">
        <v>8349</v>
      </c>
      <c r="B4050" s="2" t="s">
        <v>8350</v>
      </c>
      <c r="C4050" s="2" t="n">
        <v>4</v>
      </c>
      <c r="D4050" s="2" t="s">
        <v>22</v>
      </c>
      <c r="E4050" s="2" t="s">
        <v>8083</v>
      </c>
      <c r="F4050" s="3" t="n">
        <v>46055.0819444444</v>
      </c>
      <c r="G4050" s="2" t="s">
        <v>8326</v>
      </c>
      <c r="H4050" s="4" t="n">
        <v>0.2023</v>
      </c>
      <c r="I4050" s="2" t="s">
        <v>23</v>
      </c>
      <c r="J4050" s="2" t="s">
        <v>19</v>
      </c>
      <c r="K4050" s="2" t="n">
        <v>6</v>
      </c>
      <c r="L4050" s="2" t="n">
        <v>0</v>
      </c>
      <c r="M4050" s="2" t="n">
        <v>1</v>
      </c>
    </row>
    <row r="4051" customFormat="false" ht="15" hidden="false" customHeight="false" outlineLevel="0" collapsed="false">
      <c r="A4051" s="2" t="s">
        <v>8351</v>
      </c>
      <c r="B4051" s="2" t="s">
        <v>8352</v>
      </c>
      <c r="C4051" s="2" t="n">
        <v>1</v>
      </c>
      <c r="D4051" s="2" t="s">
        <v>1034</v>
      </c>
      <c r="E4051" s="2" t="s">
        <v>8083</v>
      </c>
      <c r="F4051" s="3" t="n">
        <v>46055.1736111111</v>
      </c>
      <c r="G4051" s="2" t="s">
        <v>8326</v>
      </c>
      <c r="H4051" s="4" t="n">
        <v>0</v>
      </c>
      <c r="I4051" s="2" t="s">
        <v>18</v>
      </c>
      <c r="J4051" s="2" t="s">
        <v>110</v>
      </c>
      <c r="K4051" s="2" t="n">
        <v>4</v>
      </c>
      <c r="L4051" s="2" t="n">
        <v>0</v>
      </c>
      <c r="M4051" s="2" t="n">
        <v>1</v>
      </c>
    </row>
    <row r="4052" customFormat="false" ht="15" hidden="false" customHeight="false" outlineLevel="0" collapsed="false">
      <c r="A4052" s="2" t="s">
        <v>8353</v>
      </c>
      <c r="B4052" s="2" t="s">
        <v>8354</v>
      </c>
      <c r="C4052" s="2" t="n">
        <v>4</v>
      </c>
      <c r="D4052" s="2" t="s">
        <v>62</v>
      </c>
      <c r="E4052" s="2" t="s">
        <v>8083</v>
      </c>
      <c r="F4052" s="3" t="n">
        <v>46055.24375</v>
      </c>
      <c r="G4052" s="2" t="s">
        <v>8326</v>
      </c>
      <c r="H4052" s="4" t="n">
        <v>0.7088</v>
      </c>
      <c r="I4052" s="2" t="s">
        <v>23</v>
      </c>
      <c r="J4052" s="2" t="s">
        <v>19</v>
      </c>
      <c r="K4052" s="2" t="n">
        <v>1</v>
      </c>
      <c r="L4052" s="2" t="n">
        <v>0</v>
      </c>
      <c r="M4052" s="2" t="n">
        <v>1</v>
      </c>
    </row>
    <row r="4053" customFormat="false" ht="15" hidden="false" customHeight="false" outlineLevel="0" collapsed="false">
      <c r="A4053" s="2" t="s">
        <v>8355</v>
      </c>
      <c r="B4053" s="2" t="s">
        <v>8356</v>
      </c>
      <c r="C4053" s="2" t="n">
        <v>5</v>
      </c>
      <c r="D4053" s="2" t="s">
        <v>62</v>
      </c>
      <c r="E4053" s="2" t="s">
        <v>8083</v>
      </c>
      <c r="F4053" s="3" t="n">
        <v>46055.3208333333</v>
      </c>
      <c r="G4053" s="2" t="s">
        <v>8326</v>
      </c>
      <c r="H4053" s="4" t="n">
        <v>0.7088</v>
      </c>
      <c r="I4053" s="2" t="s">
        <v>23</v>
      </c>
      <c r="J4053" s="2" t="s">
        <v>19</v>
      </c>
      <c r="K4053" s="2" t="n">
        <v>0</v>
      </c>
      <c r="L4053" s="2" t="n">
        <v>0</v>
      </c>
      <c r="M4053" s="2" t="n">
        <v>1</v>
      </c>
    </row>
    <row r="4054" customFormat="false" ht="15" hidden="false" customHeight="false" outlineLevel="0" collapsed="false">
      <c r="A4054" s="2" t="s">
        <v>8357</v>
      </c>
      <c r="B4054" s="2" t="s">
        <v>8358</v>
      </c>
      <c r="C4054" s="2" t="n">
        <v>5</v>
      </c>
      <c r="D4054" s="2" t="s">
        <v>127</v>
      </c>
      <c r="E4054" s="2" t="s">
        <v>8083</v>
      </c>
      <c r="F4054" s="3" t="n">
        <v>46055.5354166667</v>
      </c>
      <c r="G4054" s="2" t="s">
        <v>8326</v>
      </c>
      <c r="H4054" s="4" t="n">
        <v>0.9359</v>
      </c>
      <c r="I4054" s="2" t="s">
        <v>23</v>
      </c>
      <c r="J4054" s="2" t="s">
        <v>37</v>
      </c>
      <c r="K4054" s="2" t="n">
        <v>0</v>
      </c>
      <c r="L4054" s="2" t="n">
        <v>1</v>
      </c>
      <c r="M4054" s="2" t="n">
        <v>1</v>
      </c>
    </row>
    <row r="4055" customFormat="false" ht="15" hidden="false" customHeight="false" outlineLevel="0" collapsed="false">
      <c r="A4055" s="2" t="s">
        <v>8359</v>
      </c>
      <c r="B4055" s="2" t="s">
        <v>8360</v>
      </c>
      <c r="C4055" s="2" t="n">
        <v>5</v>
      </c>
      <c r="D4055" s="2" t="s">
        <v>90</v>
      </c>
      <c r="E4055" s="2" t="s">
        <v>8083</v>
      </c>
      <c r="F4055" s="3" t="n">
        <v>46055.6340277778</v>
      </c>
      <c r="G4055" s="2" t="s">
        <v>8326</v>
      </c>
      <c r="H4055" s="4" t="n">
        <v>0.6249</v>
      </c>
      <c r="I4055" s="2" t="s">
        <v>23</v>
      </c>
      <c r="J4055" s="2" t="s">
        <v>37</v>
      </c>
      <c r="K4055" s="2" t="n">
        <v>4</v>
      </c>
      <c r="L4055" s="2" t="n">
        <v>0</v>
      </c>
      <c r="M4055" s="2" t="n">
        <v>1</v>
      </c>
    </row>
    <row r="4056" customFormat="false" ht="15" hidden="false" customHeight="false" outlineLevel="0" collapsed="false">
      <c r="A4056" s="2" t="s">
        <v>8361</v>
      </c>
      <c r="B4056" s="2" t="s">
        <v>8362</v>
      </c>
      <c r="C4056" s="2" t="n">
        <v>3</v>
      </c>
      <c r="D4056" s="2" t="s">
        <v>36</v>
      </c>
      <c r="E4056" s="2" t="s">
        <v>8083</v>
      </c>
      <c r="F4056" s="3" t="n">
        <v>46055.7097222222</v>
      </c>
      <c r="G4056" s="2" t="s">
        <v>8326</v>
      </c>
      <c r="H4056" s="4" t="n">
        <v>0.4404</v>
      </c>
      <c r="I4056" s="2" t="s">
        <v>23</v>
      </c>
      <c r="J4056" s="2" t="s">
        <v>37</v>
      </c>
      <c r="K4056" s="2" t="n">
        <v>4</v>
      </c>
      <c r="L4056" s="2" t="n">
        <v>0</v>
      </c>
      <c r="M4056" s="2" t="n">
        <v>1</v>
      </c>
    </row>
    <row r="4057" customFormat="false" ht="15" hidden="false" customHeight="false" outlineLevel="0" collapsed="false">
      <c r="A4057" s="2" t="s">
        <v>8363</v>
      </c>
      <c r="B4057" s="2" t="s">
        <v>8364</v>
      </c>
      <c r="C4057" s="2" t="n">
        <v>2</v>
      </c>
      <c r="D4057" s="2" t="s">
        <v>109</v>
      </c>
      <c r="E4057" s="2" t="s">
        <v>8083</v>
      </c>
      <c r="F4057" s="3" t="n">
        <v>46055.7472222222</v>
      </c>
      <c r="G4057" s="2" t="s">
        <v>8326</v>
      </c>
      <c r="H4057" s="4" t="n">
        <v>0</v>
      </c>
      <c r="I4057" s="2" t="s">
        <v>18</v>
      </c>
      <c r="J4057" s="2" t="s">
        <v>110</v>
      </c>
      <c r="K4057" s="2" t="n">
        <v>2</v>
      </c>
      <c r="L4057" s="2" t="n">
        <v>1</v>
      </c>
      <c r="M4057" s="2" t="n">
        <v>1</v>
      </c>
    </row>
    <row r="4058" customFormat="false" ht="15" hidden="false" customHeight="false" outlineLevel="0" collapsed="false">
      <c r="A4058" s="2" t="s">
        <v>8365</v>
      </c>
      <c r="B4058" s="2" t="s">
        <v>8366</v>
      </c>
      <c r="C4058" s="2" t="n">
        <v>5</v>
      </c>
      <c r="D4058" s="2" t="s">
        <v>90</v>
      </c>
      <c r="E4058" s="2" t="s">
        <v>8083</v>
      </c>
      <c r="F4058" s="3" t="n">
        <v>46055.7972222222</v>
      </c>
      <c r="G4058" s="2" t="s">
        <v>8326</v>
      </c>
      <c r="H4058" s="4" t="n">
        <v>0.6249</v>
      </c>
      <c r="I4058" s="2" t="s">
        <v>23</v>
      </c>
      <c r="J4058" s="2" t="s">
        <v>37</v>
      </c>
      <c r="K4058" s="2" t="n">
        <v>2</v>
      </c>
      <c r="L4058" s="2" t="n">
        <v>0</v>
      </c>
      <c r="M4058" s="2" t="n">
        <v>1</v>
      </c>
    </row>
    <row r="4059" customFormat="false" ht="15" hidden="false" customHeight="false" outlineLevel="0" collapsed="false">
      <c r="A4059" s="2" t="s">
        <v>8367</v>
      </c>
      <c r="B4059" s="2" t="s">
        <v>8368</v>
      </c>
      <c r="C4059" s="2" t="n">
        <v>2</v>
      </c>
      <c r="D4059" s="2" t="s">
        <v>482</v>
      </c>
      <c r="E4059" s="2" t="s">
        <v>8083</v>
      </c>
      <c r="F4059" s="3" t="n">
        <v>46055.8006944444</v>
      </c>
      <c r="G4059" s="2" t="s">
        <v>8326</v>
      </c>
      <c r="H4059" s="4" t="n">
        <v>-0.6808</v>
      </c>
      <c r="I4059" s="2" t="s">
        <v>84</v>
      </c>
      <c r="J4059" s="2" t="s">
        <v>110</v>
      </c>
      <c r="K4059" s="2" t="n">
        <v>0</v>
      </c>
      <c r="L4059" s="2" t="n">
        <v>0</v>
      </c>
      <c r="M4059" s="2" t="n">
        <v>1</v>
      </c>
    </row>
    <row r="4060" customFormat="false" ht="15" hidden="false" customHeight="false" outlineLevel="0" collapsed="false">
      <c r="A4060" s="2" t="s">
        <v>8369</v>
      </c>
      <c r="B4060" s="2" t="s">
        <v>8370</v>
      </c>
      <c r="C4060" s="2" t="n">
        <v>5</v>
      </c>
      <c r="D4060" s="2" t="s">
        <v>407</v>
      </c>
      <c r="E4060" s="2" t="s">
        <v>8083</v>
      </c>
      <c r="F4060" s="3" t="n">
        <v>46055.91875</v>
      </c>
      <c r="G4060" s="2" t="s">
        <v>8326</v>
      </c>
      <c r="H4060" s="4" t="n">
        <v>0.7783</v>
      </c>
      <c r="I4060" s="2" t="s">
        <v>23</v>
      </c>
      <c r="J4060" s="2" t="s">
        <v>37</v>
      </c>
      <c r="K4060" s="2" t="n">
        <v>1</v>
      </c>
      <c r="L4060" s="2" t="n">
        <v>0</v>
      </c>
      <c r="M4060" s="2" t="n">
        <v>1</v>
      </c>
    </row>
    <row r="4061" customFormat="false" ht="15" hidden="false" customHeight="false" outlineLevel="0" collapsed="false">
      <c r="A4061" s="2" t="s">
        <v>8371</v>
      </c>
      <c r="B4061" s="2" t="s">
        <v>8372</v>
      </c>
      <c r="C4061" s="2" t="n">
        <v>4</v>
      </c>
      <c r="D4061" s="2" t="s">
        <v>40</v>
      </c>
      <c r="E4061" s="2" t="s">
        <v>8083</v>
      </c>
      <c r="F4061" s="3" t="n">
        <v>46055.9291666667</v>
      </c>
      <c r="G4061" s="2" t="s">
        <v>8326</v>
      </c>
      <c r="H4061" s="4" t="n">
        <v>0.4019</v>
      </c>
      <c r="I4061" s="2" t="s">
        <v>23</v>
      </c>
      <c r="J4061" s="2" t="s">
        <v>33</v>
      </c>
      <c r="K4061" s="2" t="n">
        <v>2</v>
      </c>
      <c r="L4061" s="2" t="n">
        <v>0</v>
      </c>
      <c r="M4061" s="2" t="n">
        <v>1</v>
      </c>
    </row>
    <row r="4062" customFormat="false" ht="15" hidden="false" customHeight="false" outlineLevel="0" collapsed="false">
      <c r="A4062" s="2" t="s">
        <v>8373</v>
      </c>
      <c r="B4062" s="2" t="s">
        <v>8374</v>
      </c>
      <c r="C4062" s="2" t="n">
        <v>4</v>
      </c>
      <c r="D4062" s="2" t="s">
        <v>96</v>
      </c>
      <c r="E4062" s="2" t="s">
        <v>8083</v>
      </c>
      <c r="F4062" s="3" t="n">
        <v>46056.2215277778</v>
      </c>
      <c r="G4062" s="2" t="s">
        <v>8326</v>
      </c>
      <c r="H4062" s="4" t="n">
        <v>0.6369</v>
      </c>
      <c r="I4062" s="2" t="s">
        <v>23</v>
      </c>
      <c r="J4062" s="2" t="s">
        <v>19</v>
      </c>
      <c r="K4062" s="2" t="n">
        <v>0</v>
      </c>
      <c r="L4062" s="2" t="n">
        <v>0</v>
      </c>
      <c r="M4062" s="2" t="n">
        <v>1</v>
      </c>
    </row>
    <row r="4063" customFormat="false" ht="15" hidden="false" customHeight="false" outlineLevel="0" collapsed="false">
      <c r="A4063" s="2" t="s">
        <v>8375</v>
      </c>
      <c r="B4063" s="2" t="s">
        <v>8376</v>
      </c>
      <c r="C4063" s="2" t="n">
        <v>4</v>
      </c>
      <c r="D4063" s="2" t="s">
        <v>269</v>
      </c>
      <c r="E4063" s="2" t="s">
        <v>8083</v>
      </c>
      <c r="F4063" s="3" t="n">
        <v>46056.3986111111</v>
      </c>
      <c r="G4063" s="2" t="s">
        <v>8326</v>
      </c>
      <c r="H4063" s="4" t="n">
        <v>0.8748</v>
      </c>
      <c r="I4063" s="2" t="s">
        <v>23</v>
      </c>
      <c r="J4063" s="2" t="s">
        <v>37</v>
      </c>
      <c r="K4063" s="2" t="n">
        <v>9</v>
      </c>
      <c r="L4063" s="2" t="n">
        <v>0</v>
      </c>
      <c r="M4063" s="2" t="n">
        <v>1</v>
      </c>
    </row>
    <row r="4064" customFormat="false" ht="15" hidden="false" customHeight="false" outlineLevel="0" collapsed="false">
      <c r="A4064" s="2" t="s">
        <v>8377</v>
      </c>
      <c r="B4064" s="2" t="s">
        <v>8378</v>
      </c>
      <c r="C4064" s="2" t="n">
        <v>4</v>
      </c>
      <c r="D4064" s="2" t="s">
        <v>22</v>
      </c>
      <c r="E4064" s="2" t="s">
        <v>8083</v>
      </c>
      <c r="F4064" s="3" t="n">
        <v>46056.5680555556</v>
      </c>
      <c r="G4064" s="2" t="s">
        <v>8326</v>
      </c>
      <c r="H4064" s="4" t="n">
        <v>0.2023</v>
      </c>
      <c r="I4064" s="2" t="s">
        <v>23</v>
      </c>
      <c r="J4064" s="2" t="s">
        <v>19</v>
      </c>
      <c r="K4064" s="2" t="n">
        <v>1</v>
      </c>
      <c r="L4064" s="2" t="n">
        <v>0</v>
      </c>
      <c r="M4064" s="2" t="n">
        <v>1</v>
      </c>
    </row>
    <row r="4065" customFormat="false" ht="15" hidden="false" customHeight="false" outlineLevel="0" collapsed="false">
      <c r="A4065" s="2" t="s">
        <v>8379</v>
      </c>
      <c r="B4065" s="2" t="s">
        <v>8380</v>
      </c>
      <c r="C4065" s="2" t="n">
        <v>3</v>
      </c>
      <c r="D4065" s="2" t="s">
        <v>863</v>
      </c>
      <c r="E4065" s="2" t="s">
        <v>8083</v>
      </c>
      <c r="F4065" s="3" t="n">
        <v>46056.6256944445</v>
      </c>
      <c r="G4065" s="2" t="s">
        <v>8326</v>
      </c>
      <c r="H4065" s="4" t="n">
        <v>-0.092</v>
      </c>
      <c r="I4065" s="2" t="s">
        <v>84</v>
      </c>
      <c r="J4065" s="2" t="s">
        <v>19</v>
      </c>
      <c r="K4065" s="2" t="n">
        <v>2</v>
      </c>
      <c r="L4065" s="2" t="n">
        <v>0</v>
      </c>
      <c r="M4065" s="2" t="n">
        <v>1</v>
      </c>
    </row>
    <row r="4066" customFormat="false" ht="15" hidden="false" customHeight="false" outlineLevel="0" collapsed="false">
      <c r="A4066" s="2" t="s">
        <v>8381</v>
      </c>
      <c r="B4066" s="2" t="s">
        <v>8382</v>
      </c>
      <c r="C4066" s="2" t="n">
        <v>4</v>
      </c>
      <c r="D4066" s="2" t="s">
        <v>96</v>
      </c>
      <c r="E4066" s="2" t="s">
        <v>8083</v>
      </c>
      <c r="F4066" s="3" t="n">
        <v>46056.6722222222</v>
      </c>
      <c r="G4066" s="2" t="s">
        <v>8326</v>
      </c>
      <c r="H4066" s="4" t="n">
        <v>0.6369</v>
      </c>
      <c r="I4066" s="2" t="s">
        <v>23</v>
      </c>
      <c r="J4066" s="2" t="s">
        <v>19</v>
      </c>
      <c r="K4066" s="2" t="n">
        <v>1</v>
      </c>
      <c r="L4066" s="2" t="n">
        <v>1</v>
      </c>
      <c r="M4066" s="2" t="n">
        <v>1</v>
      </c>
    </row>
    <row r="4067" customFormat="false" ht="15" hidden="false" customHeight="false" outlineLevel="0" collapsed="false">
      <c r="A4067" s="2" t="s">
        <v>8383</v>
      </c>
      <c r="B4067" s="2" t="s">
        <v>8384</v>
      </c>
      <c r="C4067" s="2" t="n">
        <v>4</v>
      </c>
      <c r="D4067" s="2" t="s">
        <v>52</v>
      </c>
      <c r="E4067" s="2" t="s">
        <v>8083</v>
      </c>
      <c r="F4067" s="3" t="n">
        <v>46056.7819444445</v>
      </c>
      <c r="G4067" s="2" t="s">
        <v>8326</v>
      </c>
      <c r="H4067" s="4" t="n">
        <v>0.6369</v>
      </c>
      <c r="I4067" s="2" t="s">
        <v>23</v>
      </c>
      <c r="J4067" s="2" t="s">
        <v>19</v>
      </c>
      <c r="K4067" s="2" t="n">
        <v>5</v>
      </c>
      <c r="L4067" s="2" t="n">
        <v>0</v>
      </c>
      <c r="M4067" s="2" t="n">
        <v>1</v>
      </c>
    </row>
    <row r="4068" customFormat="false" ht="15" hidden="false" customHeight="false" outlineLevel="0" collapsed="false">
      <c r="A4068" s="2" t="s">
        <v>8385</v>
      </c>
      <c r="B4068" s="2" t="s">
        <v>8386</v>
      </c>
      <c r="C4068" s="2" t="n">
        <v>2</v>
      </c>
      <c r="D4068" s="2" t="s">
        <v>58</v>
      </c>
      <c r="E4068" s="2" t="s">
        <v>8083</v>
      </c>
      <c r="F4068" s="3" t="n">
        <v>46056.8951388889</v>
      </c>
      <c r="G4068" s="2" t="s">
        <v>8326</v>
      </c>
      <c r="H4068" s="4" t="n">
        <v>0</v>
      </c>
      <c r="I4068" s="2" t="s">
        <v>18</v>
      </c>
      <c r="J4068" s="2" t="s">
        <v>59</v>
      </c>
      <c r="K4068" s="2" t="n">
        <v>1</v>
      </c>
      <c r="L4068" s="2" t="n">
        <v>1</v>
      </c>
      <c r="M4068" s="2" t="n">
        <v>1</v>
      </c>
    </row>
    <row r="4069" customFormat="false" ht="15" hidden="false" customHeight="false" outlineLevel="0" collapsed="false">
      <c r="A4069" s="2" t="s">
        <v>8387</v>
      </c>
      <c r="B4069" s="2" t="s">
        <v>8388</v>
      </c>
      <c r="C4069" s="2" t="n">
        <v>5</v>
      </c>
      <c r="D4069" s="2" t="s">
        <v>389</v>
      </c>
      <c r="E4069" s="2" t="s">
        <v>8083</v>
      </c>
      <c r="F4069" s="3" t="n">
        <v>46056.9138888889</v>
      </c>
      <c r="G4069" s="2" t="s">
        <v>8326</v>
      </c>
      <c r="H4069" s="4" t="n">
        <v>0.8519</v>
      </c>
      <c r="I4069" s="2" t="s">
        <v>23</v>
      </c>
      <c r="J4069" s="2" t="s">
        <v>37</v>
      </c>
      <c r="K4069" s="2" t="n">
        <v>0</v>
      </c>
      <c r="L4069" s="2" t="n">
        <v>0</v>
      </c>
      <c r="M4069" s="2" t="n">
        <v>1</v>
      </c>
    </row>
    <row r="4070" customFormat="false" ht="15" hidden="false" customHeight="false" outlineLevel="0" collapsed="false">
      <c r="A4070" s="2" t="s">
        <v>8389</v>
      </c>
      <c r="B4070" s="2" t="s">
        <v>8390</v>
      </c>
      <c r="C4070" s="2" t="n">
        <v>5</v>
      </c>
      <c r="D4070" s="2" t="s">
        <v>62</v>
      </c>
      <c r="E4070" s="2" t="s">
        <v>8083</v>
      </c>
      <c r="F4070" s="3" t="n">
        <v>46057.0131944444</v>
      </c>
      <c r="G4070" s="2" t="s">
        <v>8326</v>
      </c>
      <c r="H4070" s="4" t="n">
        <v>0.7088</v>
      </c>
      <c r="I4070" s="2" t="s">
        <v>23</v>
      </c>
      <c r="J4070" s="2" t="s">
        <v>19</v>
      </c>
      <c r="K4070" s="2" t="n">
        <v>6</v>
      </c>
      <c r="L4070" s="2" t="n">
        <v>0</v>
      </c>
      <c r="M4070" s="2" t="n">
        <v>0</v>
      </c>
    </row>
    <row r="4071" customFormat="false" ht="15" hidden="false" customHeight="false" outlineLevel="0" collapsed="false">
      <c r="A4071" s="2" t="s">
        <v>8391</v>
      </c>
      <c r="B4071" s="2" t="s">
        <v>8392</v>
      </c>
      <c r="C4071" s="2" t="n">
        <v>3</v>
      </c>
      <c r="D4071" s="2" t="s">
        <v>301</v>
      </c>
      <c r="E4071" s="2" t="s">
        <v>8083</v>
      </c>
      <c r="F4071" s="3" t="n">
        <v>46057.0958333333</v>
      </c>
      <c r="G4071" s="2" t="s">
        <v>8326</v>
      </c>
      <c r="H4071" s="4" t="n">
        <v>0.2263</v>
      </c>
      <c r="I4071" s="2" t="s">
        <v>23</v>
      </c>
      <c r="J4071" s="2" t="s">
        <v>19</v>
      </c>
      <c r="K4071" s="2" t="n">
        <v>1</v>
      </c>
      <c r="L4071" s="2" t="n">
        <v>0</v>
      </c>
      <c r="M4071" s="2" t="n">
        <v>0</v>
      </c>
    </row>
    <row r="4072" customFormat="false" ht="15" hidden="false" customHeight="false" outlineLevel="0" collapsed="false">
      <c r="A4072" s="2" t="s">
        <v>8393</v>
      </c>
      <c r="B4072" s="2" t="s">
        <v>8394</v>
      </c>
      <c r="C4072" s="2" t="n">
        <v>5</v>
      </c>
      <c r="D4072" s="2" t="s">
        <v>2578</v>
      </c>
      <c r="E4072" s="2" t="s">
        <v>8083</v>
      </c>
      <c r="F4072" s="3" t="n">
        <v>46057.1319444445</v>
      </c>
      <c r="G4072" s="2" t="s">
        <v>8326</v>
      </c>
      <c r="H4072" s="4" t="n">
        <v>0.9626</v>
      </c>
      <c r="I4072" s="2" t="s">
        <v>23</v>
      </c>
      <c r="J4072" s="2" t="s">
        <v>37</v>
      </c>
      <c r="K4072" s="2" t="n">
        <v>1</v>
      </c>
      <c r="L4072" s="2" t="n">
        <v>0</v>
      </c>
      <c r="M4072" s="2" t="n">
        <v>0</v>
      </c>
    </row>
    <row r="4073" customFormat="false" ht="15" hidden="false" customHeight="false" outlineLevel="0" collapsed="false">
      <c r="A4073" s="2" t="s">
        <v>8395</v>
      </c>
      <c r="B4073" s="2" t="s">
        <v>8396</v>
      </c>
      <c r="C4073" s="2" t="n">
        <v>5</v>
      </c>
      <c r="D4073" s="2" t="s">
        <v>96</v>
      </c>
      <c r="E4073" s="2" t="s">
        <v>8083</v>
      </c>
      <c r="F4073" s="3" t="n">
        <v>46057.1381944444</v>
      </c>
      <c r="G4073" s="2" t="s">
        <v>8326</v>
      </c>
      <c r="H4073" s="4" t="n">
        <v>0.6369</v>
      </c>
      <c r="I4073" s="2" t="s">
        <v>23</v>
      </c>
      <c r="J4073" s="2" t="s">
        <v>19</v>
      </c>
      <c r="K4073" s="2" t="n">
        <v>18</v>
      </c>
      <c r="L4073" s="2" t="n">
        <v>0</v>
      </c>
      <c r="M4073" s="2" t="n">
        <v>0</v>
      </c>
    </row>
    <row r="4074" customFormat="false" ht="15" hidden="false" customHeight="false" outlineLevel="0" collapsed="false">
      <c r="A4074" s="2" t="s">
        <v>8397</v>
      </c>
      <c r="B4074" s="2" t="s">
        <v>623</v>
      </c>
      <c r="C4074" s="2" t="n">
        <v>5</v>
      </c>
      <c r="D4074" s="2" t="s">
        <v>40</v>
      </c>
      <c r="E4074" s="2" t="s">
        <v>8083</v>
      </c>
      <c r="F4074" s="3" t="n">
        <v>46057.1902777778</v>
      </c>
      <c r="G4074" s="2" t="s">
        <v>8326</v>
      </c>
      <c r="H4074" s="4" t="n">
        <v>0.4019</v>
      </c>
      <c r="I4074" s="2" t="s">
        <v>23</v>
      </c>
      <c r="J4074" s="2" t="s">
        <v>33</v>
      </c>
      <c r="K4074" s="2" t="n">
        <v>7</v>
      </c>
      <c r="L4074" s="2" t="n">
        <v>0</v>
      </c>
      <c r="M4074" s="2" t="n">
        <v>0</v>
      </c>
    </row>
    <row r="4075" customFormat="false" ht="15" hidden="false" customHeight="false" outlineLevel="0" collapsed="false">
      <c r="A4075" s="2" t="s">
        <v>8398</v>
      </c>
      <c r="B4075" s="2" t="s">
        <v>8399</v>
      </c>
      <c r="C4075" s="2" t="n">
        <v>4</v>
      </c>
      <c r="D4075" s="2" t="s">
        <v>850</v>
      </c>
      <c r="E4075" s="2" t="s">
        <v>8083</v>
      </c>
      <c r="F4075" s="3" t="n">
        <v>46057.2034722222</v>
      </c>
      <c r="G4075" s="2" t="s">
        <v>8326</v>
      </c>
      <c r="H4075" s="4" t="n">
        <v>0.7964</v>
      </c>
      <c r="I4075" s="2" t="s">
        <v>23</v>
      </c>
      <c r="J4075" s="2" t="s">
        <v>37</v>
      </c>
      <c r="K4075" s="2" t="n">
        <v>3</v>
      </c>
      <c r="L4075" s="2" t="n">
        <v>0</v>
      </c>
      <c r="M4075" s="2" t="n">
        <v>0</v>
      </c>
    </row>
    <row r="4076" customFormat="false" ht="15" hidden="false" customHeight="false" outlineLevel="0" collapsed="false">
      <c r="A4076" s="2" t="s">
        <v>8400</v>
      </c>
      <c r="B4076" s="2" t="s">
        <v>8401</v>
      </c>
      <c r="C4076" s="2" t="n">
        <v>5</v>
      </c>
      <c r="D4076" s="2" t="s">
        <v>47</v>
      </c>
      <c r="E4076" s="2" t="s">
        <v>8083</v>
      </c>
      <c r="F4076" s="3" t="n">
        <v>46057.2256944445</v>
      </c>
      <c r="G4076" s="2" t="s">
        <v>8326</v>
      </c>
      <c r="H4076" s="4" t="n">
        <v>0.3089</v>
      </c>
      <c r="I4076" s="2" t="s">
        <v>23</v>
      </c>
      <c r="J4076" s="2" t="s">
        <v>19</v>
      </c>
      <c r="K4076" s="2" t="n">
        <v>2</v>
      </c>
      <c r="L4076" s="2" t="n">
        <v>0</v>
      </c>
      <c r="M4076" s="2" t="n">
        <v>0</v>
      </c>
    </row>
    <row r="4077" customFormat="false" ht="15" hidden="false" customHeight="false" outlineLevel="0" collapsed="false">
      <c r="A4077" s="2" t="s">
        <v>8402</v>
      </c>
      <c r="B4077" s="2" t="s">
        <v>8403</v>
      </c>
      <c r="C4077" s="2" t="n">
        <v>4</v>
      </c>
      <c r="D4077" s="2" t="s">
        <v>1052</v>
      </c>
      <c r="E4077" s="2" t="s">
        <v>8083</v>
      </c>
      <c r="F4077" s="3" t="n">
        <v>46057.3125</v>
      </c>
      <c r="G4077" s="2" t="s">
        <v>8326</v>
      </c>
      <c r="H4077" s="4" t="n">
        <v>0.7088</v>
      </c>
      <c r="I4077" s="2" t="s">
        <v>23</v>
      </c>
      <c r="J4077" s="2" t="s">
        <v>19</v>
      </c>
      <c r="K4077" s="2" t="n">
        <v>0</v>
      </c>
      <c r="L4077" s="2" t="n">
        <v>0</v>
      </c>
      <c r="M4077" s="2" t="n">
        <v>0</v>
      </c>
    </row>
    <row r="4078" customFormat="false" ht="15" hidden="false" customHeight="false" outlineLevel="0" collapsed="false">
      <c r="A4078" s="2" t="s">
        <v>8404</v>
      </c>
      <c r="B4078" s="2" t="s">
        <v>8405</v>
      </c>
      <c r="C4078" s="2" t="n">
        <v>5</v>
      </c>
      <c r="D4078" s="2" t="s">
        <v>1698</v>
      </c>
      <c r="E4078" s="2" t="s">
        <v>8083</v>
      </c>
      <c r="F4078" s="3" t="n">
        <v>46057.3902777778</v>
      </c>
      <c r="G4078" s="2" t="s">
        <v>8326</v>
      </c>
      <c r="H4078" s="4" t="n">
        <v>0.7845</v>
      </c>
      <c r="I4078" s="2" t="s">
        <v>23</v>
      </c>
      <c r="J4078" s="2" t="s">
        <v>33</v>
      </c>
      <c r="K4078" s="2" t="n">
        <v>2</v>
      </c>
      <c r="L4078" s="2" t="n">
        <v>1</v>
      </c>
      <c r="M4078" s="2" t="n">
        <v>0</v>
      </c>
    </row>
    <row r="4079" customFormat="false" ht="15" hidden="false" customHeight="false" outlineLevel="0" collapsed="false">
      <c r="A4079" s="2" t="s">
        <v>8406</v>
      </c>
      <c r="B4079" s="2" t="s">
        <v>8407</v>
      </c>
      <c r="C4079" s="2" t="n">
        <v>5</v>
      </c>
      <c r="D4079" s="2" t="s">
        <v>15</v>
      </c>
      <c r="E4079" s="2" t="s">
        <v>8083</v>
      </c>
      <c r="F4079" s="3" t="n">
        <v>46057.41875</v>
      </c>
      <c r="G4079" s="2" t="s">
        <v>8326</v>
      </c>
      <c r="H4079" s="4" t="n">
        <v>0</v>
      </c>
      <c r="I4079" s="2" t="s">
        <v>18</v>
      </c>
      <c r="J4079" s="2" t="s">
        <v>19</v>
      </c>
      <c r="K4079" s="2" t="n">
        <v>0</v>
      </c>
      <c r="L4079" s="2" t="n">
        <v>0</v>
      </c>
      <c r="M4079" s="2" t="n">
        <v>0</v>
      </c>
    </row>
    <row r="4080" customFormat="false" ht="15" hidden="false" customHeight="false" outlineLevel="0" collapsed="false">
      <c r="A4080" s="2" t="s">
        <v>8408</v>
      </c>
      <c r="B4080" s="2" t="s">
        <v>8409</v>
      </c>
      <c r="C4080" s="2" t="n">
        <v>4</v>
      </c>
      <c r="D4080" s="2" t="s">
        <v>2727</v>
      </c>
      <c r="E4080" s="2" t="s">
        <v>8083</v>
      </c>
      <c r="F4080" s="3" t="n">
        <v>46057.4770833333</v>
      </c>
      <c r="G4080" s="2" t="s">
        <v>8326</v>
      </c>
      <c r="H4080" s="4" t="n">
        <v>0.4019</v>
      </c>
      <c r="I4080" s="2" t="s">
        <v>23</v>
      </c>
      <c r="J4080" s="2" t="s">
        <v>33</v>
      </c>
      <c r="K4080" s="2" t="n">
        <v>1</v>
      </c>
      <c r="L4080" s="2" t="n">
        <v>0</v>
      </c>
      <c r="M4080" s="2" t="n">
        <v>0</v>
      </c>
    </row>
    <row r="4081" customFormat="false" ht="15" hidden="false" customHeight="false" outlineLevel="0" collapsed="false">
      <c r="A4081" s="2" t="s">
        <v>8410</v>
      </c>
      <c r="B4081" s="2" t="s">
        <v>8411</v>
      </c>
      <c r="C4081" s="2" t="n">
        <v>4</v>
      </c>
      <c r="D4081" s="2" t="s">
        <v>958</v>
      </c>
      <c r="E4081" s="2" t="s">
        <v>8083</v>
      </c>
      <c r="F4081" s="3" t="n">
        <v>46057.8284722222</v>
      </c>
      <c r="G4081" s="2" t="s">
        <v>8326</v>
      </c>
      <c r="H4081" s="4" t="n">
        <v>0.6249</v>
      </c>
      <c r="I4081" s="2" t="s">
        <v>23</v>
      </c>
      <c r="J4081" s="2" t="s">
        <v>37</v>
      </c>
      <c r="K4081" s="2" t="n">
        <v>0</v>
      </c>
      <c r="L4081" s="2" t="n">
        <v>0</v>
      </c>
      <c r="M4081" s="2" t="n">
        <v>0</v>
      </c>
    </row>
    <row r="4082" customFormat="false" ht="15" hidden="false" customHeight="false" outlineLevel="0" collapsed="false">
      <c r="A4082" s="2" t="s">
        <v>8412</v>
      </c>
      <c r="B4082" s="2" t="s">
        <v>8413</v>
      </c>
      <c r="C4082" s="2" t="n">
        <v>3</v>
      </c>
      <c r="D4082" s="2" t="s">
        <v>22</v>
      </c>
      <c r="E4082" s="2" t="s">
        <v>8083</v>
      </c>
      <c r="F4082" s="3" t="n">
        <v>46057.9402777778</v>
      </c>
      <c r="G4082" s="2" t="s">
        <v>8326</v>
      </c>
      <c r="H4082" s="4" t="n">
        <v>0.2023</v>
      </c>
      <c r="I4082" s="2" t="s">
        <v>23</v>
      </c>
      <c r="J4082" s="2" t="s">
        <v>19</v>
      </c>
      <c r="K4082" s="2" t="n">
        <v>0</v>
      </c>
      <c r="L4082" s="2" t="n">
        <v>0</v>
      </c>
      <c r="M4082" s="2" t="n">
        <v>0</v>
      </c>
    </row>
    <row r="4083" customFormat="false" ht="15" hidden="false" customHeight="false" outlineLevel="0" collapsed="false">
      <c r="A4083" s="2" t="s">
        <v>8414</v>
      </c>
      <c r="B4083" s="2" t="s">
        <v>8415</v>
      </c>
      <c r="C4083" s="2" t="n">
        <v>4</v>
      </c>
      <c r="D4083" s="2" t="s">
        <v>652</v>
      </c>
      <c r="E4083" s="2" t="s">
        <v>8083</v>
      </c>
      <c r="F4083" s="3" t="n">
        <v>46057.9916666667</v>
      </c>
      <c r="G4083" s="2" t="s">
        <v>8326</v>
      </c>
      <c r="H4083" s="4" t="n">
        <v>0.8555</v>
      </c>
      <c r="I4083" s="2" t="s">
        <v>23</v>
      </c>
      <c r="J4083" s="2" t="s">
        <v>19</v>
      </c>
      <c r="K4083" s="2" t="n">
        <v>12</v>
      </c>
      <c r="L4083" s="2" t="n">
        <v>0</v>
      </c>
      <c r="M4083" s="2" t="n">
        <v>0</v>
      </c>
    </row>
    <row r="4084" customFormat="false" ht="15" hidden="false" customHeight="false" outlineLevel="0" collapsed="false">
      <c r="A4084" s="2" t="s">
        <v>8416</v>
      </c>
      <c r="B4084" s="2" t="s">
        <v>8417</v>
      </c>
      <c r="C4084" s="2" t="n">
        <v>4</v>
      </c>
      <c r="D4084" s="2" t="s">
        <v>87</v>
      </c>
      <c r="E4084" s="2" t="s">
        <v>8083</v>
      </c>
      <c r="F4084" s="3" t="n">
        <v>46058.0486111111</v>
      </c>
      <c r="G4084" s="2" t="s">
        <v>8326</v>
      </c>
      <c r="H4084" s="4" t="n">
        <v>0</v>
      </c>
      <c r="I4084" s="2" t="s">
        <v>18</v>
      </c>
      <c r="J4084" s="2" t="s">
        <v>19</v>
      </c>
      <c r="K4084" s="2" t="n">
        <v>6</v>
      </c>
      <c r="L4084" s="2" t="n">
        <v>0</v>
      </c>
      <c r="M4084" s="2" t="n">
        <v>0</v>
      </c>
    </row>
    <row r="4085" customFormat="false" ht="15" hidden="false" customHeight="false" outlineLevel="0" collapsed="false">
      <c r="A4085" s="2" t="s">
        <v>8418</v>
      </c>
      <c r="B4085" s="2" t="s">
        <v>8419</v>
      </c>
      <c r="C4085" s="2" t="n">
        <v>1</v>
      </c>
      <c r="D4085" s="2" t="s">
        <v>58</v>
      </c>
      <c r="E4085" s="2" t="s">
        <v>8083</v>
      </c>
      <c r="F4085" s="3" t="n">
        <v>46058.4256944444</v>
      </c>
      <c r="G4085" s="2" t="s">
        <v>8326</v>
      </c>
      <c r="H4085" s="4" t="n">
        <v>0</v>
      </c>
      <c r="I4085" s="2" t="s">
        <v>18</v>
      </c>
      <c r="J4085" s="2" t="s">
        <v>59</v>
      </c>
      <c r="K4085" s="2" t="n">
        <v>0</v>
      </c>
      <c r="L4085" s="2" t="n">
        <v>1</v>
      </c>
      <c r="M4085" s="2" t="n">
        <v>0</v>
      </c>
    </row>
    <row r="4086" customFormat="false" ht="15" hidden="false" customHeight="false" outlineLevel="0" collapsed="false">
      <c r="A4086" s="2" t="s">
        <v>8420</v>
      </c>
      <c r="B4086" s="2" t="s">
        <v>8421</v>
      </c>
      <c r="C4086" s="2" t="n">
        <v>5</v>
      </c>
      <c r="D4086" s="2" t="s">
        <v>15</v>
      </c>
      <c r="E4086" s="2" t="s">
        <v>8083</v>
      </c>
      <c r="F4086" s="3" t="n">
        <v>46058.5104166667</v>
      </c>
      <c r="G4086" s="2" t="s">
        <v>8326</v>
      </c>
      <c r="H4086" s="4" t="n">
        <v>0</v>
      </c>
      <c r="I4086" s="2" t="s">
        <v>18</v>
      </c>
      <c r="J4086" s="2" t="s">
        <v>19</v>
      </c>
      <c r="K4086" s="2" t="n">
        <v>0</v>
      </c>
      <c r="L4086" s="2" t="n">
        <v>0</v>
      </c>
      <c r="M4086" s="2" t="n">
        <v>0</v>
      </c>
    </row>
    <row r="4087" customFormat="false" ht="15" hidden="false" customHeight="false" outlineLevel="0" collapsed="false">
      <c r="A4087" s="2" t="s">
        <v>8422</v>
      </c>
      <c r="B4087" s="2" t="s">
        <v>8423</v>
      </c>
      <c r="C4087" s="2" t="n">
        <v>4</v>
      </c>
      <c r="D4087" s="2" t="s">
        <v>1996</v>
      </c>
      <c r="E4087" s="2" t="s">
        <v>8083</v>
      </c>
      <c r="F4087" s="3" t="n">
        <v>46058.5590277778</v>
      </c>
      <c r="G4087" s="2" t="s">
        <v>8326</v>
      </c>
      <c r="H4087" s="4" t="n">
        <v>-0.5448</v>
      </c>
      <c r="I4087" s="2" t="s">
        <v>84</v>
      </c>
      <c r="J4087" s="2" t="s">
        <v>33</v>
      </c>
      <c r="K4087" s="2" t="n">
        <v>15</v>
      </c>
      <c r="L4087" s="2" t="n">
        <v>1</v>
      </c>
      <c r="M4087" s="2" t="n">
        <v>0</v>
      </c>
    </row>
    <row r="4088" customFormat="false" ht="15" hidden="false" customHeight="false" outlineLevel="0" collapsed="false">
      <c r="A4088" s="2" t="s">
        <v>8424</v>
      </c>
      <c r="B4088" s="2" t="s">
        <v>8425</v>
      </c>
      <c r="C4088" s="2" t="n">
        <v>5</v>
      </c>
      <c r="D4088" s="2" t="s">
        <v>40</v>
      </c>
      <c r="E4088" s="2" t="s">
        <v>8083</v>
      </c>
      <c r="F4088" s="3" t="n">
        <v>46058.5923611111</v>
      </c>
      <c r="G4088" s="2" t="s">
        <v>8326</v>
      </c>
      <c r="H4088" s="4" t="n">
        <v>0.4019</v>
      </c>
      <c r="I4088" s="2" t="s">
        <v>23</v>
      </c>
      <c r="J4088" s="2" t="s">
        <v>33</v>
      </c>
      <c r="K4088" s="2" t="n">
        <v>8</v>
      </c>
      <c r="L4088" s="2" t="n">
        <v>0</v>
      </c>
      <c r="M4088" s="2" t="n">
        <v>0</v>
      </c>
    </row>
    <row r="4089" customFormat="false" ht="15" hidden="false" customHeight="false" outlineLevel="0" collapsed="false">
      <c r="A4089" s="2" t="s">
        <v>8426</v>
      </c>
      <c r="B4089" s="2" t="s">
        <v>6667</v>
      </c>
      <c r="C4089" s="2" t="n">
        <v>4</v>
      </c>
      <c r="D4089" s="2" t="s">
        <v>96</v>
      </c>
      <c r="E4089" s="2" t="s">
        <v>8083</v>
      </c>
      <c r="F4089" s="3" t="n">
        <v>46058.8138888889</v>
      </c>
      <c r="G4089" s="2" t="s">
        <v>8326</v>
      </c>
      <c r="H4089" s="4" t="n">
        <v>0.6369</v>
      </c>
      <c r="I4089" s="2" t="s">
        <v>23</v>
      </c>
      <c r="J4089" s="2" t="s">
        <v>19</v>
      </c>
      <c r="K4089" s="2" t="n">
        <v>0</v>
      </c>
      <c r="L4089" s="2" t="n">
        <v>0</v>
      </c>
      <c r="M4089" s="2" t="n">
        <v>0</v>
      </c>
    </row>
    <row r="4090" customFormat="false" ht="15" hidden="false" customHeight="false" outlineLevel="0" collapsed="false">
      <c r="A4090" s="2" t="s">
        <v>8427</v>
      </c>
      <c r="B4090" s="2" t="s">
        <v>8428</v>
      </c>
      <c r="C4090" s="2" t="n">
        <v>5</v>
      </c>
      <c r="D4090" s="2" t="s">
        <v>15</v>
      </c>
      <c r="E4090" s="2" t="s">
        <v>8083</v>
      </c>
      <c r="F4090" s="3" t="n">
        <v>46058.8715277778</v>
      </c>
      <c r="G4090" s="2" t="s">
        <v>8326</v>
      </c>
      <c r="H4090" s="4" t="n">
        <v>0</v>
      </c>
      <c r="I4090" s="2" t="s">
        <v>18</v>
      </c>
      <c r="J4090" s="2" t="s">
        <v>19</v>
      </c>
      <c r="K4090" s="2" t="n">
        <v>0</v>
      </c>
      <c r="L4090" s="2" t="n">
        <v>0</v>
      </c>
      <c r="M4090" s="2" t="n">
        <v>0</v>
      </c>
    </row>
    <row r="4091" customFormat="false" ht="15" hidden="false" customHeight="false" outlineLevel="0" collapsed="false">
      <c r="A4091" s="2" t="s">
        <v>8429</v>
      </c>
      <c r="B4091" s="2" t="s">
        <v>8430</v>
      </c>
      <c r="C4091" s="2" t="n">
        <v>5</v>
      </c>
      <c r="D4091" s="2" t="s">
        <v>52</v>
      </c>
      <c r="E4091" s="2" t="s">
        <v>8083</v>
      </c>
      <c r="F4091" s="3" t="n">
        <v>46059.0458333333</v>
      </c>
      <c r="G4091" s="2" t="s">
        <v>8326</v>
      </c>
      <c r="H4091" s="4" t="n">
        <v>0.6369</v>
      </c>
      <c r="I4091" s="2" t="s">
        <v>23</v>
      </c>
      <c r="J4091" s="2" t="s">
        <v>19</v>
      </c>
      <c r="K4091" s="2" t="n">
        <v>7</v>
      </c>
      <c r="L4091" s="2" t="n">
        <v>1</v>
      </c>
      <c r="M4091" s="2" t="n">
        <v>0</v>
      </c>
    </row>
    <row r="4092" customFormat="false" ht="15" hidden="false" customHeight="false" outlineLevel="0" collapsed="false">
      <c r="A4092" s="2" t="s">
        <v>8431</v>
      </c>
      <c r="B4092" s="2" t="s">
        <v>8432</v>
      </c>
      <c r="C4092" s="2" t="n">
        <v>5</v>
      </c>
      <c r="D4092" s="2" t="s">
        <v>1622</v>
      </c>
      <c r="E4092" s="2" t="s">
        <v>8083</v>
      </c>
      <c r="F4092" s="3" t="n">
        <v>46059.1652777778</v>
      </c>
      <c r="G4092" s="2" t="s">
        <v>8326</v>
      </c>
      <c r="H4092" s="4" t="n">
        <v>0.8555</v>
      </c>
      <c r="I4092" s="2" t="s">
        <v>23</v>
      </c>
      <c r="J4092" s="2" t="s">
        <v>19</v>
      </c>
      <c r="K4092" s="2" t="n">
        <v>0</v>
      </c>
      <c r="L4092" s="2" t="n">
        <v>0</v>
      </c>
      <c r="M4092" s="2" t="n">
        <v>0</v>
      </c>
    </row>
    <row r="4093" customFormat="false" ht="15" hidden="false" customHeight="false" outlineLevel="0" collapsed="false">
      <c r="A4093" s="2" t="s">
        <v>8433</v>
      </c>
      <c r="B4093" s="2" t="s">
        <v>8434</v>
      </c>
      <c r="C4093" s="2" t="n">
        <v>5</v>
      </c>
      <c r="D4093" s="2" t="s">
        <v>127</v>
      </c>
      <c r="E4093" s="2" t="s">
        <v>8083</v>
      </c>
      <c r="F4093" s="3" t="n">
        <v>46059.2861111111</v>
      </c>
      <c r="G4093" s="2" t="s">
        <v>8326</v>
      </c>
      <c r="H4093" s="4" t="n">
        <v>0.9359</v>
      </c>
      <c r="I4093" s="2" t="s">
        <v>23</v>
      </c>
      <c r="J4093" s="2" t="s">
        <v>37</v>
      </c>
      <c r="K4093" s="2" t="n">
        <v>1</v>
      </c>
      <c r="L4093" s="2" t="n">
        <v>0</v>
      </c>
      <c r="M4093" s="2" t="n">
        <v>0</v>
      </c>
    </row>
    <row r="4094" customFormat="false" ht="15" hidden="false" customHeight="false" outlineLevel="0" collapsed="false">
      <c r="A4094" s="2" t="s">
        <v>8435</v>
      </c>
      <c r="B4094" s="2" t="s">
        <v>8436</v>
      </c>
      <c r="C4094" s="2" t="n">
        <v>5</v>
      </c>
      <c r="D4094" s="2" t="s">
        <v>62</v>
      </c>
      <c r="E4094" s="2" t="s">
        <v>8083</v>
      </c>
      <c r="F4094" s="3" t="n">
        <v>46059.3395833333</v>
      </c>
      <c r="G4094" s="2" t="s">
        <v>8326</v>
      </c>
      <c r="H4094" s="4" t="n">
        <v>0.7088</v>
      </c>
      <c r="I4094" s="2" t="s">
        <v>23</v>
      </c>
      <c r="J4094" s="2" t="s">
        <v>19</v>
      </c>
      <c r="K4094" s="2" t="n">
        <v>3</v>
      </c>
      <c r="L4094" s="2" t="n">
        <v>0</v>
      </c>
      <c r="M4094" s="2" t="n">
        <v>0</v>
      </c>
    </row>
    <row r="4095" customFormat="false" ht="15" hidden="false" customHeight="false" outlineLevel="0" collapsed="false">
      <c r="A4095" s="2" t="s">
        <v>8437</v>
      </c>
      <c r="B4095" s="2" t="s">
        <v>8438</v>
      </c>
      <c r="C4095" s="2" t="n">
        <v>4</v>
      </c>
      <c r="D4095" s="2" t="s">
        <v>301</v>
      </c>
      <c r="E4095" s="2" t="s">
        <v>8083</v>
      </c>
      <c r="F4095" s="3" t="n">
        <v>46059.4048611111</v>
      </c>
      <c r="G4095" s="2" t="s">
        <v>8326</v>
      </c>
      <c r="H4095" s="4" t="n">
        <v>0.2263</v>
      </c>
      <c r="I4095" s="2" t="s">
        <v>23</v>
      </c>
      <c r="J4095" s="2" t="s">
        <v>19</v>
      </c>
      <c r="K4095" s="2" t="n">
        <v>0</v>
      </c>
      <c r="L4095" s="2" t="n">
        <v>0</v>
      </c>
      <c r="M4095" s="2" t="n">
        <v>0</v>
      </c>
    </row>
    <row r="4096" customFormat="false" ht="15" hidden="false" customHeight="false" outlineLevel="0" collapsed="false">
      <c r="A4096" s="2" t="s">
        <v>8439</v>
      </c>
      <c r="B4096" s="2" t="s">
        <v>8440</v>
      </c>
      <c r="C4096" s="2" t="n">
        <v>4</v>
      </c>
      <c r="D4096" s="2" t="s">
        <v>96</v>
      </c>
      <c r="E4096" s="2" t="s">
        <v>8083</v>
      </c>
      <c r="F4096" s="3" t="n">
        <v>46059.4375</v>
      </c>
      <c r="G4096" s="2" t="s">
        <v>8326</v>
      </c>
      <c r="H4096" s="4" t="n">
        <v>0.6369</v>
      </c>
      <c r="I4096" s="2" t="s">
        <v>23</v>
      </c>
      <c r="J4096" s="2" t="s">
        <v>19</v>
      </c>
      <c r="K4096" s="2" t="n">
        <v>0</v>
      </c>
      <c r="L4096" s="2" t="n">
        <v>0</v>
      </c>
      <c r="M4096" s="2" t="n">
        <v>0</v>
      </c>
    </row>
    <row r="4097" customFormat="false" ht="15" hidden="false" customHeight="false" outlineLevel="0" collapsed="false">
      <c r="A4097" s="2" t="s">
        <v>8441</v>
      </c>
      <c r="B4097" s="2" t="s">
        <v>8442</v>
      </c>
      <c r="C4097" s="2" t="n">
        <v>5</v>
      </c>
      <c r="D4097" s="2" t="s">
        <v>47</v>
      </c>
      <c r="E4097" s="2" t="s">
        <v>8083</v>
      </c>
      <c r="F4097" s="3" t="n">
        <v>46059.6583333333</v>
      </c>
      <c r="G4097" s="2" t="s">
        <v>8326</v>
      </c>
      <c r="H4097" s="4" t="n">
        <v>0.3089</v>
      </c>
      <c r="I4097" s="2" t="s">
        <v>23</v>
      </c>
      <c r="J4097" s="2" t="s">
        <v>19</v>
      </c>
      <c r="K4097" s="2" t="n">
        <v>3</v>
      </c>
      <c r="L4097" s="2" t="n">
        <v>0</v>
      </c>
      <c r="M4097" s="2" t="n">
        <v>0</v>
      </c>
    </row>
    <row r="4098" customFormat="false" ht="15" hidden="false" customHeight="false" outlineLevel="0" collapsed="false">
      <c r="A4098" s="2" t="s">
        <v>8443</v>
      </c>
      <c r="B4098" s="2" t="s">
        <v>8444</v>
      </c>
      <c r="C4098" s="2" t="n">
        <v>1</v>
      </c>
      <c r="D4098" s="2" t="s">
        <v>3968</v>
      </c>
      <c r="E4098" s="2" t="s">
        <v>8083</v>
      </c>
      <c r="F4098" s="3" t="n">
        <v>46060.0416666667</v>
      </c>
      <c r="G4098" s="2" t="s">
        <v>8326</v>
      </c>
      <c r="H4098" s="4" t="n">
        <v>0.4404</v>
      </c>
      <c r="I4098" s="2" t="s">
        <v>23</v>
      </c>
      <c r="J4098" s="2" t="s">
        <v>59</v>
      </c>
      <c r="K4098" s="2" t="n">
        <v>0</v>
      </c>
      <c r="L4098" s="2" t="n">
        <v>0</v>
      </c>
      <c r="M4098" s="2" t="n">
        <v>0</v>
      </c>
    </row>
    <row r="4099" customFormat="false" ht="15" hidden="false" customHeight="false" outlineLevel="0" collapsed="false">
      <c r="A4099" s="2" t="s">
        <v>8445</v>
      </c>
      <c r="B4099" s="2" t="s">
        <v>8446</v>
      </c>
      <c r="C4099" s="2" t="n">
        <v>5</v>
      </c>
      <c r="D4099" s="2" t="s">
        <v>62</v>
      </c>
      <c r="E4099" s="2" t="s">
        <v>8083</v>
      </c>
      <c r="F4099" s="3" t="n">
        <v>46060.2118055556</v>
      </c>
      <c r="G4099" s="2" t="s">
        <v>8326</v>
      </c>
      <c r="H4099" s="4" t="n">
        <v>0.7088</v>
      </c>
      <c r="I4099" s="2" t="s">
        <v>23</v>
      </c>
      <c r="J4099" s="2" t="s">
        <v>19</v>
      </c>
      <c r="K4099" s="2" t="n">
        <v>8</v>
      </c>
      <c r="L4099" s="2" t="n">
        <v>0</v>
      </c>
      <c r="M4099" s="2" t="n">
        <v>0</v>
      </c>
    </row>
    <row r="4100" customFormat="false" ht="15" hidden="false" customHeight="false" outlineLevel="0" collapsed="false">
      <c r="A4100" s="2" t="s">
        <v>8447</v>
      </c>
      <c r="B4100" s="2" t="s">
        <v>8448</v>
      </c>
      <c r="C4100" s="2" t="n">
        <v>4</v>
      </c>
      <c r="D4100" s="2" t="s">
        <v>127</v>
      </c>
      <c r="E4100" s="2" t="s">
        <v>8083</v>
      </c>
      <c r="F4100" s="3" t="n">
        <v>46060.3215277778</v>
      </c>
      <c r="G4100" s="2" t="s">
        <v>8326</v>
      </c>
      <c r="H4100" s="4" t="n">
        <v>0.9359</v>
      </c>
      <c r="I4100" s="2" t="s">
        <v>23</v>
      </c>
      <c r="J4100" s="2" t="s">
        <v>37</v>
      </c>
      <c r="K4100" s="2" t="n">
        <v>1</v>
      </c>
      <c r="L4100" s="2" t="n">
        <v>0</v>
      </c>
      <c r="M4100" s="2" t="n">
        <v>0</v>
      </c>
    </row>
    <row r="4101" customFormat="false" ht="15" hidden="false" customHeight="false" outlineLevel="0" collapsed="false">
      <c r="A4101" s="2" t="s">
        <v>8449</v>
      </c>
      <c r="B4101" s="2" t="s">
        <v>8450</v>
      </c>
      <c r="C4101" s="2" t="n">
        <v>4</v>
      </c>
      <c r="D4101" s="2" t="s">
        <v>2109</v>
      </c>
      <c r="E4101" s="2" t="s">
        <v>8083</v>
      </c>
      <c r="F4101" s="3" t="n">
        <v>46060.4993055556</v>
      </c>
      <c r="G4101" s="2" t="s">
        <v>8326</v>
      </c>
      <c r="H4101" s="4" t="n">
        <v>0</v>
      </c>
      <c r="I4101" s="2" t="s">
        <v>18</v>
      </c>
      <c r="J4101" s="2" t="s">
        <v>19</v>
      </c>
      <c r="K4101" s="2" t="n">
        <v>7</v>
      </c>
      <c r="L4101" s="2" t="n">
        <v>0</v>
      </c>
      <c r="M4101" s="2" t="n">
        <v>0</v>
      </c>
    </row>
    <row r="4102" customFormat="false" ht="15" hidden="false" customHeight="false" outlineLevel="0" collapsed="false">
      <c r="A4102" s="2" t="s">
        <v>8451</v>
      </c>
      <c r="B4102" s="2" t="s">
        <v>8452</v>
      </c>
      <c r="C4102" s="2" t="n">
        <v>1</v>
      </c>
      <c r="D4102" s="2" t="s">
        <v>591</v>
      </c>
      <c r="E4102" s="2" t="s">
        <v>8083</v>
      </c>
      <c r="F4102" s="3" t="n">
        <v>46060.5291666667</v>
      </c>
      <c r="G4102" s="2" t="s">
        <v>8326</v>
      </c>
      <c r="H4102" s="4" t="n">
        <v>0</v>
      </c>
      <c r="I4102" s="2" t="s">
        <v>18</v>
      </c>
      <c r="J4102" s="2" t="s">
        <v>37</v>
      </c>
      <c r="K4102" s="2" t="n">
        <v>0</v>
      </c>
      <c r="L4102" s="2" t="n">
        <v>1</v>
      </c>
      <c r="M4102" s="2" t="n">
        <v>0</v>
      </c>
    </row>
    <row r="4103" customFormat="false" ht="15" hidden="false" customHeight="false" outlineLevel="0" collapsed="false">
      <c r="A4103" s="2" t="s">
        <v>8453</v>
      </c>
      <c r="B4103" s="2" t="s">
        <v>8454</v>
      </c>
      <c r="C4103" s="2" t="n">
        <v>3</v>
      </c>
      <c r="D4103" s="2" t="s">
        <v>301</v>
      </c>
      <c r="E4103" s="2" t="s">
        <v>8083</v>
      </c>
      <c r="F4103" s="3" t="n">
        <v>46060.5451388889</v>
      </c>
      <c r="G4103" s="2" t="s">
        <v>8326</v>
      </c>
      <c r="H4103" s="4" t="n">
        <v>0.2263</v>
      </c>
      <c r="I4103" s="2" t="s">
        <v>23</v>
      </c>
      <c r="J4103" s="2" t="s">
        <v>19</v>
      </c>
      <c r="K4103" s="2" t="n">
        <v>4</v>
      </c>
      <c r="L4103" s="2" t="n">
        <v>0</v>
      </c>
      <c r="M4103" s="2" t="n">
        <v>0</v>
      </c>
    </row>
    <row r="4104" customFormat="false" ht="15" hidden="false" customHeight="false" outlineLevel="0" collapsed="false">
      <c r="A4104" s="2" t="s">
        <v>8455</v>
      </c>
      <c r="B4104" s="2" t="s">
        <v>8456</v>
      </c>
      <c r="C4104" s="2" t="n">
        <v>2</v>
      </c>
      <c r="D4104" s="2" t="s">
        <v>231</v>
      </c>
      <c r="E4104" s="2" t="s">
        <v>8083</v>
      </c>
      <c r="F4104" s="3" t="n">
        <v>46060.5569444444</v>
      </c>
      <c r="G4104" s="2" t="s">
        <v>8326</v>
      </c>
      <c r="H4104" s="4" t="n">
        <v>-0.3593</v>
      </c>
      <c r="I4104" s="2" t="s">
        <v>84</v>
      </c>
      <c r="J4104" s="2" t="s">
        <v>33</v>
      </c>
      <c r="K4104" s="2" t="n">
        <v>2</v>
      </c>
      <c r="L4104" s="2" t="n">
        <v>1</v>
      </c>
      <c r="M4104" s="2" t="n">
        <v>0</v>
      </c>
    </row>
    <row r="4105" customFormat="false" ht="15" hidden="false" customHeight="false" outlineLevel="0" collapsed="false">
      <c r="A4105" s="2" t="s">
        <v>8457</v>
      </c>
      <c r="B4105" s="2" t="s">
        <v>8458</v>
      </c>
      <c r="C4105" s="2" t="n">
        <v>1</v>
      </c>
      <c r="D4105" s="2" t="s">
        <v>231</v>
      </c>
      <c r="E4105" s="2" t="s">
        <v>8083</v>
      </c>
      <c r="F4105" s="3" t="n">
        <v>46060.5680555556</v>
      </c>
      <c r="G4105" s="2" t="s">
        <v>8326</v>
      </c>
      <c r="H4105" s="4" t="n">
        <v>-0.3593</v>
      </c>
      <c r="I4105" s="2" t="s">
        <v>84</v>
      </c>
      <c r="J4105" s="2" t="s">
        <v>33</v>
      </c>
      <c r="K4105" s="2" t="n">
        <v>7</v>
      </c>
      <c r="L4105" s="2" t="n">
        <v>0</v>
      </c>
      <c r="M4105" s="2" t="n">
        <v>0</v>
      </c>
    </row>
    <row r="4106" customFormat="false" ht="15" hidden="false" customHeight="false" outlineLevel="0" collapsed="false">
      <c r="A4106" s="2" t="s">
        <v>8459</v>
      </c>
      <c r="B4106" s="2" t="s">
        <v>8460</v>
      </c>
      <c r="C4106" s="2" t="n">
        <v>4</v>
      </c>
      <c r="D4106" s="2" t="s">
        <v>15</v>
      </c>
      <c r="E4106" s="2" t="s">
        <v>8083</v>
      </c>
      <c r="F4106" s="3" t="n">
        <v>46060.6659722222</v>
      </c>
      <c r="G4106" s="2" t="s">
        <v>8326</v>
      </c>
      <c r="H4106" s="4" t="n">
        <v>0</v>
      </c>
      <c r="I4106" s="2" t="s">
        <v>18</v>
      </c>
      <c r="J4106" s="2" t="s">
        <v>19</v>
      </c>
      <c r="K4106" s="2" t="n">
        <v>3</v>
      </c>
      <c r="L4106" s="2" t="n">
        <v>0</v>
      </c>
      <c r="M4106" s="2" t="n">
        <v>0</v>
      </c>
    </row>
    <row r="4107" customFormat="false" ht="15" hidden="false" customHeight="false" outlineLevel="0" collapsed="false">
      <c r="A4107" s="2" t="s">
        <v>8461</v>
      </c>
      <c r="B4107" s="2" t="s">
        <v>8462</v>
      </c>
      <c r="C4107" s="2" t="n">
        <v>4</v>
      </c>
      <c r="D4107" s="2" t="s">
        <v>96</v>
      </c>
      <c r="E4107" s="2" t="s">
        <v>8083</v>
      </c>
      <c r="F4107" s="3" t="n">
        <v>46060.7368055556</v>
      </c>
      <c r="G4107" s="2" t="s">
        <v>8326</v>
      </c>
      <c r="H4107" s="4" t="n">
        <v>0.6369</v>
      </c>
      <c r="I4107" s="2" t="s">
        <v>23</v>
      </c>
      <c r="J4107" s="2" t="s">
        <v>19</v>
      </c>
      <c r="K4107" s="2" t="n">
        <v>0</v>
      </c>
      <c r="L4107" s="2" t="n">
        <v>0</v>
      </c>
      <c r="M4107" s="2" t="n">
        <v>0</v>
      </c>
    </row>
    <row r="4108" customFormat="false" ht="15" hidden="false" customHeight="false" outlineLevel="0" collapsed="false">
      <c r="A4108" s="2" t="s">
        <v>8463</v>
      </c>
      <c r="B4108" s="2" t="s">
        <v>8464</v>
      </c>
      <c r="C4108" s="2" t="n">
        <v>5</v>
      </c>
      <c r="D4108" s="2" t="s">
        <v>40</v>
      </c>
      <c r="E4108" s="2" t="s">
        <v>8083</v>
      </c>
      <c r="F4108" s="3" t="n">
        <v>46060.7715277778</v>
      </c>
      <c r="G4108" s="2" t="s">
        <v>8326</v>
      </c>
      <c r="H4108" s="4" t="n">
        <v>0.4019</v>
      </c>
      <c r="I4108" s="2" t="s">
        <v>23</v>
      </c>
      <c r="J4108" s="2" t="s">
        <v>33</v>
      </c>
      <c r="K4108" s="2" t="n">
        <v>2</v>
      </c>
      <c r="L4108" s="2" t="n">
        <v>0</v>
      </c>
      <c r="M4108" s="2" t="n">
        <v>0</v>
      </c>
    </row>
    <row r="4109" customFormat="false" ht="15" hidden="false" customHeight="false" outlineLevel="0" collapsed="false">
      <c r="A4109" s="2" t="s">
        <v>8465</v>
      </c>
      <c r="B4109" s="2" t="s">
        <v>8466</v>
      </c>
      <c r="C4109" s="2" t="n">
        <v>3</v>
      </c>
      <c r="D4109" s="2" t="s">
        <v>22</v>
      </c>
      <c r="E4109" s="2" t="s">
        <v>8083</v>
      </c>
      <c r="F4109" s="3" t="n">
        <v>46060.7833333333</v>
      </c>
      <c r="G4109" s="2" t="s">
        <v>8326</v>
      </c>
      <c r="H4109" s="4" t="n">
        <v>0.2023</v>
      </c>
      <c r="I4109" s="2" t="s">
        <v>23</v>
      </c>
      <c r="J4109" s="2" t="s">
        <v>19</v>
      </c>
      <c r="K4109" s="2" t="n">
        <v>5</v>
      </c>
      <c r="L4109" s="2" t="n">
        <v>0</v>
      </c>
      <c r="M4109" s="2" t="n">
        <v>0</v>
      </c>
    </row>
    <row r="4110" customFormat="false" ht="15" hidden="false" customHeight="false" outlineLevel="0" collapsed="false">
      <c r="A4110" s="2" t="s">
        <v>8467</v>
      </c>
      <c r="B4110" s="2" t="s">
        <v>8468</v>
      </c>
      <c r="C4110" s="2" t="n">
        <v>5</v>
      </c>
      <c r="D4110" s="2" t="s">
        <v>8469</v>
      </c>
      <c r="E4110" s="2" t="s">
        <v>8083</v>
      </c>
      <c r="F4110" s="3" t="n">
        <v>46060.8965277778</v>
      </c>
      <c r="G4110" s="2" t="s">
        <v>8326</v>
      </c>
      <c r="H4110" s="4" t="n">
        <v>0.7992</v>
      </c>
      <c r="I4110" s="2" t="s">
        <v>23</v>
      </c>
      <c r="J4110" s="2" t="s">
        <v>19</v>
      </c>
      <c r="K4110" s="2" t="n">
        <v>0</v>
      </c>
      <c r="L4110" s="2" t="n">
        <v>0</v>
      </c>
      <c r="M4110" s="2" t="n">
        <v>0</v>
      </c>
    </row>
    <row r="4111" customFormat="false" ht="15" hidden="false" customHeight="false" outlineLevel="0" collapsed="false">
      <c r="A4111" s="2" t="s">
        <v>8470</v>
      </c>
      <c r="B4111" s="2" t="s">
        <v>8471</v>
      </c>
      <c r="C4111" s="2" t="n">
        <v>4</v>
      </c>
      <c r="D4111" s="2" t="s">
        <v>875</v>
      </c>
      <c r="E4111" s="2" t="s">
        <v>8083</v>
      </c>
      <c r="F4111" s="3" t="n">
        <v>46061.0381944445</v>
      </c>
      <c r="G4111" s="2" t="s">
        <v>8326</v>
      </c>
      <c r="H4111" s="4" t="n">
        <v>0.7992</v>
      </c>
      <c r="I4111" s="2" t="s">
        <v>23</v>
      </c>
      <c r="J4111" s="2" t="s">
        <v>19</v>
      </c>
      <c r="K4111" s="2" t="n">
        <v>2</v>
      </c>
      <c r="L4111" s="2" t="n">
        <v>0</v>
      </c>
      <c r="M4111" s="2" t="n">
        <v>0</v>
      </c>
    </row>
    <row r="4112" customFormat="false" ht="15" hidden="false" customHeight="false" outlineLevel="0" collapsed="false">
      <c r="A4112" s="2" t="s">
        <v>8472</v>
      </c>
      <c r="B4112" s="2" t="s">
        <v>8473</v>
      </c>
      <c r="C4112" s="2" t="n">
        <v>5</v>
      </c>
      <c r="D4112" s="2" t="s">
        <v>52</v>
      </c>
      <c r="E4112" s="2" t="s">
        <v>8083</v>
      </c>
      <c r="F4112" s="3" t="n">
        <v>46061.1291666667</v>
      </c>
      <c r="G4112" s="2" t="s">
        <v>8326</v>
      </c>
      <c r="H4112" s="4" t="n">
        <v>0.6369</v>
      </c>
      <c r="I4112" s="2" t="s">
        <v>23</v>
      </c>
      <c r="J4112" s="2" t="s">
        <v>19</v>
      </c>
      <c r="K4112" s="2" t="n">
        <v>3</v>
      </c>
      <c r="L4112" s="2" t="n">
        <v>0</v>
      </c>
      <c r="M4112" s="2" t="n">
        <v>0</v>
      </c>
    </row>
    <row r="4113" customFormat="false" ht="15" hidden="false" customHeight="false" outlineLevel="0" collapsed="false">
      <c r="A4113" s="2" t="s">
        <v>8474</v>
      </c>
      <c r="B4113" s="2" t="s">
        <v>8475</v>
      </c>
      <c r="C4113" s="2" t="n">
        <v>2</v>
      </c>
      <c r="D4113" s="2" t="s">
        <v>179</v>
      </c>
      <c r="E4113" s="2" t="s">
        <v>8083</v>
      </c>
      <c r="F4113" s="3" t="n">
        <v>46061.1569444445</v>
      </c>
      <c r="G4113" s="2" t="s">
        <v>8326</v>
      </c>
      <c r="H4113" s="4" t="n">
        <v>-0.0258</v>
      </c>
      <c r="I4113" s="2" t="s">
        <v>18</v>
      </c>
      <c r="J4113" s="2" t="s">
        <v>59</v>
      </c>
      <c r="K4113" s="2" t="n">
        <v>9</v>
      </c>
      <c r="L4113" s="2" t="n">
        <v>1</v>
      </c>
      <c r="M4113" s="2" t="n">
        <v>0</v>
      </c>
    </row>
    <row r="4114" customFormat="false" ht="15" hidden="false" customHeight="false" outlineLevel="0" collapsed="false">
      <c r="A4114" s="2" t="s">
        <v>8476</v>
      </c>
      <c r="B4114" s="2" t="s">
        <v>8477</v>
      </c>
      <c r="C4114" s="2" t="n">
        <v>3</v>
      </c>
      <c r="D4114" s="2" t="s">
        <v>22</v>
      </c>
      <c r="E4114" s="2" t="s">
        <v>8083</v>
      </c>
      <c r="F4114" s="3" t="n">
        <v>46061.1798611111</v>
      </c>
      <c r="G4114" s="2" t="s">
        <v>8326</v>
      </c>
      <c r="H4114" s="4" t="n">
        <v>0.2023</v>
      </c>
      <c r="I4114" s="2" t="s">
        <v>23</v>
      </c>
      <c r="J4114" s="2" t="s">
        <v>19</v>
      </c>
      <c r="K4114" s="2" t="n">
        <v>8</v>
      </c>
      <c r="L4114" s="2" t="n">
        <v>1</v>
      </c>
      <c r="M4114" s="2" t="n">
        <v>0</v>
      </c>
    </row>
    <row r="4115" customFormat="false" ht="15" hidden="false" customHeight="false" outlineLevel="0" collapsed="false">
      <c r="A4115" s="2" t="s">
        <v>8478</v>
      </c>
      <c r="B4115" s="2" t="s">
        <v>8479</v>
      </c>
      <c r="C4115" s="2" t="n">
        <v>3</v>
      </c>
      <c r="D4115" s="2" t="s">
        <v>1034</v>
      </c>
      <c r="E4115" s="2" t="s">
        <v>8083</v>
      </c>
      <c r="F4115" s="3" t="n">
        <v>46061.2333333333</v>
      </c>
      <c r="G4115" s="2" t="s">
        <v>8326</v>
      </c>
      <c r="H4115" s="4" t="n">
        <v>0</v>
      </c>
      <c r="I4115" s="2" t="s">
        <v>18</v>
      </c>
      <c r="J4115" s="2" t="s">
        <v>110</v>
      </c>
      <c r="K4115" s="2" t="n">
        <v>3</v>
      </c>
      <c r="L4115" s="2" t="n">
        <v>0</v>
      </c>
      <c r="M4115" s="2" t="n">
        <v>0</v>
      </c>
    </row>
    <row r="4116" customFormat="false" ht="15" hidden="false" customHeight="false" outlineLevel="0" collapsed="false">
      <c r="A4116" s="2" t="s">
        <v>8480</v>
      </c>
      <c r="B4116" s="2" t="s">
        <v>8481</v>
      </c>
      <c r="C4116" s="2" t="n">
        <v>5</v>
      </c>
      <c r="D4116" s="2" t="s">
        <v>47</v>
      </c>
      <c r="E4116" s="2" t="s">
        <v>8083</v>
      </c>
      <c r="F4116" s="3" t="n">
        <v>46061.2701388889</v>
      </c>
      <c r="G4116" s="2" t="s">
        <v>8326</v>
      </c>
      <c r="H4116" s="4" t="n">
        <v>0.3089</v>
      </c>
      <c r="I4116" s="2" t="s">
        <v>23</v>
      </c>
      <c r="J4116" s="2" t="s">
        <v>19</v>
      </c>
      <c r="K4116" s="2" t="n">
        <v>0</v>
      </c>
      <c r="L4116" s="2" t="n">
        <v>0</v>
      </c>
      <c r="M4116" s="2" t="n">
        <v>0</v>
      </c>
    </row>
    <row r="4117" customFormat="false" ht="15" hidden="false" customHeight="false" outlineLevel="0" collapsed="false">
      <c r="A4117" s="2" t="s">
        <v>8482</v>
      </c>
      <c r="B4117" s="2" t="s">
        <v>8483</v>
      </c>
      <c r="C4117" s="2" t="n">
        <v>5</v>
      </c>
      <c r="D4117" s="2" t="s">
        <v>1878</v>
      </c>
      <c r="E4117" s="2" t="s">
        <v>8083</v>
      </c>
      <c r="F4117" s="3" t="n">
        <v>46061.4416666667</v>
      </c>
      <c r="G4117" s="2" t="s">
        <v>8326</v>
      </c>
      <c r="H4117" s="4" t="n">
        <v>0.9516</v>
      </c>
      <c r="I4117" s="2" t="s">
        <v>23</v>
      </c>
      <c r="J4117" s="2" t="s">
        <v>37</v>
      </c>
      <c r="K4117" s="2" t="n">
        <v>2</v>
      </c>
      <c r="L4117" s="2" t="n">
        <v>0</v>
      </c>
      <c r="M4117" s="2" t="n">
        <v>0</v>
      </c>
    </row>
    <row r="4118" customFormat="false" ht="15" hidden="false" customHeight="false" outlineLevel="0" collapsed="false">
      <c r="A4118" s="2" t="s">
        <v>8484</v>
      </c>
      <c r="B4118" s="2" t="s">
        <v>8485</v>
      </c>
      <c r="C4118" s="2" t="n">
        <v>1</v>
      </c>
      <c r="D4118" s="2" t="s">
        <v>179</v>
      </c>
      <c r="E4118" s="2" t="s">
        <v>8083</v>
      </c>
      <c r="F4118" s="3" t="n">
        <v>46061.4486111111</v>
      </c>
      <c r="G4118" s="2" t="s">
        <v>8326</v>
      </c>
      <c r="H4118" s="4" t="n">
        <v>-0.0258</v>
      </c>
      <c r="I4118" s="2" t="s">
        <v>18</v>
      </c>
      <c r="J4118" s="2" t="s">
        <v>59</v>
      </c>
      <c r="K4118" s="2" t="n">
        <v>0</v>
      </c>
      <c r="L4118" s="2" t="n">
        <v>1</v>
      </c>
      <c r="M4118" s="2" t="n">
        <v>0</v>
      </c>
    </row>
    <row r="4119" customFormat="false" ht="15" hidden="false" customHeight="false" outlineLevel="0" collapsed="false">
      <c r="A4119" s="2" t="s">
        <v>8486</v>
      </c>
      <c r="B4119" s="2" t="s">
        <v>8487</v>
      </c>
      <c r="C4119" s="2" t="n">
        <v>5</v>
      </c>
      <c r="D4119" s="2" t="s">
        <v>47</v>
      </c>
      <c r="E4119" s="2" t="s">
        <v>8083</v>
      </c>
      <c r="F4119" s="3" t="n">
        <v>46061.46875</v>
      </c>
      <c r="G4119" s="2" t="s">
        <v>8326</v>
      </c>
      <c r="H4119" s="4" t="n">
        <v>0.3089</v>
      </c>
      <c r="I4119" s="2" t="s">
        <v>23</v>
      </c>
      <c r="J4119" s="2" t="s">
        <v>19</v>
      </c>
      <c r="K4119" s="2" t="n">
        <v>2</v>
      </c>
      <c r="L4119" s="2" t="n">
        <v>0</v>
      </c>
      <c r="M4119" s="2" t="n">
        <v>0</v>
      </c>
    </row>
    <row r="4120" customFormat="false" ht="15" hidden="false" customHeight="false" outlineLevel="0" collapsed="false">
      <c r="A4120" s="2" t="s">
        <v>8488</v>
      </c>
      <c r="B4120" s="2" t="s">
        <v>8489</v>
      </c>
      <c r="C4120" s="2" t="n">
        <v>3</v>
      </c>
      <c r="D4120" s="2" t="s">
        <v>87</v>
      </c>
      <c r="E4120" s="2" t="s">
        <v>8083</v>
      </c>
      <c r="F4120" s="3" t="n">
        <v>46061.5430555556</v>
      </c>
      <c r="G4120" s="2" t="s">
        <v>8326</v>
      </c>
      <c r="H4120" s="4" t="n">
        <v>0</v>
      </c>
      <c r="I4120" s="2" t="s">
        <v>18</v>
      </c>
      <c r="J4120" s="2" t="s">
        <v>19</v>
      </c>
      <c r="K4120" s="2" t="n">
        <v>14</v>
      </c>
      <c r="L4120" s="2" t="n">
        <v>0</v>
      </c>
      <c r="M4120" s="2" t="n">
        <v>0</v>
      </c>
    </row>
    <row r="4121" customFormat="false" ht="15" hidden="false" customHeight="false" outlineLevel="0" collapsed="false">
      <c r="A4121" s="2" t="s">
        <v>8490</v>
      </c>
      <c r="B4121" s="2" t="s">
        <v>8491</v>
      </c>
      <c r="C4121" s="2" t="n">
        <v>5</v>
      </c>
      <c r="D4121" s="2" t="s">
        <v>96</v>
      </c>
      <c r="E4121" s="2" t="s">
        <v>8083</v>
      </c>
      <c r="F4121" s="3" t="n">
        <v>46061.5770833333</v>
      </c>
      <c r="G4121" s="2" t="s">
        <v>8326</v>
      </c>
      <c r="H4121" s="4" t="n">
        <v>0.6369</v>
      </c>
      <c r="I4121" s="2" t="s">
        <v>23</v>
      </c>
      <c r="J4121" s="2" t="s">
        <v>19</v>
      </c>
      <c r="K4121" s="2" t="n">
        <v>4</v>
      </c>
      <c r="L4121" s="2" t="n">
        <v>0</v>
      </c>
      <c r="M4121" s="2" t="n">
        <v>0</v>
      </c>
    </row>
    <row r="4122" customFormat="false" ht="15" hidden="false" customHeight="false" outlineLevel="0" collapsed="false">
      <c r="A4122" s="2" t="s">
        <v>8492</v>
      </c>
      <c r="B4122" s="2" t="s">
        <v>4842</v>
      </c>
      <c r="C4122" s="2" t="n">
        <v>2</v>
      </c>
      <c r="D4122" s="2" t="s">
        <v>295</v>
      </c>
      <c r="E4122" s="2" t="s">
        <v>8083</v>
      </c>
      <c r="F4122" s="3" t="n">
        <v>46061.6583333333</v>
      </c>
      <c r="G4122" s="2" t="s">
        <v>8326</v>
      </c>
      <c r="H4122" s="4" t="n">
        <v>-0.5023</v>
      </c>
      <c r="I4122" s="2" t="s">
        <v>84</v>
      </c>
      <c r="J4122" s="2" t="s">
        <v>33</v>
      </c>
      <c r="K4122" s="2" t="n">
        <v>3</v>
      </c>
      <c r="L4122" s="2" t="n">
        <v>0</v>
      </c>
      <c r="M4122" s="2" t="n">
        <v>0</v>
      </c>
    </row>
    <row r="4123" customFormat="false" ht="15" hidden="false" customHeight="false" outlineLevel="0" collapsed="false">
      <c r="A4123" s="2" t="s">
        <v>8493</v>
      </c>
      <c r="B4123" s="2" t="s">
        <v>8494</v>
      </c>
      <c r="C4123" s="2" t="n">
        <v>5</v>
      </c>
      <c r="D4123" s="2" t="s">
        <v>1222</v>
      </c>
      <c r="E4123" s="2" t="s">
        <v>8083</v>
      </c>
      <c r="F4123" s="3" t="n">
        <v>46061.7402777778</v>
      </c>
      <c r="G4123" s="2" t="s">
        <v>8326</v>
      </c>
      <c r="H4123" s="4" t="n">
        <v>0.8221</v>
      </c>
      <c r="I4123" s="2" t="s">
        <v>23</v>
      </c>
      <c r="J4123" s="2" t="s">
        <v>33</v>
      </c>
      <c r="K4123" s="2" t="n">
        <v>6</v>
      </c>
      <c r="L4123" s="2" t="n">
        <v>0</v>
      </c>
      <c r="M4123" s="2" t="n">
        <v>0</v>
      </c>
    </row>
    <row r="4124" customFormat="false" ht="15" hidden="false" customHeight="false" outlineLevel="0" collapsed="false">
      <c r="A4124" s="2" t="s">
        <v>8495</v>
      </c>
      <c r="B4124" s="2" t="s">
        <v>8496</v>
      </c>
      <c r="C4124" s="2" t="n">
        <v>5</v>
      </c>
      <c r="D4124" s="2" t="s">
        <v>52</v>
      </c>
      <c r="E4124" s="2" t="s">
        <v>8083</v>
      </c>
      <c r="F4124" s="3" t="n">
        <v>46061.9145833333</v>
      </c>
      <c r="G4124" s="2" t="s">
        <v>8326</v>
      </c>
      <c r="H4124" s="4" t="n">
        <v>0.6369</v>
      </c>
      <c r="I4124" s="2" t="s">
        <v>23</v>
      </c>
      <c r="J4124" s="2" t="s">
        <v>19</v>
      </c>
      <c r="K4124" s="2" t="n">
        <v>0</v>
      </c>
      <c r="L4124" s="2" t="n">
        <v>0</v>
      </c>
      <c r="M4124" s="2" t="n">
        <v>0</v>
      </c>
    </row>
    <row r="4125" customFormat="false" ht="15" hidden="false" customHeight="false" outlineLevel="0" collapsed="false">
      <c r="A4125" s="2" t="s">
        <v>8497</v>
      </c>
      <c r="B4125" s="2" t="s">
        <v>8498</v>
      </c>
      <c r="C4125" s="2" t="n">
        <v>5</v>
      </c>
      <c r="D4125" s="2" t="s">
        <v>90</v>
      </c>
      <c r="E4125" s="2" t="s">
        <v>8083</v>
      </c>
      <c r="F4125" s="3" t="n">
        <v>46061.96875</v>
      </c>
      <c r="G4125" s="2" t="s">
        <v>8326</v>
      </c>
      <c r="H4125" s="4" t="n">
        <v>0.6249</v>
      </c>
      <c r="I4125" s="2" t="s">
        <v>23</v>
      </c>
      <c r="J4125" s="2" t="s">
        <v>37</v>
      </c>
      <c r="K4125" s="2" t="n">
        <v>7</v>
      </c>
      <c r="L4125" s="2" t="n">
        <v>0</v>
      </c>
      <c r="M4125" s="2" t="n">
        <v>0</v>
      </c>
    </row>
    <row r="4126" customFormat="false" ht="15" hidden="false" customHeight="false" outlineLevel="0" collapsed="false">
      <c r="A4126" s="2" t="s">
        <v>8499</v>
      </c>
      <c r="B4126" s="2" t="s">
        <v>8500</v>
      </c>
      <c r="C4126" s="2" t="n">
        <v>5</v>
      </c>
      <c r="D4126" s="2" t="s">
        <v>1004</v>
      </c>
      <c r="E4126" s="2" t="s">
        <v>8083</v>
      </c>
      <c r="F4126" s="3" t="n">
        <v>46062.1236111111</v>
      </c>
      <c r="G4126" s="2" t="s">
        <v>8326</v>
      </c>
      <c r="H4126" s="4" t="n">
        <v>0.6249</v>
      </c>
      <c r="I4126" s="2" t="s">
        <v>23</v>
      </c>
      <c r="J4126" s="2" t="s">
        <v>37</v>
      </c>
      <c r="K4126" s="2" t="n">
        <v>3</v>
      </c>
      <c r="L4126" s="2" t="n">
        <v>0</v>
      </c>
      <c r="M4126" s="2" t="n">
        <v>0</v>
      </c>
    </row>
    <row r="4127" customFormat="false" ht="15" hidden="false" customHeight="false" outlineLevel="0" collapsed="false">
      <c r="A4127" s="2" t="s">
        <v>8501</v>
      </c>
      <c r="B4127" s="2" t="s">
        <v>8502</v>
      </c>
      <c r="C4127" s="2" t="n">
        <v>3</v>
      </c>
      <c r="D4127" s="2" t="s">
        <v>22</v>
      </c>
      <c r="E4127" s="2" t="s">
        <v>8083</v>
      </c>
      <c r="F4127" s="3" t="n">
        <v>46062.2256944445</v>
      </c>
      <c r="G4127" s="2" t="s">
        <v>8326</v>
      </c>
      <c r="H4127" s="4" t="n">
        <v>0.2023</v>
      </c>
      <c r="I4127" s="2" t="s">
        <v>23</v>
      </c>
      <c r="J4127" s="2" t="s">
        <v>19</v>
      </c>
      <c r="K4127" s="2" t="n">
        <v>3</v>
      </c>
      <c r="L4127" s="2" t="n">
        <v>0</v>
      </c>
      <c r="M4127" s="2" t="n">
        <v>0</v>
      </c>
    </row>
    <row r="4128" customFormat="false" ht="15" hidden="false" customHeight="false" outlineLevel="0" collapsed="false">
      <c r="A4128" s="2" t="s">
        <v>8503</v>
      </c>
      <c r="B4128" s="2" t="s">
        <v>8504</v>
      </c>
      <c r="C4128" s="2" t="n">
        <v>3</v>
      </c>
      <c r="D4128" s="2" t="s">
        <v>560</v>
      </c>
      <c r="E4128" s="2" t="s">
        <v>8083</v>
      </c>
      <c r="F4128" s="3" t="n">
        <v>46062.3076388889</v>
      </c>
      <c r="G4128" s="2" t="s">
        <v>8326</v>
      </c>
      <c r="H4128" s="4" t="n">
        <v>0</v>
      </c>
      <c r="I4128" s="2" t="s">
        <v>18</v>
      </c>
      <c r="J4128" s="2" t="s">
        <v>19</v>
      </c>
      <c r="K4128" s="2" t="n">
        <v>1</v>
      </c>
      <c r="L4128" s="2" t="n">
        <v>0</v>
      </c>
      <c r="M4128" s="2" t="n">
        <v>0</v>
      </c>
    </row>
    <row r="4129" customFormat="false" ht="15" hidden="false" customHeight="false" outlineLevel="0" collapsed="false">
      <c r="A4129" s="2" t="s">
        <v>8505</v>
      </c>
      <c r="B4129" s="2" t="s">
        <v>8506</v>
      </c>
      <c r="C4129" s="2" t="n">
        <v>5</v>
      </c>
      <c r="D4129" s="2" t="s">
        <v>52</v>
      </c>
      <c r="E4129" s="2" t="s">
        <v>8083</v>
      </c>
      <c r="F4129" s="3" t="n">
        <v>46062.3506944445</v>
      </c>
      <c r="G4129" s="2" t="s">
        <v>8326</v>
      </c>
      <c r="H4129" s="4" t="n">
        <v>0.6369</v>
      </c>
      <c r="I4129" s="2" t="s">
        <v>23</v>
      </c>
      <c r="J4129" s="2" t="s">
        <v>19</v>
      </c>
      <c r="K4129" s="2" t="n">
        <v>1</v>
      </c>
      <c r="L4129" s="2" t="n">
        <v>0</v>
      </c>
      <c r="M4129" s="2" t="n">
        <v>0</v>
      </c>
    </row>
    <row r="4130" customFormat="false" ht="15" hidden="false" customHeight="false" outlineLevel="0" collapsed="false">
      <c r="A4130" s="2" t="s">
        <v>8507</v>
      </c>
      <c r="B4130" s="2" t="s">
        <v>8508</v>
      </c>
      <c r="C4130" s="2" t="n">
        <v>1</v>
      </c>
      <c r="D4130" s="2" t="s">
        <v>498</v>
      </c>
      <c r="E4130" s="2" t="s">
        <v>8083</v>
      </c>
      <c r="F4130" s="3" t="n">
        <v>46062.4305555556</v>
      </c>
      <c r="G4130" s="2" t="s">
        <v>8326</v>
      </c>
      <c r="H4130" s="4" t="n">
        <v>0</v>
      </c>
      <c r="I4130" s="2" t="s">
        <v>18</v>
      </c>
      <c r="J4130" s="2" t="s">
        <v>165</v>
      </c>
      <c r="K4130" s="2" t="n">
        <v>3</v>
      </c>
      <c r="L4130" s="2" t="n">
        <v>1</v>
      </c>
      <c r="M4130" s="2" t="n">
        <v>0</v>
      </c>
    </row>
    <row r="4131" customFormat="false" ht="15" hidden="false" customHeight="false" outlineLevel="0" collapsed="false">
      <c r="A4131" s="2" t="s">
        <v>8509</v>
      </c>
      <c r="B4131" s="2" t="s">
        <v>8510</v>
      </c>
      <c r="C4131" s="2" t="n">
        <v>4</v>
      </c>
      <c r="D4131" s="2" t="s">
        <v>52</v>
      </c>
      <c r="E4131" s="2" t="s">
        <v>8083</v>
      </c>
      <c r="F4131" s="3" t="n">
        <v>46062.5291666667</v>
      </c>
      <c r="G4131" s="2" t="s">
        <v>8326</v>
      </c>
      <c r="H4131" s="4" t="n">
        <v>0.6369</v>
      </c>
      <c r="I4131" s="2" t="s">
        <v>23</v>
      </c>
      <c r="J4131" s="2" t="s">
        <v>19</v>
      </c>
      <c r="K4131" s="2" t="n">
        <v>1</v>
      </c>
      <c r="L4131" s="2" t="n">
        <v>0</v>
      </c>
      <c r="M4131" s="2" t="n">
        <v>0</v>
      </c>
    </row>
    <row r="4132" customFormat="false" ht="15" hidden="false" customHeight="false" outlineLevel="0" collapsed="false">
      <c r="A4132" s="2" t="s">
        <v>8511</v>
      </c>
      <c r="B4132" s="2" t="s">
        <v>8512</v>
      </c>
      <c r="C4132" s="2" t="n">
        <v>5</v>
      </c>
      <c r="D4132" s="2" t="s">
        <v>828</v>
      </c>
      <c r="E4132" s="2" t="s">
        <v>8083</v>
      </c>
      <c r="F4132" s="3" t="n">
        <v>46062.6347222222</v>
      </c>
      <c r="G4132" s="2" t="s">
        <v>8326</v>
      </c>
      <c r="H4132" s="4" t="n">
        <v>0.8519</v>
      </c>
      <c r="I4132" s="2" t="s">
        <v>23</v>
      </c>
      <c r="J4132" s="2" t="s">
        <v>37</v>
      </c>
      <c r="K4132" s="2" t="n">
        <v>1</v>
      </c>
      <c r="L4132" s="2" t="n">
        <v>0</v>
      </c>
      <c r="M4132" s="2" t="n">
        <v>0</v>
      </c>
    </row>
    <row r="4133" customFormat="false" ht="15" hidden="false" customHeight="false" outlineLevel="0" collapsed="false">
      <c r="A4133" s="2" t="s">
        <v>8513</v>
      </c>
      <c r="B4133" s="2" t="s">
        <v>8514</v>
      </c>
      <c r="C4133" s="2" t="n">
        <v>2</v>
      </c>
      <c r="D4133" s="2" t="s">
        <v>397</v>
      </c>
      <c r="E4133" s="2" t="s">
        <v>8083</v>
      </c>
      <c r="F4133" s="3" t="n">
        <v>46062.6361111111</v>
      </c>
      <c r="G4133" s="2" t="s">
        <v>8326</v>
      </c>
      <c r="H4133" s="4" t="n">
        <v>0</v>
      </c>
      <c r="I4133" s="2" t="s">
        <v>18</v>
      </c>
      <c r="J4133" s="2" t="s">
        <v>110</v>
      </c>
      <c r="K4133" s="2" t="n">
        <v>2</v>
      </c>
      <c r="L4133" s="2" t="n">
        <v>0</v>
      </c>
      <c r="M4133" s="2" t="n">
        <v>0</v>
      </c>
    </row>
    <row r="4134" customFormat="false" ht="15" hidden="false" customHeight="false" outlineLevel="0" collapsed="false">
      <c r="A4134" s="2" t="s">
        <v>8515</v>
      </c>
      <c r="B4134" s="2" t="s">
        <v>8516</v>
      </c>
      <c r="C4134" s="2" t="n">
        <v>5</v>
      </c>
      <c r="D4134" s="2" t="s">
        <v>47</v>
      </c>
      <c r="E4134" s="2" t="s">
        <v>8083</v>
      </c>
      <c r="F4134" s="3" t="n">
        <v>46062.6465277778</v>
      </c>
      <c r="G4134" s="2" t="s">
        <v>8326</v>
      </c>
      <c r="H4134" s="4" t="n">
        <v>0.3089</v>
      </c>
      <c r="I4134" s="2" t="s">
        <v>23</v>
      </c>
      <c r="J4134" s="2" t="s">
        <v>19</v>
      </c>
      <c r="K4134" s="2" t="n">
        <v>1</v>
      </c>
      <c r="L4134" s="2" t="n">
        <v>0</v>
      </c>
      <c r="M4134" s="2" t="n">
        <v>0</v>
      </c>
    </row>
    <row r="4135" customFormat="false" ht="15" hidden="false" customHeight="false" outlineLevel="0" collapsed="false">
      <c r="A4135" s="2" t="s">
        <v>8517</v>
      </c>
      <c r="B4135" s="2" t="s">
        <v>8518</v>
      </c>
      <c r="C4135" s="2" t="n">
        <v>2</v>
      </c>
      <c r="D4135" s="2" t="s">
        <v>721</v>
      </c>
      <c r="E4135" s="2" t="s">
        <v>8083</v>
      </c>
      <c r="F4135" s="3" t="n">
        <v>46062.8923611111</v>
      </c>
      <c r="G4135" s="2" t="s">
        <v>8326</v>
      </c>
      <c r="H4135" s="4" t="n">
        <v>-0.4588</v>
      </c>
      <c r="I4135" s="2" t="s">
        <v>84</v>
      </c>
      <c r="J4135" s="2" t="s">
        <v>37</v>
      </c>
      <c r="K4135" s="2" t="n">
        <v>0</v>
      </c>
      <c r="L4135" s="2" t="n">
        <v>1</v>
      </c>
      <c r="M4135" s="2" t="n">
        <v>0</v>
      </c>
    </row>
    <row r="4136" customFormat="false" ht="15" hidden="false" customHeight="false" outlineLevel="0" collapsed="false">
      <c r="A4136" s="2" t="s">
        <v>8519</v>
      </c>
      <c r="B4136" s="2" t="s">
        <v>8520</v>
      </c>
      <c r="C4136" s="2" t="n">
        <v>5</v>
      </c>
      <c r="D4136" s="2" t="s">
        <v>52</v>
      </c>
      <c r="E4136" s="2" t="s">
        <v>8083</v>
      </c>
      <c r="F4136" s="3" t="n">
        <v>46062.8944444444</v>
      </c>
      <c r="G4136" s="2" t="s">
        <v>8326</v>
      </c>
      <c r="H4136" s="4" t="n">
        <v>0.6369</v>
      </c>
      <c r="I4136" s="2" t="s">
        <v>23</v>
      </c>
      <c r="J4136" s="2" t="s">
        <v>19</v>
      </c>
      <c r="K4136" s="2" t="n">
        <v>7</v>
      </c>
      <c r="L4136" s="2" t="n">
        <v>0</v>
      </c>
      <c r="M4136" s="2" t="n">
        <v>0</v>
      </c>
    </row>
    <row r="4137" customFormat="false" ht="15" hidden="false" customHeight="false" outlineLevel="0" collapsed="false">
      <c r="A4137" s="2" t="s">
        <v>8521</v>
      </c>
      <c r="B4137" s="2" t="s">
        <v>8522</v>
      </c>
      <c r="C4137" s="2" t="n">
        <v>5</v>
      </c>
      <c r="D4137" s="2" t="s">
        <v>15</v>
      </c>
      <c r="E4137" s="2" t="s">
        <v>8083</v>
      </c>
      <c r="F4137" s="3" t="n">
        <v>46063.3534722222</v>
      </c>
      <c r="G4137" s="2" t="s">
        <v>8326</v>
      </c>
      <c r="H4137" s="4" t="n">
        <v>0</v>
      </c>
      <c r="I4137" s="2" t="s">
        <v>18</v>
      </c>
      <c r="J4137" s="2" t="s">
        <v>19</v>
      </c>
      <c r="K4137" s="2" t="n">
        <v>9</v>
      </c>
      <c r="L4137" s="2" t="n">
        <v>0</v>
      </c>
      <c r="M4137" s="2" t="n">
        <v>0</v>
      </c>
    </row>
    <row r="4138" customFormat="false" ht="15" hidden="false" customHeight="false" outlineLevel="0" collapsed="false">
      <c r="A4138" s="2" t="s">
        <v>8523</v>
      </c>
      <c r="B4138" s="2" t="s">
        <v>8524</v>
      </c>
      <c r="C4138" s="2" t="n">
        <v>3</v>
      </c>
      <c r="D4138" s="2" t="s">
        <v>1605</v>
      </c>
      <c r="E4138" s="2" t="s">
        <v>8083</v>
      </c>
      <c r="F4138" s="3" t="n">
        <v>46063.4215277778</v>
      </c>
      <c r="G4138" s="2" t="s">
        <v>8326</v>
      </c>
      <c r="H4138" s="4" t="n">
        <v>-0.5448</v>
      </c>
      <c r="I4138" s="2" t="s">
        <v>84</v>
      </c>
      <c r="J4138" s="2" t="s">
        <v>19</v>
      </c>
      <c r="K4138" s="2" t="n">
        <v>1</v>
      </c>
      <c r="L4138" s="2" t="n">
        <v>1</v>
      </c>
      <c r="M4138" s="2" t="n">
        <v>0</v>
      </c>
    </row>
    <row r="4139" customFormat="false" ht="15" hidden="false" customHeight="false" outlineLevel="0" collapsed="false">
      <c r="A4139" s="2" t="s">
        <v>8525</v>
      </c>
      <c r="B4139" s="2" t="s">
        <v>8526</v>
      </c>
      <c r="C4139" s="2" t="n">
        <v>3</v>
      </c>
      <c r="D4139" s="2" t="s">
        <v>1237</v>
      </c>
      <c r="E4139" s="2" t="s">
        <v>8083</v>
      </c>
      <c r="F4139" s="3" t="n">
        <v>46063.5027777778</v>
      </c>
      <c r="G4139" s="2" t="s">
        <v>8326</v>
      </c>
      <c r="H4139" s="4" t="n">
        <v>-0.3089</v>
      </c>
      <c r="I4139" s="2" t="s">
        <v>84</v>
      </c>
      <c r="J4139" s="2" t="s">
        <v>19</v>
      </c>
      <c r="K4139" s="2" t="n">
        <v>6</v>
      </c>
      <c r="L4139" s="2" t="n">
        <v>0</v>
      </c>
      <c r="M4139" s="2" t="n">
        <v>0</v>
      </c>
    </row>
    <row r="4140" customFormat="false" ht="15" hidden="false" customHeight="false" outlineLevel="0" collapsed="false">
      <c r="A4140" s="2" t="s">
        <v>8527</v>
      </c>
      <c r="B4140" s="2" t="s">
        <v>8528</v>
      </c>
      <c r="C4140" s="2" t="n">
        <v>3</v>
      </c>
      <c r="D4140" s="2" t="s">
        <v>3053</v>
      </c>
      <c r="E4140" s="2" t="s">
        <v>8083</v>
      </c>
      <c r="F4140" s="3" t="n">
        <v>46063.5090277778</v>
      </c>
      <c r="G4140" s="2" t="s">
        <v>8326</v>
      </c>
      <c r="H4140" s="4" t="n">
        <v>-0.4449</v>
      </c>
      <c r="I4140" s="2" t="s">
        <v>84</v>
      </c>
      <c r="J4140" s="2" t="s">
        <v>19</v>
      </c>
      <c r="K4140" s="2" t="n">
        <v>1</v>
      </c>
      <c r="L4140" s="2" t="n">
        <v>0</v>
      </c>
      <c r="M4140" s="2" t="n">
        <v>0</v>
      </c>
    </row>
    <row r="4141" customFormat="false" ht="15" hidden="false" customHeight="false" outlineLevel="0" collapsed="false">
      <c r="A4141" s="2" t="s">
        <v>8529</v>
      </c>
      <c r="B4141" s="2" t="s">
        <v>8530</v>
      </c>
      <c r="C4141" s="2" t="n">
        <v>3</v>
      </c>
      <c r="D4141" s="2" t="s">
        <v>1491</v>
      </c>
      <c r="E4141" s="2" t="s">
        <v>8083</v>
      </c>
      <c r="F4141" s="3" t="n">
        <v>46063.6034722222</v>
      </c>
      <c r="G4141" s="2" t="s">
        <v>8326</v>
      </c>
      <c r="H4141" s="4" t="n">
        <v>-0.1174</v>
      </c>
      <c r="I4141" s="2" t="s">
        <v>84</v>
      </c>
      <c r="J4141" s="2" t="s">
        <v>19</v>
      </c>
      <c r="K4141" s="2" t="n">
        <v>1</v>
      </c>
      <c r="L4141" s="2" t="n">
        <v>0</v>
      </c>
      <c r="M4141" s="2" t="n">
        <v>0</v>
      </c>
    </row>
    <row r="4142" customFormat="false" ht="15" hidden="false" customHeight="false" outlineLevel="0" collapsed="false">
      <c r="A4142" s="2" t="s">
        <v>8531</v>
      </c>
      <c r="B4142" s="2" t="s">
        <v>8532</v>
      </c>
      <c r="C4142" s="2" t="n">
        <v>5</v>
      </c>
      <c r="D4142" s="2" t="s">
        <v>304</v>
      </c>
      <c r="E4142" s="2" t="s">
        <v>8083</v>
      </c>
      <c r="F4142" s="3" t="n">
        <v>46063.7076388889</v>
      </c>
      <c r="G4142" s="2" t="s">
        <v>8326</v>
      </c>
      <c r="H4142" s="4" t="n">
        <v>0.6249</v>
      </c>
      <c r="I4142" s="2" t="s">
        <v>23</v>
      </c>
      <c r="J4142" s="2" t="s">
        <v>37</v>
      </c>
      <c r="K4142" s="2" t="n">
        <v>2</v>
      </c>
      <c r="L4142" s="2" t="n">
        <v>0</v>
      </c>
      <c r="M4142" s="2" t="n">
        <v>0</v>
      </c>
    </row>
    <row r="4143" customFormat="false" ht="15" hidden="false" customHeight="false" outlineLevel="0" collapsed="false">
      <c r="A4143" s="2" t="s">
        <v>8533</v>
      </c>
      <c r="B4143" s="2" t="s">
        <v>8534</v>
      </c>
      <c r="C4143" s="2" t="n">
        <v>5</v>
      </c>
      <c r="D4143" s="2" t="s">
        <v>96</v>
      </c>
      <c r="E4143" s="2" t="s">
        <v>8083</v>
      </c>
      <c r="F4143" s="3" t="n">
        <v>46063.7493055556</v>
      </c>
      <c r="G4143" s="2" t="s">
        <v>8326</v>
      </c>
      <c r="H4143" s="4" t="n">
        <v>0.6369</v>
      </c>
      <c r="I4143" s="2" t="s">
        <v>23</v>
      </c>
      <c r="J4143" s="2" t="s">
        <v>19</v>
      </c>
      <c r="K4143" s="2" t="n">
        <v>1</v>
      </c>
      <c r="L4143" s="2" t="n">
        <v>0</v>
      </c>
      <c r="M4143" s="2" t="n">
        <v>0</v>
      </c>
    </row>
    <row r="4144" customFormat="false" ht="15" hidden="false" customHeight="false" outlineLevel="0" collapsed="false">
      <c r="A4144" s="2" t="s">
        <v>8535</v>
      </c>
      <c r="B4144" s="2" t="s">
        <v>8536</v>
      </c>
      <c r="C4144" s="2" t="n">
        <v>5</v>
      </c>
      <c r="D4144" s="2" t="s">
        <v>90</v>
      </c>
      <c r="E4144" s="2" t="s">
        <v>8083</v>
      </c>
      <c r="F4144" s="3" t="n">
        <v>46063.75</v>
      </c>
      <c r="G4144" s="2" t="s">
        <v>8326</v>
      </c>
      <c r="H4144" s="4" t="n">
        <v>0.6249</v>
      </c>
      <c r="I4144" s="2" t="s">
        <v>23</v>
      </c>
      <c r="J4144" s="2" t="s">
        <v>37</v>
      </c>
      <c r="K4144" s="2" t="n">
        <v>8</v>
      </c>
      <c r="L4144" s="2" t="n">
        <v>0</v>
      </c>
      <c r="M4144" s="2" t="n">
        <v>0</v>
      </c>
    </row>
    <row r="4145" customFormat="false" ht="15" hidden="false" customHeight="false" outlineLevel="0" collapsed="false">
      <c r="A4145" s="2" t="s">
        <v>8537</v>
      </c>
      <c r="B4145" s="2" t="s">
        <v>8538</v>
      </c>
      <c r="C4145" s="2" t="n">
        <v>5</v>
      </c>
      <c r="D4145" s="2" t="s">
        <v>62</v>
      </c>
      <c r="E4145" s="2" t="s">
        <v>8083</v>
      </c>
      <c r="F4145" s="3" t="n">
        <v>46063.7583333333</v>
      </c>
      <c r="G4145" s="2" t="s">
        <v>8326</v>
      </c>
      <c r="H4145" s="4" t="n">
        <v>0.7088</v>
      </c>
      <c r="I4145" s="2" t="s">
        <v>23</v>
      </c>
      <c r="J4145" s="2" t="s">
        <v>19</v>
      </c>
      <c r="K4145" s="2" t="n">
        <v>8</v>
      </c>
      <c r="L4145" s="2" t="n">
        <v>0</v>
      </c>
      <c r="M4145" s="2" t="n">
        <v>0</v>
      </c>
    </row>
    <row r="4146" customFormat="false" ht="15" hidden="false" customHeight="false" outlineLevel="0" collapsed="false">
      <c r="A4146" s="2" t="s">
        <v>8539</v>
      </c>
      <c r="B4146" s="2" t="s">
        <v>8540</v>
      </c>
      <c r="C4146" s="2" t="n">
        <v>4</v>
      </c>
      <c r="D4146" s="2" t="s">
        <v>96</v>
      </c>
      <c r="E4146" s="2" t="s">
        <v>8083</v>
      </c>
      <c r="F4146" s="3" t="n">
        <v>46063.8798611111</v>
      </c>
      <c r="G4146" s="2" t="s">
        <v>8326</v>
      </c>
      <c r="H4146" s="4" t="n">
        <v>0.6369</v>
      </c>
      <c r="I4146" s="2" t="s">
        <v>23</v>
      </c>
      <c r="J4146" s="2" t="s">
        <v>19</v>
      </c>
      <c r="K4146" s="2" t="n">
        <v>7</v>
      </c>
      <c r="L4146" s="2" t="n">
        <v>0</v>
      </c>
      <c r="M4146" s="2" t="n">
        <v>0</v>
      </c>
    </row>
    <row r="4147" customFormat="false" ht="15" hidden="false" customHeight="false" outlineLevel="0" collapsed="false">
      <c r="A4147" s="2" t="s">
        <v>8541</v>
      </c>
      <c r="B4147" s="2" t="s">
        <v>8542</v>
      </c>
      <c r="C4147" s="2" t="n">
        <v>5</v>
      </c>
      <c r="D4147" s="2" t="s">
        <v>90</v>
      </c>
      <c r="E4147" s="2" t="s">
        <v>8083</v>
      </c>
      <c r="F4147" s="3" t="n">
        <v>46063.9013888889</v>
      </c>
      <c r="G4147" s="2" t="s">
        <v>8326</v>
      </c>
      <c r="H4147" s="4" t="n">
        <v>0.6249</v>
      </c>
      <c r="I4147" s="2" t="s">
        <v>23</v>
      </c>
      <c r="J4147" s="2" t="s">
        <v>37</v>
      </c>
      <c r="K4147" s="2" t="n">
        <v>4</v>
      </c>
      <c r="L4147" s="2" t="n">
        <v>0</v>
      </c>
      <c r="M4147" s="2" t="n">
        <v>0</v>
      </c>
    </row>
    <row r="4148" customFormat="false" ht="15" hidden="false" customHeight="false" outlineLevel="0" collapsed="false">
      <c r="A4148" s="2" t="s">
        <v>8543</v>
      </c>
      <c r="B4148" s="2" t="s">
        <v>8544</v>
      </c>
      <c r="C4148" s="2" t="n">
        <v>1</v>
      </c>
      <c r="D4148" s="2" t="s">
        <v>179</v>
      </c>
      <c r="E4148" s="2" t="s">
        <v>8083</v>
      </c>
      <c r="F4148" s="3" t="n">
        <v>46064.0576388889</v>
      </c>
      <c r="G4148" s="2" t="s">
        <v>8326</v>
      </c>
      <c r="H4148" s="4" t="n">
        <v>-0.0258</v>
      </c>
      <c r="I4148" s="2" t="s">
        <v>18</v>
      </c>
      <c r="J4148" s="2" t="s">
        <v>59</v>
      </c>
      <c r="K4148" s="2" t="n">
        <v>2</v>
      </c>
      <c r="L4148" s="2" t="n">
        <v>1</v>
      </c>
      <c r="M4148" s="2" t="n">
        <v>0</v>
      </c>
    </row>
    <row r="4149" customFormat="false" ht="15" hidden="false" customHeight="false" outlineLevel="0" collapsed="false">
      <c r="A4149" s="2" t="s">
        <v>8545</v>
      </c>
      <c r="B4149" s="2" t="s">
        <v>8546</v>
      </c>
      <c r="C4149" s="2" t="n">
        <v>1</v>
      </c>
      <c r="D4149" s="2" t="s">
        <v>591</v>
      </c>
      <c r="E4149" s="2" t="s">
        <v>8083</v>
      </c>
      <c r="F4149" s="3" t="n">
        <v>46064.1868055556</v>
      </c>
      <c r="G4149" s="2" t="s">
        <v>8326</v>
      </c>
      <c r="H4149" s="4" t="n">
        <v>0</v>
      </c>
      <c r="I4149" s="2" t="s">
        <v>18</v>
      </c>
      <c r="J4149" s="2" t="s">
        <v>37</v>
      </c>
      <c r="K4149" s="2" t="n">
        <v>2</v>
      </c>
      <c r="L4149" s="2" t="n">
        <v>1</v>
      </c>
      <c r="M4149" s="2" t="n">
        <v>0</v>
      </c>
    </row>
    <row r="4150" customFormat="false" ht="15" hidden="false" customHeight="false" outlineLevel="0" collapsed="false">
      <c r="A4150" s="2" t="s">
        <v>8547</v>
      </c>
      <c r="B4150" s="2" t="s">
        <v>8548</v>
      </c>
      <c r="C4150" s="2" t="n">
        <v>1</v>
      </c>
      <c r="D4150" s="2" t="s">
        <v>733</v>
      </c>
      <c r="E4150" s="2" t="s">
        <v>8083</v>
      </c>
      <c r="F4150" s="3" t="n">
        <v>46064.2291666667</v>
      </c>
      <c r="G4150" s="2" t="s">
        <v>8326</v>
      </c>
      <c r="H4150" s="4" t="n">
        <v>-0.2846</v>
      </c>
      <c r="I4150" s="2" t="s">
        <v>84</v>
      </c>
      <c r="J4150" s="2" t="s">
        <v>37</v>
      </c>
      <c r="K4150" s="2" t="n">
        <v>7</v>
      </c>
      <c r="L4150" s="2" t="n">
        <v>1</v>
      </c>
      <c r="M4150" s="2" t="n">
        <v>0</v>
      </c>
    </row>
    <row r="4151" customFormat="false" ht="15" hidden="false" customHeight="false" outlineLevel="0" collapsed="false">
      <c r="A4151" s="2" t="s">
        <v>8549</v>
      </c>
      <c r="B4151" s="2" t="s">
        <v>8550</v>
      </c>
      <c r="C4151" s="2" t="n">
        <v>2</v>
      </c>
      <c r="D4151" s="2" t="s">
        <v>733</v>
      </c>
      <c r="E4151" s="2" t="s">
        <v>8083</v>
      </c>
      <c r="F4151" s="3" t="n">
        <v>46064.2645833333</v>
      </c>
      <c r="G4151" s="2" t="s">
        <v>8326</v>
      </c>
      <c r="H4151" s="4" t="n">
        <v>-0.2846</v>
      </c>
      <c r="I4151" s="2" t="s">
        <v>84</v>
      </c>
      <c r="J4151" s="2" t="s">
        <v>37</v>
      </c>
      <c r="K4151" s="2" t="n">
        <v>0</v>
      </c>
      <c r="L4151" s="2" t="n">
        <v>1</v>
      </c>
      <c r="M4151" s="2" t="n">
        <v>0</v>
      </c>
    </row>
    <row r="4152" customFormat="false" ht="15" hidden="false" customHeight="false" outlineLevel="0" collapsed="false">
      <c r="A4152" s="2" t="s">
        <v>8551</v>
      </c>
      <c r="B4152" s="2" t="s">
        <v>8552</v>
      </c>
      <c r="C4152" s="2" t="n">
        <v>5</v>
      </c>
      <c r="D4152" s="2" t="s">
        <v>90</v>
      </c>
      <c r="E4152" s="2" t="s">
        <v>8083</v>
      </c>
      <c r="F4152" s="3" t="n">
        <v>46064.2645833333</v>
      </c>
      <c r="G4152" s="2" t="s">
        <v>8326</v>
      </c>
      <c r="H4152" s="4" t="n">
        <v>0.6249</v>
      </c>
      <c r="I4152" s="2" t="s">
        <v>23</v>
      </c>
      <c r="J4152" s="2" t="s">
        <v>37</v>
      </c>
      <c r="K4152" s="2" t="n">
        <v>2</v>
      </c>
      <c r="L4152" s="2" t="n">
        <v>0</v>
      </c>
      <c r="M4152" s="2" t="n">
        <v>0</v>
      </c>
    </row>
    <row r="4153" customFormat="false" ht="15" hidden="false" customHeight="false" outlineLevel="0" collapsed="false">
      <c r="A4153" s="2" t="s">
        <v>8553</v>
      </c>
      <c r="B4153" s="2" t="s">
        <v>8554</v>
      </c>
      <c r="C4153" s="2" t="n">
        <v>5</v>
      </c>
      <c r="D4153" s="2" t="s">
        <v>127</v>
      </c>
      <c r="E4153" s="2" t="s">
        <v>8083</v>
      </c>
      <c r="F4153" s="3" t="n">
        <v>46064.4930555556</v>
      </c>
      <c r="G4153" s="2" t="s">
        <v>8326</v>
      </c>
      <c r="H4153" s="4" t="n">
        <v>0.9359</v>
      </c>
      <c r="I4153" s="2" t="s">
        <v>23</v>
      </c>
      <c r="J4153" s="2" t="s">
        <v>37</v>
      </c>
      <c r="K4153" s="2" t="n">
        <v>3</v>
      </c>
      <c r="L4153" s="2" t="n">
        <v>0</v>
      </c>
      <c r="M4153" s="2" t="n">
        <v>0</v>
      </c>
    </row>
    <row r="4154" customFormat="false" ht="15" hidden="false" customHeight="false" outlineLevel="0" collapsed="false">
      <c r="A4154" s="2" t="s">
        <v>8555</v>
      </c>
      <c r="B4154" s="2" t="s">
        <v>5574</v>
      </c>
      <c r="C4154" s="2" t="n">
        <v>5</v>
      </c>
      <c r="D4154" s="2" t="s">
        <v>834</v>
      </c>
      <c r="E4154" s="2" t="s">
        <v>8083</v>
      </c>
      <c r="F4154" s="3" t="n">
        <v>46064.725</v>
      </c>
      <c r="G4154" s="2" t="s">
        <v>8326</v>
      </c>
      <c r="H4154" s="4" t="n">
        <v>0.9481</v>
      </c>
      <c r="I4154" s="2" t="s">
        <v>23</v>
      </c>
      <c r="J4154" s="2" t="s">
        <v>37</v>
      </c>
      <c r="K4154" s="2" t="n">
        <v>2</v>
      </c>
      <c r="L4154" s="2" t="n">
        <v>0</v>
      </c>
      <c r="M4154" s="2" t="n">
        <v>0</v>
      </c>
    </row>
    <row r="4155" customFormat="false" ht="15" hidden="false" customHeight="false" outlineLevel="0" collapsed="false">
      <c r="A4155" s="2" t="s">
        <v>8556</v>
      </c>
      <c r="B4155" s="2" t="s">
        <v>8557</v>
      </c>
      <c r="C4155" s="2" t="n">
        <v>3</v>
      </c>
      <c r="D4155" s="2" t="s">
        <v>1491</v>
      </c>
      <c r="E4155" s="2" t="s">
        <v>8083</v>
      </c>
      <c r="F4155" s="3" t="n">
        <v>46065.2701388889</v>
      </c>
      <c r="G4155" s="2" t="s">
        <v>8326</v>
      </c>
      <c r="H4155" s="4" t="n">
        <v>-0.1174</v>
      </c>
      <c r="I4155" s="2" t="s">
        <v>84</v>
      </c>
      <c r="J4155" s="2" t="s">
        <v>19</v>
      </c>
      <c r="K4155" s="2" t="n">
        <v>10</v>
      </c>
      <c r="L4155" s="2" t="n">
        <v>0</v>
      </c>
      <c r="M4155" s="2" t="n">
        <v>0</v>
      </c>
    </row>
    <row r="4156" customFormat="false" ht="15" hidden="false" customHeight="false" outlineLevel="0" collapsed="false">
      <c r="A4156" s="2" t="s">
        <v>8558</v>
      </c>
      <c r="B4156" s="2" t="s">
        <v>8559</v>
      </c>
      <c r="C4156" s="2" t="n">
        <v>5</v>
      </c>
      <c r="D4156" s="2" t="s">
        <v>90</v>
      </c>
      <c r="E4156" s="2" t="s">
        <v>8083</v>
      </c>
      <c r="F4156" s="3" t="n">
        <v>46065.4527777778</v>
      </c>
      <c r="G4156" s="2" t="s">
        <v>8326</v>
      </c>
      <c r="H4156" s="4" t="n">
        <v>0.6249</v>
      </c>
      <c r="I4156" s="2" t="s">
        <v>23</v>
      </c>
      <c r="J4156" s="2" t="s">
        <v>37</v>
      </c>
      <c r="K4156" s="2" t="n">
        <v>2</v>
      </c>
      <c r="L4156" s="2" t="n">
        <v>0</v>
      </c>
      <c r="M4156" s="2" t="n">
        <v>0</v>
      </c>
    </row>
    <row r="4157" customFormat="false" ht="15" hidden="false" customHeight="false" outlineLevel="0" collapsed="false">
      <c r="A4157" s="2" t="s">
        <v>8560</v>
      </c>
      <c r="B4157" s="2" t="s">
        <v>8561</v>
      </c>
      <c r="C4157" s="2" t="n">
        <v>3</v>
      </c>
      <c r="D4157" s="2" t="s">
        <v>2834</v>
      </c>
      <c r="E4157" s="2" t="s">
        <v>8083</v>
      </c>
      <c r="F4157" s="3" t="n">
        <v>46065.4631944444</v>
      </c>
      <c r="G4157" s="2" t="s">
        <v>8326</v>
      </c>
      <c r="H4157" s="4" t="n">
        <v>0.7003</v>
      </c>
      <c r="I4157" s="2" t="s">
        <v>23</v>
      </c>
      <c r="J4157" s="2" t="s">
        <v>37</v>
      </c>
      <c r="K4157" s="2" t="n">
        <v>3</v>
      </c>
      <c r="L4157" s="2" t="n">
        <v>0</v>
      </c>
      <c r="M4157" s="2" t="n">
        <v>0</v>
      </c>
    </row>
    <row r="4158" customFormat="false" ht="15" hidden="false" customHeight="false" outlineLevel="0" collapsed="false">
      <c r="A4158" s="2" t="s">
        <v>8562</v>
      </c>
      <c r="B4158" s="2" t="s">
        <v>8563</v>
      </c>
      <c r="C4158" s="2" t="n">
        <v>3</v>
      </c>
      <c r="D4158" s="2" t="s">
        <v>87</v>
      </c>
      <c r="E4158" s="2" t="s">
        <v>8083</v>
      </c>
      <c r="F4158" s="3" t="n">
        <v>46065.7229166667</v>
      </c>
      <c r="G4158" s="2" t="s">
        <v>8326</v>
      </c>
      <c r="H4158" s="4" t="n">
        <v>0</v>
      </c>
      <c r="I4158" s="2" t="s">
        <v>18</v>
      </c>
      <c r="J4158" s="2" t="s">
        <v>19</v>
      </c>
      <c r="K4158" s="2" t="n">
        <v>1</v>
      </c>
      <c r="L4158" s="2" t="n">
        <v>0</v>
      </c>
      <c r="M4158" s="2" t="n">
        <v>0</v>
      </c>
    </row>
    <row r="4159" customFormat="false" ht="15" hidden="false" customHeight="false" outlineLevel="0" collapsed="false">
      <c r="A4159" s="2" t="s">
        <v>8564</v>
      </c>
      <c r="B4159" s="2" t="s">
        <v>8565</v>
      </c>
      <c r="C4159" s="2" t="n">
        <v>1</v>
      </c>
      <c r="D4159" s="2" t="s">
        <v>721</v>
      </c>
      <c r="E4159" s="2" t="s">
        <v>8083</v>
      </c>
      <c r="F4159" s="3" t="n">
        <v>46065.8805555556</v>
      </c>
      <c r="G4159" s="2" t="s">
        <v>8326</v>
      </c>
      <c r="H4159" s="4" t="n">
        <v>-0.4588</v>
      </c>
      <c r="I4159" s="2" t="s">
        <v>84</v>
      </c>
      <c r="J4159" s="2" t="s">
        <v>37</v>
      </c>
      <c r="K4159" s="2" t="n">
        <v>1</v>
      </c>
      <c r="L4159" s="2" t="n">
        <v>0</v>
      </c>
      <c r="M4159" s="2" t="n">
        <v>0</v>
      </c>
    </row>
    <row r="4160" customFormat="false" ht="15" hidden="false" customHeight="false" outlineLevel="0" collapsed="false">
      <c r="A4160" s="2" t="s">
        <v>8566</v>
      </c>
      <c r="B4160" s="2" t="s">
        <v>8567</v>
      </c>
      <c r="C4160" s="2" t="n">
        <v>1</v>
      </c>
      <c r="D4160" s="2" t="s">
        <v>455</v>
      </c>
      <c r="E4160" s="2" t="s">
        <v>8083</v>
      </c>
      <c r="F4160" s="3" t="n">
        <v>46065.9020833333</v>
      </c>
      <c r="G4160" s="2" t="s">
        <v>8326</v>
      </c>
      <c r="H4160" s="4" t="n">
        <v>-0.2263</v>
      </c>
      <c r="I4160" s="2" t="s">
        <v>84</v>
      </c>
      <c r="J4160" s="2" t="s">
        <v>165</v>
      </c>
      <c r="K4160" s="2" t="n">
        <v>3</v>
      </c>
      <c r="L4160" s="2" t="n">
        <v>0</v>
      </c>
      <c r="M4160" s="2" t="n">
        <v>0</v>
      </c>
    </row>
    <row r="4161" customFormat="false" ht="15" hidden="false" customHeight="false" outlineLevel="0" collapsed="false">
      <c r="A4161" s="2" t="s">
        <v>8568</v>
      </c>
      <c r="B4161" s="2" t="s">
        <v>8569</v>
      </c>
      <c r="C4161" s="2" t="n">
        <v>3</v>
      </c>
      <c r="D4161" s="2" t="s">
        <v>1029</v>
      </c>
      <c r="E4161" s="2" t="s">
        <v>8083</v>
      </c>
      <c r="F4161" s="3" t="n">
        <v>46066.0138888889</v>
      </c>
      <c r="G4161" s="2" t="s">
        <v>8326</v>
      </c>
      <c r="H4161" s="4" t="n">
        <v>0.1154</v>
      </c>
      <c r="I4161" s="2" t="s">
        <v>23</v>
      </c>
      <c r="J4161" s="2" t="s">
        <v>19</v>
      </c>
      <c r="K4161" s="2" t="n">
        <v>0</v>
      </c>
      <c r="L4161" s="2" t="n">
        <v>0</v>
      </c>
      <c r="M4161" s="2" t="n">
        <v>0</v>
      </c>
    </row>
    <row r="4162" customFormat="false" ht="15" hidden="false" customHeight="false" outlineLevel="0" collapsed="false">
      <c r="A4162" s="2" t="s">
        <v>8570</v>
      </c>
      <c r="B4162" s="2" t="s">
        <v>8571</v>
      </c>
      <c r="C4162" s="2" t="n">
        <v>5</v>
      </c>
      <c r="D4162" s="2" t="s">
        <v>62</v>
      </c>
      <c r="E4162" s="2" t="s">
        <v>8083</v>
      </c>
      <c r="F4162" s="3" t="n">
        <v>46066.0819444444</v>
      </c>
      <c r="G4162" s="2" t="s">
        <v>8326</v>
      </c>
      <c r="H4162" s="4" t="n">
        <v>0.7088</v>
      </c>
      <c r="I4162" s="2" t="s">
        <v>23</v>
      </c>
      <c r="J4162" s="2" t="s">
        <v>19</v>
      </c>
      <c r="K4162" s="2" t="n">
        <v>2</v>
      </c>
      <c r="L4162" s="2" t="n">
        <v>0</v>
      </c>
      <c r="M4162" s="2" t="n">
        <v>0</v>
      </c>
    </row>
    <row r="4163" customFormat="false" ht="15" hidden="false" customHeight="false" outlineLevel="0" collapsed="false">
      <c r="A4163" s="2" t="s">
        <v>8572</v>
      </c>
      <c r="B4163" s="2" t="s">
        <v>8573</v>
      </c>
      <c r="C4163" s="2" t="n">
        <v>5</v>
      </c>
      <c r="D4163" s="2" t="s">
        <v>3798</v>
      </c>
      <c r="E4163" s="2" t="s">
        <v>8083</v>
      </c>
      <c r="F4163" s="3" t="n">
        <v>46066.1090277778</v>
      </c>
      <c r="G4163" s="2" t="s">
        <v>8326</v>
      </c>
      <c r="H4163" s="4" t="n">
        <v>0.7549</v>
      </c>
      <c r="I4163" s="2" t="s">
        <v>23</v>
      </c>
      <c r="J4163" s="2" t="s">
        <v>19</v>
      </c>
      <c r="K4163" s="2" t="n">
        <v>3</v>
      </c>
      <c r="L4163" s="2" t="n">
        <v>0</v>
      </c>
      <c r="M4163" s="2" t="n">
        <v>0</v>
      </c>
    </row>
    <row r="4164" customFormat="false" ht="15" hidden="false" customHeight="false" outlineLevel="0" collapsed="false">
      <c r="A4164" s="2" t="s">
        <v>8574</v>
      </c>
      <c r="B4164" s="2" t="s">
        <v>8575</v>
      </c>
      <c r="C4164" s="2" t="n">
        <v>5</v>
      </c>
      <c r="D4164" s="2" t="s">
        <v>127</v>
      </c>
      <c r="E4164" s="2" t="s">
        <v>8083</v>
      </c>
      <c r="F4164" s="3" t="n">
        <v>46066.1722222222</v>
      </c>
      <c r="G4164" s="2" t="s">
        <v>8326</v>
      </c>
      <c r="H4164" s="4" t="n">
        <v>0.9359</v>
      </c>
      <c r="I4164" s="2" t="s">
        <v>23</v>
      </c>
      <c r="J4164" s="2" t="s">
        <v>37</v>
      </c>
      <c r="K4164" s="2" t="n">
        <v>2</v>
      </c>
      <c r="L4164" s="2" t="n">
        <v>0</v>
      </c>
      <c r="M4164" s="2" t="n">
        <v>0</v>
      </c>
    </row>
    <row r="4165" customFormat="false" ht="15" hidden="false" customHeight="false" outlineLevel="0" collapsed="false">
      <c r="A4165" s="2" t="s">
        <v>8576</v>
      </c>
      <c r="B4165" s="2" t="s">
        <v>8577</v>
      </c>
      <c r="C4165" s="2" t="n">
        <v>5</v>
      </c>
      <c r="D4165" s="2" t="s">
        <v>407</v>
      </c>
      <c r="E4165" s="2" t="s">
        <v>8083</v>
      </c>
      <c r="F4165" s="3" t="n">
        <v>46066.2951388889</v>
      </c>
      <c r="G4165" s="2" t="s">
        <v>8326</v>
      </c>
      <c r="H4165" s="4" t="n">
        <v>0.7783</v>
      </c>
      <c r="I4165" s="2" t="s">
        <v>23</v>
      </c>
      <c r="J4165" s="2" t="s">
        <v>37</v>
      </c>
      <c r="K4165" s="2" t="n">
        <v>2</v>
      </c>
      <c r="L4165" s="2" t="n">
        <v>0</v>
      </c>
      <c r="M4165" s="2" t="n">
        <v>0</v>
      </c>
    </row>
    <row r="4166" customFormat="false" ht="15" hidden="false" customHeight="false" outlineLevel="0" collapsed="false">
      <c r="A4166" s="2" t="s">
        <v>8578</v>
      </c>
      <c r="B4166" s="2" t="s">
        <v>8579</v>
      </c>
      <c r="C4166" s="2" t="n">
        <v>3</v>
      </c>
      <c r="D4166" s="2" t="s">
        <v>1380</v>
      </c>
      <c r="E4166" s="2" t="s">
        <v>8083</v>
      </c>
      <c r="F4166" s="3" t="n">
        <v>46066.3034722222</v>
      </c>
      <c r="G4166" s="2" t="s">
        <v>8326</v>
      </c>
      <c r="H4166" s="4" t="n">
        <v>0</v>
      </c>
      <c r="I4166" s="2" t="s">
        <v>18</v>
      </c>
      <c r="J4166" s="2" t="s">
        <v>110</v>
      </c>
      <c r="K4166" s="2" t="n">
        <v>7</v>
      </c>
      <c r="L4166" s="2" t="n">
        <v>0</v>
      </c>
      <c r="M4166" s="2" t="n">
        <v>0</v>
      </c>
    </row>
    <row r="4167" customFormat="false" ht="15" hidden="false" customHeight="false" outlineLevel="0" collapsed="false">
      <c r="A4167" s="2" t="s">
        <v>8580</v>
      </c>
      <c r="B4167" s="2" t="s">
        <v>8581</v>
      </c>
      <c r="C4167" s="2" t="n">
        <v>5</v>
      </c>
      <c r="D4167" s="2" t="s">
        <v>96</v>
      </c>
      <c r="E4167" s="2" t="s">
        <v>8083</v>
      </c>
      <c r="F4167" s="3" t="n">
        <v>46066.4972222222</v>
      </c>
      <c r="G4167" s="2" t="s">
        <v>8326</v>
      </c>
      <c r="H4167" s="4" t="n">
        <v>0.6369</v>
      </c>
      <c r="I4167" s="2" t="s">
        <v>23</v>
      </c>
      <c r="J4167" s="2" t="s">
        <v>19</v>
      </c>
      <c r="K4167" s="2" t="n">
        <v>0</v>
      </c>
      <c r="L4167" s="2" t="n">
        <v>0</v>
      </c>
      <c r="M4167" s="2" t="n">
        <v>0</v>
      </c>
    </row>
    <row r="4168" customFormat="false" ht="15" hidden="false" customHeight="false" outlineLevel="0" collapsed="false">
      <c r="A4168" s="2" t="s">
        <v>8582</v>
      </c>
      <c r="B4168" s="2" t="s">
        <v>8583</v>
      </c>
      <c r="C4168" s="2" t="n">
        <v>1</v>
      </c>
      <c r="D4168" s="2" t="s">
        <v>1942</v>
      </c>
      <c r="E4168" s="2" t="s">
        <v>8083</v>
      </c>
      <c r="F4168" s="3" t="n">
        <v>46066.5743055556</v>
      </c>
      <c r="G4168" s="2" t="s">
        <v>8326</v>
      </c>
      <c r="H4168" s="4" t="n">
        <v>0</v>
      </c>
      <c r="I4168" s="2" t="s">
        <v>18</v>
      </c>
      <c r="J4168" s="2" t="s">
        <v>165</v>
      </c>
      <c r="K4168" s="2" t="n">
        <v>3</v>
      </c>
      <c r="L4168" s="2" t="n">
        <v>1</v>
      </c>
      <c r="M4168" s="2" t="n">
        <v>0</v>
      </c>
    </row>
    <row r="4169" customFormat="false" ht="15" hidden="false" customHeight="false" outlineLevel="0" collapsed="false">
      <c r="A4169" s="2" t="s">
        <v>8584</v>
      </c>
      <c r="B4169" s="2" t="s">
        <v>8585</v>
      </c>
      <c r="C4169" s="2" t="n">
        <v>5</v>
      </c>
      <c r="D4169" s="2" t="s">
        <v>52</v>
      </c>
      <c r="E4169" s="2" t="s">
        <v>8083</v>
      </c>
      <c r="F4169" s="3" t="n">
        <v>46066.7020833333</v>
      </c>
      <c r="G4169" s="2" t="s">
        <v>8326</v>
      </c>
      <c r="H4169" s="4" t="n">
        <v>0.6369</v>
      </c>
      <c r="I4169" s="2" t="s">
        <v>23</v>
      </c>
      <c r="J4169" s="2" t="s">
        <v>19</v>
      </c>
      <c r="K4169" s="2" t="n">
        <v>3</v>
      </c>
      <c r="L4169" s="2" t="n">
        <v>0</v>
      </c>
      <c r="M4169" s="2" t="n">
        <v>0</v>
      </c>
    </row>
    <row r="4170" customFormat="false" ht="15" hidden="false" customHeight="false" outlineLevel="0" collapsed="false">
      <c r="A4170" s="2" t="s">
        <v>8586</v>
      </c>
      <c r="B4170" s="2" t="s">
        <v>8587</v>
      </c>
      <c r="C4170" s="2" t="n">
        <v>5</v>
      </c>
      <c r="D4170" s="2" t="s">
        <v>738</v>
      </c>
      <c r="E4170" s="2" t="s">
        <v>8083</v>
      </c>
      <c r="F4170" s="3" t="n">
        <v>46066.7111111111</v>
      </c>
      <c r="G4170" s="2" t="s">
        <v>8326</v>
      </c>
      <c r="H4170" s="4" t="n">
        <v>0.9612</v>
      </c>
      <c r="I4170" s="2" t="s">
        <v>23</v>
      </c>
      <c r="J4170" s="2" t="s">
        <v>37</v>
      </c>
      <c r="K4170" s="2" t="n">
        <v>2</v>
      </c>
      <c r="L4170" s="2" t="n">
        <v>0</v>
      </c>
      <c r="M4170" s="2" t="n">
        <v>0</v>
      </c>
    </row>
    <row r="4171" customFormat="false" ht="15" hidden="false" customHeight="false" outlineLevel="0" collapsed="false">
      <c r="A4171" s="2" t="s">
        <v>8588</v>
      </c>
      <c r="B4171" s="2" t="s">
        <v>8589</v>
      </c>
      <c r="C4171" s="2" t="n">
        <v>5</v>
      </c>
      <c r="D4171" s="2" t="s">
        <v>282</v>
      </c>
      <c r="E4171" s="2" t="s">
        <v>8083</v>
      </c>
      <c r="F4171" s="3" t="n">
        <v>46066.85</v>
      </c>
      <c r="G4171" s="2" t="s">
        <v>8326</v>
      </c>
      <c r="H4171" s="4" t="n">
        <v>0.7992</v>
      </c>
      <c r="I4171" s="2" t="s">
        <v>23</v>
      </c>
      <c r="J4171" s="2" t="s">
        <v>19</v>
      </c>
      <c r="K4171" s="2" t="n">
        <v>0</v>
      </c>
      <c r="L4171" s="2" t="n">
        <v>0</v>
      </c>
      <c r="M4171" s="2" t="n">
        <v>0</v>
      </c>
    </row>
    <row r="4172" customFormat="false" ht="15" hidden="false" customHeight="false" outlineLevel="0" collapsed="false">
      <c r="A4172" s="2" t="s">
        <v>8590</v>
      </c>
      <c r="B4172" s="2" t="s">
        <v>151</v>
      </c>
      <c r="C4172" s="2" t="n">
        <v>5</v>
      </c>
      <c r="D4172" s="2" t="s">
        <v>807</v>
      </c>
      <c r="E4172" s="2" t="s">
        <v>8083</v>
      </c>
      <c r="F4172" s="3" t="n">
        <v>46066.8951388889</v>
      </c>
      <c r="G4172" s="2" t="s">
        <v>8326</v>
      </c>
      <c r="H4172" s="4" t="n">
        <v>0.6369</v>
      </c>
      <c r="I4172" s="2" t="s">
        <v>23</v>
      </c>
      <c r="J4172" s="2" t="s">
        <v>19</v>
      </c>
      <c r="K4172" s="2" t="n">
        <v>1</v>
      </c>
      <c r="L4172" s="2" t="n">
        <v>0</v>
      </c>
      <c r="M4172" s="2" t="n">
        <v>0</v>
      </c>
    </row>
    <row r="4173" customFormat="false" ht="15" hidden="false" customHeight="false" outlineLevel="0" collapsed="false">
      <c r="A4173" s="2" t="s">
        <v>8591</v>
      </c>
      <c r="B4173" s="2" t="s">
        <v>8592</v>
      </c>
      <c r="C4173" s="2" t="n">
        <v>5</v>
      </c>
      <c r="D4173" s="2" t="s">
        <v>47</v>
      </c>
      <c r="E4173" s="2" t="s">
        <v>8083</v>
      </c>
      <c r="F4173" s="3" t="n">
        <v>46066.9631944444</v>
      </c>
      <c r="G4173" s="2" t="s">
        <v>8326</v>
      </c>
      <c r="H4173" s="4" t="n">
        <v>0.3089</v>
      </c>
      <c r="I4173" s="2" t="s">
        <v>23</v>
      </c>
      <c r="J4173" s="2" t="s">
        <v>19</v>
      </c>
      <c r="K4173" s="2" t="n">
        <v>3</v>
      </c>
      <c r="L4173" s="2" t="n">
        <v>0</v>
      </c>
      <c r="M4173" s="2" t="n">
        <v>0</v>
      </c>
    </row>
    <row r="4174" customFormat="false" ht="15" hidden="false" customHeight="false" outlineLevel="0" collapsed="false">
      <c r="A4174" s="2" t="s">
        <v>8593</v>
      </c>
      <c r="B4174" s="2" t="s">
        <v>8594</v>
      </c>
      <c r="C4174" s="2" t="n">
        <v>3</v>
      </c>
      <c r="D4174" s="2" t="s">
        <v>99</v>
      </c>
      <c r="E4174" s="2" t="s">
        <v>8083</v>
      </c>
      <c r="F4174" s="3" t="n">
        <v>46067.2465277778</v>
      </c>
      <c r="G4174" s="2" t="s">
        <v>8326</v>
      </c>
      <c r="H4174" s="4" t="n">
        <v>-0.3089</v>
      </c>
      <c r="I4174" s="2" t="s">
        <v>84</v>
      </c>
      <c r="J4174" s="2" t="s">
        <v>19</v>
      </c>
      <c r="K4174" s="2" t="n">
        <v>4</v>
      </c>
      <c r="L4174" s="2" t="n">
        <v>0</v>
      </c>
      <c r="M4174" s="2" t="n">
        <v>0</v>
      </c>
    </row>
    <row r="4175" customFormat="false" ht="15" hidden="false" customHeight="false" outlineLevel="0" collapsed="false">
      <c r="A4175" s="2" t="s">
        <v>8595</v>
      </c>
      <c r="B4175" s="2" t="s">
        <v>7562</v>
      </c>
      <c r="C4175" s="2" t="n">
        <v>5</v>
      </c>
      <c r="D4175" s="2" t="s">
        <v>52</v>
      </c>
      <c r="E4175" s="2" t="s">
        <v>8083</v>
      </c>
      <c r="F4175" s="3" t="n">
        <v>46067.2534722222</v>
      </c>
      <c r="G4175" s="2" t="s">
        <v>8326</v>
      </c>
      <c r="H4175" s="4" t="n">
        <v>0.6369</v>
      </c>
      <c r="I4175" s="2" t="s">
        <v>23</v>
      </c>
      <c r="J4175" s="2" t="s">
        <v>19</v>
      </c>
      <c r="K4175" s="2" t="n">
        <v>0</v>
      </c>
      <c r="L4175" s="2" t="n">
        <v>0</v>
      </c>
      <c r="M4175" s="2" t="n">
        <v>0</v>
      </c>
    </row>
    <row r="4176" customFormat="false" ht="15" hidden="false" customHeight="false" outlineLevel="0" collapsed="false">
      <c r="A4176" s="2" t="s">
        <v>8596</v>
      </c>
      <c r="B4176" s="2" t="s">
        <v>8597</v>
      </c>
      <c r="C4176" s="2" t="n">
        <v>5</v>
      </c>
      <c r="D4176" s="2" t="s">
        <v>127</v>
      </c>
      <c r="E4176" s="2" t="s">
        <v>8083</v>
      </c>
      <c r="F4176" s="3" t="n">
        <v>46067.4236111111</v>
      </c>
      <c r="G4176" s="2" t="s">
        <v>8326</v>
      </c>
      <c r="H4176" s="4" t="n">
        <v>0.9359</v>
      </c>
      <c r="I4176" s="2" t="s">
        <v>23</v>
      </c>
      <c r="J4176" s="2" t="s">
        <v>37</v>
      </c>
      <c r="K4176" s="2" t="n">
        <v>1</v>
      </c>
      <c r="L4176" s="2" t="n">
        <v>0</v>
      </c>
      <c r="M4176" s="2" t="n">
        <v>0</v>
      </c>
    </row>
    <row r="4177" customFormat="false" ht="15" hidden="false" customHeight="false" outlineLevel="0" collapsed="false">
      <c r="A4177" s="2" t="s">
        <v>8598</v>
      </c>
      <c r="B4177" s="2" t="s">
        <v>8599</v>
      </c>
      <c r="C4177" s="2" t="n">
        <v>5</v>
      </c>
      <c r="D4177" s="2" t="s">
        <v>96</v>
      </c>
      <c r="E4177" s="2" t="s">
        <v>8083</v>
      </c>
      <c r="F4177" s="3" t="n">
        <v>46067.4527777778</v>
      </c>
      <c r="G4177" s="2" t="s">
        <v>8326</v>
      </c>
      <c r="H4177" s="4" t="n">
        <v>0.6369</v>
      </c>
      <c r="I4177" s="2" t="s">
        <v>23</v>
      </c>
      <c r="J4177" s="2" t="s">
        <v>19</v>
      </c>
      <c r="K4177" s="2" t="n">
        <v>0</v>
      </c>
      <c r="L4177" s="2" t="n">
        <v>0</v>
      </c>
      <c r="M4177" s="2" t="n">
        <v>0</v>
      </c>
    </row>
    <row r="4178" customFormat="false" ht="15" hidden="false" customHeight="false" outlineLevel="0" collapsed="false">
      <c r="A4178" s="2" t="s">
        <v>8600</v>
      </c>
      <c r="B4178" s="2" t="s">
        <v>8601</v>
      </c>
      <c r="C4178" s="2" t="n">
        <v>4</v>
      </c>
      <c r="D4178" s="2" t="s">
        <v>47</v>
      </c>
      <c r="E4178" s="2" t="s">
        <v>8083</v>
      </c>
      <c r="F4178" s="3" t="n">
        <v>46067.4923611111</v>
      </c>
      <c r="G4178" s="2" t="s">
        <v>8326</v>
      </c>
      <c r="H4178" s="4" t="n">
        <v>0.3089</v>
      </c>
      <c r="I4178" s="2" t="s">
        <v>23</v>
      </c>
      <c r="J4178" s="2" t="s">
        <v>19</v>
      </c>
      <c r="K4178" s="2" t="n">
        <v>4</v>
      </c>
      <c r="L4178" s="2" t="n">
        <v>0</v>
      </c>
      <c r="M4178" s="2" t="n">
        <v>0</v>
      </c>
    </row>
    <row r="4179" customFormat="false" ht="15" hidden="false" customHeight="false" outlineLevel="0" collapsed="false">
      <c r="A4179" s="2" t="s">
        <v>8602</v>
      </c>
      <c r="B4179" s="2" t="s">
        <v>8603</v>
      </c>
      <c r="C4179" s="2" t="n">
        <v>5</v>
      </c>
      <c r="D4179" s="2" t="s">
        <v>47</v>
      </c>
      <c r="E4179" s="2" t="s">
        <v>8083</v>
      </c>
      <c r="F4179" s="3" t="n">
        <v>46067.8666666667</v>
      </c>
      <c r="G4179" s="2" t="s">
        <v>8326</v>
      </c>
      <c r="H4179" s="4" t="n">
        <v>0.3089</v>
      </c>
      <c r="I4179" s="2" t="s">
        <v>23</v>
      </c>
      <c r="J4179" s="2" t="s">
        <v>19</v>
      </c>
      <c r="K4179" s="2" t="n">
        <v>0</v>
      </c>
      <c r="L4179" s="2" t="n">
        <v>0</v>
      </c>
      <c r="M4179" s="2" t="n">
        <v>0</v>
      </c>
    </row>
    <row r="4180" customFormat="false" ht="15" hidden="false" customHeight="false" outlineLevel="0" collapsed="false">
      <c r="A4180" s="2" t="s">
        <v>8604</v>
      </c>
      <c r="B4180" s="2" t="s">
        <v>8605</v>
      </c>
      <c r="C4180" s="2" t="n">
        <v>5</v>
      </c>
      <c r="D4180" s="2" t="s">
        <v>1167</v>
      </c>
      <c r="E4180" s="2" t="s">
        <v>8083</v>
      </c>
      <c r="F4180" s="3" t="n">
        <v>46067.9680555556</v>
      </c>
      <c r="G4180" s="2" t="s">
        <v>8326</v>
      </c>
      <c r="H4180" s="4" t="n">
        <v>0.8519</v>
      </c>
      <c r="I4180" s="2" t="s">
        <v>23</v>
      </c>
      <c r="J4180" s="2" t="s">
        <v>37</v>
      </c>
      <c r="K4180" s="2" t="n">
        <v>8</v>
      </c>
      <c r="L4180" s="2" t="n">
        <v>0</v>
      </c>
      <c r="M4180" s="2" t="n">
        <v>0</v>
      </c>
    </row>
    <row r="4181" customFormat="false" ht="15" hidden="false" customHeight="false" outlineLevel="0" collapsed="false">
      <c r="A4181" s="2" t="s">
        <v>8606</v>
      </c>
      <c r="B4181" s="2" t="s">
        <v>8607</v>
      </c>
      <c r="C4181" s="2" t="n">
        <v>3</v>
      </c>
      <c r="D4181" s="2" t="s">
        <v>301</v>
      </c>
      <c r="E4181" s="2" t="s">
        <v>8083</v>
      </c>
      <c r="F4181" s="3" t="n">
        <v>46067.9715277778</v>
      </c>
      <c r="G4181" s="2" t="s">
        <v>8326</v>
      </c>
      <c r="H4181" s="4" t="n">
        <v>0.2263</v>
      </c>
      <c r="I4181" s="2" t="s">
        <v>23</v>
      </c>
      <c r="J4181" s="2" t="s">
        <v>19</v>
      </c>
      <c r="K4181" s="2" t="n">
        <v>3</v>
      </c>
      <c r="L4181" s="2" t="n">
        <v>0</v>
      </c>
      <c r="M4181" s="2" t="n">
        <v>0</v>
      </c>
    </row>
    <row r="4182" customFormat="false" ht="15" hidden="false" customHeight="false" outlineLevel="0" collapsed="false">
      <c r="A4182" s="2" t="s">
        <v>8608</v>
      </c>
      <c r="B4182" s="2" t="s">
        <v>8609</v>
      </c>
      <c r="C4182" s="2" t="n">
        <v>1</v>
      </c>
      <c r="D4182" s="2" t="s">
        <v>498</v>
      </c>
      <c r="E4182" s="2" t="s">
        <v>8083</v>
      </c>
      <c r="F4182" s="3" t="n">
        <v>46067.9916666667</v>
      </c>
      <c r="G4182" s="2" t="s">
        <v>8326</v>
      </c>
      <c r="H4182" s="4" t="n">
        <v>0</v>
      </c>
      <c r="I4182" s="2" t="s">
        <v>18</v>
      </c>
      <c r="J4182" s="2" t="s">
        <v>165</v>
      </c>
      <c r="K4182" s="2" t="n">
        <v>1</v>
      </c>
      <c r="L4182" s="2" t="n">
        <v>0</v>
      </c>
      <c r="M4182" s="2" t="n">
        <v>0</v>
      </c>
    </row>
    <row r="4183" customFormat="false" ht="15" hidden="false" customHeight="false" outlineLevel="0" collapsed="false">
      <c r="A4183" s="2" t="s">
        <v>8610</v>
      </c>
      <c r="B4183" s="2" t="s">
        <v>8611</v>
      </c>
      <c r="C4183" s="2" t="n">
        <v>5</v>
      </c>
      <c r="D4183" s="2" t="s">
        <v>40</v>
      </c>
      <c r="E4183" s="2" t="s">
        <v>8083</v>
      </c>
      <c r="F4183" s="3" t="n">
        <v>46068.0222222222</v>
      </c>
      <c r="G4183" s="2" t="s">
        <v>8326</v>
      </c>
      <c r="H4183" s="4" t="n">
        <v>0.4019</v>
      </c>
      <c r="I4183" s="2" t="s">
        <v>23</v>
      </c>
      <c r="J4183" s="2" t="s">
        <v>33</v>
      </c>
      <c r="K4183" s="2" t="n">
        <v>0</v>
      </c>
      <c r="L4183" s="2" t="n">
        <v>0</v>
      </c>
      <c r="M4183" s="2" t="n">
        <v>0</v>
      </c>
    </row>
    <row r="4184" customFormat="false" ht="15" hidden="false" customHeight="false" outlineLevel="0" collapsed="false">
      <c r="A4184" s="2" t="s">
        <v>8612</v>
      </c>
      <c r="B4184" s="2" t="s">
        <v>8613</v>
      </c>
      <c r="C4184" s="2" t="n">
        <v>5</v>
      </c>
      <c r="D4184" s="2" t="s">
        <v>47</v>
      </c>
      <c r="E4184" s="2" t="s">
        <v>8083</v>
      </c>
      <c r="F4184" s="3" t="n">
        <v>46068.2791666667</v>
      </c>
      <c r="G4184" s="2" t="s">
        <v>8326</v>
      </c>
      <c r="H4184" s="4" t="n">
        <v>0.3089</v>
      </c>
      <c r="I4184" s="2" t="s">
        <v>23</v>
      </c>
      <c r="J4184" s="2" t="s">
        <v>19</v>
      </c>
      <c r="K4184" s="2" t="n">
        <v>18</v>
      </c>
      <c r="L4184" s="2" t="n">
        <v>0</v>
      </c>
      <c r="M4184" s="2" t="n">
        <v>0</v>
      </c>
    </row>
    <row r="4185" customFormat="false" ht="15" hidden="false" customHeight="false" outlineLevel="0" collapsed="false">
      <c r="A4185" s="2" t="s">
        <v>8614</v>
      </c>
      <c r="B4185" s="2" t="s">
        <v>8615</v>
      </c>
      <c r="C4185" s="2" t="n">
        <v>5</v>
      </c>
      <c r="D4185" s="2" t="s">
        <v>67</v>
      </c>
      <c r="E4185" s="2" t="s">
        <v>8083</v>
      </c>
      <c r="F4185" s="3" t="n">
        <v>46068.2972222222</v>
      </c>
      <c r="G4185" s="2" t="s">
        <v>8326</v>
      </c>
      <c r="H4185" s="4" t="n">
        <v>0.8953</v>
      </c>
      <c r="I4185" s="2" t="s">
        <v>23</v>
      </c>
      <c r="J4185" s="2" t="s">
        <v>19</v>
      </c>
      <c r="K4185" s="2" t="n">
        <v>3</v>
      </c>
      <c r="L4185" s="2" t="n">
        <v>0</v>
      </c>
      <c r="M4185" s="2" t="n">
        <v>0</v>
      </c>
    </row>
    <row r="4186" customFormat="false" ht="15" hidden="false" customHeight="false" outlineLevel="0" collapsed="false">
      <c r="A4186" s="2" t="s">
        <v>8616</v>
      </c>
      <c r="B4186" s="2" t="s">
        <v>8617</v>
      </c>
      <c r="C4186" s="2" t="n">
        <v>3</v>
      </c>
      <c r="D4186" s="2" t="s">
        <v>87</v>
      </c>
      <c r="E4186" s="2" t="s">
        <v>8083</v>
      </c>
      <c r="F4186" s="3" t="n">
        <v>46068.3104166667</v>
      </c>
      <c r="G4186" s="2" t="s">
        <v>8326</v>
      </c>
      <c r="H4186" s="4" t="n">
        <v>0</v>
      </c>
      <c r="I4186" s="2" t="s">
        <v>18</v>
      </c>
      <c r="J4186" s="2" t="s">
        <v>19</v>
      </c>
      <c r="K4186" s="2" t="n">
        <v>0</v>
      </c>
      <c r="L4186" s="2" t="n">
        <v>0</v>
      </c>
      <c r="M4186" s="2" t="n">
        <v>0</v>
      </c>
    </row>
    <row r="4187" customFormat="false" ht="15" hidden="false" customHeight="false" outlineLevel="0" collapsed="false">
      <c r="A4187" s="2" t="s">
        <v>8618</v>
      </c>
      <c r="B4187" s="2" t="s">
        <v>8619</v>
      </c>
      <c r="C4187" s="2" t="n">
        <v>5</v>
      </c>
      <c r="D4187" s="2" t="s">
        <v>90</v>
      </c>
      <c r="E4187" s="2" t="s">
        <v>8083</v>
      </c>
      <c r="F4187" s="3" t="n">
        <v>46068.6256944445</v>
      </c>
      <c r="G4187" s="2" t="s">
        <v>8326</v>
      </c>
      <c r="H4187" s="4" t="n">
        <v>0.6249</v>
      </c>
      <c r="I4187" s="2" t="s">
        <v>23</v>
      </c>
      <c r="J4187" s="2" t="s">
        <v>37</v>
      </c>
      <c r="K4187" s="2" t="n">
        <v>1</v>
      </c>
      <c r="L4187" s="2" t="n">
        <v>0</v>
      </c>
      <c r="M4187" s="2" t="n">
        <v>0</v>
      </c>
    </row>
    <row r="4188" customFormat="false" ht="15" hidden="false" customHeight="false" outlineLevel="0" collapsed="false">
      <c r="A4188" s="2" t="s">
        <v>8620</v>
      </c>
      <c r="B4188" s="2" t="s">
        <v>8621</v>
      </c>
      <c r="C4188" s="2" t="n">
        <v>4</v>
      </c>
      <c r="D4188" s="2" t="s">
        <v>22</v>
      </c>
      <c r="E4188" s="2" t="s">
        <v>8083</v>
      </c>
      <c r="F4188" s="3" t="n">
        <v>46068.6409722222</v>
      </c>
      <c r="G4188" s="2" t="s">
        <v>8326</v>
      </c>
      <c r="H4188" s="4" t="n">
        <v>0.2023</v>
      </c>
      <c r="I4188" s="2" t="s">
        <v>23</v>
      </c>
      <c r="J4188" s="2" t="s">
        <v>19</v>
      </c>
      <c r="K4188" s="2" t="n">
        <v>1</v>
      </c>
      <c r="L4188" s="2" t="n">
        <v>0</v>
      </c>
      <c r="M4188" s="2" t="n">
        <v>0</v>
      </c>
    </row>
    <row r="4189" customFormat="false" ht="15" hidden="false" customHeight="false" outlineLevel="0" collapsed="false">
      <c r="A4189" s="2" t="s">
        <v>8622</v>
      </c>
      <c r="B4189" s="2" t="s">
        <v>8623</v>
      </c>
      <c r="C4189" s="2" t="n">
        <v>1</v>
      </c>
      <c r="D4189" s="2" t="s">
        <v>482</v>
      </c>
      <c r="E4189" s="2" t="s">
        <v>8083</v>
      </c>
      <c r="F4189" s="3" t="n">
        <v>46068.8534722222</v>
      </c>
      <c r="G4189" s="2" t="s">
        <v>8326</v>
      </c>
      <c r="H4189" s="4" t="n">
        <v>-0.6808</v>
      </c>
      <c r="I4189" s="2" t="s">
        <v>84</v>
      </c>
      <c r="J4189" s="2" t="s">
        <v>110</v>
      </c>
      <c r="K4189" s="2" t="n">
        <v>4</v>
      </c>
      <c r="L4189" s="2" t="n">
        <v>0</v>
      </c>
      <c r="M4189" s="2" t="n">
        <v>0</v>
      </c>
    </row>
    <row r="4190" customFormat="false" ht="15" hidden="false" customHeight="false" outlineLevel="0" collapsed="false">
      <c r="A4190" s="2" t="s">
        <v>8624</v>
      </c>
      <c r="B4190" s="2" t="s">
        <v>8625</v>
      </c>
      <c r="C4190" s="2" t="n">
        <v>5</v>
      </c>
      <c r="D4190" s="2" t="s">
        <v>15</v>
      </c>
      <c r="E4190" s="2" t="s">
        <v>8083</v>
      </c>
      <c r="F4190" s="3" t="n">
        <v>46069.0125</v>
      </c>
      <c r="G4190" s="2" t="s">
        <v>8326</v>
      </c>
      <c r="H4190" s="4" t="n">
        <v>0</v>
      </c>
      <c r="I4190" s="2" t="s">
        <v>18</v>
      </c>
      <c r="J4190" s="2" t="s">
        <v>19</v>
      </c>
      <c r="K4190" s="2" t="n">
        <v>4</v>
      </c>
      <c r="L4190" s="2" t="n">
        <v>0</v>
      </c>
      <c r="M4190" s="2" t="n">
        <v>0</v>
      </c>
    </row>
    <row r="4191" customFormat="false" ht="15" hidden="false" customHeight="false" outlineLevel="0" collapsed="false">
      <c r="A4191" s="2" t="s">
        <v>8626</v>
      </c>
      <c r="B4191" s="2" t="s">
        <v>8627</v>
      </c>
      <c r="C4191" s="2" t="n">
        <v>5</v>
      </c>
      <c r="D4191" s="2" t="s">
        <v>90</v>
      </c>
      <c r="E4191" s="2" t="s">
        <v>8083</v>
      </c>
      <c r="F4191" s="3" t="n">
        <v>46069.1180555556</v>
      </c>
      <c r="G4191" s="2" t="s">
        <v>8326</v>
      </c>
      <c r="H4191" s="4" t="n">
        <v>0.6249</v>
      </c>
      <c r="I4191" s="2" t="s">
        <v>23</v>
      </c>
      <c r="J4191" s="2" t="s">
        <v>37</v>
      </c>
      <c r="K4191" s="2" t="n">
        <v>0</v>
      </c>
      <c r="L4191" s="2" t="n">
        <v>1</v>
      </c>
      <c r="M4191" s="2" t="n">
        <v>0</v>
      </c>
    </row>
    <row r="4192" customFormat="false" ht="15" hidden="false" customHeight="false" outlineLevel="0" collapsed="false">
      <c r="A4192" s="2" t="s">
        <v>8628</v>
      </c>
      <c r="B4192" s="2" t="s">
        <v>8629</v>
      </c>
      <c r="C4192" s="2" t="n">
        <v>5</v>
      </c>
      <c r="D4192" s="2" t="s">
        <v>96</v>
      </c>
      <c r="E4192" s="2" t="s">
        <v>8083</v>
      </c>
      <c r="F4192" s="3" t="n">
        <v>46069.1645833333</v>
      </c>
      <c r="G4192" s="2" t="s">
        <v>8326</v>
      </c>
      <c r="H4192" s="4" t="n">
        <v>0.6369</v>
      </c>
      <c r="I4192" s="2" t="s">
        <v>23</v>
      </c>
      <c r="J4192" s="2" t="s">
        <v>19</v>
      </c>
      <c r="K4192" s="2" t="n">
        <v>2</v>
      </c>
      <c r="L4192" s="2" t="n">
        <v>0</v>
      </c>
      <c r="M4192" s="2" t="n">
        <v>0</v>
      </c>
    </row>
    <row r="4193" customFormat="false" ht="15" hidden="false" customHeight="false" outlineLevel="0" collapsed="false">
      <c r="A4193" s="2" t="s">
        <v>8630</v>
      </c>
      <c r="B4193" s="2" t="s">
        <v>8631</v>
      </c>
      <c r="C4193" s="2" t="n">
        <v>5</v>
      </c>
      <c r="D4193" s="2" t="s">
        <v>47</v>
      </c>
      <c r="E4193" s="2" t="s">
        <v>8083</v>
      </c>
      <c r="F4193" s="3" t="n">
        <v>46069.3006944444</v>
      </c>
      <c r="G4193" s="2" t="s">
        <v>8326</v>
      </c>
      <c r="H4193" s="4" t="n">
        <v>0.3089</v>
      </c>
      <c r="I4193" s="2" t="s">
        <v>23</v>
      </c>
      <c r="J4193" s="2" t="s">
        <v>19</v>
      </c>
      <c r="K4193" s="2" t="n">
        <v>1</v>
      </c>
      <c r="L4193" s="2" t="n">
        <v>0</v>
      </c>
      <c r="M4193" s="2" t="n">
        <v>0</v>
      </c>
    </row>
    <row r="4194" customFormat="false" ht="15" hidden="false" customHeight="false" outlineLevel="0" collapsed="false">
      <c r="A4194" s="2" t="s">
        <v>8632</v>
      </c>
      <c r="B4194" s="2" t="s">
        <v>8633</v>
      </c>
      <c r="C4194" s="2" t="n">
        <v>4</v>
      </c>
      <c r="D4194" s="2" t="s">
        <v>99</v>
      </c>
      <c r="E4194" s="2" t="s">
        <v>8083</v>
      </c>
      <c r="F4194" s="3" t="n">
        <v>46069.4625</v>
      </c>
      <c r="G4194" s="2" t="s">
        <v>8326</v>
      </c>
      <c r="H4194" s="4" t="n">
        <v>-0.3089</v>
      </c>
      <c r="I4194" s="2" t="s">
        <v>84</v>
      </c>
      <c r="J4194" s="2" t="s">
        <v>19</v>
      </c>
      <c r="K4194" s="2" t="n">
        <v>6</v>
      </c>
      <c r="L4194" s="2" t="n">
        <v>0</v>
      </c>
      <c r="M4194" s="2" t="n">
        <v>0</v>
      </c>
    </row>
    <row r="4195" customFormat="false" ht="15" hidden="false" customHeight="false" outlineLevel="0" collapsed="false">
      <c r="A4195" s="2" t="s">
        <v>8634</v>
      </c>
      <c r="B4195" s="2" t="s">
        <v>8635</v>
      </c>
      <c r="C4195" s="2" t="n">
        <v>4</v>
      </c>
      <c r="D4195" s="2" t="s">
        <v>40</v>
      </c>
      <c r="E4195" s="2" t="s">
        <v>8083</v>
      </c>
      <c r="F4195" s="3" t="n">
        <v>46069.5430555556</v>
      </c>
      <c r="G4195" s="2" t="s">
        <v>8326</v>
      </c>
      <c r="H4195" s="4" t="n">
        <v>0.4019</v>
      </c>
      <c r="I4195" s="2" t="s">
        <v>23</v>
      </c>
      <c r="J4195" s="2" t="s">
        <v>33</v>
      </c>
      <c r="K4195" s="2" t="n">
        <v>5</v>
      </c>
      <c r="L4195" s="2" t="n">
        <v>0</v>
      </c>
      <c r="M4195" s="2" t="n">
        <v>0</v>
      </c>
    </row>
    <row r="4196" customFormat="false" ht="15" hidden="false" customHeight="false" outlineLevel="0" collapsed="false">
      <c r="A4196" s="2" t="s">
        <v>8636</v>
      </c>
      <c r="B4196" s="2" t="s">
        <v>8637</v>
      </c>
      <c r="C4196" s="2" t="n">
        <v>4</v>
      </c>
      <c r="D4196" s="2" t="s">
        <v>15</v>
      </c>
      <c r="E4196" s="2" t="s">
        <v>8083</v>
      </c>
      <c r="F4196" s="3" t="n">
        <v>46069.55</v>
      </c>
      <c r="G4196" s="2" t="s">
        <v>8326</v>
      </c>
      <c r="H4196" s="4" t="n">
        <v>0</v>
      </c>
      <c r="I4196" s="2" t="s">
        <v>18</v>
      </c>
      <c r="J4196" s="2" t="s">
        <v>19</v>
      </c>
      <c r="K4196" s="2" t="n">
        <v>7</v>
      </c>
      <c r="L4196" s="2" t="n">
        <v>0</v>
      </c>
      <c r="M4196" s="2" t="n">
        <v>0</v>
      </c>
    </row>
    <row r="4197" customFormat="false" ht="15" hidden="false" customHeight="false" outlineLevel="0" collapsed="false">
      <c r="A4197" s="2" t="s">
        <v>8638</v>
      </c>
      <c r="B4197" s="2" t="s">
        <v>8639</v>
      </c>
      <c r="C4197" s="2" t="n">
        <v>5</v>
      </c>
      <c r="D4197" s="2" t="s">
        <v>127</v>
      </c>
      <c r="E4197" s="2" t="s">
        <v>8083</v>
      </c>
      <c r="F4197" s="3" t="n">
        <v>46069.64375</v>
      </c>
      <c r="G4197" s="2" t="s">
        <v>8326</v>
      </c>
      <c r="H4197" s="4" t="n">
        <v>0.9359</v>
      </c>
      <c r="I4197" s="2" t="s">
        <v>23</v>
      </c>
      <c r="J4197" s="2" t="s">
        <v>37</v>
      </c>
      <c r="K4197" s="2" t="n">
        <v>7</v>
      </c>
      <c r="L4197" s="2" t="n">
        <v>0</v>
      </c>
      <c r="M4197" s="2" t="n">
        <v>0</v>
      </c>
    </row>
    <row r="4198" customFormat="false" ht="15" hidden="false" customHeight="false" outlineLevel="0" collapsed="false">
      <c r="A4198" s="2" t="s">
        <v>8640</v>
      </c>
      <c r="B4198" s="2" t="s">
        <v>8641</v>
      </c>
      <c r="C4198" s="2" t="n">
        <v>3</v>
      </c>
      <c r="D4198" s="2" t="s">
        <v>99</v>
      </c>
      <c r="E4198" s="2" t="s">
        <v>8083</v>
      </c>
      <c r="F4198" s="3" t="n">
        <v>46069.6826388889</v>
      </c>
      <c r="G4198" s="2" t="s">
        <v>8326</v>
      </c>
      <c r="H4198" s="4" t="n">
        <v>-0.3089</v>
      </c>
      <c r="I4198" s="2" t="s">
        <v>84</v>
      </c>
      <c r="J4198" s="2" t="s">
        <v>19</v>
      </c>
      <c r="K4198" s="2" t="n">
        <v>7</v>
      </c>
      <c r="L4198" s="2" t="n">
        <v>0</v>
      </c>
      <c r="M4198" s="2" t="n">
        <v>0</v>
      </c>
    </row>
    <row r="4199" customFormat="false" ht="15" hidden="false" customHeight="false" outlineLevel="0" collapsed="false">
      <c r="A4199" s="2" t="s">
        <v>8642</v>
      </c>
      <c r="B4199" s="2" t="s">
        <v>8643</v>
      </c>
      <c r="C4199" s="2" t="n">
        <v>2</v>
      </c>
      <c r="D4199" s="2" t="s">
        <v>823</v>
      </c>
      <c r="E4199" s="2" t="s">
        <v>8083</v>
      </c>
      <c r="F4199" s="3" t="n">
        <v>46069.6951388889</v>
      </c>
      <c r="G4199" s="2" t="s">
        <v>8326</v>
      </c>
      <c r="H4199" s="4" t="n">
        <v>-0.6997</v>
      </c>
      <c r="I4199" s="2" t="s">
        <v>84</v>
      </c>
      <c r="J4199" s="2" t="s">
        <v>19</v>
      </c>
      <c r="K4199" s="2" t="n">
        <v>3</v>
      </c>
      <c r="L4199" s="2" t="n">
        <v>0</v>
      </c>
      <c r="M4199" s="2" t="n">
        <v>0</v>
      </c>
    </row>
    <row r="4200" customFormat="false" ht="15" hidden="false" customHeight="false" outlineLevel="0" collapsed="false">
      <c r="A4200" s="2" t="s">
        <v>8644</v>
      </c>
      <c r="B4200" s="2" t="s">
        <v>8645</v>
      </c>
      <c r="C4200" s="2" t="n">
        <v>4</v>
      </c>
      <c r="D4200" s="2" t="s">
        <v>26</v>
      </c>
      <c r="E4200" s="2" t="s">
        <v>8083</v>
      </c>
      <c r="F4200" s="3" t="n">
        <v>46069.6993055556</v>
      </c>
      <c r="G4200" s="2" t="s">
        <v>8326</v>
      </c>
      <c r="H4200" s="4" t="n">
        <v>0.8848</v>
      </c>
      <c r="I4200" s="2" t="s">
        <v>23</v>
      </c>
      <c r="J4200" s="2" t="s">
        <v>19</v>
      </c>
      <c r="K4200" s="2" t="n">
        <v>0</v>
      </c>
      <c r="L4200" s="2" t="n">
        <v>1</v>
      </c>
      <c r="M4200" s="2" t="n">
        <v>0</v>
      </c>
    </row>
    <row r="4201" customFormat="false" ht="15" hidden="false" customHeight="false" outlineLevel="0" collapsed="false">
      <c r="A4201" s="2" t="s">
        <v>8646</v>
      </c>
      <c r="B4201" s="2" t="s">
        <v>8647</v>
      </c>
      <c r="C4201" s="2" t="n">
        <v>5</v>
      </c>
      <c r="D4201" s="2" t="s">
        <v>47</v>
      </c>
      <c r="E4201" s="2" t="s">
        <v>8083</v>
      </c>
      <c r="F4201" s="3" t="n">
        <v>46069.9027777778</v>
      </c>
      <c r="G4201" s="2" t="s">
        <v>8326</v>
      </c>
      <c r="H4201" s="4" t="n">
        <v>0.3089</v>
      </c>
      <c r="I4201" s="2" t="s">
        <v>23</v>
      </c>
      <c r="J4201" s="2" t="s">
        <v>19</v>
      </c>
      <c r="K4201" s="2" t="n">
        <v>1</v>
      </c>
      <c r="L4201" s="2" t="n">
        <v>0</v>
      </c>
      <c r="M4201" s="2" t="n">
        <v>0</v>
      </c>
    </row>
    <row r="4202" customFormat="false" ht="15" hidden="false" customHeight="false" outlineLevel="0" collapsed="false">
      <c r="A4202" s="2" t="s">
        <v>8648</v>
      </c>
      <c r="B4202" s="2" t="s">
        <v>8649</v>
      </c>
      <c r="C4202" s="2" t="n">
        <v>3</v>
      </c>
      <c r="D4202" s="2" t="s">
        <v>4089</v>
      </c>
      <c r="E4202" s="2" t="s">
        <v>8083</v>
      </c>
      <c r="F4202" s="3" t="n">
        <v>46070.0555555556</v>
      </c>
      <c r="G4202" s="2" t="s">
        <v>8326</v>
      </c>
      <c r="H4202" s="4" t="n">
        <v>0.2263</v>
      </c>
      <c r="I4202" s="2" t="s">
        <v>23</v>
      </c>
      <c r="J4202" s="2" t="s">
        <v>59</v>
      </c>
      <c r="K4202" s="2" t="n">
        <v>1</v>
      </c>
      <c r="L4202" s="2" t="n">
        <v>0</v>
      </c>
      <c r="M4202" s="2" t="n">
        <v>0</v>
      </c>
    </row>
    <row r="4203" customFormat="false" ht="15" hidden="false" customHeight="false" outlineLevel="0" collapsed="false">
      <c r="A4203" s="2" t="s">
        <v>8650</v>
      </c>
      <c r="B4203" s="2" t="s">
        <v>8651</v>
      </c>
      <c r="C4203" s="2" t="n">
        <v>5</v>
      </c>
      <c r="D4203" s="2" t="s">
        <v>127</v>
      </c>
      <c r="E4203" s="2" t="s">
        <v>8083</v>
      </c>
      <c r="F4203" s="3" t="n">
        <v>46070.0701388889</v>
      </c>
      <c r="G4203" s="2" t="s">
        <v>8326</v>
      </c>
      <c r="H4203" s="4" t="n">
        <v>0.9359</v>
      </c>
      <c r="I4203" s="2" t="s">
        <v>23</v>
      </c>
      <c r="J4203" s="2" t="s">
        <v>37</v>
      </c>
      <c r="K4203" s="2" t="n">
        <v>7</v>
      </c>
      <c r="L4203" s="2" t="n">
        <v>0</v>
      </c>
      <c r="M4203" s="2" t="n">
        <v>0</v>
      </c>
    </row>
    <row r="4204" customFormat="false" ht="15" hidden="false" customHeight="false" outlineLevel="0" collapsed="false">
      <c r="A4204" s="2" t="s">
        <v>8652</v>
      </c>
      <c r="B4204" s="2" t="s">
        <v>8653</v>
      </c>
      <c r="C4204" s="2" t="n">
        <v>1</v>
      </c>
      <c r="D4204" s="2" t="s">
        <v>109</v>
      </c>
      <c r="E4204" s="2" t="s">
        <v>8083</v>
      </c>
      <c r="F4204" s="3" t="n">
        <v>46070.1555555556</v>
      </c>
      <c r="G4204" s="2" t="s">
        <v>8326</v>
      </c>
      <c r="H4204" s="4" t="n">
        <v>0</v>
      </c>
      <c r="I4204" s="2" t="s">
        <v>18</v>
      </c>
      <c r="J4204" s="2" t="s">
        <v>110</v>
      </c>
      <c r="K4204" s="2" t="n">
        <v>0</v>
      </c>
      <c r="L4204" s="2" t="n">
        <v>0</v>
      </c>
      <c r="M4204" s="2" t="n">
        <v>0</v>
      </c>
    </row>
    <row r="4205" customFormat="false" ht="15" hidden="false" customHeight="false" outlineLevel="0" collapsed="false">
      <c r="A4205" s="2" t="s">
        <v>8654</v>
      </c>
      <c r="B4205" s="2" t="s">
        <v>5212</v>
      </c>
      <c r="C4205" s="2" t="n">
        <v>5</v>
      </c>
      <c r="D4205" s="2" t="s">
        <v>40</v>
      </c>
      <c r="E4205" s="2" t="s">
        <v>8083</v>
      </c>
      <c r="F4205" s="3" t="n">
        <v>46070.2208333333</v>
      </c>
      <c r="G4205" s="2" t="s">
        <v>8326</v>
      </c>
      <c r="H4205" s="4" t="n">
        <v>0.4019</v>
      </c>
      <c r="I4205" s="2" t="s">
        <v>23</v>
      </c>
      <c r="J4205" s="2" t="s">
        <v>33</v>
      </c>
      <c r="K4205" s="2" t="n">
        <v>5</v>
      </c>
      <c r="L4205" s="2" t="n">
        <v>0</v>
      </c>
      <c r="M4205" s="2" t="n">
        <v>0</v>
      </c>
    </row>
    <row r="4206" customFormat="false" ht="15" hidden="false" customHeight="false" outlineLevel="0" collapsed="false">
      <c r="A4206" s="2" t="s">
        <v>8655</v>
      </c>
      <c r="B4206" s="2" t="s">
        <v>8656</v>
      </c>
      <c r="C4206" s="2" t="n">
        <v>1</v>
      </c>
      <c r="D4206" s="2" t="s">
        <v>58</v>
      </c>
      <c r="E4206" s="2" t="s">
        <v>8083</v>
      </c>
      <c r="F4206" s="3" t="n">
        <v>46070.3534722222</v>
      </c>
      <c r="G4206" s="2" t="s">
        <v>8326</v>
      </c>
      <c r="H4206" s="4" t="n">
        <v>0</v>
      </c>
      <c r="I4206" s="2" t="s">
        <v>18</v>
      </c>
      <c r="J4206" s="2" t="s">
        <v>59</v>
      </c>
      <c r="K4206" s="2" t="n">
        <v>10</v>
      </c>
      <c r="L4206" s="2" t="n">
        <v>0</v>
      </c>
      <c r="M4206" s="2" t="n">
        <v>0</v>
      </c>
    </row>
    <row r="4207" customFormat="false" ht="15" hidden="false" customHeight="false" outlineLevel="0" collapsed="false">
      <c r="A4207" s="2" t="s">
        <v>8657</v>
      </c>
      <c r="B4207" s="2" t="s">
        <v>8658</v>
      </c>
      <c r="C4207" s="2" t="n">
        <v>4</v>
      </c>
      <c r="D4207" s="2" t="s">
        <v>36</v>
      </c>
      <c r="E4207" s="2" t="s">
        <v>8083</v>
      </c>
      <c r="F4207" s="3" t="n">
        <v>46070.4805555556</v>
      </c>
      <c r="G4207" s="2" t="s">
        <v>8326</v>
      </c>
      <c r="H4207" s="4" t="n">
        <v>0.4404</v>
      </c>
      <c r="I4207" s="2" t="s">
        <v>23</v>
      </c>
      <c r="J4207" s="2" t="s">
        <v>37</v>
      </c>
      <c r="K4207" s="2" t="n">
        <v>3</v>
      </c>
      <c r="L4207" s="2" t="n">
        <v>0</v>
      </c>
      <c r="M4207" s="2" t="n">
        <v>0</v>
      </c>
    </row>
    <row r="4208" customFormat="false" ht="15" hidden="false" customHeight="false" outlineLevel="0" collapsed="false">
      <c r="A4208" s="2" t="s">
        <v>8659</v>
      </c>
      <c r="B4208" s="2" t="s">
        <v>8660</v>
      </c>
      <c r="C4208" s="2" t="n">
        <v>4</v>
      </c>
      <c r="D4208" s="2" t="s">
        <v>47</v>
      </c>
      <c r="E4208" s="2" t="s">
        <v>8083</v>
      </c>
      <c r="F4208" s="3" t="n">
        <v>46070.4902777778</v>
      </c>
      <c r="G4208" s="2" t="s">
        <v>8326</v>
      </c>
      <c r="H4208" s="4" t="n">
        <v>0.3089</v>
      </c>
      <c r="I4208" s="2" t="s">
        <v>23</v>
      </c>
      <c r="J4208" s="2" t="s">
        <v>19</v>
      </c>
      <c r="K4208" s="2" t="n">
        <v>3</v>
      </c>
      <c r="L4208" s="2" t="n">
        <v>0</v>
      </c>
      <c r="M4208" s="2" t="n">
        <v>0</v>
      </c>
    </row>
    <row r="4209" customFormat="false" ht="15" hidden="false" customHeight="false" outlineLevel="0" collapsed="false">
      <c r="A4209" s="2" t="s">
        <v>8661</v>
      </c>
      <c r="B4209" s="2" t="s">
        <v>8662</v>
      </c>
      <c r="C4209" s="2" t="n">
        <v>3</v>
      </c>
      <c r="D4209" s="2" t="s">
        <v>36</v>
      </c>
      <c r="E4209" s="2" t="s">
        <v>8083</v>
      </c>
      <c r="F4209" s="3" t="n">
        <v>46070.5229166667</v>
      </c>
      <c r="G4209" s="2" t="s">
        <v>8326</v>
      </c>
      <c r="H4209" s="4" t="n">
        <v>0.4404</v>
      </c>
      <c r="I4209" s="2" t="s">
        <v>23</v>
      </c>
      <c r="J4209" s="2" t="s">
        <v>37</v>
      </c>
      <c r="K4209" s="2" t="n">
        <v>0</v>
      </c>
      <c r="L4209" s="2" t="n">
        <v>0</v>
      </c>
      <c r="M4209" s="2" t="n">
        <v>0</v>
      </c>
    </row>
    <row r="4210" customFormat="false" ht="15" hidden="false" customHeight="false" outlineLevel="0" collapsed="false">
      <c r="A4210" s="2" t="s">
        <v>8663</v>
      </c>
      <c r="B4210" s="2" t="s">
        <v>8664</v>
      </c>
      <c r="C4210" s="2" t="n">
        <v>5</v>
      </c>
      <c r="D4210" s="2" t="s">
        <v>96</v>
      </c>
      <c r="E4210" s="2" t="s">
        <v>8083</v>
      </c>
      <c r="F4210" s="3" t="n">
        <v>46070.6652777778</v>
      </c>
      <c r="G4210" s="2" t="s">
        <v>8326</v>
      </c>
      <c r="H4210" s="4" t="n">
        <v>0.6369</v>
      </c>
      <c r="I4210" s="2" t="s">
        <v>23</v>
      </c>
      <c r="J4210" s="2" t="s">
        <v>19</v>
      </c>
      <c r="K4210" s="2" t="n">
        <v>5</v>
      </c>
      <c r="L4210" s="2" t="n">
        <v>0</v>
      </c>
      <c r="M4210" s="2" t="n">
        <v>0</v>
      </c>
    </row>
    <row r="4211" customFormat="false" ht="15" hidden="false" customHeight="false" outlineLevel="0" collapsed="false">
      <c r="A4211" s="2" t="s">
        <v>8665</v>
      </c>
      <c r="B4211" s="2" t="s">
        <v>8666</v>
      </c>
      <c r="C4211" s="2" t="n">
        <v>5</v>
      </c>
      <c r="D4211" s="2" t="s">
        <v>62</v>
      </c>
      <c r="E4211" s="2" t="s">
        <v>8083</v>
      </c>
      <c r="F4211" s="3" t="n">
        <v>46070.825</v>
      </c>
      <c r="G4211" s="2" t="s">
        <v>8326</v>
      </c>
      <c r="H4211" s="4" t="n">
        <v>0.7088</v>
      </c>
      <c r="I4211" s="2" t="s">
        <v>23</v>
      </c>
      <c r="J4211" s="2" t="s">
        <v>19</v>
      </c>
      <c r="K4211" s="2" t="n">
        <v>2</v>
      </c>
      <c r="L4211" s="2" t="n">
        <v>0</v>
      </c>
      <c r="M4211" s="2" t="n">
        <v>0</v>
      </c>
    </row>
    <row r="4212" customFormat="false" ht="15" hidden="false" customHeight="false" outlineLevel="0" collapsed="false">
      <c r="A4212" s="2" t="s">
        <v>8667</v>
      </c>
      <c r="B4212" s="2" t="s">
        <v>8668</v>
      </c>
      <c r="C4212" s="2" t="n">
        <v>4</v>
      </c>
      <c r="D4212" s="2" t="s">
        <v>40</v>
      </c>
      <c r="E4212" s="2" t="s">
        <v>8083</v>
      </c>
      <c r="F4212" s="3" t="n">
        <v>46071.04375</v>
      </c>
      <c r="G4212" s="2" t="s">
        <v>8326</v>
      </c>
      <c r="H4212" s="4" t="n">
        <v>0.4019</v>
      </c>
      <c r="I4212" s="2" t="s">
        <v>23</v>
      </c>
      <c r="J4212" s="2" t="s">
        <v>33</v>
      </c>
      <c r="K4212" s="2" t="n">
        <v>2</v>
      </c>
      <c r="L4212" s="2" t="n">
        <v>0</v>
      </c>
      <c r="M4212" s="2" t="n">
        <v>0</v>
      </c>
    </row>
    <row r="4213" customFormat="false" ht="15" hidden="false" customHeight="false" outlineLevel="0" collapsed="false">
      <c r="A4213" s="2" t="s">
        <v>8669</v>
      </c>
      <c r="B4213" s="2" t="s">
        <v>6869</v>
      </c>
      <c r="C4213" s="2" t="n">
        <v>1</v>
      </c>
      <c r="D4213" s="2" t="s">
        <v>168</v>
      </c>
      <c r="E4213" s="2" t="s">
        <v>8083</v>
      </c>
      <c r="F4213" s="3" t="n">
        <v>46071.0791666667</v>
      </c>
      <c r="G4213" s="2" t="s">
        <v>8326</v>
      </c>
      <c r="H4213" s="4" t="n">
        <v>-0.1027</v>
      </c>
      <c r="I4213" s="2" t="s">
        <v>84</v>
      </c>
      <c r="J4213" s="2" t="s">
        <v>33</v>
      </c>
      <c r="K4213" s="2" t="n">
        <v>2</v>
      </c>
      <c r="L4213" s="2" t="n">
        <v>1</v>
      </c>
      <c r="M4213" s="2" t="n">
        <v>0</v>
      </c>
    </row>
    <row r="4214" customFormat="false" ht="15" hidden="false" customHeight="false" outlineLevel="0" collapsed="false">
      <c r="A4214" s="2" t="s">
        <v>8670</v>
      </c>
      <c r="B4214" s="2" t="s">
        <v>8671</v>
      </c>
      <c r="C4214" s="2" t="n">
        <v>3</v>
      </c>
      <c r="D4214" s="2" t="s">
        <v>99</v>
      </c>
      <c r="E4214" s="2" t="s">
        <v>8083</v>
      </c>
      <c r="F4214" s="3" t="n">
        <v>46071.0840277778</v>
      </c>
      <c r="G4214" s="2" t="s">
        <v>8326</v>
      </c>
      <c r="H4214" s="4" t="n">
        <v>-0.3089</v>
      </c>
      <c r="I4214" s="2" t="s">
        <v>84</v>
      </c>
      <c r="J4214" s="2" t="s">
        <v>19</v>
      </c>
      <c r="K4214" s="2" t="n">
        <v>6</v>
      </c>
      <c r="L4214" s="2" t="n">
        <v>0</v>
      </c>
      <c r="M4214" s="2" t="n">
        <v>0</v>
      </c>
    </row>
    <row r="4215" customFormat="false" ht="15" hidden="false" customHeight="false" outlineLevel="0" collapsed="false">
      <c r="A4215" s="2" t="s">
        <v>8672</v>
      </c>
      <c r="B4215" s="2" t="s">
        <v>8673</v>
      </c>
      <c r="C4215" s="2" t="n">
        <v>5</v>
      </c>
      <c r="D4215" s="2" t="s">
        <v>15</v>
      </c>
      <c r="E4215" s="2" t="s">
        <v>8083</v>
      </c>
      <c r="F4215" s="3" t="n">
        <v>46071.1</v>
      </c>
      <c r="G4215" s="2" t="s">
        <v>8326</v>
      </c>
      <c r="H4215" s="4" t="n">
        <v>0</v>
      </c>
      <c r="I4215" s="2" t="s">
        <v>18</v>
      </c>
      <c r="J4215" s="2" t="s">
        <v>19</v>
      </c>
      <c r="K4215" s="2" t="n">
        <v>0</v>
      </c>
      <c r="L4215" s="2" t="n">
        <v>0</v>
      </c>
      <c r="M4215" s="2" t="n">
        <v>0</v>
      </c>
    </row>
    <row r="4216" customFormat="false" ht="15" hidden="false" customHeight="false" outlineLevel="0" collapsed="false">
      <c r="A4216" s="2" t="s">
        <v>8674</v>
      </c>
      <c r="B4216" s="2" t="s">
        <v>8675</v>
      </c>
      <c r="C4216" s="2" t="n">
        <v>5</v>
      </c>
      <c r="D4216" s="2" t="s">
        <v>121</v>
      </c>
      <c r="E4216" s="2" t="s">
        <v>8083</v>
      </c>
      <c r="F4216" s="3" t="n">
        <v>46071.1645833333</v>
      </c>
      <c r="G4216" s="2" t="s">
        <v>8326</v>
      </c>
      <c r="H4216" s="4" t="n">
        <v>0.607</v>
      </c>
      <c r="I4216" s="2" t="s">
        <v>23</v>
      </c>
      <c r="J4216" s="2" t="s">
        <v>33</v>
      </c>
      <c r="K4216" s="2" t="n">
        <v>1</v>
      </c>
      <c r="L4216" s="2" t="n">
        <v>0</v>
      </c>
      <c r="M4216" s="2" t="n">
        <v>0</v>
      </c>
    </row>
    <row r="4217" customFormat="false" ht="15" hidden="false" customHeight="false" outlineLevel="0" collapsed="false">
      <c r="A4217" s="2" t="s">
        <v>8676</v>
      </c>
      <c r="B4217" s="2" t="s">
        <v>8677</v>
      </c>
      <c r="C4217" s="2" t="n">
        <v>3</v>
      </c>
      <c r="D4217" s="2" t="s">
        <v>733</v>
      </c>
      <c r="E4217" s="2" t="s">
        <v>8083</v>
      </c>
      <c r="F4217" s="3" t="n">
        <v>46071.35</v>
      </c>
      <c r="G4217" s="2" t="s">
        <v>8326</v>
      </c>
      <c r="H4217" s="4" t="n">
        <v>-0.2846</v>
      </c>
      <c r="I4217" s="2" t="s">
        <v>84</v>
      </c>
      <c r="J4217" s="2" t="s">
        <v>37</v>
      </c>
      <c r="K4217" s="2" t="n">
        <v>3</v>
      </c>
      <c r="L4217" s="2" t="n">
        <v>0</v>
      </c>
      <c r="M4217" s="2" t="n">
        <v>0</v>
      </c>
    </row>
    <row r="4218" customFormat="false" ht="15" hidden="false" customHeight="false" outlineLevel="0" collapsed="false">
      <c r="A4218" s="2" t="s">
        <v>8678</v>
      </c>
      <c r="B4218" s="2" t="s">
        <v>8679</v>
      </c>
      <c r="C4218" s="2" t="n">
        <v>3</v>
      </c>
      <c r="D4218" s="2" t="s">
        <v>3053</v>
      </c>
      <c r="E4218" s="2" t="s">
        <v>8083</v>
      </c>
      <c r="F4218" s="3" t="n">
        <v>46071.4680555556</v>
      </c>
      <c r="G4218" s="2" t="s">
        <v>8326</v>
      </c>
      <c r="H4218" s="4" t="n">
        <v>-0.4449</v>
      </c>
      <c r="I4218" s="2" t="s">
        <v>84</v>
      </c>
      <c r="J4218" s="2" t="s">
        <v>19</v>
      </c>
      <c r="K4218" s="2" t="n">
        <v>0</v>
      </c>
      <c r="L4218" s="2" t="n">
        <v>0</v>
      </c>
      <c r="M4218" s="2" t="n">
        <v>0</v>
      </c>
    </row>
    <row r="4219" customFormat="false" ht="15" hidden="false" customHeight="false" outlineLevel="0" collapsed="false">
      <c r="A4219" s="2" t="s">
        <v>8680</v>
      </c>
      <c r="B4219" s="2" t="s">
        <v>8681</v>
      </c>
      <c r="C4219" s="2" t="n">
        <v>5</v>
      </c>
      <c r="D4219" s="2" t="s">
        <v>127</v>
      </c>
      <c r="E4219" s="2" t="s">
        <v>8083</v>
      </c>
      <c r="F4219" s="3" t="n">
        <v>46071.50625</v>
      </c>
      <c r="G4219" s="2" t="s">
        <v>8326</v>
      </c>
      <c r="H4219" s="4" t="n">
        <v>0.9359</v>
      </c>
      <c r="I4219" s="2" t="s">
        <v>23</v>
      </c>
      <c r="J4219" s="2" t="s">
        <v>37</v>
      </c>
      <c r="K4219" s="2" t="n">
        <v>0</v>
      </c>
      <c r="L4219" s="2" t="n">
        <v>0</v>
      </c>
      <c r="M4219" s="2" t="n">
        <v>0</v>
      </c>
    </row>
    <row r="4220" customFormat="false" ht="15" hidden="false" customHeight="false" outlineLevel="0" collapsed="false">
      <c r="A4220" s="2" t="s">
        <v>8682</v>
      </c>
      <c r="B4220" s="2" t="s">
        <v>8683</v>
      </c>
      <c r="C4220" s="2" t="n">
        <v>4</v>
      </c>
      <c r="D4220" s="2" t="s">
        <v>52</v>
      </c>
      <c r="E4220" s="2" t="s">
        <v>8083</v>
      </c>
      <c r="F4220" s="3" t="n">
        <v>46071.6138888889</v>
      </c>
      <c r="G4220" s="2" t="s">
        <v>8326</v>
      </c>
      <c r="H4220" s="4" t="n">
        <v>0.6369</v>
      </c>
      <c r="I4220" s="2" t="s">
        <v>23</v>
      </c>
      <c r="J4220" s="2" t="s">
        <v>19</v>
      </c>
      <c r="K4220" s="2" t="n">
        <v>0</v>
      </c>
      <c r="L4220" s="2" t="n">
        <v>1</v>
      </c>
      <c r="M4220" s="2" t="n">
        <v>0</v>
      </c>
    </row>
    <row r="4221" customFormat="false" ht="15" hidden="false" customHeight="false" outlineLevel="0" collapsed="false">
      <c r="A4221" s="2" t="s">
        <v>8684</v>
      </c>
      <c r="B4221" s="2" t="s">
        <v>8685</v>
      </c>
      <c r="C4221" s="2" t="n">
        <v>3</v>
      </c>
      <c r="D4221" s="2" t="s">
        <v>87</v>
      </c>
      <c r="E4221" s="2" t="s">
        <v>8083</v>
      </c>
      <c r="F4221" s="3" t="n">
        <v>46071.6965277778</v>
      </c>
      <c r="G4221" s="2" t="s">
        <v>8326</v>
      </c>
      <c r="H4221" s="4" t="n">
        <v>0</v>
      </c>
      <c r="I4221" s="2" t="s">
        <v>18</v>
      </c>
      <c r="J4221" s="2" t="s">
        <v>19</v>
      </c>
      <c r="K4221" s="2" t="n">
        <v>4</v>
      </c>
      <c r="L4221" s="2" t="n">
        <v>0</v>
      </c>
      <c r="M4221" s="2" t="n">
        <v>0</v>
      </c>
    </row>
    <row r="4222" customFormat="false" ht="15" hidden="false" customHeight="false" outlineLevel="0" collapsed="false">
      <c r="A4222" s="2" t="s">
        <v>8686</v>
      </c>
      <c r="B4222" s="2" t="s">
        <v>8687</v>
      </c>
      <c r="C4222" s="2" t="n">
        <v>5</v>
      </c>
      <c r="D4222" s="2" t="s">
        <v>62</v>
      </c>
      <c r="E4222" s="2" t="s">
        <v>8083</v>
      </c>
      <c r="F4222" s="3" t="n">
        <v>46071.7923611111</v>
      </c>
      <c r="G4222" s="2" t="s">
        <v>8326</v>
      </c>
      <c r="H4222" s="4" t="n">
        <v>0.7088</v>
      </c>
      <c r="I4222" s="2" t="s">
        <v>23</v>
      </c>
      <c r="J4222" s="2" t="s">
        <v>19</v>
      </c>
      <c r="K4222" s="2" t="n">
        <v>0</v>
      </c>
      <c r="L4222" s="2" t="n">
        <v>0</v>
      </c>
      <c r="M4222" s="2" t="n">
        <v>0</v>
      </c>
    </row>
    <row r="4223" customFormat="false" ht="15" hidden="false" customHeight="false" outlineLevel="0" collapsed="false">
      <c r="A4223" s="2" t="s">
        <v>8688</v>
      </c>
      <c r="B4223" s="2" t="s">
        <v>8689</v>
      </c>
      <c r="C4223" s="2" t="n">
        <v>5</v>
      </c>
      <c r="D4223" s="2" t="s">
        <v>1286</v>
      </c>
      <c r="E4223" s="2" t="s">
        <v>8083</v>
      </c>
      <c r="F4223" s="3" t="n">
        <v>46071.7979166667</v>
      </c>
      <c r="G4223" s="2" t="s">
        <v>8326</v>
      </c>
      <c r="H4223" s="4" t="n">
        <v>0.4019</v>
      </c>
      <c r="I4223" s="2" t="s">
        <v>23</v>
      </c>
      <c r="J4223" s="2" t="s">
        <v>33</v>
      </c>
      <c r="K4223" s="2" t="n">
        <v>1</v>
      </c>
      <c r="L4223" s="2" t="n">
        <v>0</v>
      </c>
      <c r="M4223" s="2" t="n">
        <v>0</v>
      </c>
    </row>
    <row r="4224" customFormat="false" ht="15" hidden="false" customHeight="false" outlineLevel="0" collapsed="false">
      <c r="A4224" s="2" t="s">
        <v>8690</v>
      </c>
      <c r="B4224" s="2" t="s">
        <v>8691</v>
      </c>
      <c r="C4224" s="2" t="n">
        <v>2</v>
      </c>
      <c r="D4224" s="2" t="s">
        <v>591</v>
      </c>
      <c r="E4224" s="2" t="s">
        <v>8083</v>
      </c>
      <c r="F4224" s="3" t="n">
        <v>46071.81875</v>
      </c>
      <c r="G4224" s="2" t="s">
        <v>8326</v>
      </c>
      <c r="H4224" s="4" t="n">
        <v>0</v>
      </c>
      <c r="I4224" s="2" t="s">
        <v>18</v>
      </c>
      <c r="J4224" s="2" t="s">
        <v>37</v>
      </c>
      <c r="K4224" s="2" t="n">
        <v>3</v>
      </c>
      <c r="L4224" s="2" t="n">
        <v>1</v>
      </c>
      <c r="M4224" s="2" t="n">
        <v>0</v>
      </c>
    </row>
    <row r="4225" customFormat="false" ht="15" hidden="false" customHeight="false" outlineLevel="0" collapsed="false">
      <c r="A4225" s="2" t="s">
        <v>8692</v>
      </c>
      <c r="B4225" s="2" t="s">
        <v>8693</v>
      </c>
      <c r="C4225" s="2" t="n">
        <v>5</v>
      </c>
      <c r="D4225" s="2" t="s">
        <v>52</v>
      </c>
      <c r="E4225" s="2" t="s">
        <v>8083</v>
      </c>
      <c r="F4225" s="3" t="n">
        <v>46071.9194444444</v>
      </c>
      <c r="G4225" s="2" t="s">
        <v>8326</v>
      </c>
      <c r="H4225" s="4" t="n">
        <v>0.6369</v>
      </c>
      <c r="I4225" s="2" t="s">
        <v>23</v>
      </c>
      <c r="J4225" s="2" t="s">
        <v>19</v>
      </c>
      <c r="K4225" s="2" t="n">
        <v>7</v>
      </c>
      <c r="L4225" s="2" t="n">
        <v>0</v>
      </c>
      <c r="M4225" s="2" t="n">
        <v>0</v>
      </c>
    </row>
    <row r="4226" customFormat="false" ht="15" hidden="false" customHeight="false" outlineLevel="0" collapsed="false">
      <c r="A4226" s="2" t="s">
        <v>8694</v>
      </c>
      <c r="B4226" s="2" t="s">
        <v>8695</v>
      </c>
      <c r="C4226" s="2" t="n">
        <v>5</v>
      </c>
      <c r="D4226" s="2" t="s">
        <v>1714</v>
      </c>
      <c r="E4226" s="2" t="s">
        <v>8083</v>
      </c>
      <c r="F4226" s="3" t="n">
        <v>46072.0104166667</v>
      </c>
      <c r="G4226" s="2" t="s">
        <v>8326</v>
      </c>
      <c r="H4226" s="4" t="n">
        <v>0.9359</v>
      </c>
      <c r="I4226" s="2" t="s">
        <v>23</v>
      </c>
      <c r="J4226" s="2" t="s">
        <v>37</v>
      </c>
      <c r="K4226" s="2" t="n">
        <v>4</v>
      </c>
      <c r="L4226" s="2" t="n">
        <v>0</v>
      </c>
      <c r="M4226" s="2" t="n">
        <v>0</v>
      </c>
    </row>
    <row r="4227" customFormat="false" ht="15" hidden="false" customHeight="false" outlineLevel="0" collapsed="false">
      <c r="A4227" s="2" t="s">
        <v>8696</v>
      </c>
      <c r="B4227" s="2" t="s">
        <v>8697</v>
      </c>
      <c r="C4227" s="2" t="n">
        <v>4</v>
      </c>
      <c r="D4227" s="2" t="s">
        <v>90</v>
      </c>
      <c r="E4227" s="2" t="s">
        <v>8083</v>
      </c>
      <c r="F4227" s="3" t="n">
        <v>46072.0229166667</v>
      </c>
      <c r="G4227" s="2" t="s">
        <v>8326</v>
      </c>
      <c r="H4227" s="4" t="n">
        <v>0.6249</v>
      </c>
      <c r="I4227" s="2" t="s">
        <v>23</v>
      </c>
      <c r="J4227" s="2" t="s">
        <v>37</v>
      </c>
      <c r="K4227" s="2" t="n">
        <v>5</v>
      </c>
      <c r="L4227" s="2" t="n">
        <v>0</v>
      </c>
      <c r="M4227" s="2" t="n">
        <v>0</v>
      </c>
    </row>
    <row r="4228" customFormat="false" ht="15" hidden="false" customHeight="false" outlineLevel="0" collapsed="false">
      <c r="A4228" s="2" t="s">
        <v>8698</v>
      </c>
      <c r="B4228" s="2" t="s">
        <v>6403</v>
      </c>
      <c r="C4228" s="2" t="n">
        <v>4</v>
      </c>
      <c r="D4228" s="2" t="s">
        <v>96</v>
      </c>
      <c r="E4228" s="2" t="s">
        <v>8083</v>
      </c>
      <c r="F4228" s="3" t="n">
        <v>46072.0472222222</v>
      </c>
      <c r="G4228" s="2" t="s">
        <v>8326</v>
      </c>
      <c r="H4228" s="4" t="n">
        <v>0.6369</v>
      </c>
      <c r="I4228" s="2" t="s">
        <v>23</v>
      </c>
      <c r="J4228" s="2" t="s">
        <v>19</v>
      </c>
      <c r="K4228" s="2" t="n">
        <v>0</v>
      </c>
      <c r="L4228" s="2" t="n">
        <v>0</v>
      </c>
      <c r="M4228" s="2" t="n">
        <v>0</v>
      </c>
    </row>
    <row r="4229" customFormat="false" ht="15" hidden="false" customHeight="false" outlineLevel="0" collapsed="false">
      <c r="A4229" s="2" t="s">
        <v>8699</v>
      </c>
      <c r="B4229" s="2" t="s">
        <v>8700</v>
      </c>
      <c r="C4229" s="2" t="n">
        <v>5</v>
      </c>
      <c r="D4229" s="2" t="s">
        <v>47</v>
      </c>
      <c r="E4229" s="2" t="s">
        <v>8083</v>
      </c>
      <c r="F4229" s="3" t="n">
        <v>46072.1951388889</v>
      </c>
      <c r="G4229" s="2" t="s">
        <v>8326</v>
      </c>
      <c r="H4229" s="4" t="n">
        <v>0.3089</v>
      </c>
      <c r="I4229" s="2" t="s">
        <v>23</v>
      </c>
      <c r="J4229" s="2" t="s">
        <v>19</v>
      </c>
      <c r="K4229" s="2" t="n">
        <v>0</v>
      </c>
      <c r="L4229" s="2" t="n">
        <v>0</v>
      </c>
      <c r="M4229" s="2" t="n">
        <v>0</v>
      </c>
    </row>
    <row r="4230" customFormat="false" ht="15" hidden="false" customHeight="false" outlineLevel="0" collapsed="false">
      <c r="A4230" s="2" t="s">
        <v>8701</v>
      </c>
      <c r="B4230" s="2" t="s">
        <v>8702</v>
      </c>
      <c r="C4230" s="2" t="n">
        <v>4</v>
      </c>
      <c r="D4230" s="2" t="s">
        <v>47</v>
      </c>
      <c r="E4230" s="2" t="s">
        <v>8083</v>
      </c>
      <c r="F4230" s="3" t="n">
        <v>46072.2527777778</v>
      </c>
      <c r="G4230" s="2" t="s">
        <v>8326</v>
      </c>
      <c r="H4230" s="4" t="n">
        <v>0.3089</v>
      </c>
      <c r="I4230" s="2" t="s">
        <v>23</v>
      </c>
      <c r="J4230" s="2" t="s">
        <v>19</v>
      </c>
      <c r="K4230" s="2" t="n">
        <v>0</v>
      </c>
      <c r="L4230" s="2" t="n">
        <v>0</v>
      </c>
      <c r="M4230" s="2" t="n">
        <v>0</v>
      </c>
    </row>
    <row r="4231" customFormat="false" ht="15" hidden="false" customHeight="false" outlineLevel="0" collapsed="false">
      <c r="A4231" s="2" t="s">
        <v>8703</v>
      </c>
      <c r="B4231" s="2" t="s">
        <v>8704</v>
      </c>
      <c r="C4231" s="2" t="n">
        <v>3</v>
      </c>
      <c r="D4231" s="2" t="s">
        <v>22</v>
      </c>
      <c r="E4231" s="2" t="s">
        <v>8083</v>
      </c>
      <c r="F4231" s="3" t="n">
        <v>46072.5680555556</v>
      </c>
      <c r="G4231" s="2" t="s">
        <v>8326</v>
      </c>
      <c r="H4231" s="4" t="n">
        <v>0.2023</v>
      </c>
      <c r="I4231" s="2" t="s">
        <v>23</v>
      </c>
      <c r="J4231" s="2" t="s">
        <v>19</v>
      </c>
      <c r="K4231" s="2" t="n">
        <v>1</v>
      </c>
      <c r="L4231" s="2" t="n">
        <v>0</v>
      </c>
      <c r="M4231" s="2" t="n">
        <v>0</v>
      </c>
    </row>
    <row r="4232" customFormat="false" ht="15" hidden="false" customHeight="false" outlineLevel="0" collapsed="false">
      <c r="A4232" s="2" t="s">
        <v>8705</v>
      </c>
      <c r="B4232" s="2" t="s">
        <v>8706</v>
      </c>
      <c r="C4232" s="2" t="n">
        <v>5</v>
      </c>
      <c r="D4232" s="2" t="s">
        <v>1949</v>
      </c>
      <c r="E4232" s="2" t="s">
        <v>8083</v>
      </c>
      <c r="F4232" s="3" t="n">
        <v>46072.6444444444</v>
      </c>
      <c r="G4232" s="2" t="s">
        <v>8326</v>
      </c>
      <c r="H4232" s="4" t="n">
        <v>0</v>
      </c>
      <c r="I4232" s="2" t="s">
        <v>18</v>
      </c>
      <c r="J4232" s="2" t="s">
        <v>19</v>
      </c>
      <c r="K4232" s="2" t="n">
        <v>7</v>
      </c>
      <c r="L4232" s="2" t="n">
        <v>0</v>
      </c>
      <c r="M4232" s="2" t="n">
        <v>0</v>
      </c>
    </row>
    <row r="4233" customFormat="false" ht="15" hidden="false" customHeight="false" outlineLevel="0" collapsed="false">
      <c r="A4233" s="2" t="s">
        <v>8707</v>
      </c>
      <c r="B4233" s="2" t="s">
        <v>8708</v>
      </c>
      <c r="C4233" s="2" t="n">
        <v>1</v>
      </c>
      <c r="D4233" s="2" t="s">
        <v>498</v>
      </c>
      <c r="E4233" s="2" t="s">
        <v>8083</v>
      </c>
      <c r="F4233" s="3" t="n">
        <v>46072.6479166667</v>
      </c>
      <c r="G4233" s="2" t="s">
        <v>8326</v>
      </c>
      <c r="H4233" s="4" t="n">
        <v>0</v>
      </c>
      <c r="I4233" s="2" t="s">
        <v>18</v>
      </c>
      <c r="J4233" s="2" t="s">
        <v>165</v>
      </c>
      <c r="K4233" s="2" t="n">
        <v>0</v>
      </c>
      <c r="L4233" s="2" t="n">
        <v>0</v>
      </c>
      <c r="M4233" s="2" t="n">
        <v>0</v>
      </c>
    </row>
    <row r="4234" customFormat="false" ht="15" hidden="false" customHeight="false" outlineLevel="0" collapsed="false">
      <c r="A4234" s="2" t="s">
        <v>8709</v>
      </c>
      <c r="B4234" s="2" t="s">
        <v>7929</v>
      </c>
      <c r="C4234" s="2" t="n">
        <v>3</v>
      </c>
      <c r="D4234" s="2" t="s">
        <v>301</v>
      </c>
      <c r="E4234" s="2" t="s">
        <v>8083</v>
      </c>
      <c r="F4234" s="3" t="n">
        <v>46072.6631944445</v>
      </c>
      <c r="G4234" s="2" t="s">
        <v>8326</v>
      </c>
      <c r="H4234" s="4" t="n">
        <v>0.2263</v>
      </c>
      <c r="I4234" s="2" t="s">
        <v>23</v>
      </c>
      <c r="J4234" s="2" t="s">
        <v>19</v>
      </c>
      <c r="K4234" s="2" t="n">
        <v>1</v>
      </c>
      <c r="L4234" s="2" t="n">
        <v>0</v>
      </c>
      <c r="M4234" s="2" t="n">
        <v>0</v>
      </c>
    </row>
    <row r="4235" customFormat="false" ht="15" hidden="false" customHeight="false" outlineLevel="0" collapsed="false">
      <c r="A4235" s="2" t="s">
        <v>8710</v>
      </c>
      <c r="B4235" s="2" t="s">
        <v>8711</v>
      </c>
      <c r="C4235" s="2" t="n">
        <v>5</v>
      </c>
      <c r="D4235" s="2" t="s">
        <v>90</v>
      </c>
      <c r="E4235" s="2" t="s">
        <v>8083</v>
      </c>
      <c r="F4235" s="3" t="n">
        <v>46072.6951388889</v>
      </c>
      <c r="G4235" s="2" t="s">
        <v>8326</v>
      </c>
      <c r="H4235" s="4" t="n">
        <v>0.6249</v>
      </c>
      <c r="I4235" s="2" t="s">
        <v>23</v>
      </c>
      <c r="J4235" s="2" t="s">
        <v>37</v>
      </c>
      <c r="K4235" s="2" t="n">
        <v>2</v>
      </c>
      <c r="L4235" s="2" t="n">
        <v>0</v>
      </c>
      <c r="M4235" s="2" t="n">
        <v>0</v>
      </c>
    </row>
    <row r="4236" customFormat="false" ht="15" hidden="false" customHeight="false" outlineLevel="0" collapsed="false">
      <c r="A4236" s="2" t="s">
        <v>8712</v>
      </c>
      <c r="B4236" s="2" t="s">
        <v>8713</v>
      </c>
      <c r="C4236" s="2" t="n">
        <v>4</v>
      </c>
      <c r="D4236" s="2" t="s">
        <v>8714</v>
      </c>
      <c r="E4236" s="2" t="s">
        <v>8083</v>
      </c>
      <c r="F4236" s="3" t="n">
        <v>46072.6986111111</v>
      </c>
      <c r="G4236" s="2" t="s">
        <v>8326</v>
      </c>
      <c r="H4236" s="4" t="n">
        <v>-0.6834</v>
      </c>
      <c r="I4236" s="2" t="s">
        <v>84</v>
      </c>
      <c r="J4236" s="2" t="s">
        <v>19</v>
      </c>
      <c r="K4236" s="2" t="n">
        <v>0</v>
      </c>
      <c r="L4236" s="2" t="n">
        <v>0</v>
      </c>
      <c r="M4236" s="2" t="n">
        <v>0</v>
      </c>
    </row>
    <row r="4237" customFormat="false" ht="15" hidden="false" customHeight="false" outlineLevel="0" collapsed="false">
      <c r="A4237" s="2" t="s">
        <v>8715</v>
      </c>
      <c r="B4237" s="2" t="s">
        <v>8716</v>
      </c>
      <c r="C4237" s="2" t="n">
        <v>5</v>
      </c>
      <c r="D4237" s="2" t="s">
        <v>52</v>
      </c>
      <c r="E4237" s="2" t="s">
        <v>8083</v>
      </c>
      <c r="F4237" s="3" t="n">
        <v>46072.7319444444</v>
      </c>
      <c r="G4237" s="2" t="s">
        <v>8326</v>
      </c>
      <c r="H4237" s="4" t="n">
        <v>0.6369</v>
      </c>
      <c r="I4237" s="2" t="s">
        <v>23</v>
      </c>
      <c r="J4237" s="2" t="s">
        <v>19</v>
      </c>
      <c r="K4237" s="2" t="n">
        <v>0</v>
      </c>
      <c r="L4237" s="2" t="n">
        <v>1</v>
      </c>
      <c r="M4237" s="2" t="n">
        <v>0</v>
      </c>
    </row>
    <row r="4238" customFormat="false" ht="15" hidden="false" customHeight="false" outlineLevel="0" collapsed="false">
      <c r="A4238" s="2" t="s">
        <v>8717</v>
      </c>
      <c r="B4238" s="2" t="s">
        <v>8718</v>
      </c>
      <c r="C4238" s="2" t="n">
        <v>4</v>
      </c>
      <c r="D4238" s="2" t="s">
        <v>1237</v>
      </c>
      <c r="E4238" s="2" t="s">
        <v>8083</v>
      </c>
      <c r="F4238" s="3" t="n">
        <v>46072.7347222222</v>
      </c>
      <c r="G4238" s="2" t="s">
        <v>8326</v>
      </c>
      <c r="H4238" s="4" t="n">
        <v>-0.3089</v>
      </c>
      <c r="I4238" s="2" t="s">
        <v>84</v>
      </c>
      <c r="J4238" s="2" t="s">
        <v>19</v>
      </c>
      <c r="K4238" s="2" t="n">
        <v>2</v>
      </c>
      <c r="L4238" s="2" t="n">
        <v>0</v>
      </c>
      <c r="M4238" s="2" t="n">
        <v>0</v>
      </c>
    </row>
    <row r="4239" customFormat="false" ht="15" hidden="false" customHeight="false" outlineLevel="0" collapsed="false">
      <c r="A4239" s="2" t="s">
        <v>8719</v>
      </c>
      <c r="B4239" s="2" t="s">
        <v>8720</v>
      </c>
      <c r="C4239" s="2" t="n">
        <v>5</v>
      </c>
      <c r="D4239" s="2" t="s">
        <v>52</v>
      </c>
      <c r="E4239" s="2" t="s">
        <v>8083</v>
      </c>
      <c r="F4239" s="3" t="n">
        <v>46072.7506944445</v>
      </c>
      <c r="G4239" s="2" t="s">
        <v>8326</v>
      </c>
      <c r="H4239" s="4" t="n">
        <v>0.6369</v>
      </c>
      <c r="I4239" s="2" t="s">
        <v>23</v>
      </c>
      <c r="J4239" s="2" t="s">
        <v>19</v>
      </c>
      <c r="K4239" s="2" t="n">
        <v>0</v>
      </c>
      <c r="L4239" s="2" t="n">
        <v>0</v>
      </c>
      <c r="M4239" s="2" t="n">
        <v>0</v>
      </c>
    </row>
    <row r="4240" customFormat="false" ht="15" hidden="false" customHeight="false" outlineLevel="0" collapsed="false">
      <c r="A4240" s="2" t="s">
        <v>8721</v>
      </c>
      <c r="B4240" s="2" t="s">
        <v>8722</v>
      </c>
      <c r="C4240" s="2" t="n">
        <v>5</v>
      </c>
      <c r="D4240" s="2" t="s">
        <v>62</v>
      </c>
      <c r="E4240" s="2" t="s">
        <v>8083</v>
      </c>
      <c r="F4240" s="3" t="n">
        <v>46072.7520833333</v>
      </c>
      <c r="G4240" s="2" t="s">
        <v>8326</v>
      </c>
      <c r="H4240" s="4" t="n">
        <v>0.7088</v>
      </c>
      <c r="I4240" s="2" t="s">
        <v>23</v>
      </c>
      <c r="J4240" s="2" t="s">
        <v>19</v>
      </c>
      <c r="K4240" s="2" t="n">
        <v>5</v>
      </c>
      <c r="L4240" s="2" t="n">
        <v>0</v>
      </c>
      <c r="M4240" s="2" t="n">
        <v>0</v>
      </c>
    </row>
    <row r="4241" customFormat="false" ht="15" hidden="false" customHeight="false" outlineLevel="0" collapsed="false">
      <c r="A4241" s="2" t="s">
        <v>8723</v>
      </c>
      <c r="B4241" s="2" t="s">
        <v>8724</v>
      </c>
      <c r="C4241" s="2" t="n">
        <v>5</v>
      </c>
      <c r="D4241" s="2" t="s">
        <v>47</v>
      </c>
      <c r="E4241" s="2" t="s">
        <v>8083</v>
      </c>
      <c r="F4241" s="3" t="n">
        <v>46072.7833333333</v>
      </c>
      <c r="G4241" s="2" t="s">
        <v>8326</v>
      </c>
      <c r="H4241" s="4" t="n">
        <v>0.3089</v>
      </c>
      <c r="I4241" s="2" t="s">
        <v>23</v>
      </c>
      <c r="J4241" s="2" t="s">
        <v>19</v>
      </c>
      <c r="K4241" s="2" t="n">
        <v>1</v>
      </c>
      <c r="L4241" s="2" t="n">
        <v>0</v>
      </c>
      <c r="M4241" s="2" t="n">
        <v>0</v>
      </c>
    </row>
    <row r="4242" customFormat="false" ht="15" hidden="false" customHeight="false" outlineLevel="0" collapsed="false">
      <c r="A4242" s="2" t="s">
        <v>8725</v>
      </c>
      <c r="B4242" s="2" t="s">
        <v>8726</v>
      </c>
      <c r="C4242" s="2" t="n">
        <v>3</v>
      </c>
      <c r="D4242" s="2" t="s">
        <v>2143</v>
      </c>
      <c r="E4242" s="2" t="s">
        <v>8083</v>
      </c>
      <c r="F4242" s="3" t="n">
        <v>46072.8201388889</v>
      </c>
      <c r="G4242" s="2" t="s">
        <v>8326</v>
      </c>
      <c r="H4242" s="4" t="n">
        <v>0.6448</v>
      </c>
      <c r="I4242" s="2" t="s">
        <v>23</v>
      </c>
      <c r="J4242" s="2" t="s">
        <v>37</v>
      </c>
      <c r="K4242" s="2" t="n">
        <v>0</v>
      </c>
      <c r="L4242" s="2" t="n">
        <v>0</v>
      </c>
      <c r="M4242" s="2" t="n">
        <v>0</v>
      </c>
    </row>
    <row r="4243" customFormat="false" ht="15" hidden="false" customHeight="false" outlineLevel="0" collapsed="false">
      <c r="A4243" s="2" t="s">
        <v>8727</v>
      </c>
      <c r="B4243" s="2" t="s">
        <v>8728</v>
      </c>
      <c r="C4243" s="2" t="n">
        <v>5</v>
      </c>
      <c r="D4243" s="2" t="s">
        <v>52</v>
      </c>
      <c r="E4243" s="2" t="s">
        <v>8083</v>
      </c>
      <c r="F4243" s="3" t="n">
        <v>46072.8631944444</v>
      </c>
      <c r="G4243" s="2" t="s">
        <v>8326</v>
      </c>
      <c r="H4243" s="4" t="n">
        <v>0.6369</v>
      </c>
      <c r="I4243" s="2" t="s">
        <v>23</v>
      </c>
      <c r="J4243" s="2" t="s">
        <v>19</v>
      </c>
      <c r="K4243" s="2" t="n">
        <v>1</v>
      </c>
      <c r="L4243" s="2" t="n">
        <v>0</v>
      </c>
      <c r="M4243" s="2" t="n">
        <v>0</v>
      </c>
    </row>
    <row r="4244" customFormat="false" ht="15" hidden="false" customHeight="false" outlineLevel="0" collapsed="false">
      <c r="A4244" s="2" t="s">
        <v>8729</v>
      </c>
      <c r="B4244" s="2" t="s">
        <v>8730</v>
      </c>
      <c r="C4244" s="2" t="n">
        <v>5</v>
      </c>
      <c r="D4244" s="2" t="s">
        <v>62</v>
      </c>
      <c r="E4244" s="2" t="s">
        <v>8083</v>
      </c>
      <c r="F4244" s="3" t="n">
        <v>46072.8923611111</v>
      </c>
      <c r="G4244" s="2" t="s">
        <v>8326</v>
      </c>
      <c r="H4244" s="4" t="n">
        <v>0.7088</v>
      </c>
      <c r="I4244" s="2" t="s">
        <v>23</v>
      </c>
      <c r="J4244" s="2" t="s">
        <v>19</v>
      </c>
      <c r="K4244" s="2" t="n">
        <v>2</v>
      </c>
      <c r="L4244" s="2" t="n">
        <v>0</v>
      </c>
      <c r="M4244" s="2" t="n">
        <v>0</v>
      </c>
    </row>
    <row r="4245" customFormat="false" ht="15" hidden="false" customHeight="false" outlineLevel="0" collapsed="false">
      <c r="A4245" s="2" t="s">
        <v>8731</v>
      </c>
      <c r="B4245" s="2" t="s">
        <v>8732</v>
      </c>
      <c r="C4245" s="2" t="n">
        <v>5</v>
      </c>
      <c r="D4245" s="2" t="s">
        <v>47</v>
      </c>
      <c r="E4245" s="2" t="s">
        <v>8083</v>
      </c>
      <c r="F4245" s="3" t="n">
        <v>46073.0486111111</v>
      </c>
      <c r="G4245" s="2" t="s">
        <v>8326</v>
      </c>
      <c r="H4245" s="4" t="n">
        <v>0.3089</v>
      </c>
      <c r="I4245" s="2" t="s">
        <v>23</v>
      </c>
      <c r="J4245" s="2" t="s">
        <v>19</v>
      </c>
      <c r="K4245" s="2" t="n">
        <v>1</v>
      </c>
      <c r="L4245" s="2" t="n">
        <v>0</v>
      </c>
      <c r="M4245" s="2" t="n">
        <v>0</v>
      </c>
    </row>
    <row r="4246" customFormat="false" ht="15" hidden="false" customHeight="false" outlineLevel="0" collapsed="false">
      <c r="A4246" s="2" t="s">
        <v>8733</v>
      </c>
      <c r="B4246" s="2" t="s">
        <v>8734</v>
      </c>
      <c r="C4246" s="2" t="n">
        <v>4</v>
      </c>
      <c r="D4246" s="2" t="s">
        <v>22</v>
      </c>
      <c r="E4246" s="2" t="s">
        <v>8083</v>
      </c>
      <c r="F4246" s="3" t="n">
        <v>46073.0694444445</v>
      </c>
      <c r="G4246" s="2" t="s">
        <v>8326</v>
      </c>
      <c r="H4246" s="4" t="n">
        <v>0.2023</v>
      </c>
      <c r="I4246" s="2" t="s">
        <v>23</v>
      </c>
      <c r="J4246" s="2" t="s">
        <v>19</v>
      </c>
      <c r="K4246" s="2" t="n">
        <v>0</v>
      </c>
      <c r="L4246" s="2" t="n">
        <v>0</v>
      </c>
      <c r="M4246" s="2" t="n">
        <v>0</v>
      </c>
    </row>
    <row r="4247" customFormat="false" ht="15" hidden="false" customHeight="false" outlineLevel="0" collapsed="false">
      <c r="A4247" s="2" t="s">
        <v>8735</v>
      </c>
      <c r="B4247" s="2" t="s">
        <v>8736</v>
      </c>
      <c r="C4247" s="2" t="n">
        <v>4</v>
      </c>
      <c r="D4247" s="2" t="s">
        <v>738</v>
      </c>
      <c r="E4247" s="2" t="s">
        <v>8083</v>
      </c>
      <c r="F4247" s="3" t="n">
        <v>46073.1451388889</v>
      </c>
      <c r="G4247" s="2" t="s">
        <v>8326</v>
      </c>
      <c r="H4247" s="4" t="n">
        <v>0.9612</v>
      </c>
      <c r="I4247" s="2" t="s">
        <v>23</v>
      </c>
      <c r="J4247" s="2" t="s">
        <v>37</v>
      </c>
      <c r="K4247" s="2" t="n">
        <v>2</v>
      </c>
      <c r="L4247" s="2" t="n">
        <v>0</v>
      </c>
      <c r="M4247" s="2" t="n">
        <v>0</v>
      </c>
    </row>
    <row r="4248" customFormat="false" ht="15" hidden="false" customHeight="false" outlineLevel="0" collapsed="false">
      <c r="A4248" s="2" t="s">
        <v>8737</v>
      </c>
      <c r="B4248" s="2" t="s">
        <v>8738</v>
      </c>
      <c r="C4248" s="2" t="n">
        <v>4</v>
      </c>
      <c r="D4248" s="2" t="s">
        <v>738</v>
      </c>
      <c r="E4248" s="2" t="s">
        <v>8083</v>
      </c>
      <c r="F4248" s="3" t="n">
        <v>46073.2</v>
      </c>
      <c r="G4248" s="2" t="s">
        <v>8326</v>
      </c>
      <c r="H4248" s="4" t="n">
        <v>0.9612</v>
      </c>
      <c r="I4248" s="2" t="s">
        <v>23</v>
      </c>
      <c r="J4248" s="2" t="s">
        <v>37</v>
      </c>
      <c r="K4248" s="2" t="n">
        <v>11</v>
      </c>
      <c r="L4248" s="2" t="n">
        <v>0</v>
      </c>
      <c r="M4248" s="2" t="n">
        <v>0</v>
      </c>
    </row>
    <row r="4249" customFormat="false" ht="15" hidden="false" customHeight="false" outlineLevel="0" collapsed="false">
      <c r="A4249" s="2" t="s">
        <v>8739</v>
      </c>
      <c r="B4249" s="2" t="s">
        <v>8740</v>
      </c>
      <c r="C4249" s="2" t="n">
        <v>4</v>
      </c>
      <c r="D4249" s="2" t="s">
        <v>1797</v>
      </c>
      <c r="E4249" s="2" t="s">
        <v>8083</v>
      </c>
      <c r="F4249" s="3" t="n">
        <v>46073.2131944444</v>
      </c>
      <c r="G4249" s="2" t="s">
        <v>8326</v>
      </c>
      <c r="H4249" s="4" t="n">
        <v>0.4019</v>
      </c>
      <c r="I4249" s="2" t="s">
        <v>23</v>
      </c>
      <c r="J4249" s="2" t="s">
        <v>33</v>
      </c>
      <c r="K4249" s="2" t="n">
        <v>7</v>
      </c>
      <c r="L4249" s="2" t="n">
        <v>0</v>
      </c>
      <c r="M4249" s="2" t="n">
        <v>0</v>
      </c>
    </row>
    <row r="4250" customFormat="false" ht="15" hidden="false" customHeight="false" outlineLevel="0" collapsed="false">
      <c r="A4250" s="2" t="s">
        <v>8741</v>
      </c>
      <c r="B4250" s="2" t="s">
        <v>8742</v>
      </c>
      <c r="C4250" s="2" t="n">
        <v>3</v>
      </c>
      <c r="D4250" s="2" t="s">
        <v>87</v>
      </c>
      <c r="E4250" s="2" t="s">
        <v>8083</v>
      </c>
      <c r="F4250" s="3" t="n">
        <v>46073.3715277778</v>
      </c>
      <c r="G4250" s="2" t="s">
        <v>8326</v>
      </c>
      <c r="H4250" s="4" t="n">
        <v>0</v>
      </c>
      <c r="I4250" s="2" t="s">
        <v>18</v>
      </c>
      <c r="J4250" s="2" t="s">
        <v>19</v>
      </c>
      <c r="K4250" s="2" t="n">
        <v>3</v>
      </c>
      <c r="L4250" s="2" t="n">
        <v>0</v>
      </c>
      <c r="M4250" s="2" t="n">
        <v>0</v>
      </c>
    </row>
    <row r="4251" customFormat="false" ht="15" hidden="false" customHeight="false" outlineLevel="0" collapsed="false">
      <c r="A4251" s="2" t="s">
        <v>8743</v>
      </c>
      <c r="B4251" s="2" t="s">
        <v>8744</v>
      </c>
      <c r="C4251" s="2" t="n">
        <v>1</v>
      </c>
      <c r="D4251" s="2" t="s">
        <v>661</v>
      </c>
      <c r="E4251" s="2" t="s">
        <v>8083</v>
      </c>
      <c r="F4251" s="3" t="n">
        <v>46073.39375</v>
      </c>
      <c r="G4251" s="2" t="s">
        <v>8326</v>
      </c>
      <c r="H4251" s="4" t="n">
        <v>0</v>
      </c>
      <c r="I4251" s="2" t="s">
        <v>18</v>
      </c>
      <c r="J4251" s="2" t="s">
        <v>59</v>
      </c>
      <c r="K4251" s="2" t="n">
        <v>2</v>
      </c>
      <c r="L4251" s="2" t="n">
        <v>0</v>
      </c>
      <c r="M4251" s="2" t="n">
        <v>0</v>
      </c>
    </row>
    <row r="4252" customFormat="false" ht="15" hidden="false" customHeight="false" outlineLevel="0" collapsed="false">
      <c r="A4252" s="2" t="s">
        <v>8745</v>
      </c>
      <c r="B4252" s="2" t="s">
        <v>8746</v>
      </c>
      <c r="C4252" s="2" t="n">
        <v>5</v>
      </c>
      <c r="D4252" s="2" t="s">
        <v>2727</v>
      </c>
      <c r="E4252" s="2" t="s">
        <v>8083</v>
      </c>
      <c r="F4252" s="3" t="n">
        <v>46073.7097222222</v>
      </c>
      <c r="G4252" s="2" t="s">
        <v>8326</v>
      </c>
      <c r="H4252" s="4" t="n">
        <v>0.4019</v>
      </c>
      <c r="I4252" s="2" t="s">
        <v>23</v>
      </c>
      <c r="J4252" s="2" t="s">
        <v>33</v>
      </c>
      <c r="K4252" s="2" t="n">
        <v>0</v>
      </c>
      <c r="L4252" s="2" t="n">
        <v>0</v>
      </c>
      <c r="M4252" s="2" t="n">
        <v>0</v>
      </c>
    </row>
    <row r="4253" customFormat="false" ht="15" hidden="false" customHeight="false" outlineLevel="0" collapsed="false">
      <c r="A4253" s="2" t="s">
        <v>8747</v>
      </c>
      <c r="B4253" s="2" t="s">
        <v>8748</v>
      </c>
      <c r="C4253" s="2" t="n">
        <v>1</v>
      </c>
      <c r="D4253" s="2" t="s">
        <v>2294</v>
      </c>
      <c r="E4253" s="2" t="s">
        <v>8083</v>
      </c>
      <c r="F4253" s="3" t="n">
        <v>46073.8152777778</v>
      </c>
      <c r="G4253" s="2" t="s">
        <v>8326</v>
      </c>
      <c r="H4253" s="4" t="n">
        <v>-0.4588</v>
      </c>
      <c r="I4253" s="2" t="s">
        <v>84</v>
      </c>
      <c r="J4253" s="2" t="s">
        <v>37</v>
      </c>
      <c r="K4253" s="2" t="n">
        <v>2</v>
      </c>
      <c r="L4253" s="2" t="n">
        <v>1</v>
      </c>
      <c r="M4253" s="2" t="n">
        <v>0</v>
      </c>
    </row>
    <row r="4254" customFormat="false" ht="15" hidden="false" customHeight="false" outlineLevel="0" collapsed="false">
      <c r="A4254" s="2" t="s">
        <v>8749</v>
      </c>
      <c r="B4254" s="2" t="s">
        <v>8750</v>
      </c>
      <c r="C4254" s="2" t="n">
        <v>4</v>
      </c>
      <c r="D4254" s="2" t="s">
        <v>15</v>
      </c>
      <c r="E4254" s="2" t="s">
        <v>8083</v>
      </c>
      <c r="F4254" s="3" t="n">
        <v>46073.8680555556</v>
      </c>
      <c r="G4254" s="2" t="s">
        <v>8326</v>
      </c>
      <c r="H4254" s="4" t="n">
        <v>0</v>
      </c>
      <c r="I4254" s="2" t="s">
        <v>18</v>
      </c>
      <c r="J4254" s="2" t="s">
        <v>19</v>
      </c>
      <c r="K4254" s="2" t="n">
        <v>6</v>
      </c>
      <c r="L4254" s="2" t="n">
        <v>0</v>
      </c>
      <c r="M4254" s="2" t="n">
        <v>0</v>
      </c>
    </row>
    <row r="4255" customFormat="false" ht="15" hidden="false" customHeight="false" outlineLevel="0" collapsed="false">
      <c r="A4255" s="2" t="s">
        <v>8751</v>
      </c>
      <c r="B4255" s="2" t="s">
        <v>8752</v>
      </c>
      <c r="C4255" s="2" t="n">
        <v>5</v>
      </c>
      <c r="D4255" s="2" t="s">
        <v>52</v>
      </c>
      <c r="E4255" s="2" t="s">
        <v>8083</v>
      </c>
      <c r="F4255" s="3" t="n">
        <v>46074.0784722222</v>
      </c>
      <c r="G4255" s="2" t="s">
        <v>8326</v>
      </c>
      <c r="H4255" s="4" t="n">
        <v>0.6369</v>
      </c>
      <c r="I4255" s="2" t="s">
        <v>23</v>
      </c>
      <c r="J4255" s="2" t="s">
        <v>19</v>
      </c>
      <c r="K4255" s="2" t="n">
        <v>6</v>
      </c>
      <c r="L4255" s="2" t="n">
        <v>0</v>
      </c>
      <c r="M4255" s="2" t="n">
        <v>0</v>
      </c>
    </row>
    <row r="4256" customFormat="false" ht="15" hidden="false" customHeight="false" outlineLevel="0" collapsed="false">
      <c r="A4256" s="2" t="s">
        <v>8753</v>
      </c>
      <c r="B4256" s="2" t="s">
        <v>8754</v>
      </c>
      <c r="C4256" s="2" t="n">
        <v>5</v>
      </c>
      <c r="D4256" s="2" t="s">
        <v>127</v>
      </c>
      <c r="E4256" s="2" t="s">
        <v>8083</v>
      </c>
      <c r="F4256" s="3" t="n">
        <v>46074.1229166667</v>
      </c>
      <c r="G4256" s="2" t="s">
        <v>8326</v>
      </c>
      <c r="H4256" s="4" t="n">
        <v>0.9359</v>
      </c>
      <c r="I4256" s="2" t="s">
        <v>23</v>
      </c>
      <c r="J4256" s="2" t="s">
        <v>37</v>
      </c>
      <c r="K4256" s="2" t="n">
        <v>3</v>
      </c>
      <c r="L4256" s="2" t="n">
        <v>0</v>
      </c>
      <c r="M4256" s="2" t="n">
        <v>0</v>
      </c>
    </row>
    <row r="4257" customFormat="false" ht="15" hidden="false" customHeight="false" outlineLevel="0" collapsed="false">
      <c r="A4257" s="2" t="s">
        <v>8755</v>
      </c>
      <c r="B4257" s="2" t="s">
        <v>8756</v>
      </c>
      <c r="C4257" s="2" t="n">
        <v>4</v>
      </c>
      <c r="D4257" s="2" t="s">
        <v>127</v>
      </c>
      <c r="E4257" s="2" t="s">
        <v>8083</v>
      </c>
      <c r="F4257" s="3" t="n">
        <v>46074.1520833333</v>
      </c>
      <c r="G4257" s="2" t="s">
        <v>8326</v>
      </c>
      <c r="H4257" s="4" t="n">
        <v>0.9359</v>
      </c>
      <c r="I4257" s="2" t="s">
        <v>23</v>
      </c>
      <c r="J4257" s="2" t="s">
        <v>37</v>
      </c>
      <c r="K4257" s="2" t="n">
        <v>2</v>
      </c>
      <c r="L4257" s="2" t="n">
        <v>0</v>
      </c>
      <c r="M4257" s="2" t="n">
        <v>0</v>
      </c>
    </row>
    <row r="4258" customFormat="false" ht="15" hidden="false" customHeight="false" outlineLevel="0" collapsed="false">
      <c r="A4258" s="2" t="s">
        <v>8757</v>
      </c>
      <c r="B4258" s="2" t="s">
        <v>8758</v>
      </c>
      <c r="C4258" s="2" t="n">
        <v>5</v>
      </c>
      <c r="D4258" s="2" t="s">
        <v>52</v>
      </c>
      <c r="E4258" s="2" t="s">
        <v>8083</v>
      </c>
      <c r="F4258" s="3" t="n">
        <v>46074.3104166667</v>
      </c>
      <c r="G4258" s="2" t="s">
        <v>8326</v>
      </c>
      <c r="H4258" s="4" t="n">
        <v>0.6369</v>
      </c>
      <c r="I4258" s="2" t="s">
        <v>23</v>
      </c>
      <c r="J4258" s="2" t="s">
        <v>19</v>
      </c>
      <c r="K4258" s="2" t="n">
        <v>5</v>
      </c>
      <c r="L4258" s="2" t="n">
        <v>0</v>
      </c>
      <c r="M4258" s="2" t="n">
        <v>0</v>
      </c>
    </row>
    <row r="4259" customFormat="false" ht="15" hidden="false" customHeight="false" outlineLevel="0" collapsed="false">
      <c r="A4259" s="2" t="s">
        <v>8759</v>
      </c>
      <c r="B4259" s="2" t="s">
        <v>8760</v>
      </c>
      <c r="C4259" s="2" t="n">
        <v>5</v>
      </c>
      <c r="D4259" s="2" t="s">
        <v>738</v>
      </c>
      <c r="E4259" s="2" t="s">
        <v>8083</v>
      </c>
      <c r="F4259" s="3" t="n">
        <v>46074.3909722222</v>
      </c>
      <c r="G4259" s="2" t="s">
        <v>8326</v>
      </c>
      <c r="H4259" s="4" t="n">
        <v>0.9612</v>
      </c>
      <c r="I4259" s="2" t="s">
        <v>23</v>
      </c>
      <c r="J4259" s="2" t="s">
        <v>37</v>
      </c>
      <c r="K4259" s="2" t="n">
        <v>1</v>
      </c>
      <c r="L4259" s="2" t="n">
        <v>0</v>
      </c>
      <c r="M4259" s="2" t="n">
        <v>0</v>
      </c>
    </row>
    <row r="4260" customFormat="false" ht="15" hidden="false" customHeight="false" outlineLevel="0" collapsed="false">
      <c r="A4260" s="2" t="s">
        <v>8761</v>
      </c>
      <c r="B4260" s="2" t="s">
        <v>8762</v>
      </c>
      <c r="C4260" s="2" t="n">
        <v>3</v>
      </c>
      <c r="D4260" s="2" t="s">
        <v>87</v>
      </c>
      <c r="E4260" s="2" t="s">
        <v>8083</v>
      </c>
      <c r="F4260" s="3" t="n">
        <v>46074.4215277778</v>
      </c>
      <c r="G4260" s="2" t="s">
        <v>8326</v>
      </c>
      <c r="H4260" s="4" t="n">
        <v>0</v>
      </c>
      <c r="I4260" s="2" t="s">
        <v>18</v>
      </c>
      <c r="J4260" s="2" t="s">
        <v>19</v>
      </c>
      <c r="K4260" s="2" t="n">
        <v>1</v>
      </c>
      <c r="L4260" s="2" t="n">
        <v>0</v>
      </c>
      <c r="M4260" s="2" t="n">
        <v>0</v>
      </c>
    </row>
    <row r="4261" customFormat="false" ht="15" hidden="false" customHeight="false" outlineLevel="0" collapsed="false">
      <c r="A4261" s="2" t="s">
        <v>8763</v>
      </c>
      <c r="B4261" s="2" t="s">
        <v>8764</v>
      </c>
      <c r="C4261" s="2" t="n">
        <v>5</v>
      </c>
      <c r="D4261" s="2" t="s">
        <v>29</v>
      </c>
      <c r="E4261" s="2" t="s">
        <v>8083</v>
      </c>
      <c r="F4261" s="3" t="n">
        <v>46074.4979166667</v>
      </c>
      <c r="G4261" s="2" t="s">
        <v>8326</v>
      </c>
      <c r="H4261" s="4" t="n">
        <v>0.6369</v>
      </c>
      <c r="I4261" s="2" t="s">
        <v>23</v>
      </c>
      <c r="J4261" s="2" t="s">
        <v>19</v>
      </c>
      <c r="K4261" s="2" t="n">
        <v>1</v>
      </c>
      <c r="L4261" s="2" t="n">
        <v>0</v>
      </c>
      <c r="M4261" s="2" t="n">
        <v>0</v>
      </c>
    </row>
    <row r="4262" customFormat="false" ht="15" hidden="false" customHeight="false" outlineLevel="0" collapsed="false">
      <c r="A4262" s="2" t="s">
        <v>8765</v>
      </c>
      <c r="B4262" s="2" t="s">
        <v>8766</v>
      </c>
      <c r="C4262" s="2" t="n">
        <v>5</v>
      </c>
      <c r="D4262" s="2" t="s">
        <v>15</v>
      </c>
      <c r="E4262" s="2" t="s">
        <v>8083</v>
      </c>
      <c r="F4262" s="3" t="n">
        <v>46074.5604166667</v>
      </c>
      <c r="G4262" s="2" t="s">
        <v>8326</v>
      </c>
      <c r="H4262" s="4" t="n">
        <v>0</v>
      </c>
      <c r="I4262" s="2" t="s">
        <v>18</v>
      </c>
      <c r="J4262" s="2" t="s">
        <v>19</v>
      </c>
      <c r="K4262" s="2" t="n">
        <v>2</v>
      </c>
      <c r="L4262" s="2" t="n">
        <v>0</v>
      </c>
      <c r="M4262" s="2" t="n">
        <v>0</v>
      </c>
    </row>
    <row r="4263" customFormat="false" ht="15" hidden="false" customHeight="false" outlineLevel="0" collapsed="false">
      <c r="A4263" s="2" t="s">
        <v>8767</v>
      </c>
      <c r="B4263" s="2" t="s">
        <v>8768</v>
      </c>
      <c r="C4263" s="2" t="n">
        <v>5</v>
      </c>
      <c r="D4263" s="2" t="s">
        <v>127</v>
      </c>
      <c r="E4263" s="2" t="s">
        <v>8083</v>
      </c>
      <c r="F4263" s="3" t="n">
        <v>46074.5909722222</v>
      </c>
      <c r="G4263" s="2" t="s">
        <v>8326</v>
      </c>
      <c r="H4263" s="4" t="n">
        <v>0.9359</v>
      </c>
      <c r="I4263" s="2" t="s">
        <v>23</v>
      </c>
      <c r="J4263" s="2" t="s">
        <v>37</v>
      </c>
      <c r="K4263" s="2" t="n">
        <v>1</v>
      </c>
      <c r="L4263" s="2" t="n">
        <v>0</v>
      </c>
      <c r="M4263" s="2" t="n">
        <v>0</v>
      </c>
    </row>
    <row r="4264" customFormat="false" ht="15" hidden="false" customHeight="false" outlineLevel="0" collapsed="false">
      <c r="A4264" s="2" t="s">
        <v>8769</v>
      </c>
      <c r="B4264" s="2" t="s">
        <v>8770</v>
      </c>
      <c r="C4264" s="2" t="n">
        <v>5</v>
      </c>
      <c r="D4264" s="2" t="s">
        <v>62</v>
      </c>
      <c r="E4264" s="2" t="s">
        <v>8083</v>
      </c>
      <c r="F4264" s="3" t="n">
        <v>46074.59375</v>
      </c>
      <c r="G4264" s="2" t="s">
        <v>8326</v>
      </c>
      <c r="H4264" s="4" t="n">
        <v>0.7088</v>
      </c>
      <c r="I4264" s="2" t="s">
        <v>23</v>
      </c>
      <c r="J4264" s="2" t="s">
        <v>19</v>
      </c>
      <c r="K4264" s="2" t="n">
        <v>2</v>
      </c>
      <c r="L4264" s="2" t="n">
        <v>0</v>
      </c>
      <c r="M4264" s="2" t="n">
        <v>0</v>
      </c>
    </row>
    <row r="4265" customFormat="false" ht="15" hidden="false" customHeight="false" outlineLevel="0" collapsed="false">
      <c r="A4265" s="2" t="s">
        <v>8771</v>
      </c>
      <c r="B4265" s="2" t="s">
        <v>8772</v>
      </c>
      <c r="C4265" s="2" t="n">
        <v>1</v>
      </c>
      <c r="D4265" s="2" t="s">
        <v>8773</v>
      </c>
      <c r="E4265" s="2" t="s">
        <v>8083</v>
      </c>
      <c r="F4265" s="3" t="n">
        <v>46074.6270833333</v>
      </c>
      <c r="G4265" s="2" t="s">
        <v>8326</v>
      </c>
      <c r="H4265" s="4" t="n">
        <v>0.4404</v>
      </c>
      <c r="I4265" s="2" t="s">
        <v>23</v>
      </c>
      <c r="J4265" s="2" t="s">
        <v>37</v>
      </c>
      <c r="K4265" s="2" t="n">
        <v>4</v>
      </c>
      <c r="L4265" s="2" t="n">
        <v>1</v>
      </c>
      <c r="M4265" s="2" t="n">
        <v>0</v>
      </c>
    </row>
    <row r="4266" customFormat="false" ht="15" hidden="false" customHeight="false" outlineLevel="0" collapsed="false">
      <c r="A4266" s="2" t="s">
        <v>8774</v>
      </c>
      <c r="B4266" s="2" t="s">
        <v>8775</v>
      </c>
      <c r="C4266" s="2" t="n">
        <v>3</v>
      </c>
      <c r="D4266" s="2" t="s">
        <v>301</v>
      </c>
      <c r="E4266" s="2" t="s">
        <v>8083</v>
      </c>
      <c r="F4266" s="3" t="n">
        <v>46074.7479166667</v>
      </c>
      <c r="G4266" s="2" t="s">
        <v>8326</v>
      </c>
      <c r="H4266" s="4" t="n">
        <v>0.2263</v>
      </c>
      <c r="I4266" s="2" t="s">
        <v>23</v>
      </c>
      <c r="J4266" s="2" t="s">
        <v>19</v>
      </c>
      <c r="K4266" s="2" t="n">
        <v>1</v>
      </c>
      <c r="L4266" s="2" t="n">
        <v>0</v>
      </c>
      <c r="M4266" s="2" t="n">
        <v>0</v>
      </c>
    </row>
    <row r="4267" customFormat="false" ht="15" hidden="false" customHeight="false" outlineLevel="0" collapsed="false">
      <c r="A4267" s="2" t="s">
        <v>8776</v>
      </c>
      <c r="B4267" s="2" t="s">
        <v>8777</v>
      </c>
      <c r="C4267" s="2" t="n">
        <v>5</v>
      </c>
      <c r="D4267" s="2" t="s">
        <v>90</v>
      </c>
      <c r="E4267" s="2" t="s">
        <v>8083</v>
      </c>
      <c r="F4267" s="3" t="n">
        <v>46074.8916666667</v>
      </c>
      <c r="G4267" s="2" t="s">
        <v>8326</v>
      </c>
      <c r="H4267" s="4" t="n">
        <v>0.6249</v>
      </c>
      <c r="I4267" s="2" t="s">
        <v>23</v>
      </c>
      <c r="J4267" s="2" t="s">
        <v>37</v>
      </c>
      <c r="K4267" s="2" t="n">
        <v>7</v>
      </c>
      <c r="L4267" s="2" t="n">
        <v>0</v>
      </c>
      <c r="M4267" s="2" t="n">
        <v>0</v>
      </c>
    </row>
    <row r="4268" customFormat="false" ht="15" hidden="false" customHeight="false" outlineLevel="0" collapsed="false">
      <c r="A4268" s="2" t="s">
        <v>8778</v>
      </c>
      <c r="B4268" s="2" t="s">
        <v>8779</v>
      </c>
      <c r="C4268" s="2" t="n">
        <v>5</v>
      </c>
      <c r="D4268" s="2" t="s">
        <v>555</v>
      </c>
      <c r="E4268" s="2" t="s">
        <v>8083</v>
      </c>
      <c r="F4268" s="3" t="n">
        <v>46074.9243055556</v>
      </c>
      <c r="G4268" s="2" t="s">
        <v>8326</v>
      </c>
      <c r="H4268" s="4" t="n">
        <v>0.8221</v>
      </c>
      <c r="I4268" s="2" t="s">
        <v>23</v>
      </c>
      <c r="J4268" s="2" t="s">
        <v>33</v>
      </c>
      <c r="K4268" s="2" t="n">
        <v>2</v>
      </c>
      <c r="L4268" s="2" t="n">
        <v>0</v>
      </c>
      <c r="M4268" s="2" t="n">
        <v>0</v>
      </c>
    </row>
    <row r="4269" customFormat="false" ht="15" hidden="false" customHeight="false" outlineLevel="0" collapsed="false">
      <c r="A4269" s="2" t="s">
        <v>8780</v>
      </c>
      <c r="B4269" s="2" t="s">
        <v>7686</v>
      </c>
      <c r="C4269" s="2" t="n">
        <v>5</v>
      </c>
      <c r="D4269" s="2" t="s">
        <v>127</v>
      </c>
      <c r="E4269" s="2" t="s">
        <v>8083</v>
      </c>
      <c r="F4269" s="3" t="n">
        <v>46075.0104166667</v>
      </c>
      <c r="G4269" s="2" t="s">
        <v>8326</v>
      </c>
      <c r="H4269" s="4" t="n">
        <v>0.9359</v>
      </c>
      <c r="I4269" s="2" t="s">
        <v>23</v>
      </c>
      <c r="J4269" s="2" t="s">
        <v>37</v>
      </c>
      <c r="K4269" s="2" t="n">
        <v>3</v>
      </c>
      <c r="L4269" s="2" t="n">
        <v>0</v>
      </c>
      <c r="M4269" s="2" t="n">
        <v>0</v>
      </c>
    </row>
    <row r="4270" customFormat="false" ht="15" hidden="false" customHeight="false" outlineLevel="0" collapsed="false">
      <c r="A4270" s="2" t="s">
        <v>8781</v>
      </c>
      <c r="B4270" s="2" t="s">
        <v>8782</v>
      </c>
      <c r="C4270" s="2" t="n">
        <v>5</v>
      </c>
      <c r="D4270" s="2" t="s">
        <v>47</v>
      </c>
      <c r="E4270" s="2" t="s">
        <v>8083</v>
      </c>
      <c r="F4270" s="3" t="n">
        <v>46075.0479166667</v>
      </c>
      <c r="G4270" s="2" t="s">
        <v>8326</v>
      </c>
      <c r="H4270" s="4" t="n">
        <v>0.3089</v>
      </c>
      <c r="I4270" s="2" t="s">
        <v>23</v>
      </c>
      <c r="J4270" s="2" t="s">
        <v>19</v>
      </c>
      <c r="K4270" s="2" t="n">
        <v>1</v>
      </c>
      <c r="L4270" s="2" t="n">
        <v>0</v>
      </c>
      <c r="M4270" s="2" t="n">
        <v>0</v>
      </c>
    </row>
    <row r="4271" customFormat="false" ht="15" hidden="false" customHeight="false" outlineLevel="0" collapsed="false">
      <c r="A4271" s="2" t="s">
        <v>8783</v>
      </c>
      <c r="B4271" s="2" t="s">
        <v>8784</v>
      </c>
      <c r="C4271" s="2" t="n">
        <v>5</v>
      </c>
      <c r="D4271" s="2" t="s">
        <v>127</v>
      </c>
      <c r="E4271" s="2" t="s">
        <v>8083</v>
      </c>
      <c r="F4271" s="3" t="n">
        <v>46075.1555555556</v>
      </c>
      <c r="G4271" s="2" t="s">
        <v>8326</v>
      </c>
      <c r="H4271" s="4" t="n">
        <v>0.9359</v>
      </c>
      <c r="I4271" s="2" t="s">
        <v>23</v>
      </c>
      <c r="J4271" s="2" t="s">
        <v>37</v>
      </c>
      <c r="K4271" s="2" t="n">
        <v>7</v>
      </c>
      <c r="L4271" s="2" t="n">
        <v>0</v>
      </c>
      <c r="M4271" s="2" t="n">
        <v>0</v>
      </c>
    </row>
    <row r="4272" customFormat="false" ht="15" hidden="false" customHeight="false" outlineLevel="0" collapsed="false">
      <c r="A4272" s="2" t="s">
        <v>8785</v>
      </c>
      <c r="B4272" s="2" t="s">
        <v>8786</v>
      </c>
      <c r="C4272" s="2" t="n">
        <v>5</v>
      </c>
      <c r="D4272" s="2" t="s">
        <v>127</v>
      </c>
      <c r="E4272" s="2" t="s">
        <v>8083</v>
      </c>
      <c r="F4272" s="3" t="n">
        <v>46075.1569444445</v>
      </c>
      <c r="G4272" s="2" t="s">
        <v>8326</v>
      </c>
      <c r="H4272" s="4" t="n">
        <v>0.9359</v>
      </c>
      <c r="I4272" s="2" t="s">
        <v>23</v>
      </c>
      <c r="J4272" s="2" t="s">
        <v>37</v>
      </c>
      <c r="K4272" s="2" t="n">
        <v>0</v>
      </c>
      <c r="L4272" s="2" t="n">
        <v>0</v>
      </c>
      <c r="M4272" s="2" t="n">
        <v>0</v>
      </c>
    </row>
    <row r="4273" customFormat="false" ht="15" hidden="false" customHeight="false" outlineLevel="0" collapsed="false">
      <c r="A4273" s="2" t="s">
        <v>8787</v>
      </c>
      <c r="B4273" s="2" t="s">
        <v>8788</v>
      </c>
      <c r="C4273" s="2" t="n">
        <v>3</v>
      </c>
      <c r="D4273" s="2" t="s">
        <v>36</v>
      </c>
      <c r="E4273" s="2" t="s">
        <v>8083</v>
      </c>
      <c r="F4273" s="3" t="n">
        <v>46075.2763888889</v>
      </c>
      <c r="G4273" s="2" t="s">
        <v>8326</v>
      </c>
      <c r="H4273" s="4" t="n">
        <v>0.4404</v>
      </c>
      <c r="I4273" s="2" t="s">
        <v>23</v>
      </c>
      <c r="J4273" s="2" t="s">
        <v>37</v>
      </c>
      <c r="K4273" s="2" t="n">
        <v>1</v>
      </c>
      <c r="L4273" s="2" t="n">
        <v>0</v>
      </c>
      <c r="M4273" s="2" t="n">
        <v>0</v>
      </c>
    </row>
    <row r="4274" customFormat="false" ht="15" hidden="false" customHeight="false" outlineLevel="0" collapsed="false">
      <c r="A4274" s="2" t="s">
        <v>8789</v>
      </c>
      <c r="B4274" s="2" t="s">
        <v>8790</v>
      </c>
      <c r="C4274" s="2" t="n">
        <v>5</v>
      </c>
      <c r="D4274" s="2" t="s">
        <v>1197</v>
      </c>
      <c r="E4274" s="2" t="s">
        <v>8083</v>
      </c>
      <c r="F4274" s="3" t="n">
        <v>46075.3215277778</v>
      </c>
      <c r="G4274" s="2" t="s">
        <v>8326</v>
      </c>
      <c r="H4274" s="4" t="n">
        <v>0.3089</v>
      </c>
      <c r="I4274" s="2" t="s">
        <v>23</v>
      </c>
      <c r="J4274" s="2" t="s">
        <v>19</v>
      </c>
      <c r="K4274" s="2" t="n">
        <v>3</v>
      </c>
      <c r="L4274" s="2" t="n">
        <v>0</v>
      </c>
      <c r="M4274" s="2" t="n">
        <v>0</v>
      </c>
    </row>
    <row r="4275" customFormat="false" ht="15" hidden="false" customHeight="false" outlineLevel="0" collapsed="false">
      <c r="A4275" s="2" t="s">
        <v>8791</v>
      </c>
      <c r="B4275" s="2" t="s">
        <v>8792</v>
      </c>
      <c r="C4275" s="2" t="n">
        <v>5</v>
      </c>
      <c r="D4275" s="2" t="s">
        <v>127</v>
      </c>
      <c r="E4275" s="2" t="s">
        <v>8083</v>
      </c>
      <c r="F4275" s="3" t="n">
        <v>46075.3555555556</v>
      </c>
      <c r="G4275" s="2" t="s">
        <v>8326</v>
      </c>
      <c r="H4275" s="4" t="n">
        <v>0.9359</v>
      </c>
      <c r="I4275" s="2" t="s">
        <v>23</v>
      </c>
      <c r="J4275" s="2" t="s">
        <v>37</v>
      </c>
      <c r="K4275" s="2" t="n">
        <v>1</v>
      </c>
      <c r="L4275" s="2" t="n">
        <v>0</v>
      </c>
      <c r="M4275" s="2" t="n">
        <v>0</v>
      </c>
    </row>
    <row r="4276" customFormat="false" ht="15" hidden="false" customHeight="false" outlineLevel="0" collapsed="false">
      <c r="A4276" s="2" t="s">
        <v>8793</v>
      </c>
      <c r="B4276" s="2" t="s">
        <v>8794</v>
      </c>
      <c r="C4276" s="2" t="n">
        <v>5</v>
      </c>
      <c r="D4276" s="2" t="s">
        <v>2727</v>
      </c>
      <c r="E4276" s="2" t="s">
        <v>8083</v>
      </c>
      <c r="F4276" s="3" t="n">
        <v>46075.4277777778</v>
      </c>
      <c r="G4276" s="2" t="s">
        <v>8326</v>
      </c>
      <c r="H4276" s="4" t="n">
        <v>0.4019</v>
      </c>
      <c r="I4276" s="2" t="s">
        <v>23</v>
      </c>
      <c r="J4276" s="2" t="s">
        <v>33</v>
      </c>
      <c r="K4276" s="2" t="n">
        <v>7</v>
      </c>
      <c r="L4276" s="2" t="n">
        <v>0</v>
      </c>
      <c r="M4276" s="2" t="n">
        <v>0</v>
      </c>
    </row>
    <row r="4277" customFormat="false" ht="15" hidden="false" customHeight="false" outlineLevel="0" collapsed="false">
      <c r="A4277" s="2" t="s">
        <v>8795</v>
      </c>
      <c r="B4277" s="2" t="s">
        <v>8796</v>
      </c>
      <c r="C4277" s="2" t="n">
        <v>5</v>
      </c>
      <c r="D4277" s="2" t="s">
        <v>62</v>
      </c>
      <c r="E4277" s="2" t="s">
        <v>8083</v>
      </c>
      <c r="F4277" s="3" t="n">
        <v>46075.4597222222</v>
      </c>
      <c r="G4277" s="2" t="s">
        <v>8326</v>
      </c>
      <c r="H4277" s="4" t="n">
        <v>0.7088</v>
      </c>
      <c r="I4277" s="2" t="s">
        <v>23</v>
      </c>
      <c r="J4277" s="2" t="s">
        <v>19</v>
      </c>
      <c r="K4277" s="2" t="n">
        <v>2</v>
      </c>
      <c r="L4277" s="2" t="n">
        <v>0</v>
      </c>
      <c r="M4277" s="2" t="n">
        <v>0</v>
      </c>
    </row>
    <row r="4278" customFormat="false" ht="15" hidden="false" customHeight="false" outlineLevel="0" collapsed="false">
      <c r="A4278" s="2" t="s">
        <v>8797</v>
      </c>
      <c r="B4278" s="2" t="s">
        <v>432</v>
      </c>
      <c r="C4278" s="2" t="n">
        <v>3</v>
      </c>
      <c r="D4278" s="2" t="s">
        <v>87</v>
      </c>
      <c r="E4278" s="2" t="s">
        <v>8083</v>
      </c>
      <c r="F4278" s="3" t="n">
        <v>46075.6215277778</v>
      </c>
      <c r="G4278" s="2" t="s">
        <v>8326</v>
      </c>
      <c r="H4278" s="4" t="n">
        <v>0</v>
      </c>
      <c r="I4278" s="2" t="s">
        <v>18</v>
      </c>
      <c r="J4278" s="2" t="s">
        <v>19</v>
      </c>
      <c r="K4278" s="2" t="n">
        <v>2</v>
      </c>
      <c r="L4278" s="2" t="n">
        <v>0</v>
      </c>
      <c r="M4278" s="2" t="n">
        <v>0</v>
      </c>
    </row>
    <row r="4279" customFormat="false" ht="15" hidden="false" customHeight="false" outlineLevel="0" collapsed="false">
      <c r="A4279" s="2" t="s">
        <v>8798</v>
      </c>
      <c r="B4279" s="2" t="s">
        <v>8799</v>
      </c>
      <c r="C4279" s="2" t="n">
        <v>1</v>
      </c>
      <c r="D4279" s="2" t="s">
        <v>701</v>
      </c>
      <c r="E4279" s="2" t="s">
        <v>8083</v>
      </c>
      <c r="F4279" s="3" t="n">
        <v>46075.65</v>
      </c>
      <c r="G4279" s="2" t="s">
        <v>8326</v>
      </c>
      <c r="H4279" s="4" t="n">
        <v>-0.7184</v>
      </c>
      <c r="I4279" s="2" t="s">
        <v>84</v>
      </c>
      <c r="J4279" s="2" t="s">
        <v>37</v>
      </c>
      <c r="K4279" s="2" t="n">
        <v>3</v>
      </c>
      <c r="L4279" s="2" t="n">
        <v>0</v>
      </c>
      <c r="M4279" s="2" t="n">
        <v>0</v>
      </c>
    </row>
    <row r="4280" customFormat="false" ht="15" hidden="false" customHeight="false" outlineLevel="0" collapsed="false">
      <c r="A4280" s="2" t="s">
        <v>8800</v>
      </c>
      <c r="B4280" s="2" t="s">
        <v>8801</v>
      </c>
      <c r="C4280" s="2" t="n">
        <v>5</v>
      </c>
      <c r="D4280" s="2" t="s">
        <v>62</v>
      </c>
      <c r="E4280" s="2" t="s">
        <v>8083</v>
      </c>
      <c r="F4280" s="3" t="n">
        <v>46075.6895833333</v>
      </c>
      <c r="G4280" s="2" t="s">
        <v>8326</v>
      </c>
      <c r="H4280" s="4" t="n">
        <v>0.7088</v>
      </c>
      <c r="I4280" s="2" t="s">
        <v>23</v>
      </c>
      <c r="J4280" s="2" t="s">
        <v>19</v>
      </c>
      <c r="K4280" s="2" t="n">
        <v>0</v>
      </c>
      <c r="L4280" s="2" t="n">
        <v>0</v>
      </c>
      <c r="M4280" s="2" t="n">
        <v>0</v>
      </c>
    </row>
    <row r="4281" customFormat="false" ht="15" hidden="false" customHeight="false" outlineLevel="0" collapsed="false">
      <c r="A4281" s="2" t="s">
        <v>8802</v>
      </c>
      <c r="B4281" s="2" t="s">
        <v>8803</v>
      </c>
      <c r="C4281" s="2" t="n">
        <v>5</v>
      </c>
      <c r="D4281" s="2" t="s">
        <v>90</v>
      </c>
      <c r="E4281" s="2" t="s">
        <v>8083</v>
      </c>
      <c r="F4281" s="3" t="n">
        <v>46075.6895833333</v>
      </c>
      <c r="G4281" s="2" t="s">
        <v>8326</v>
      </c>
      <c r="H4281" s="4" t="n">
        <v>0.6249</v>
      </c>
      <c r="I4281" s="2" t="s">
        <v>23</v>
      </c>
      <c r="J4281" s="2" t="s">
        <v>37</v>
      </c>
      <c r="K4281" s="2" t="n">
        <v>1</v>
      </c>
      <c r="L4281" s="2" t="n">
        <v>0</v>
      </c>
      <c r="M4281" s="2" t="n">
        <v>0</v>
      </c>
    </row>
    <row r="4282" customFormat="false" ht="15" hidden="false" customHeight="false" outlineLevel="0" collapsed="false">
      <c r="A4282" s="2" t="s">
        <v>8804</v>
      </c>
      <c r="B4282" s="2" t="s">
        <v>8805</v>
      </c>
      <c r="C4282" s="2" t="n">
        <v>4</v>
      </c>
      <c r="D4282" s="2" t="s">
        <v>1052</v>
      </c>
      <c r="E4282" s="2" t="s">
        <v>8083</v>
      </c>
      <c r="F4282" s="3" t="n">
        <v>46075.7875</v>
      </c>
      <c r="G4282" s="2" t="s">
        <v>8326</v>
      </c>
      <c r="H4282" s="4" t="n">
        <v>0.7088</v>
      </c>
      <c r="I4282" s="2" t="s">
        <v>23</v>
      </c>
      <c r="J4282" s="2" t="s">
        <v>19</v>
      </c>
      <c r="K4282" s="2" t="n">
        <v>4</v>
      </c>
      <c r="L4282" s="2" t="n">
        <v>0</v>
      </c>
      <c r="M4282" s="2" t="n">
        <v>0</v>
      </c>
    </row>
    <row r="4283" customFormat="false" ht="15" hidden="false" customHeight="false" outlineLevel="0" collapsed="false">
      <c r="A4283" s="2" t="s">
        <v>8806</v>
      </c>
      <c r="B4283" s="2" t="s">
        <v>8807</v>
      </c>
      <c r="C4283" s="2" t="n">
        <v>1</v>
      </c>
      <c r="D4283" s="2" t="s">
        <v>168</v>
      </c>
      <c r="E4283" s="2" t="s">
        <v>8083</v>
      </c>
      <c r="F4283" s="3" t="n">
        <v>46075.8638888889</v>
      </c>
      <c r="G4283" s="2" t="s">
        <v>8326</v>
      </c>
      <c r="H4283" s="4" t="n">
        <v>-0.1027</v>
      </c>
      <c r="I4283" s="2" t="s">
        <v>84</v>
      </c>
      <c r="J4283" s="2" t="s">
        <v>33</v>
      </c>
      <c r="K4283" s="2" t="n">
        <v>1</v>
      </c>
      <c r="L4283" s="2" t="n">
        <v>0</v>
      </c>
      <c r="M4283" s="2" t="n">
        <v>0</v>
      </c>
    </row>
    <row r="4284" customFormat="false" ht="15" hidden="false" customHeight="false" outlineLevel="0" collapsed="false">
      <c r="A4284" s="2" t="s">
        <v>8808</v>
      </c>
      <c r="B4284" s="2" t="s">
        <v>8809</v>
      </c>
      <c r="C4284" s="2" t="n">
        <v>2</v>
      </c>
      <c r="D4284" s="2" t="s">
        <v>3358</v>
      </c>
      <c r="E4284" s="2" t="s">
        <v>8083</v>
      </c>
      <c r="F4284" s="3" t="n">
        <v>46076.0847222222</v>
      </c>
      <c r="G4284" s="2" t="s">
        <v>8326</v>
      </c>
      <c r="H4284" s="4" t="n">
        <v>0.2263</v>
      </c>
      <c r="I4284" s="2" t="s">
        <v>23</v>
      </c>
      <c r="J4284" s="2" t="s">
        <v>59</v>
      </c>
      <c r="K4284" s="2" t="n">
        <v>9</v>
      </c>
      <c r="L4284" s="2" t="n">
        <v>0</v>
      </c>
      <c r="M4284" s="2" t="n">
        <v>0</v>
      </c>
    </row>
    <row r="4285" customFormat="false" ht="15" hidden="false" customHeight="false" outlineLevel="0" collapsed="false">
      <c r="A4285" s="2" t="s">
        <v>8810</v>
      </c>
      <c r="B4285" s="2" t="s">
        <v>8811</v>
      </c>
      <c r="C4285" s="2" t="n">
        <v>5</v>
      </c>
      <c r="D4285" s="2" t="s">
        <v>76</v>
      </c>
      <c r="E4285" s="2" t="s">
        <v>8083</v>
      </c>
      <c r="F4285" s="3" t="n">
        <v>46076.1673611111</v>
      </c>
      <c r="G4285" s="2" t="s">
        <v>8326</v>
      </c>
      <c r="H4285" s="4" t="n">
        <v>0.607</v>
      </c>
      <c r="I4285" s="2" t="s">
        <v>23</v>
      </c>
      <c r="J4285" s="2" t="s">
        <v>33</v>
      </c>
      <c r="K4285" s="2" t="n">
        <v>3</v>
      </c>
      <c r="L4285" s="2" t="n">
        <v>0</v>
      </c>
      <c r="M4285" s="2" t="n">
        <v>0</v>
      </c>
    </row>
    <row r="4286" customFormat="false" ht="15" hidden="false" customHeight="false" outlineLevel="0" collapsed="false">
      <c r="A4286" s="2" t="s">
        <v>8812</v>
      </c>
      <c r="B4286" s="2" t="s">
        <v>8813</v>
      </c>
      <c r="C4286" s="2" t="n">
        <v>4</v>
      </c>
      <c r="D4286" s="2" t="s">
        <v>799</v>
      </c>
      <c r="E4286" s="2" t="s">
        <v>8083</v>
      </c>
      <c r="F4286" s="3" t="n">
        <v>46076.4625</v>
      </c>
      <c r="G4286" s="2" t="s">
        <v>8326</v>
      </c>
      <c r="H4286" s="4" t="n">
        <v>0.9606</v>
      </c>
      <c r="I4286" s="2" t="s">
        <v>23</v>
      </c>
      <c r="J4286" s="2" t="s">
        <v>37</v>
      </c>
      <c r="K4286" s="2" t="n">
        <v>0</v>
      </c>
      <c r="L4286" s="2" t="n">
        <v>0</v>
      </c>
      <c r="M4286" s="2" t="n">
        <v>0</v>
      </c>
    </row>
    <row r="4287" customFormat="false" ht="15" hidden="false" customHeight="false" outlineLevel="0" collapsed="false">
      <c r="A4287" s="2" t="s">
        <v>8814</v>
      </c>
      <c r="B4287" s="2" t="s">
        <v>8815</v>
      </c>
      <c r="C4287" s="2" t="n">
        <v>5</v>
      </c>
      <c r="D4287" s="2" t="s">
        <v>47</v>
      </c>
      <c r="E4287" s="2" t="s">
        <v>8083</v>
      </c>
      <c r="F4287" s="3" t="n">
        <v>46076.5972222222</v>
      </c>
      <c r="G4287" s="2" t="s">
        <v>8326</v>
      </c>
      <c r="H4287" s="4" t="n">
        <v>0.3089</v>
      </c>
      <c r="I4287" s="2" t="s">
        <v>23</v>
      </c>
      <c r="J4287" s="2" t="s">
        <v>19</v>
      </c>
      <c r="K4287" s="2" t="n">
        <v>2</v>
      </c>
      <c r="L4287" s="2" t="n">
        <v>0</v>
      </c>
      <c r="M4287" s="2" t="n">
        <v>0</v>
      </c>
    </row>
    <row r="4288" customFormat="false" ht="15" hidden="false" customHeight="false" outlineLevel="0" collapsed="false">
      <c r="A4288" s="2" t="s">
        <v>8816</v>
      </c>
      <c r="B4288" s="2" t="s">
        <v>8817</v>
      </c>
      <c r="C4288" s="2" t="n">
        <v>5</v>
      </c>
      <c r="D4288" s="2" t="s">
        <v>127</v>
      </c>
      <c r="E4288" s="2" t="s">
        <v>8083</v>
      </c>
      <c r="F4288" s="3" t="n">
        <v>46076.6069444444</v>
      </c>
      <c r="G4288" s="2" t="s">
        <v>8326</v>
      </c>
      <c r="H4288" s="4" t="n">
        <v>0.9359</v>
      </c>
      <c r="I4288" s="2" t="s">
        <v>23</v>
      </c>
      <c r="J4288" s="2" t="s">
        <v>37</v>
      </c>
      <c r="K4288" s="2" t="n">
        <v>1</v>
      </c>
      <c r="L4288" s="2" t="n">
        <v>0</v>
      </c>
      <c r="M4288" s="2" t="n">
        <v>0</v>
      </c>
    </row>
    <row r="4289" customFormat="false" ht="15" hidden="false" customHeight="false" outlineLevel="0" collapsed="false">
      <c r="A4289" s="2" t="s">
        <v>8818</v>
      </c>
      <c r="B4289" s="2" t="s">
        <v>8819</v>
      </c>
      <c r="C4289" s="2" t="n">
        <v>4</v>
      </c>
      <c r="D4289" s="2" t="s">
        <v>47</v>
      </c>
      <c r="E4289" s="2" t="s">
        <v>8083</v>
      </c>
      <c r="F4289" s="3" t="n">
        <v>46076.6256944445</v>
      </c>
      <c r="G4289" s="2" t="s">
        <v>8326</v>
      </c>
      <c r="H4289" s="4" t="n">
        <v>0.3089</v>
      </c>
      <c r="I4289" s="2" t="s">
        <v>23</v>
      </c>
      <c r="J4289" s="2" t="s">
        <v>19</v>
      </c>
      <c r="K4289" s="2" t="n">
        <v>0</v>
      </c>
      <c r="L4289" s="2" t="n">
        <v>0</v>
      </c>
      <c r="M4289" s="2" t="n">
        <v>0</v>
      </c>
    </row>
    <row r="4290" customFormat="false" ht="15" hidden="false" customHeight="false" outlineLevel="0" collapsed="false">
      <c r="A4290" s="2" t="s">
        <v>8820</v>
      </c>
      <c r="B4290" s="2" t="s">
        <v>8821</v>
      </c>
      <c r="C4290" s="2" t="n">
        <v>4</v>
      </c>
      <c r="D4290" s="2" t="s">
        <v>22</v>
      </c>
      <c r="E4290" s="2" t="s">
        <v>8083</v>
      </c>
      <c r="F4290" s="3" t="n">
        <v>46076.6868055556</v>
      </c>
      <c r="G4290" s="2" t="s">
        <v>8326</v>
      </c>
      <c r="H4290" s="4" t="n">
        <v>0.2023</v>
      </c>
      <c r="I4290" s="2" t="s">
        <v>23</v>
      </c>
      <c r="J4290" s="2" t="s">
        <v>19</v>
      </c>
      <c r="K4290" s="2" t="n">
        <v>1</v>
      </c>
      <c r="L4290" s="2" t="n">
        <v>0</v>
      </c>
      <c r="M4290" s="2" t="n">
        <v>0</v>
      </c>
    </row>
    <row r="4291" customFormat="false" ht="15" hidden="false" customHeight="false" outlineLevel="0" collapsed="false">
      <c r="A4291" s="2" t="s">
        <v>8822</v>
      </c>
      <c r="B4291" s="2" t="s">
        <v>8823</v>
      </c>
      <c r="C4291" s="2" t="n">
        <v>4</v>
      </c>
      <c r="D4291" s="2" t="s">
        <v>90</v>
      </c>
      <c r="E4291" s="2" t="s">
        <v>8083</v>
      </c>
      <c r="F4291" s="3" t="n">
        <v>46077.0263888889</v>
      </c>
      <c r="G4291" s="2" t="s">
        <v>8326</v>
      </c>
      <c r="H4291" s="4" t="n">
        <v>0.6249</v>
      </c>
      <c r="I4291" s="2" t="s">
        <v>23</v>
      </c>
      <c r="J4291" s="2" t="s">
        <v>37</v>
      </c>
      <c r="K4291" s="2" t="n">
        <v>4</v>
      </c>
      <c r="L4291" s="2" t="n">
        <v>0</v>
      </c>
      <c r="M4291" s="2" t="n">
        <v>0</v>
      </c>
    </row>
    <row r="4292" customFormat="false" ht="15" hidden="false" customHeight="false" outlineLevel="0" collapsed="false">
      <c r="A4292" s="2" t="s">
        <v>8824</v>
      </c>
      <c r="B4292" s="2" t="s">
        <v>8825</v>
      </c>
      <c r="C4292" s="2" t="n">
        <v>5</v>
      </c>
      <c r="D4292" s="2" t="s">
        <v>1363</v>
      </c>
      <c r="E4292" s="2" t="s">
        <v>8083</v>
      </c>
      <c r="F4292" s="3" t="n">
        <v>46077.3395833333</v>
      </c>
      <c r="G4292" s="2" t="s">
        <v>8326</v>
      </c>
      <c r="H4292" s="4" t="n">
        <v>0.6597</v>
      </c>
      <c r="I4292" s="2" t="s">
        <v>23</v>
      </c>
      <c r="J4292" s="2" t="s">
        <v>33</v>
      </c>
      <c r="K4292" s="2" t="n">
        <v>4</v>
      </c>
      <c r="L4292" s="2" t="n">
        <v>0</v>
      </c>
      <c r="M4292" s="2" t="n">
        <v>0</v>
      </c>
    </row>
    <row r="4293" customFormat="false" ht="15" hidden="false" customHeight="false" outlineLevel="0" collapsed="false">
      <c r="A4293" s="2" t="s">
        <v>8826</v>
      </c>
      <c r="B4293" s="2" t="s">
        <v>8827</v>
      </c>
      <c r="C4293" s="2" t="n">
        <v>4</v>
      </c>
      <c r="D4293" s="2" t="s">
        <v>62</v>
      </c>
      <c r="E4293" s="2" t="s">
        <v>8083</v>
      </c>
      <c r="F4293" s="3" t="n">
        <v>46077.4180555556</v>
      </c>
      <c r="G4293" s="2" t="s">
        <v>8326</v>
      </c>
      <c r="H4293" s="4" t="n">
        <v>0.7088</v>
      </c>
      <c r="I4293" s="2" t="s">
        <v>23</v>
      </c>
      <c r="J4293" s="2" t="s">
        <v>19</v>
      </c>
      <c r="K4293" s="2" t="n">
        <v>5</v>
      </c>
      <c r="L4293" s="2" t="n">
        <v>0</v>
      </c>
      <c r="M4293" s="2" t="n">
        <v>0</v>
      </c>
    </row>
    <row r="4294" customFormat="false" ht="15" hidden="false" customHeight="false" outlineLevel="0" collapsed="false">
      <c r="A4294" s="2" t="s">
        <v>8828</v>
      </c>
      <c r="B4294" s="2" t="s">
        <v>8829</v>
      </c>
      <c r="C4294" s="2" t="n">
        <v>1</v>
      </c>
      <c r="D4294" s="2" t="s">
        <v>721</v>
      </c>
      <c r="E4294" s="2" t="s">
        <v>8083</v>
      </c>
      <c r="F4294" s="3" t="n">
        <v>46077.4194444444</v>
      </c>
      <c r="G4294" s="2" t="s">
        <v>8326</v>
      </c>
      <c r="H4294" s="4" t="n">
        <v>-0.4588</v>
      </c>
      <c r="I4294" s="2" t="s">
        <v>84</v>
      </c>
      <c r="J4294" s="2" t="s">
        <v>37</v>
      </c>
      <c r="K4294" s="2" t="n">
        <v>5</v>
      </c>
      <c r="L4294" s="2" t="n">
        <v>1</v>
      </c>
      <c r="M4294" s="2" t="n">
        <v>0</v>
      </c>
    </row>
    <row r="4295" customFormat="false" ht="15" hidden="false" customHeight="false" outlineLevel="0" collapsed="false">
      <c r="A4295" s="2" t="s">
        <v>8830</v>
      </c>
      <c r="B4295" s="2" t="s">
        <v>8831</v>
      </c>
      <c r="C4295" s="2" t="n">
        <v>5</v>
      </c>
      <c r="D4295" s="2" t="s">
        <v>1878</v>
      </c>
      <c r="E4295" s="2" t="s">
        <v>8083</v>
      </c>
      <c r="F4295" s="3" t="n">
        <v>46077.4784722222</v>
      </c>
      <c r="G4295" s="2" t="s">
        <v>8326</v>
      </c>
      <c r="H4295" s="4" t="n">
        <v>0.9516</v>
      </c>
      <c r="I4295" s="2" t="s">
        <v>23</v>
      </c>
      <c r="J4295" s="2" t="s">
        <v>37</v>
      </c>
      <c r="K4295" s="2" t="n">
        <v>5</v>
      </c>
      <c r="L4295" s="2" t="n">
        <v>1</v>
      </c>
      <c r="M4295" s="2" t="n">
        <v>0</v>
      </c>
    </row>
    <row r="4296" customFormat="false" ht="15" hidden="false" customHeight="false" outlineLevel="0" collapsed="false">
      <c r="A4296" s="2" t="s">
        <v>8832</v>
      </c>
      <c r="B4296" s="2" t="s">
        <v>8833</v>
      </c>
      <c r="C4296" s="2" t="n">
        <v>1</v>
      </c>
      <c r="D4296" s="2" t="s">
        <v>1192</v>
      </c>
      <c r="E4296" s="2" t="s">
        <v>8083</v>
      </c>
      <c r="F4296" s="3" t="n">
        <v>46077.5013888889</v>
      </c>
      <c r="G4296" s="2" t="s">
        <v>8326</v>
      </c>
      <c r="H4296" s="4" t="n">
        <v>0</v>
      </c>
      <c r="I4296" s="2" t="s">
        <v>18</v>
      </c>
      <c r="J4296" s="2" t="s">
        <v>165</v>
      </c>
      <c r="K4296" s="2" t="n">
        <v>1</v>
      </c>
      <c r="L4296" s="2" t="n">
        <v>0</v>
      </c>
      <c r="M4296" s="2" t="n">
        <v>0</v>
      </c>
    </row>
    <row r="4297" customFormat="false" ht="15" hidden="false" customHeight="false" outlineLevel="0" collapsed="false">
      <c r="A4297" s="2" t="s">
        <v>8834</v>
      </c>
      <c r="B4297" s="2" t="s">
        <v>8835</v>
      </c>
      <c r="C4297" s="2" t="n">
        <v>1</v>
      </c>
      <c r="D4297" s="2" t="s">
        <v>83</v>
      </c>
      <c r="E4297" s="2" t="s">
        <v>8083</v>
      </c>
      <c r="F4297" s="3" t="n">
        <v>46077.6708333333</v>
      </c>
      <c r="G4297" s="2" t="s">
        <v>8326</v>
      </c>
      <c r="H4297" s="4" t="n">
        <v>-0.6166</v>
      </c>
      <c r="I4297" s="2" t="s">
        <v>84</v>
      </c>
      <c r="J4297" s="2" t="s">
        <v>59</v>
      </c>
      <c r="K4297" s="2" t="n">
        <v>18</v>
      </c>
      <c r="L4297" s="2" t="n">
        <v>0</v>
      </c>
      <c r="M4297" s="2" t="n">
        <v>0</v>
      </c>
    </row>
    <row r="4298" customFormat="false" ht="15" hidden="false" customHeight="false" outlineLevel="0" collapsed="false">
      <c r="A4298" s="2" t="s">
        <v>8836</v>
      </c>
      <c r="B4298" s="2" t="s">
        <v>8837</v>
      </c>
      <c r="C4298" s="2" t="n">
        <v>3</v>
      </c>
      <c r="D4298" s="2" t="s">
        <v>1400</v>
      </c>
      <c r="E4298" s="2" t="s">
        <v>8083</v>
      </c>
      <c r="F4298" s="3" t="n">
        <v>46077.7104166667</v>
      </c>
      <c r="G4298" s="2" t="s">
        <v>8326</v>
      </c>
      <c r="H4298" s="4" t="n">
        <v>0.4019</v>
      </c>
      <c r="I4298" s="2" t="s">
        <v>23</v>
      </c>
      <c r="J4298" s="2" t="s">
        <v>19</v>
      </c>
      <c r="K4298" s="2" t="n">
        <v>0</v>
      </c>
      <c r="L4298" s="2" t="n">
        <v>0</v>
      </c>
      <c r="M4298" s="2" t="n">
        <v>0</v>
      </c>
    </row>
    <row r="4299" customFormat="false" ht="15" hidden="false" customHeight="false" outlineLevel="0" collapsed="false">
      <c r="A4299" s="2" t="s">
        <v>8838</v>
      </c>
      <c r="B4299" s="2" t="s">
        <v>8839</v>
      </c>
      <c r="C4299" s="2" t="n">
        <v>5</v>
      </c>
      <c r="D4299" s="2" t="s">
        <v>40</v>
      </c>
      <c r="E4299" s="2" t="s">
        <v>8083</v>
      </c>
      <c r="F4299" s="3" t="n">
        <v>46077.9291666667</v>
      </c>
      <c r="G4299" s="2" t="s">
        <v>8326</v>
      </c>
      <c r="H4299" s="4" t="n">
        <v>0.4019</v>
      </c>
      <c r="I4299" s="2" t="s">
        <v>23</v>
      </c>
      <c r="J4299" s="2" t="s">
        <v>33</v>
      </c>
      <c r="K4299" s="2" t="n">
        <v>11</v>
      </c>
      <c r="L4299" s="2" t="n">
        <v>0</v>
      </c>
      <c r="M4299" s="2" t="n">
        <v>0</v>
      </c>
    </row>
    <row r="4300" customFormat="false" ht="15" hidden="false" customHeight="false" outlineLevel="0" collapsed="false">
      <c r="A4300" s="2" t="s">
        <v>8840</v>
      </c>
      <c r="B4300" s="2" t="s">
        <v>6078</v>
      </c>
      <c r="C4300" s="2" t="n">
        <v>4</v>
      </c>
      <c r="D4300" s="2" t="s">
        <v>15</v>
      </c>
      <c r="E4300" s="2" t="s">
        <v>8083</v>
      </c>
      <c r="F4300" s="3" t="n">
        <v>46078.1381944444</v>
      </c>
      <c r="G4300" s="2" t="s">
        <v>8326</v>
      </c>
      <c r="H4300" s="4" t="n">
        <v>0</v>
      </c>
      <c r="I4300" s="2" t="s">
        <v>18</v>
      </c>
      <c r="J4300" s="2" t="s">
        <v>19</v>
      </c>
      <c r="K4300" s="2" t="n">
        <v>6</v>
      </c>
      <c r="L4300" s="2" t="n">
        <v>0</v>
      </c>
      <c r="M4300" s="2" t="n">
        <v>0</v>
      </c>
    </row>
    <row r="4301" customFormat="false" ht="15" hidden="false" customHeight="false" outlineLevel="0" collapsed="false">
      <c r="A4301" s="2" t="s">
        <v>8841</v>
      </c>
      <c r="B4301" s="2" t="s">
        <v>8842</v>
      </c>
      <c r="C4301" s="2" t="n">
        <v>3</v>
      </c>
      <c r="D4301" s="2" t="s">
        <v>87</v>
      </c>
      <c r="E4301" s="2" t="s">
        <v>8083</v>
      </c>
      <c r="F4301" s="3" t="n">
        <v>46078.2416666667</v>
      </c>
      <c r="G4301" s="2" t="s">
        <v>8326</v>
      </c>
      <c r="H4301" s="4" t="n">
        <v>0</v>
      </c>
      <c r="I4301" s="2" t="s">
        <v>18</v>
      </c>
      <c r="J4301" s="2" t="s">
        <v>19</v>
      </c>
      <c r="K4301" s="2" t="n">
        <v>9</v>
      </c>
      <c r="L4301" s="2" t="n">
        <v>0</v>
      </c>
      <c r="M4301" s="2" t="n">
        <v>0</v>
      </c>
    </row>
    <row r="4302" customFormat="false" ht="15" hidden="false" customHeight="false" outlineLevel="0" collapsed="false">
      <c r="A4302" s="2" t="s">
        <v>8843</v>
      </c>
      <c r="B4302" s="2" t="s">
        <v>8844</v>
      </c>
      <c r="C4302" s="2" t="n">
        <v>5</v>
      </c>
      <c r="D4302" s="2" t="s">
        <v>52</v>
      </c>
      <c r="E4302" s="2" t="s">
        <v>8083</v>
      </c>
      <c r="F4302" s="3" t="n">
        <v>46078.7833333333</v>
      </c>
      <c r="G4302" s="2" t="s">
        <v>8326</v>
      </c>
      <c r="H4302" s="4" t="n">
        <v>0.6369</v>
      </c>
      <c r="I4302" s="2" t="s">
        <v>23</v>
      </c>
      <c r="J4302" s="2" t="s">
        <v>19</v>
      </c>
      <c r="K4302" s="2" t="n">
        <v>1</v>
      </c>
      <c r="L4302" s="2" t="n">
        <v>0</v>
      </c>
      <c r="M4302" s="2" t="n">
        <v>0</v>
      </c>
    </row>
    <row r="4303" customFormat="false" ht="15" hidden="false" customHeight="false" outlineLevel="0" collapsed="false">
      <c r="A4303" s="2" t="s">
        <v>8845</v>
      </c>
      <c r="B4303" s="2" t="s">
        <v>8065</v>
      </c>
      <c r="C4303" s="2" t="n">
        <v>3</v>
      </c>
      <c r="D4303" s="2" t="s">
        <v>2834</v>
      </c>
      <c r="E4303" s="2" t="s">
        <v>8083</v>
      </c>
      <c r="F4303" s="3" t="n">
        <v>46078.8194444445</v>
      </c>
      <c r="G4303" s="2" t="s">
        <v>8326</v>
      </c>
      <c r="H4303" s="4" t="n">
        <v>0.7003</v>
      </c>
      <c r="I4303" s="2" t="s">
        <v>23</v>
      </c>
      <c r="J4303" s="2" t="s">
        <v>37</v>
      </c>
      <c r="K4303" s="2" t="n">
        <v>6</v>
      </c>
      <c r="L4303" s="2" t="n">
        <v>0</v>
      </c>
      <c r="M4303" s="2" t="n">
        <v>0</v>
      </c>
    </row>
    <row r="4304" customFormat="false" ht="15" hidden="false" customHeight="false" outlineLevel="0" collapsed="false">
      <c r="A4304" s="2" t="s">
        <v>8846</v>
      </c>
      <c r="B4304" s="2" t="s">
        <v>8847</v>
      </c>
      <c r="C4304" s="2" t="n">
        <v>1</v>
      </c>
      <c r="D4304" s="2" t="s">
        <v>946</v>
      </c>
      <c r="E4304" s="2" t="s">
        <v>8083</v>
      </c>
      <c r="F4304" s="3" t="n">
        <v>46079.2541666667</v>
      </c>
      <c r="G4304" s="2" t="s">
        <v>8326</v>
      </c>
      <c r="H4304" s="4" t="n">
        <v>-0.25</v>
      </c>
      <c r="I4304" s="2" t="s">
        <v>84</v>
      </c>
      <c r="J4304" s="2" t="s">
        <v>37</v>
      </c>
      <c r="K4304" s="2" t="n">
        <v>0</v>
      </c>
      <c r="L4304" s="2" t="n">
        <v>0</v>
      </c>
      <c r="M4304" s="2" t="n">
        <v>0</v>
      </c>
    </row>
    <row r="4305" customFormat="false" ht="15" hidden="false" customHeight="false" outlineLevel="0" collapsed="false">
      <c r="A4305" s="2" t="s">
        <v>8848</v>
      </c>
      <c r="B4305" s="2" t="s">
        <v>8849</v>
      </c>
      <c r="C4305" s="2" t="n">
        <v>1</v>
      </c>
      <c r="D4305" s="2" t="s">
        <v>58</v>
      </c>
      <c r="E4305" s="2" t="s">
        <v>8083</v>
      </c>
      <c r="F4305" s="3" t="n">
        <v>46079.2736111111</v>
      </c>
      <c r="G4305" s="2" t="s">
        <v>8326</v>
      </c>
      <c r="H4305" s="4" t="n">
        <v>0</v>
      </c>
      <c r="I4305" s="2" t="s">
        <v>18</v>
      </c>
      <c r="J4305" s="2" t="s">
        <v>59</v>
      </c>
      <c r="K4305" s="2" t="n">
        <v>7</v>
      </c>
      <c r="L4305" s="2" t="n">
        <v>0</v>
      </c>
      <c r="M4305" s="2" t="n">
        <v>0</v>
      </c>
    </row>
    <row r="4306" customFormat="false" ht="15" hidden="false" customHeight="false" outlineLevel="0" collapsed="false">
      <c r="A4306" s="2" t="s">
        <v>8850</v>
      </c>
      <c r="B4306" s="2" t="s">
        <v>8851</v>
      </c>
      <c r="C4306" s="2" t="n">
        <v>5</v>
      </c>
      <c r="D4306" s="2" t="s">
        <v>52</v>
      </c>
      <c r="E4306" s="2" t="s">
        <v>8083</v>
      </c>
      <c r="F4306" s="3" t="n">
        <v>46079.35625</v>
      </c>
      <c r="G4306" s="2" t="s">
        <v>8326</v>
      </c>
      <c r="H4306" s="4" t="n">
        <v>0.6369</v>
      </c>
      <c r="I4306" s="2" t="s">
        <v>23</v>
      </c>
      <c r="J4306" s="2" t="s">
        <v>19</v>
      </c>
      <c r="K4306" s="2" t="n">
        <v>4</v>
      </c>
      <c r="L4306" s="2" t="n">
        <v>0</v>
      </c>
      <c r="M4306" s="2" t="n">
        <v>0</v>
      </c>
    </row>
    <row r="4307" customFormat="false" ht="15" hidden="false" customHeight="false" outlineLevel="0" collapsed="false">
      <c r="A4307" s="2" t="s">
        <v>8852</v>
      </c>
      <c r="B4307" s="2" t="s">
        <v>8853</v>
      </c>
      <c r="C4307" s="2" t="n">
        <v>5</v>
      </c>
      <c r="D4307" s="2" t="s">
        <v>15</v>
      </c>
      <c r="E4307" s="2" t="s">
        <v>8083</v>
      </c>
      <c r="F4307" s="3" t="n">
        <v>46079.4201388889</v>
      </c>
      <c r="G4307" s="2" t="s">
        <v>8326</v>
      </c>
      <c r="H4307" s="4" t="n">
        <v>0</v>
      </c>
      <c r="I4307" s="2" t="s">
        <v>18</v>
      </c>
      <c r="J4307" s="2" t="s">
        <v>19</v>
      </c>
      <c r="K4307" s="2" t="n">
        <v>1</v>
      </c>
      <c r="L4307" s="2" t="n">
        <v>0</v>
      </c>
      <c r="M4307" s="2" t="n">
        <v>0</v>
      </c>
    </row>
    <row r="4308" customFormat="false" ht="15" hidden="false" customHeight="false" outlineLevel="0" collapsed="false">
      <c r="A4308" s="2" t="s">
        <v>8854</v>
      </c>
      <c r="B4308" s="2" t="s">
        <v>8855</v>
      </c>
      <c r="C4308" s="2" t="n">
        <v>5</v>
      </c>
      <c r="D4308" s="2" t="s">
        <v>47</v>
      </c>
      <c r="E4308" s="2" t="s">
        <v>8083</v>
      </c>
      <c r="F4308" s="3" t="n">
        <v>46079.4388888889</v>
      </c>
      <c r="G4308" s="2" t="s">
        <v>8326</v>
      </c>
      <c r="H4308" s="4" t="n">
        <v>0.3089</v>
      </c>
      <c r="I4308" s="2" t="s">
        <v>23</v>
      </c>
      <c r="J4308" s="2" t="s">
        <v>19</v>
      </c>
      <c r="K4308" s="2" t="n">
        <v>3</v>
      </c>
      <c r="L4308" s="2" t="n">
        <v>0</v>
      </c>
      <c r="M4308" s="2" t="n">
        <v>0</v>
      </c>
    </row>
    <row r="4309" customFormat="false" ht="15" hidden="false" customHeight="false" outlineLevel="0" collapsed="false">
      <c r="A4309" s="2" t="s">
        <v>8856</v>
      </c>
      <c r="B4309" s="2" t="s">
        <v>8857</v>
      </c>
      <c r="C4309" s="2" t="n">
        <v>4</v>
      </c>
      <c r="D4309" s="2" t="s">
        <v>90</v>
      </c>
      <c r="E4309" s="2" t="s">
        <v>8083</v>
      </c>
      <c r="F4309" s="3" t="n">
        <v>46079.4402777778</v>
      </c>
      <c r="G4309" s="2" t="s">
        <v>8326</v>
      </c>
      <c r="H4309" s="4" t="n">
        <v>0.6249</v>
      </c>
      <c r="I4309" s="2" t="s">
        <v>23</v>
      </c>
      <c r="J4309" s="2" t="s">
        <v>37</v>
      </c>
      <c r="K4309" s="2" t="n">
        <v>0</v>
      </c>
      <c r="L4309" s="2" t="n">
        <v>0</v>
      </c>
      <c r="M4309" s="2" t="n">
        <v>0</v>
      </c>
    </row>
    <row r="4310" customFormat="false" ht="15" hidden="false" customHeight="false" outlineLevel="0" collapsed="false">
      <c r="A4310" s="2" t="s">
        <v>8858</v>
      </c>
      <c r="B4310" s="2" t="s">
        <v>8859</v>
      </c>
      <c r="C4310" s="2" t="n">
        <v>5</v>
      </c>
      <c r="D4310" s="2" t="s">
        <v>62</v>
      </c>
      <c r="E4310" s="2" t="s">
        <v>8083</v>
      </c>
      <c r="F4310" s="3" t="n">
        <v>46079.4777777778</v>
      </c>
      <c r="G4310" s="2" t="s">
        <v>8326</v>
      </c>
      <c r="H4310" s="4" t="n">
        <v>0.7088</v>
      </c>
      <c r="I4310" s="2" t="s">
        <v>23</v>
      </c>
      <c r="J4310" s="2" t="s">
        <v>19</v>
      </c>
      <c r="K4310" s="2" t="n">
        <v>6</v>
      </c>
      <c r="L4310" s="2" t="n">
        <v>0</v>
      </c>
      <c r="M4310" s="2" t="n">
        <v>0</v>
      </c>
    </row>
    <row r="4311" customFormat="false" ht="15" hidden="false" customHeight="false" outlineLevel="0" collapsed="false">
      <c r="A4311" s="2" t="s">
        <v>8860</v>
      </c>
      <c r="B4311" s="2" t="s">
        <v>8861</v>
      </c>
      <c r="C4311" s="2" t="n">
        <v>4</v>
      </c>
      <c r="D4311" s="2" t="s">
        <v>99</v>
      </c>
      <c r="E4311" s="2" t="s">
        <v>8083</v>
      </c>
      <c r="F4311" s="3" t="n">
        <v>46079.5548611111</v>
      </c>
      <c r="G4311" s="2" t="s">
        <v>8326</v>
      </c>
      <c r="H4311" s="4" t="n">
        <v>-0.3089</v>
      </c>
      <c r="I4311" s="2" t="s">
        <v>84</v>
      </c>
      <c r="J4311" s="2" t="s">
        <v>19</v>
      </c>
      <c r="K4311" s="2" t="n">
        <v>0</v>
      </c>
      <c r="L4311" s="2" t="n">
        <v>0</v>
      </c>
      <c r="M4311" s="2" t="n">
        <v>0</v>
      </c>
    </row>
    <row r="4312" customFormat="false" ht="15" hidden="false" customHeight="false" outlineLevel="0" collapsed="false">
      <c r="A4312" s="2" t="s">
        <v>8862</v>
      </c>
      <c r="B4312" s="2" t="s">
        <v>8863</v>
      </c>
      <c r="C4312" s="2" t="n">
        <v>5</v>
      </c>
      <c r="D4312" s="2" t="s">
        <v>2140</v>
      </c>
      <c r="E4312" s="2" t="s">
        <v>8083</v>
      </c>
      <c r="F4312" s="3" t="n">
        <v>46079.5972222222</v>
      </c>
      <c r="G4312" s="2" t="s">
        <v>8326</v>
      </c>
      <c r="H4312" s="4" t="n">
        <v>0.8777</v>
      </c>
      <c r="I4312" s="2" t="s">
        <v>23</v>
      </c>
      <c r="J4312" s="2" t="s">
        <v>19</v>
      </c>
      <c r="K4312" s="2" t="n">
        <v>1</v>
      </c>
      <c r="L4312" s="2" t="n">
        <v>0</v>
      </c>
      <c r="M4312" s="2" t="n">
        <v>0</v>
      </c>
    </row>
    <row r="4313" customFormat="false" ht="15" hidden="false" customHeight="false" outlineLevel="0" collapsed="false">
      <c r="A4313" s="2" t="s">
        <v>8864</v>
      </c>
      <c r="B4313" s="2" t="s">
        <v>8865</v>
      </c>
      <c r="C4313" s="2" t="n">
        <v>4</v>
      </c>
      <c r="D4313" s="2" t="s">
        <v>127</v>
      </c>
      <c r="E4313" s="2" t="s">
        <v>8083</v>
      </c>
      <c r="F4313" s="3" t="n">
        <v>46079.7034722222</v>
      </c>
      <c r="G4313" s="2" t="s">
        <v>8326</v>
      </c>
      <c r="H4313" s="4" t="n">
        <v>0.9359</v>
      </c>
      <c r="I4313" s="2" t="s">
        <v>23</v>
      </c>
      <c r="J4313" s="2" t="s">
        <v>37</v>
      </c>
      <c r="K4313" s="2" t="n">
        <v>9</v>
      </c>
      <c r="L4313" s="2" t="n">
        <v>0</v>
      </c>
      <c r="M4313" s="2" t="n">
        <v>0</v>
      </c>
    </row>
    <row r="4314" customFormat="false" ht="15" hidden="false" customHeight="false" outlineLevel="0" collapsed="false">
      <c r="A4314" s="2" t="s">
        <v>8866</v>
      </c>
      <c r="B4314" s="2" t="s">
        <v>8867</v>
      </c>
      <c r="C4314" s="2" t="n">
        <v>4</v>
      </c>
      <c r="D4314" s="2" t="s">
        <v>674</v>
      </c>
      <c r="E4314" s="2" t="s">
        <v>8083</v>
      </c>
      <c r="F4314" s="3" t="n">
        <v>46079.7486111111</v>
      </c>
      <c r="G4314" s="2" t="s">
        <v>8326</v>
      </c>
      <c r="H4314" s="4" t="n">
        <v>0.9481</v>
      </c>
      <c r="I4314" s="2" t="s">
        <v>23</v>
      </c>
      <c r="J4314" s="2" t="s">
        <v>37</v>
      </c>
      <c r="K4314" s="2" t="n">
        <v>0</v>
      </c>
      <c r="L4314" s="2" t="n">
        <v>0</v>
      </c>
      <c r="M4314" s="2" t="n">
        <v>0</v>
      </c>
    </row>
    <row r="4315" customFormat="false" ht="15" hidden="false" customHeight="false" outlineLevel="0" collapsed="false">
      <c r="A4315" s="2" t="s">
        <v>8868</v>
      </c>
      <c r="B4315" s="2" t="s">
        <v>8869</v>
      </c>
      <c r="C4315" s="2" t="n">
        <v>4</v>
      </c>
      <c r="D4315" s="2" t="s">
        <v>96</v>
      </c>
      <c r="E4315" s="2" t="s">
        <v>8083</v>
      </c>
      <c r="F4315" s="3" t="n">
        <v>46079.8069444444</v>
      </c>
      <c r="G4315" s="2" t="s">
        <v>8326</v>
      </c>
      <c r="H4315" s="4" t="n">
        <v>0.6369</v>
      </c>
      <c r="I4315" s="2" t="s">
        <v>23</v>
      </c>
      <c r="J4315" s="2" t="s">
        <v>19</v>
      </c>
      <c r="K4315" s="2" t="n">
        <v>1</v>
      </c>
      <c r="L4315" s="2" t="n">
        <v>0</v>
      </c>
      <c r="M4315" s="2" t="n">
        <v>0</v>
      </c>
    </row>
    <row r="4316" customFormat="false" ht="15" hidden="false" customHeight="false" outlineLevel="0" collapsed="false">
      <c r="A4316" s="2" t="s">
        <v>8870</v>
      </c>
      <c r="B4316" s="2" t="s">
        <v>8871</v>
      </c>
      <c r="C4316" s="2" t="n">
        <v>3</v>
      </c>
      <c r="D4316" s="2" t="s">
        <v>357</v>
      </c>
      <c r="E4316" s="2" t="s">
        <v>8083</v>
      </c>
      <c r="F4316" s="3" t="n">
        <v>46079.9291666667</v>
      </c>
      <c r="G4316" s="2" t="s">
        <v>8326</v>
      </c>
      <c r="H4316" s="4" t="n">
        <v>0</v>
      </c>
      <c r="I4316" s="2" t="s">
        <v>18</v>
      </c>
      <c r="J4316" s="2" t="s">
        <v>165</v>
      </c>
      <c r="K4316" s="2" t="n">
        <v>4</v>
      </c>
      <c r="L4316" s="2" t="n">
        <v>0</v>
      </c>
      <c r="M4316" s="2" t="n">
        <v>0</v>
      </c>
    </row>
    <row r="4317" customFormat="false" ht="15" hidden="false" customHeight="false" outlineLevel="0" collapsed="false">
      <c r="A4317" s="2" t="s">
        <v>8872</v>
      </c>
      <c r="B4317" s="2" t="s">
        <v>5087</v>
      </c>
      <c r="C4317" s="2" t="n">
        <v>5</v>
      </c>
      <c r="D4317" s="2" t="s">
        <v>96</v>
      </c>
      <c r="E4317" s="2" t="s">
        <v>8083</v>
      </c>
      <c r="F4317" s="3" t="n">
        <v>46080.0145833333</v>
      </c>
      <c r="G4317" s="2" t="s">
        <v>8326</v>
      </c>
      <c r="H4317" s="4" t="n">
        <v>0.6369</v>
      </c>
      <c r="I4317" s="2" t="s">
        <v>23</v>
      </c>
      <c r="J4317" s="2" t="s">
        <v>19</v>
      </c>
      <c r="K4317" s="2" t="n">
        <v>1</v>
      </c>
      <c r="L4317" s="2" t="n">
        <v>0</v>
      </c>
      <c r="M4317" s="2" t="n">
        <v>0</v>
      </c>
    </row>
    <row r="4318" customFormat="false" ht="15" hidden="false" customHeight="false" outlineLevel="0" collapsed="false">
      <c r="A4318" s="2" t="s">
        <v>8873</v>
      </c>
      <c r="B4318" s="2" t="s">
        <v>8874</v>
      </c>
      <c r="C4318" s="2" t="n">
        <v>5</v>
      </c>
      <c r="D4318" s="2" t="s">
        <v>374</v>
      </c>
      <c r="E4318" s="2" t="s">
        <v>8083</v>
      </c>
      <c r="F4318" s="3" t="n">
        <v>46080.0506944444</v>
      </c>
      <c r="G4318" s="2" t="s">
        <v>8326</v>
      </c>
      <c r="H4318" s="4" t="n">
        <v>0.6369</v>
      </c>
      <c r="I4318" s="2" t="s">
        <v>23</v>
      </c>
      <c r="J4318" s="2" t="s">
        <v>19</v>
      </c>
      <c r="K4318" s="2" t="n">
        <v>7</v>
      </c>
      <c r="L4318" s="2" t="n">
        <v>0</v>
      </c>
      <c r="M4318" s="2" t="n">
        <v>0</v>
      </c>
    </row>
    <row r="4319" customFormat="false" ht="15" hidden="false" customHeight="false" outlineLevel="0" collapsed="false">
      <c r="A4319" s="2" t="s">
        <v>8875</v>
      </c>
      <c r="B4319" s="2" t="s">
        <v>8876</v>
      </c>
      <c r="C4319" s="2" t="n">
        <v>2</v>
      </c>
      <c r="D4319" s="2" t="s">
        <v>721</v>
      </c>
      <c r="E4319" s="2" t="s">
        <v>8083</v>
      </c>
      <c r="F4319" s="3" t="n">
        <v>46080.1256944445</v>
      </c>
      <c r="G4319" s="2" t="s">
        <v>8326</v>
      </c>
      <c r="H4319" s="4" t="n">
        <v>-0.4588</v>
      </c>
      <c r="I4319" s="2" t="s">
        <v>84</v>
      </c>
      <c r="J4319" s="2" t="s">
        <v>37</v>
      </c>
      <c r="K4319" s="2" t="n">
        <v>2</v>
      </c>
      <c r="L4319" s="2" t="n">
        <v>1</v>
      </c>
      <c r="M4319" s="2" t="n">
        <v>0</v>
      </c>
    </row>
    <row r="4320" customFormat="false" ht="15" hidden="false" customHeight="false" outlineLevel="0" collapsed="false">
      <c r="A4320" s="2" t="s">
        <v>8877</v>
      </c>
      <c r="B4320" s="2" t="s">
        <v>479</v>
      </c>
      <c r="C4320" s="2" t="n">
        <v>3</v>
      </c>
      <c r="D4320" s="2" t="s">
        <v>301</v>
      </c>
      <c r="E4320" s="2" t="s">
        <v>8083</v>
      </c>
      <c r="F4320" s="3" t="n">
        <v>46080.1583333333</v>
      </c>
      <c r="G4320" s="2" t="s">
        <v>8326</v>
      </c>
      <c r="H4320" s="4" t="n">
        <v>0.2263</v>
      </c>
      <c r="I4320" s="2" t="s">
        <v>23</v>
      </c>
      <c r="J4320" s="2" t="s">
        <v>19</v>
      </c>
      <c r="K4320" s="2" t="n">
        <v>2</v>
      </c>
      <c r="L4320" s="2" t="n">
        <v>0</v>
      </c>
      <c r="M4320" s="2" t="n">
        <v>0</v>
      </c>
    </row>
    <row r="4321" customFormat="false" ht="15" hidden="false" customHeight="false" outlineLevel="0" collapsed="false">
      <c r="A4321" s="2" t="s">
        <v>8878</v>
      </c>
      <c r="B4321" s="2" t="s">
        <v>8879</v>
      </c>
      <c r="C4321" s="2" t="n">
        <v>5</v>
      </c>
      <c r="D4321" s="2" t="s">
        <v>96</v>
      </c>
      <c r="E4321" s="2" t="s">
        <v>8083</v>
      </c>
      <c r="F4321" s="3" t="n">
        <v>46080.1944444445</v>
      </c>
      <c r="G4321" s="2" t="s">
        <v>8326</v>
      </c>
      <c r="H4321" s="4" t="n">
        <v>0.6369</v>
      </c>
      <c r="I4321" s="2" t="s">
        <v>23</v>
      </c>
      <c r="J4321" s="2" t="s">
        <v>19</v>
      </c>
      <c r="K4321" s="2" t="n">
        <v>2</v>
      </c>
      <c r="L4321" s="2" t="n">
        <v>0</v>
      </c>
      <c r="M4321" s="2" t="n">
        <v>0</v>
      </c>
    </row>
    <row r="4322" customFormat="false" ht="15" hidden="false" customHeight="false" outlineLevel="0" collapsed="false">
      <c r="A4322" s="2" t="s">
        <v>8880</v>
      </c>
      <c r="B4322" s="2" t="s">
        <v>8881</v>
      </c>
      <c r="C4322" s="2" t="n">
        <v>3</v>
      </c>
      <c r="D4322" s="2" t="s">
        <v>36</v>
      </c>
      <c r="E4322" s="2" t="s">
        <v>8083</v>
      </c>
      <c r="F4322" s="3" t="n">
        <v>46080.2166666667</v>
      </c>
      <c r="G4322" s="2" t="s">
        <v>8326</v>
      </c>
      <c r="H4322" s="4" t="n">
        <v>0.4404</v>
      </c>
      <c r="I4322" s="2" t="s">
        <v>23</v>
      </c>
      <c r="J4322" s="2" t="s">
        <v>37</v>
      </c>
      <c r="K4322" s="2" t="n">
        <v>6</v>
      </c>
      <c r="L4322" s="2" t="n">
        <v>0</v>
      </c>
      <c r="M4322" s="2" t="n">
        <v>0</v>
      </c>
    </row>
    <row r="4323" customFormat="false" ht="15" hidden="false" customHeight="false" outlineLevel="0" collapsed="false">
      <c r="A4323" s="2" t="s">
        <v>8882</v>
      </c>
      <c r="B4323" s="2" t="s">
        <v>8883</v>
      </c>
      <c r="C4323" s="2" t="n">
        <v>5</v>
      </c>
      <c r="D4323" s="2" t="s">
        <v>47</v>
      </c>
      <c r="E4323" s="2" t="s">
        <v>8083</v>
      </c>
      <c r="F4323" s="3" t="n">
        <v>46080.3666666667</v>
      </c>
      <c r="G4323" s="2" t="s">
        <v>8326</v>
      </c>
      <c r="H4323" s="4" t="n">
        <v>0.3089</v>
      </c>
      <c r="I4323" s="2" t="s">
        <v>23</v>
      </c>
      <c r="J4323" s="2" t="s">
        <v>19</v>
      </c>
      <c r="K4323" s="2" t="n">
        <v>4</v>
      </c>
      <c r="L4323" s="2" t="n">
        <v>0</v>
      </c>
      <c r="M4323" s="2" t="n">
        <v>0</v>
      </c>
    </row>
    <row r="4324" customFormat="false" ht="15" hidden="false" customHeight="false" outlineLevel="0" collapsed="false">
      <c r="A4324" s="2" t="s">
        <v>8884</v>
      </c>
      <c r="B4324" s="2" t="s">
        <v>8885</v>
      </c>
      <c r="C4324" s="2" t="n">
        <v>2</v>
      </c>
      <c r="D4324" s="2" t="s">
        <v>234</v>
      </c>
      <c r="E4324" s="2" t="s">
        <v>8083</v>
      </c>
      <c r="F4324" s="3" t="n">
        <v>46080.7694444444</v>
      </c>
      <c r="G4324" s="2" t="s">
        <v>8326</v>
      </c>
      <c r="H4324" s="4" t="n">
        <v>0</v>
      </c>
      <c r="I4324" s="2" t="s">
        <v>18</v>
      </c>
      <c r="J4324" s="2" t="s">
        <v>165</v>
      </c>
      <c r="K4324" s="2" t="n">
        <v>0</v>
      </c>
      <c r="L4324" s="2" t="n">
        <v>1</v>
      </c>
      <c r="M4324" s="2" t="n">
        <v>0</v>
      </c>
    </row>
    <row r="4325" customFormat="false" ht="15" hidden="false" customHeight="false" outlineLevel="0" collapsed="false">
      <c r="A4325" s="2" t="s">
        <v>8886</v>
      </c>
      <c r="B4325" s="2" t="s">
        <v>8887</v>
      </c>
      <c r="C4325" s="2" t="n">
        <v>3</v>
      </c>
      <c r="D4325" s="2" t="s">
        <v>8888</v>
      </c>
      <c r="E4325" s="2" t="s">
        <v>8083</v>
      </c>
      <c r="F4325" s="3" t="n">
        <v>46080.8166666667</v>
      </c>
      <c r="G4325" s="2" t="s">
        <v>8326</v>
      </c>
      <c r="H4325" s="4" t="n">
        <v>0</v>
      </c>
      <c r="I4325" s="2" t="s">
        <v>18</v>
      </c>
      <c r="J4325" s="2" t="s">
        <v>19</v>
      </c>
      <c r="K4325" s="2" t="n">
        <v>2</v>
      </c>
      <c r="L4325" s="2" t="n">
        <v>0</v>
      </c>
      <c r="M4325" s="2" t="n">
        <v>0</v>
      </c>
    </row>
    <row r="4326" customFormat="false" ht="15" hidden="false" customHeight="false" outlineLevel="0" collapsed="false">
      <c r="A4326" s="2" t="s">
        <v>8889</v>
      </c>
      <c r="B4326" s="2" t="s">
        <v>8890</v>
      </c>
      <c r="C4326" s="2" t="n">
        <v>5</v>
      </c>
      <c r="D4326" s="2" t="s">
        <v>2727</v>
      </c>
      <c r="E4326" s="2" t="s">
        <v>8083</v>
      </c>
      <c r="F4326" s="3" t="n">
        <v>46080.8333333333</v>
      </c>
      <c r="G4326" s="2" t="s">
        <v>8326</v>
      </c>
      <c r="H4326" s="4" t="n">
        <v>0.4019</v>
      </c>
      <c r="I4326" s="2" t="s">
        <v>23</v>
      </c>
      <c r="J4326" s="2" t="s">
        <v>33</v>
      </c>
      <c r="K4326" s="2" t="n">
        <v>4</v>
      </c>
      <c r="L4326" s="2" t="n">
        <v>0</v>
      </c>
      <c r="M4326" s="2" t="n">
        <v>0</v>
      </c>
    </row>
    <row r="4327" customFormat="false" ht="15" hidden="false" customHeight="false" outlineLevel="0" collapsed="false">
      <c r="A4327" s="2" t="s">
        <v>8891</v>
      </c>
      <c r="B4327" s="2" t="s">
        <v>8892</v>
      </c>
      <c r="C4327" s="2" t="n">
        <v>4</v>
      </c>
      <c r="D4327" s="2" t="s">
        <v>36</v>
      </c>
      <c r="E4327" s="2" t="s">
        <v>8083</v>
      </c>
      <c r="F4327" s="3" t="n">
        <v>46080.8798611111</v>
      </c>
      <c r="G4327" s="2" t="s">
        <v>8326</v>
      </c>
      <c r="H4327" s="4" t="n">
        <v>0.4404</v>
      </c>
      <c r="I4327" s="2" t="s">
        <v>23</v>
      </c>
      <c r="J4327" s="2" t="s">
        <v>37</v>
      </c>
      <c r="K4327" s="2" t="n">
        <v>4</v>
      </c>
      <c r="L4327" s="2" t="n">
        <v>0</v>
      </c>
      <c r="M4327" s="2" t="n">
        <v>0</v>
      </c>
    </row>
    <row r="4328" customFormat="false" ht="15" hidden="false" customHeight="false" outlineLevel="0" collapsed="false">
      <c r="A4328" s="2" t="s">
        <v>8893</v>
      </c>
      <c r="B4328" s="2" t="s">
        <v>7424</v>
      </c>
      <c r="C4328" s="2" t="n">
        <v>4</v>
      </c>
      <c r="D4328" s="2" t="s">
        <v>15</v>
      </c>
      <c r="E4328" s="2" t="s">
        <v>8083</v>
      </c>
      <c r="F4328" s="3" t="n">
        <v>46081.0659722222</v>
      </c>
      <c r="G4328" s="2" t="s">
        <v>8326</v>
      </c>
      <c r="H4328" s="4" t="n">
        <v>0</v>
      </c>
      <c r="I4328" s="2" t="s">
        <v>18</v>
      </c>
      <c r="J4328" s="2" t="s">
        <v>19</v>
      </c>
      <c r="K4328" s="2" t="n">
        <v>2</v>
      </c>
      <c r="L4328" s="2" t="n">
        <v>0</v>
      </c>
      <c r="M4328" s="2" t="n">
        <v>0</v>
      </c>
    </row>
    <row r="4329" customFormat="false" ht="15" hidden="false" customHeight="false" outlineLevel="0" collapsed="false">
      <c r="A4329" s="2" t="s">
        <v>8894</v>
      </c>
      <c r="B4329" s="2" t="s">
        <v>8895</v>
      </c>
      <c r="C4329" s="2" t="n">
        <v>5</v>
      </c>
      <c r="D4329" s="2" t="s">
        <v>67</v>
      </c>
      <c r="E4329" s="2" t="s">
        <v>8083</v>
      </c>
      <c r="F4329" s="3" t="n">
        <v>46081.1368055556</v>
      </c>
      <c r="G4329" s="2" t="s">
        <v>8326</v>
      </c>
      <c r="H4329" s="4" t="n">
        <v>0.8953</v>
      </c>
      <c r="I4329" s="2" t="s">
        <v>23</v>
      </c>
      <c r="J4329" s="2" t="s">
        <v>19</v>
      </c>
      <c r="K4329" s="2" t="n">
        <v>0</v>
      </c>
      <c r="L4329" s="2" t="n">
        <v>0</v>
      </c>
      <c r="M4329" s="2" t="n">
        <v>0</v>
      </c>
    </row>
    <row r="4330" customFormat="false" ht="15" hidden="false" customHeight="false" outlineLevel="0" collapsed="false">
      <c r="A4330" s="2" t="s">
        <v>8896</v>
      </c>
      <c r="B4330" s="2" t="s">
        <v>8897</v>
      </c>
      <c r="C4330" s="2" t="n">
        <v>4</v>
      </c>
      <c r="D4330" s="2" t="s">
        <v>90</v>
      </c>
      <c r="E4330" s="2" t="s">
        <v>8083</v>
      </c>
      <c r="F4330" s="3" t="n">
        <v>46081.1673611111</v>
      </c>
      <c r="G4330" s="2" t="s">
        <v>8326</v>
      </c>
      <c r="H4330" s="4" t="n">
        <v>0.6249</v>
      </c>
      <c r="I4330" s="2" t="s">
        <v>23</v>
      </c>
      <c r="J4330" s="2" t="s">
        <v>37</v>
      </c>
      <c r="K4330" s="2" t="n">
        <v>6</v>
      </c>
      <c r="L4330" s="2" t="n">
        <v>0</v>
      </c>
      <c r="M4330" s="2" t="n">
        <v>0</v>
      </c>
    </row>
    <row r="4331" customFormat="false" ht="15" hidden="false" customHeight="false" outlineLevel="0" collapsed="false">
      <c r="A4331" s="2" t="s">
        <v>8898</v>
      </c>
      <c r="B4331" s="2" t="s">
        <v>8899</v>
      </c>
      <c r="C4331" s="2" t="n">
        <v>3</v>
      </c>
      <c r="D4331" s="2" t="s">
        <v>36</v>
      </c>
      <c r="E4331" s="2" t="s">
        <v>8083</v>
      </c>
      <c r="F4331" s="3" t="n">
        <v>46081.2201388889</v>
      </c>
      <c r="G4331" s="2" t="s">
        <v>8326</v>
      </c>
      <c r="H4331" s="4" t="n">
        <v>0.4404</v>
      </c>
      <c r="I4331" s="2" t="s">
        <v>23</v>
      </c>
      <c r="J4331" s="2" t="s">
        <v>37</v>
      </c>
      <c r="K4331" s="2" t="n">
        <v>0</v>
      </c>
      <c r="L4331" s="2" t="n">
        <v>0</v>
      </c>
      <c r="M4331" s="2" t="n">
        <v>0</v>
      </c>
    </row>
    <row r="4332" customFormat="false" ht="15" hidden="false" customHeight="false" outlineLevel="0" collapsed="false">
      <c r="A4332" s="2" t="s">
        <v>8900</v>
      </c>
      <c r="B4332" s="2" t="s">
        <v>8901</v>
      </c>
      <c r="C4332" s="2" t="n">
        <v>5</v>
      </c>
      <c r="D4332" s="2" t="s">
        <v>1240</v>
      </c>
      <c r="E4332" s="2" t="s">
        <v>8083</v>
      </c>
      <c r="F4332" s="3" t="n">
        <v>46081.2986111111</v>
      </c>
      <c r="G4332" s="2" t="s">
        <v>8326</v>
      </c>
      <c r="H4332" s="4" t="n">
        <v>0.6369</v>
      </c>
      <c r="I4332" s="2" t="s">
        <v>23</v>
      </c>
      <c r="J4332" s="2" t="s">
        <v>19</v>
      </c>
      <c r="K4332" s="2" t="n">
        <v>0</v>
      </c>
      <c r="L4332" s="2" t="n">
        <v>0</v>
      </c>
      <c r="M4332" s="2" t="n">
        <v>0</v>
      </c>
    </row>
    <row r="4333" customFormat="false" ht="15" hidden="false" customHeight="false" outlineLevel="0" collapsed="false">
      <c r="A4333" s="2" t="s">
        <v>8902</v>
      </c>
      <c r="B4333" s="2" t="s">
        <v>8903</v>
      </c>
      <c r="C4333" s="2" t="n">
        <v>5</v>
      </c>
      <c r="D4333" s="2" t="s">
        <v>8904</v>
      </c>
      <c r="E4333" s="2" t="s">
        <v>8083</v>
      </c>
      <c r="F4333" s="3" t="n">
        <v>46081.4868055556</v>
      </c>
      <c r="G4333" s="2" t="s">
        <v>8326</v>
      </c>
      <c r="H4333" s="4" t="n">
        <v>0.8481</v>
      </c>
      <c r="I4333" s="2" t="s">
        <v>23</v>
      </c>
      <c r="J4333" s="2" t="s">
        <v>37</v>
      </c>
      <c r="K4333" s="2" t="n">
        <v>13</v>
      </c>
      <c r="L4333" s="2" t="n">
        <v>0</v>
      </c>
      <c r="M4333" s="2" t="n">
        <v>0</v>
      </c>
    </row>
    <row r="4334" customFormat="false" ht="15" hidden="false" customHeight="false" outlineLevel="0" collapsed="false">
      <c r="A4334" s="2" t="s">
        <v>8905</v>
      </c>
      <c r="B4334" s="2" t="s">
        <v>8906</v>
      </c>
      <c r="C4334" s="2" t="n">
        <v>3</v>
      </c>
      <c r="D4334" s="2" t="s">
        <v>87</v>
      </c>
      <c r="E4334" s="2" t="s">
        <v>8083</v>
      </c>
      <c r="F4334" s="3" t="n">
        <v>46081.5638888889</v>
      </c>
      <c r="G4334" s="2" t="s">
        <v>8326</v>
      </c>
      <c r="H4334" s="4" t="n">
        <v>0</v>
      </c>
      <c r="I4334" s="2" t="s">
        <v>18</v>
      </c>
      <c r="J4334" s="2" t="s">
        <v>19</v>
      </c>
      <c r="K4334" s="2" t="n">
        <v>1</v>
      </c>
      <c r="L4334" s="2" t="n">
        <v>0</v>
      </c>
      <c r="M4334" s="2" t="n">
        <v>0</v>
      </c>
    </row>
    <row r="4335" customFormat="false" ht="15" hidden="false" customHeight="false" outlineLevel="0" collapsed="false">
      <c r="A4335" s="2" t="s">
        <v>8907</v>
      </c>
      <c r="B4335" s="2" t="s">
        <v>8908</v>
      </c>
      <c r="C4335" s="2" t="n">
        <v>4</v>
      </c>
      <c r="D4335" s="2" t="s">
        <v>90</v>
      </c>
      <c r="E4335" s="2" t="s">
        <v>8083</v>
      </c>
      <c r="F4335" s="3" t="n">
        <v>46081.6881944445</v>
      </c>
      <c r="G4335" s="2" t="s">
        <v>8326</v>
      </c>
      <c r="H4335" s="4" t="n">
        <v>0.6249</v>
      </c>
      <c r="I4335" s="2" t="s">
        <v>23</v>
      </c>
      <c r="J4335" s="2" t="s">
        <v>37</v>
      </c>
      <c r="K4335" s="2" t="n">
        <v>6</v>
      </c>
      <c r="L4335" s="2" t="n">
        <v>0</v>
      </c>
      <c r="M4335" s="2" t="n">
        <v>0</v>
      </c>
    </row>
    <row r="4336" customFormat="false" ht="15" hidden="false" customHeight="false" outlineLevel="0" collapsed="false">
      <c r="A4336" s="2" t="s">
        <v>8909</v>
      </c>
      <c r="B4336" s="2" t="s">
        <v>8910</v>
      </c>
      <c r="C4336" s="2" t="n">
        <v>4</v>
      </c>
      <c r="D4336" s="2" t="s">
        <v>52</v>
      </c>
      <c r="E4336" s="2" t="s">
        <v>8083</v>
      </c>
      <c r="F4336" s="3" t="n">
        <v>46081.8097222222</v>
      </c>
      <c r="G4336" s="2" t="s">
        <v>8326</v>
      </c>
      <c r="H4336" s="4" t="n">
        <v>0.6369</v>
      </c>
      <c r="I4336" s="2" t="s">
        <v>23</v>
      </c>
      <c r="J4336" s="2" t="s">
        <v>19</v>
      </c>
      <c r="K4336" s="2" t="n">
        <v>4</v>
      </c>
      <c r="L4336" s="2" t="n">
        <v>0</v>
      </c>
      <c r="M4336" s="2" t="n">
        <v>0</v>
      </c>
    </row>
    <row r="4337" customFormat="false" ht="15" hidden="false" customHeight="false" outlineLevel="0" collapsed="false">
      <c r="A4337" s="2" t="s">
        <v>8911</v>
      </c>
      <c r="B4337" s="2" t="s">
        <v>8912</v>
      </c>
      <c r="C4337" s="2" t="n">
        <v>5</v>
      </c>
      <c r="D4337" s="2" t="s">
        <v>674</v>
      </c>
      <c r="E4337" s="2" t="s">
        <v>8083</v>
      </c>
      <c r="F4337" s="3" t="n">
        <v>46081.9388888889</v>
      </c>
      <c r="G4337" s="2" t="s">
        <v>8326</v>
      </c>
      <c r="H4337" s="4" t="n">
        <v>0.9481</v>
      </c>
      <c r="I4337" s="2" t="s">
        <v>23</v>
      </c>
      <c r="J4337" s="2" t="s">
        <v>37</v>
      </c>
      <c r="K4337" s="2" t="n">
        <v>3</v>
      </c>
      <c r="L4337" s="2" t="n">
        <v>0</v>
      </c>
      <c r="M4337" s="2" t="n">
        <v>0</v>
      </c>
    </row>
    <row r="4338" customFormat="false" ht="15" hidden="false" customHeight="false" outlineLevel="0" collapsed="false">
      <c r="A4338" s="2" t="s">
        <v>8913</v>
      </c>
      <c r="B4338" s="2" t="s">
        <v>8914</v>
      </c>
      <c r="C4338" s="2" t="n">
        <v>4</v>
      </c>
      <c r="D4338" s="2" t="s">
        <v>15</v>
      </c>
      <c r="E4338" s="2" t="s">
        <v>8083</v>
      </c>
      <c r="F4338" s="3" t="n">
        <v>46081.9416666667</v>
      </c>
      <c r="G4338" s="2" t="s">
        <v>8326</v>
      </c>
      <c r="H4338" s="4" t="n">
        <v>0</v>
      </c>
      <c r="I4338" s="2" t="s">
        <v>18</v>
      </c>
      <c r="J4338" s="2" t="s">
        <v>19</v>
      </c>
      <c r="K4338" s="2" t="n">
        <v>7</v>
      </c>
      <c r="L4338" s="2" t="n">
        <v>0</v>
      </c>
      <c r="M4338" s="2" t="n">
        <v>0</v>
      </c>
    </row>
    <row r="4339" customFormat="false" ht="15" hidden="false" customHeight="false" outlineLevel="0" collapsed="false">
      <c r="A4339" s="2" t="s">
        <v>8915</v>
      </c>
      <c r="B4339" s="2" t="s">
        <v>8916</v>
      </c>
      <c r="C4339" s="2" t="n">
        <v>5</v>
      </c>
      <c r="D4339" s="2" t="s">
        <v>828</v>
      </c>
      <c r="E4339" s="2" t="s">
        <v>8083</v>
      </c>
      <c r="F4339" s="3" t="n">
        <v>46082.0729166667</v>
      </c>
      <c r="G4339" s="2" t="s">
        <v>8917</v>
      </c>
      <c r="H4339" s="4" t="n">
        <v>0.8519</v>
      </c>
      <c r="I4339" s="2" t="s">
        <v>23</v>
      </c>
      <c r="J4339" s="2" t="s">
        <v>37</v>
      </c>
      <c r="K4339" s="2" t="n">
        <v>4</v>
      </c>
      <c r="L4339" s="2" t="n">
        <v>1</v>
      </c>
      <c r="M4339" s="2" t="n">
        <v>0</v>
      </c>
    </row>
    <row r="4340" customFormat="false" ht="15" hidden="false" customHeight="false" outlineLevel="0" collapsed="false">
      <c r="A4340" s="2" t="s">
        <v>8918</v>
      </c>
      <c r="B4340" s="2" t="s">
        <v>8919</v>
      </c>
      <c r="C4340" s="2" t="n">
        <v>4</v>
      </c>
      <c r="D4340" s="2" t="s">
        <v>22</v>
      </c>
      <c r="E4340" s="2" t="s">
        <v>8083</v>
      </c>
      <c r="F4340" s="3" t="n">
        <v>46082.1451388889</v>
      </c>
      <c r="G4340" s="2" t="s">
        <v>8917</v>
      </c>
      <c r="H4340" s="4" t="n">
        <v>0.2023</v>
      </c>
      <c r="I4340" s="2" t="s">
        <v>23</v>
      </c>
      <c r="J4340" s="2" t="s">
        <v>19</v>
      </c>
      <c r="K4340" s="2" t="n">
        <v>4</v>
      </c>
      <c r="L4340" s="2" t="n">
        <v>0</v>
      </c>
      <c r="M4340" s="2" t="n">
        <v>0</v>
      </c>
    </row>
    <row r="4341" customFormat="false" ht="15" hidden="false" customHeight="false" outlineLevel="0" collapsed="false">
      <c r="A4341" s="2" t="s">
        <v>8920</v>
      </c>
      <c r="B4341" s="2" t="s">
        <v>8921</v>
      </c>
      <c r="C4341" s="2" t="n">
        <v>5</v>
      </c>
      <c r="D4341" s="2" t="s">
        <v>90</v>
      </c>
      <c r="E4341" s="2" t="s">
        <v>8083</v>
      </c>
      <c r="F4341" s="3" t="n">
        <v>46082.1861111111</v>
      </c>
      <c r="G4341" s="2" t="s">
        <v>8917</v>
      </c>
      <c r="H4341" s="4" t="n">
        <v>0.6249</v>
      </c>
      <c r="I4341" s="2" t="s">
        <v>23</v>
      </c>
      <c r="J4341" s="2" t="s">
        <v>37</v>
      </c>
      <c r="K4341" s="2" t="n">
        <v>2</v>
      </c>
      <c r="L4341" s="2" t="n">
        <v>0</v>
      </c>
      <c r="M4341" s="2" t="n">
        <v>0</v>
      </c>
    </row>
    <row r="4342" customFormat="false" ht="15" hidden="false" customHeight="false" outlineLevel="0" collapsed="false">
      <c r="A4342" s="2" t="s">
        <v>8922</v>
      </c>
      <c r="B4342" s="2" t="s">
        <v>8923</v>
      </c>
      <c r="C4342" s="2" t="n">
        <v>5</v>
      </c>
      <c r="D4342" s="2" t="s">
        <v>15</v>
      </c>
      <c r="E4342" s="2" t="s">
        <v>8083</v>
      </c>
      <c r="F4342" s="3" t="n">
        <v>46082.2243055556</v>
      </c>
      <c r="G4342" s="2" t="s">
        <v>8917</v>
      </c>
      <c r="H4342" s="4" t="n">
        <v>0</v>
      </c>
      <c r="I4342" s="2" t="s">
        <v>18</v>
      </c>
      <c r="J4342" s="2" t="s">
        <v>19</v>
      </c>
      <c r="K4342" s="2" t="n">
        <v>0</v>
      </c>
      <c r="L4342" s="2" t="n">
        <v>0</v>
      </c>
      <c r="M4342" s="2" t="n">
        <v>0</v>
      </c>
    </row>
    <row r="4343" customFormat="false" ht="15" hidden="false" customHeight="false" outlineLevel="0" collapsed="false">
      <c r="A4343" s="2" t="s">
        <v>8924</v>
      </c>
      <c r="B4343" s="2" t="s">
        <v>8925</v>
      </c>
      <c r="C4343" s="2" t="n">
        <v>5</v>
      </c>
      <c r="D4343" s="2" t="s">
        <v>47</v>
      </c>
      <c r="E4343" s="2" t="s">
        <v>8083</v>
      </c>
      <c r="F4343" s="3" t="n">
        <v>46082.2326388889</v>
      </c>
      <c r="G4343" s="2" t="s">
        <v>8917</v>
      </c>
      <c r="H4343" s="4" t="n">
        <v>0.3089</v>
      </c>
      <c r="I4343" s="2" t="s">
        <v>23</v>
      </c>
      <c r="J4343" s="2" t="s">
        <v>19</v>
      </c>
      <c r="K4343" s="2" t="n">
        <v>0</v>
      </c>
      <c r="L4343" s="2" t="n">
        <v>0</v>
      </c>
      <c r="M4343" s="2" t="n">
        <v>0</v>
      </c>
    </row>
    <row r="4344" customFormat="false" ht="15" hidden="false" customHeight="false" outlineLevel="0" collapsed="false">
      <c r="A4344" s="2" t="s">
        <v>8926</v>
      </c>
      <c r="B4344" s="2" t="s">
        <v>8927</v>
      </c>
      <c r="C4344" s="2" t="n">
        <v>5</v>
      </c>
      <c r="D4344" s="2" t="s">
        <v>2578</v>
      </c>
      <c r="E4344" s="2" t="s">
        <v>8083</v>
      </c>
      <c r="F4344" s="3" t="n">
        <v>46082.3340277778</v>
      </c>
      <c r="G4344" s="2" t="s">
        <v>8917</v>
      </c>
      <c r="H4344" s="4" t="n">
        <v>0.9626</v>
      </c>
      <c r="I4344" s="2" t="s">
        <v>23</v>
      </c>
      <c r="J4344" s="2" t="s">
        <v>37</v>
      </c>
      <c r="K4344" s="2" t="n">
        <v>3</v>
      </c>
      <c r="L4344" s="2" t="n">
        <v>0</v>
      </c>
      <c r="M4344" s="2" t="n">
        <v>0</v>
      </c>
    </row>
    <row r="4345" customFormat="false" ht="15" hidden="false" customHeight="false" outlineLevel="0" collapsed="false">
      <c r="A4345" s="2" t="s">
        <v>8928</v>
      </c>
      <c r="B4345" s="2" t="s">
        <v>8929</v>
      </c>
      <c r="C4345" s="2" t="n">
        <v>5</v>
      </c>
      <c r="D4345" s="2" t="s">
        <v>96</v>
      </c>
      <c r="E4345" s="2" t="s">
        <v>8083</v>
      </c>
      <c r="F4345" s="3" t="n">
        <v>46082.4347222222</v>
      </c>
      <c r="G4345" s="2" t="s">
        <v>8917</v>
      </c>
      <c r="H4345" s="4" t="n">
        <v>0.6369</v>
      </c>
      <c r="I4345" s="2" t="s">
        <v>23</v>
      </c>
      <c r="J4345" s="2" t="s">
        <v>19</v>
      </c>
      <c r="K4345" s="2" t="n">
        <v>1</v>
      </c>
      <c r="L4345" s="2" t="n">
        <v>0</v>
      </c>
      <c r="M4345" s="2" t="n">
        <v>0</v>
      </c>
    </row>
    <row r="4346" customFormat="false" ht="15" hidden="false" customHeight="false" outlineLevel="0" collapsed="false">
      <c r="A4346" s="2" t="s">
        <v>8930</v>
      </c>
      <c r="B4346" s="2" t="s">
        <v>8931</v>
      </c>
      <c r="C4346" s="2" t="n">
        <v>5</v>
      </c>
      <c r="D4346" s="2" t="s">
        <v>15</v>
      </c>
      <c r="E4346" s="2" t="s">
        <v>8083</v>
      </c>
      <c r="F4346" s="3" t="n">
        <v>46082.4618055556</v>
      </c>
      <c r="G4346" s="2" t="s">
        <v>8917</v>
      </c>
      <c r="H4346" s="4" t="n">
        <v>0</v>
      </c>
      <c r="I4346" s="2" t="s">
        <v>18</v>
      </c>
      <c r="J4346" s="2" t="s">
        <v>19</v>
      </c>
      <c r="K4346" s="2" t="n">
        <v>3</v>
      </c>
      <c r="L4346" s="2" t="n">
        <v>0</v>
      </c>
      <c r="M4346" s="2" t="n">
        <v>0</v>
      </c>
    </row>
    <row r="4347" customFormat="false" ht="15" hidden="false" customHeight="false" outlineLevel="0" collapsed="false">
      <c r="A4347" s="2" t="s">
        <v>8932</v>
      </c>
      <c r="B4347" s="2" t="s">
        <v>8933</v>
      </c>
      <c r="C4347" s="2" t="n">
        <v>4</v>
      </c>
      <c r="D4347" s="2" t="s">
        <v>40</v>
      </c>
      <c r="E4347" s="2" t="s">
        <v>8083</v>
      </c>
      <c r="F4347" s="3" t="n">
        <v>46082.5027777778</v>
      </c>
      <c r="G4347" s="2" t="s">
        <v>8917</v>
      </c>
      <c r="H4347" s="4" t="n">
        <v>0.4019</v>
      </c>
      <c r="I4347" s="2" t="s">
        <v>23</v>
      </c>
      <c r="J4347" s="2" t="s">
        <v>33</v>
      </c>
      <c r="K4347" s="2" t="n">
        <v>10</v>
      </c>
      <c r="L4347" s="2" t="n">
        <v>0</v>
      </c>
      <c r="M4347" s="2" t="n">
        <v>0</v>
      </c>
    </row>
    <row r="4348" customFormat="false" ht="15" hidden="false" customHeight="false" outlineLevel="0" collapsed="false">
      <c r="A4348" s="2" t="s">
        <v>8934</v>
      </c>
      <c r="B4348" s="2" t="s">
        <v>8935</v>
      </c>
      <c r="C4348" s="2" t="n">
        <v>4</v>
      </c>
      <c r="D4348" s="2" t="s">
        <v>301</v>
      </c>
      <c r="E4348" s="2" t="s">
        <v>8083</v>
      </c>
      <c r="F4348" s="3" t="n">
        <v>46082.6673611111</v>
      </c>
      <c r="G4348" s="2" t="s">
        <v>8917</v>
      </c>
      <c r="H4348" s="4" t="n">
        <v>0.2263</v>
      </c>
      <c r="I4348" s="2" t="s">
        <v>23</v>
      </c>
      <c r="J4348" s="2" t="s">
        <v>19</v>
      </c>
      <c r="K4348" s="2" t="n">
        <v>0</v>
      </c>
      <c r="L4348" s="2" t="n">
        <v>0</v>
      </c>
      <c r="M4348" s="2" t="n">
        <v>0</v>
      </c>
    </row>
    <row r="4349" customFormat="false" ht="15" hidden="false" customHeight="false" outlineLevel="0" collapsed="false">
      <c r="A4349" s="2" t="s">
        <v>8936</v>
      </c>
      <c r="B4349" s="2" t="s">
        <v>8937</v>
      </c>
      <c r="C4349" s="2" t="n">
        <v>1</v>
      </c>
      <c r="D4349" s="2" t="s">
        <v>8938</v>
      </c>
      <c r="E4349" s="2" t="s">
        <v>8083</v>
      </c>
      <c r="F4349" s="3" t="n">
        <v>46082.8472222222</v>
      </c>
      <c r="G4349" s="2" t="s">
        <v>8917</v>
      </c>
      <c r="H4349" s="4" t="n">
        <v>-0.3291</v>
      </c>
      <c r="I4349" s="2" t="s">
        <v>84</v>
      </c>
      <c r="J4349" s="2" t="s">
        <v>33</v>
      </c>
      <c r="K4349" s="2" t="n">
        <v>3</v>
      </c>
      <c r="L4349" s="2" t="n">
        <v>1</v>
      </c>
      <c r="M4349" s="2" t="n">
        <v>0</v>
      </c>
    </row>
    <row r="4350" customFormat="false" ht="15" hidden="false" customHeight="false" outlineLevel="0" collapsed="false">
      <c r="A4350" s="2" t="s">
        <v>8939</v>
      </c>
      <c r="B4350" s="2" t="s">
        <v>8940</v>
      </c>
      <c r="C4350" s="2" t="n">
        <v>3</v>
      </c>
      <c r="D4350" s="2" t="s">
        <v>32</v>
      </c>
      <c r="E4350" s="2" t="s">
        <v>8083</v>
      </c>
      <c r="F4350" s="3" t="n">
        <v>46083.0333333333</v>
      </c>
      <c r="G4350" s="2" t="s">
        <v>8917</v>
      </c>
      <c r="H4350" s="4" t="n">
        <v>0.2023</v>
      </c>
      <c r="I4350" s="2" t="s">
        <v>23</v>
      </c>
      <c r="J4350" s="2" t="s">
        <v>33</v>
      </c>
      <c r="K4350" s="2" t="n">
        <v>0</v>
      </c>
      <c r="L4350" s="2" t="n">
        <v>0</v>
      </c>
      <c r="M4350" s="2" t="n">
        <v>0</v>
      </c>
    </row>
    <row r="4351" customFormat="false" ht="15" hidden="false" customHeight="false" outlineLevel="0" collapsed="false">
      <c r="A4351" s="2" t="s">
        <v>8941</v>
      </c>
      <c r="B4351" s="2" t="s">
        <v>8942</v>
      </c>
      <c r="C4351" s="2" t="n">
        <v>5</v>
      </c>
      <c r="D4351" s="2" t="s">
        <v>127</v>
      </c>
      <c r="E4351" s="2" t="s">
        <v>8083</v>
      </c>
      <c r="F4351" s="3" t="n">
        <v>46083.125</v>
      </c>
      <c r="G4351" s="2" t="s">
        <v>8917</v>
      </c>
      <c r="H4351" s="4" t="n">
        <v>0.9359</v>
      </c>
      <c r="I4351" s="2" t="s">
        <v>23</v>
      </c>
      <c r="J4351" s="2" t="s">
        <v>37</v>
      </c>
      <c r="K4351" s="2" t="n">
        <v>3</v>
      </c>
      <c r="L4351" s="2" t="n">
        <v>0</v>
      </c>
      <c r="M4351" s="2" t="n">
        <v>0</v>
      </c>
    </row>
    <row r="4352" customFormat="false" ht="15" hidden="false" customHeight="false" outlineLevel="0" collapsed="false">
      <c r="A4352" s="2" t="s">
        <v>8943</v>
      </c>
      <c r="B4352" s="2" t="s">
        <v>8944</v>
      </c>
      <c r="C4352" s="2" t="n">
        <v>4</v>
      </c>
      <c r="D4352" s="2" t="s">
        <v>121</v>
      </c>
      <c r="E4352" s="2" t="s">
        <v>8083</v>
      </c>
      <c r="F4352" s="3" t="n">
        <v>46083.1652777778</v>
      </c>
      <c r="G4352" s="2" t="s">
        <v>8917</v>
      </c>
      <c r="H4352" s="4" t="n">
        <v>0.607</v>
      </c>
      <c r="I4352" s="2" t="s">
        <v>23</v>
      </c>
      <c r="J4352" s="2" t="s">
        <v>33</v>
      </c>
      <c r="K4352" s="2" t="n">
        <v>2</v>
      </c>
      <c r="L4352" s="2" t="n">
        <v>0</v>
      </c>
      <c r="M4352" s="2" t="n">
        <v>0</v>
      </c>
    </row>
    <row r="4353" customFormat="false" ht="15" hidden="false" customHeight="false" outlineLevel="0" collapsed="false">
      <c r="A4353" s="2" t="s">
        <v>8945</v>
      </c>
      <c r="B4353" s="2" t="s">
        <v>8946</v>
      </c>
      <c r="C4353" s="2" t="n">
        <v>3</v>
      </c>
      <c r="D4353" s="2" t="s">
        <v>1605</v>
      </c>
      <c r="E4353" s="2" t="s">
        <v>8083</v>
      </c>
      <c r="F4353" s="3" t="n">
        <v>46083.3451388889</v>
      </c>
      <c r="G4353" s="2" t="s">
        <v>8917</v>
      </c>
      <c r="H4353" s="4" t="n">
        <v>-0.5448</v>
      </c>
      <c r="I4353" s="2" t="s">
        <v>84</v>
      </c>
      <c r="J4353" s="2" t="s">
        <v>19</v>
      </c>
      <c r="K4353" s="2" t="n">
        <v>3</v>
      </c>
      <c r="L4353" s="2" t="n">
        <v>0</v>
      </c>
      <c r="M4353" s="2" t="n">
        <v>0</v>
      </c>
    </row>
    <row r="4354" customFormat="false" ht="15" hidden="false" customHeight="false" outlineLevel="0" collapsed="false">
      <c r="A4354" s="2" t="s">
        <v>8947</v>
      </c>
      <c r="B4354" s="2" t="s">
        <v>8948</v>
      </c>
      <c r="C4354" s="2" t="n">
        <v>5</v>
      </c>
      <c r="D4354" s="2" t="s">
        <v>2587</v>
      </c>
      <c r="E4354" s="2" t="s">
        <v>8083</v>
      </c>
      <c r="F4354" s="3" t="n">
        <v>46083.3520833333</v>
      </c>
      <c r="G4354" s="2" t="s">
        <v>8917</v>
      </c>
      <c r="H4354" s="4" t="n">
        <v>0.9828</v>
      </c>
      <c r="I4354" s="2" t="s">
        <v>23</v>
      </c>
      <c r="J4354" s="2" t="s">
        <v>37</v>
      </c>
      <c r="K4354" s="2" t="n">
        <v>1</v>
      </c>
      <c r="L4354" s="2" t="n">
        <v>0</v>
      </c>
      <c r="M4354" s="2" t="n">
        <v>0</v>
      </c>
    </row>
    <row r="4355" customFormat="false" ht="15" hidden="false" customHeight="false" outlineLevel="0" collapsed="false">
      <c r="A4355" s="2" t="s">
        <v>8949</v>
      </c>
      <c r="B4355" s="2" t="s">
        <v>8950</v>
      </c>
      <c r="C4355" s="2" t="n">
        <v>1</v>
      </c>
      <c r="D4355" s="2" t="s">
        <v>397</v>
      </c>
      <c r="E4355" s="2" t="s">
        <v>8083</v>
      </c>
      <c r="F4355" s="3" t="n">
        <v>46083.5041666667</v>
      </c>
      <c r="G4355" s="2" t="s">
        <v>8917</v>
      </c>
      <c r="H4355" s="4" t="n">
        <v>0</v>
      </c>
      <c r="I4355" s="2" t="s">
        <v>18</v>
      </c>
      <c r="J4355" s="2" t="s">
        <v>110</v>
      </c>
      <c r="K4355" s="2" t="n">
        <v>1</v>
      </c>
      <c r="L4355" s="2" t="n">
        <v>0</v>
      </c>
      <c r="M4355" s="2" t="n">
        <v>0</v>
      </c>
    </row>
    <row r="4356" customFormat="false" ht="15" hidden="false" customHeight="false" outlineLevel="0" collapsed="false">
      <c r="A4356" s="2" t="s">
        <v>8951</v>
      </c>
      <c r="B4356" s="2" t="s">
        <v>8952</v>
      </c>
      <c r="C4356" s="2" t="n">
        <v>4</v>
      </c>
      <c r="D4356" s="2" t="s">
        <v>90</v>
      </c>
      <c r="E4356" s="2" t="s">
        <v>8083</v>
      </c>
      <c r="F4356" s="3" t="n">
        <v>46083.6909722222</v>
      </c>
      <c r="G4356" s="2" t="s">
        <v>8917</v>
      </c>
      <c r="H4356" s="4" t="n">
        <v>0.6249</v>
      </c>
      <c r="I4356" s="2" t="s">
        <v>23</v>
      </c>
      <c r="J4356" s="2" t="s">
        <v>37</v>
      </c>
      <c r="K4356" s="2" t="n">
        <v>8</v>
      </c>
      <c r="L4356" s="2" t="n">
        <v>0</v>
      </c>
      <c r="M4356" s="2" t="n">
        <v>0</v>
      </c>
    </row>
    <row r="4357" customFormat="false" ht="15" hidden="false" customHeight="false" outlineLevel="0" collapsed="false">
      <c r="A4357" s="2" t="s">
        <v>8953</v>
      </c>
      <c r="B4357" s="2" t="s">
        <v>8954</v>
      </c>
      <c r="C4357" s="2" t="n">
        <v>5</v>
      </c>
      <c r="D4357" s="2" t="s">
        <v>62</v>
      </c>
      <c r="E4357" s="2" t="s">
        <v>8083</v>
      </c>
      <c r="F4357" s="3" t="n">
        <v>46083.6930555556</v>
      </c>
      <c r="G4357" s="2" t="s">
        <v>8917</v>
      </c>
      <c r="H4357" s="4" t="n">
        <v>0.7088</v>
      </c>
      <c r="I4357" s="2" t="s">
        <v>23</v>
      </c>
      <c r="J4357" s="2" t="s">
        <v>19</v>
      </c>
      <c r="K4357" s="2" t="n">
        <v>21</v>
      </c>
      <c r="L4357" s="2" t="n">
        <v>0</v>
      </c>
      <c r="M4357" s="2" t="n">
        <v>0</v>
      </c>
    </row>
    <row r="4358" customFormat="false" ht="15" hidden="false" customHeight="false" outlineLevel="0" collapsed="false">
      <c r="A4358" s="2" t="s">
        <v>8955</v>
      </c>
      <c r="B4358" s="2" t="s">
        <v>8956</v>
      </c>
      <c r="C4358" s="2" t="n">
        <v>5</v>
      </c>
      <c r="D4358" s="2" t="s">
        <v>47</v>
      </c>
      <c r="E4358" s="2" t="s">
        <v>8083</v>
      </c>
      <c r="F4358" s="3" t="n">
        <v>46083.6958333333</v>
      </c>
      <c r="G4358" s="2" t="s">
        <v>8917</v>
      </c>
      <c r="H4358" s="4" t="n">
        <v>0.3089</v>
      </c>
      <c r="I4358" s="2" t="s">
        <v>23</v>
      </c>
      <c r="J4358" s="2" t="s">
        <v>19</v>
      </c>
      <c r="K4358" s="2" t="n">
        <v>1</v>
      </c>
      <c r="L4358" s="2" t="n">
        <v>0</v>
      </c>
      <c r="M4358" s="2" t="n">
        <v>0</v>
      </c>
    </row>
    <row r="4359" customFormat="false" ht="15" hidden="false" customHeight="false" outlineLevel="0" collapsed="false">
      <c r="A4359" s="2" t="s">
        <v>8957</v>
      </c>
      <c r="B4359" s="2" t="s">
        <v>8958</v>
      </c>
      <c r="C4359" s="2" t="n">
        <v>5</v>
      </c>
      <c r="D4359" s="2" t="s">
        <v>127</v>
      </c>
      <c r="E4359" s="2" t="s">
        <v>8083</v>
      </c>
      <c r="F4359" s="3" t="n">
        <v>46083.7006944444</v>
      </c>
      <c r="G4359" s="2" t="s">
        <v>8917</v>
      </c>
      <c r="H4359" s="4" t="n">
        <v>0.9359</v>
      </c>
      <c r="I4359" s="2" t="s">
        <v>23</v>
      </c>
      <c r="J4359" s="2" t="s">
        <v>37</v>
      </c>
      <c r="K4359" s="2" t="n">
        <v>4</v>
      </c>
      <c r="L4359" s="2" t="n">
        <v>0</v>
      </c>
      <c r="M4359" s="2" t="n">
        <v>0</v>
      </c>
    </row>
    <row r="4360" customFormat="false" ht="15" hidden="false" customHeight="false" outlineLevel="0" collapsed="false">
      <c r="A4360" s="2" t="s">
        <v>8959</v>
      </c>
      <c r="B4360" s="2" t="s">
        <v>8960</v>
      </c>
      <c r="C4360" s="2" t="n">
        <v>5</v>
      </c>
      <c r="D4360" s="2" t="s">
        <v>90</v>
      </c>
      <c r="E4360" s="2" t="s">
        <v>8083</v>
      </c>
      <c r="F4360" s="3" t="n">
        <v>46083.7236111111</v>
      </c>
      <c r="G4360" s="2" t="s">
        <v>8917</v>
      </c>
      <c r="H4360" s="4" t="n">
        <v>0.6249</v>
      </c>
      <c r="I4360" s="2" t="s">
        <v>23</v>
      </c>
      <c r="J4360" s="2" t="s">
        <v>37</v>
      </c>
      <c r="K4360" s="2" t="n">
        <v>1</v>
      </c>
      <c r="L4360" s="2" t="n">
        <v>0</v>
      </c>
      <c r="M4360" s="2" t="n">
        <v>0</v>
      </c>
    </row>
    <row r="4361" customFormat="false" ht="15" hidden="false" customHeight="false" outlineLevel="0" collapsed="false">
      <c r="A4361" s="2" t="s">
        <v>8961</v>
      </c>
      <c r="B4361" s="2" t="s">
        <v>8962</v>
      </c>
      <c r="C4361" s="2" t="n">
        <v>5</v>
      </c>
      <c r="D4361" s="2" t="s">
        <v>62</v>
      </c>
      <c r="E4361" s="2" t="s">
        <v>8083</v>
      </c>
      <c r="F4361" s="3" t="n">
        <v>46084.1368055556</v>
      </c>
      <c r="G4361" s="2" t="s">
        <v>8917</v>
      </c>
      <c r="H4361" s="4" t="n">
        <v>0.7088</v>
      </c>
      <c r="I4361" s="2" t="s">
        <v>23</v>
      </c>
      <c r="J4361" s="2" t="s">
        <v>19</v>
      </c>
      <c r="K4361" s="2" t="n">
        <v>2</v>
      </c>
      <c r="L4361" s="2" t="n">
        <v>0</v>
      </c>
      <c r="M4361" s="2" t="n">
        <v>0</v>
      </c>
    </row>
    <row r="4362" customFormat="false" ht="15" hidden="false" customHeight="false" outlineLevel="0" collapsed="false">
      <c r="A4362" s="2" t="s">
        <v>8963</v>
      </c>
      <c r="B4362" s="2" t="s">
        <v>8964</v>
      </c>
      <c r="C4362" s="2" t="n">
        <v>4</v>
      </c>
      <c r="D4362" s="2" t="s">
        <v>90</v>
      </c>
      <c r="E4362" s="2" t="s">
        <v>8083</v>
      </c>
      <c r="F4362" s="3" t="n">
        <v>46084.1472222222</v>
      </c>
      <c r="G4362" s="2" t="s">
        <v>8917</v>
      </c>
      <c r="H4362" s="4" t="n">
        <v>0.6249</v>
      </c>
      <c r="I4362" s="2" t="s">
        <v>23</v>
      </c>
      <c r="J4362" s="2" t="s">
        <v>37</v>
      </c>
      <c r="K4362" s="2" t="n">
        <v>1</v>
      </c>
      <c r="L4362" s="2" t="n">
        <v>0</v>
      </c>
      <c r="M4362" s="2" t="n">
        <v>0</v>
      </c>
    </row>
    <row r="4363" customFormat="false" ht="15" hidden="false" customHeight="false" outlineLevel="0" collapsed="false">
      <c r="A4363" s="2" t="s">
        <v>8965</v>
      </c>
      <c r="B4363" s="2" t="s">
        <v>8966</v>
      </c>
      <c r="C4363" s="2" t="n">
        <v>2</v>
      </c>
      <c r="D4363" s="2" t="s">
        <v>295</v>
      </c>
      <c r="E4363" s="2" t="s">
        <v>8083</v>
      </c>
      <c r="F4363" s="3" t="n">
        <v>46084.225</v>
      </c>
      <c r="G4363" s="2" t="s">
        <v>8917</v>
      </c>
      <c r="H4363" s="4" t="n">
        <v>-0.5023</v>
      </c>
      <c r="I4363" s="2" t="s">
        <v>84</v>
      </c>
      <c r="J4363" s="2" t="s">
        <v>33</v>
      </c>
      <c r="K4363" s="2" t="n">
        <v>6</v>
      </c>
      <c r="L4363" s="2" t="n">
        <v>1</v>
      </c>
      <c r="M4363" s="2" t="n">
        <v>0</v>
      </c>
    </row>
    <row r="4364" customFormat="false" ht="15" hidden="false" customHeight="false" outlineLevel="0" collapsed="false">
      <c r="A4364" s="2" t="s">
        <v>8967</v>
      </c>
      <c r="B4364" s="2" t="s">
        <v>1644</v>
      </c>
      <c r="C4364" s="2" t="n">
        <v>4</v>
      </c>
      <c r="D4364" s="2" t="s">
        <v>875</v>
      </c>
      <c r="E4364" s="2" t="s">
        <v>8083</v>
      </c>
      <c r="F4364" s="3" t="n">
        <v>46084.2555555556</v>
      </c>
      <c r="G4364" s="2" t="s">
        <v>8917</v>
      </c>
      <c r="H4364" s="4" t="n">
        <v>0.7992</v>
      </c>
      <c r="I4364" s="2" t="s">
        <v>23</v>
      </c>
      <c r="J4364" s="2" t="s">
        <v>19</v>
      </c>
      <c r="K4364" s="2" t="n">
        <v>2</v>
      </c>
      <c r="L4364" s="2" t="n">
        <v>0</v>
      </c>
      <c r="M4364" s="2" t="n">
        <v>0</v>
      </c>
    </row>
    <row r="4365" customFormat="false" ht="15" hidden="false" customHeight="false" outlineLevel="0" collapsed="false">
      <c r="A4365" s="2" t="s">
        <v>8968</v>
      </c>
      <c r="B4365" s="2" t="s">
        <v>8969</v>
      </c>
      <c r="C4365" s="2" t="n">
        <v>3</v>
      </c>
      <c r="D4365" s="2" t="s">
        <v>22</v>
      </c>
      <c r="E4365" s="2" t="s">
        <v>8083</v>
      </c>
      <c r="F4365" s="3" t="n">
        <v>46084.3576388889</v>
      </c>
      <c r="G4365" s="2" t="s">
        <v>8917</v>
      </c>
      <c r="H4365" s="4" t="n">
        <v>0.2023</v>
      </c>
      <c r="I4365" s="2" t="s">
        <v>23</v>
      </c>
      <c r="J4365" s="2" t="s">
        <v>19</v>
      </c>
      <c r="K4365" s="2" t="n">
        <v>2</v>
      </c>
      <c r="L4365" s="2" t="n">
        <v>0</v>
      </c>
      <c r="M4365" s="2" t="n">
        <v>0</v>
      </c>
    </row>
    <row r="4366" customFormat="false" ht="15" hidden="false" customHeight="false" outlineLevel="0" collapsed="false">
      <c r="A4366" s="2" t="s">
        <v>8970</v>
      </c>
      <c r="B4366" s="2" t="s">
        <v>8971</v>
      </c>
      <c r="C4366" s="2" t="n">
        <v>3</v>
      </c>
      <c r="D4366" s="2" t="s">
        <v>36</v>
      </c>
      <c r="E4366" s="2" t="s">
        <v>8083</v>
      </c>
      <c r="F4366" s="3" t="n">
        <v>46084.3666666667</v>
      </c>
      <c r="G4366" s="2" t="s">
        <v>8917</v>
      </c>
      <c r="H4366" s="4" t="n">
        <v>0.4404</v>
      </c>
      <c r="I4366" s="2" t="s">
        <v>23</v>
      </c>
      <c r="J4366" s="2" t="s">
        <v>37</v>
      </c>
      <c r="K4366" s="2" t="n">
        <v>0</v>
      </c>
      <c r="L4366" s="2" t="n">
        <v>0</v>
      </c>
      <c r="M4366" s="2" t="n">
        <v>0</v>
      </c>
    </row>
    <row r="4367" customFormat="false" ht="15" hidden="false" customHeight="false" outlineLevel="0" collapsed="false">
      <c r="A4367" s="2" t="s">
        <v>8972</v>
      </c>
      <c r="B4367" s="2" t="s">
        <v>8973</v>
      </c>
      <c r="C4367" s="2" t="n">
        <v>3</v>
      </c>
      <c r="D4367" s="2" t="s">
        <v>36</v>
      </c>
      <c r="E4367" s="2" t="s">
        <v>8083</v>
      </c>
      <c r="F4367" s="3" t="n">
        <v>46084.4888888889</v>
      </c>
      <c r="G4367" s="2" t="s">
        <v>8917</v>
      </c>
      <c r="H4367" s="4" t="n">
        <v>0.4404</v>
      </c>
      <c r="I4367" s="2" t="s">
        <v>23</v>
      </c>
      <c r="J4367" s="2" t="s">
        <v>37</v>
      </c>
      <c r="K4367" s="2" t="n">
        <v>2</v>
      </c>
      <c r="L4367" s="2" t="n">
        <v>0</v>
      </c>
      <c r="M4367" s="2" t="n">
        <v>0</v>
      </c>
    </row>
    <row r="4368" customFormat="false" ht="15" hidden="false" customHeight="false" outlineLevel="0" collapsed="false">
      <c r="A4368" s="2" t="s">
        <v>8974</v>
      </c>
      <c r="B4368" s="2" t="s">
        <v>8975</v>
      </c>
      <c r="C4368" s="2" t="n">
        <v>1</v>
      </c>
      <c r="D4368" s="2" t="s">
        <v>823</v>
      </c>
      <c r="E4368" s="2" t="s">
        <v>8083</v>
      </c>
      <c r="F4368" s="3" t="n">
        <v>46084.6229166667</v>
      </c>
      <c r="G4368" s="2" t="s">
        <v>8917</v>
      </c>
      <c r="H4368" s="4" t="n">
        <v>-0.6997</v>
      </c>
      <c r="I4368" s="2" t="s">
        <v>84</v>
      </c>
      <c r="J4368" s="2" t="s">
        <v>19</v>
      </c>
      <c r="K4368" s="2" t="n">
        <v>2</v>
      </c>
      <c r="L4368" s="2" t="n">
        <v>0</v>
      </c>
      <c r="M4368" s="2" t="n">
        <v>0</v>
      </c>
    </row>
    <row r="4369" customFormat="false" ht="15" hidden="false" customHeight="false" outlineLevel="0" collapsed="false">
      <c r="A4369" s="2" t="s">
        <v>8976</v>
      </c>
      <c r="B4369" s="2" t="s">
        <v>8977</v>
      </c>
      <c r="C4369" s="2" t="n">
        <v>5</v>
      </c>
      <c r="D4369" s="2" t="s">
        <v>269</v>
      </c>
      <c r="E4369" s="2" t="s">
        <v>8083</v>
      </c>
      <c r="F4369" s="3" t="n">
        <v>46084.6722222222</v>
      </c>
      <c r="G4369" s="2" t="s">
        <v>8917</v>
      </c>
      <c r="H4369" s="4" t="n">
        <v>0.8748</v>
      </c>
      <c r="I4369" s="2" t="s">
        <v>23</v>
      </c>
      <c r="J4369" s="2" t="s">
        <v>37</v>
      </c>
      <c r="K4369" s="2" t="n">
        <v>1</v>
      </c>
      <c r="L4369" s="2" t="n">
        <v>0</v>
      </c>
      <c r="M4369" s="2" t="n">
        <v>0</v>
      </c>
    </row>
    <row r="4370" customFormat="false" ht="15" hidden="false" customHeight="false" outlineLevel="0" collapsed="false">
      <c r="A4370" s="2" t="s">
        <v>8978</v>
      </c>
      <c r="B4370" s="2" t="s">
        <v>8979</v>
      </c>
      <c r="C4370" s="2" t="n">
        <v>4</v>
      </c>
      <c r="D4370" s="2" t="s">
        <v>8980</v>
      </c>
      <c r="E4370" s="2" t="s">
        <v>8083</v>
      </c>
      <c r="F4370" s="3" t="n">
        <v>46084.71875</v>
      </c>
      <c r="G4370" s="2" t="s">
        <v>8917</v>
      </c>
      <c r="H4370" s="4" t="n">
        <v>0.6369</v>
      </c>
      <c r="I4370" s="2" t="s">
        <v>23</v>
      </c>
      <c r="J4370" s="2" t="s">
        <v>19</v>
      </c>
      <c r="K4370" s="2" t="n">
        <v>1</v>
      </c>
      <c r="L4370" s="2" t="n">
        <v>0</v>
      </c>
      <c r="M4370" s="2" t="n">
        <v>0</v>
      </c>
    </row>
    <row r="4371" customFormat="false" ht="15" hidden="false" customHeight="false" outlineLevel="0" collapsed="false">
      <c r="A4371" s="2" t="s">
        <v>8981</v>
      </c>
      <c r="B4371" s="2" t="s">
        <v>8982</v>
      </c>
      <c r="C4371" s="2" t="n">
        <v>2</v>
      </c>
      <c r="D4371" s="2" t="s">
        <v>4089</v>
      </c>
      <c r="E4371" s="2" t="s">
        <v>8083</v>
      </c>
      <c r="F4371" s="3" t="n">
        <v>46084.7395833333</v>
      </c>
      <c r="G4371" s="2" t="s">
        <v>8917</v>
      </c>
      <c r="H4371" s="4" t="n">
        <v>0.2263</v>
      </c>
      <c r="I4371" s="2" t="s">
        <v>23</v>
      </c>
      <c r="J4371" s="2" t="s">
        <v>59</v>
      </c>
      <c r="K4371" s="2" t="n">
        <v>6</v>
      </c>
      <c r="L4371" s="2" t="n">
        <v>0</v>
      </c>
      <c r="M4371" s="2" t="n">
        <v>0</v>
      </c>
    </row>
    <row r="4372" customFormat="false" ht="15" hidden="false" customHeight="false" outlineLevel="0" collapsed="false">
      <c r="A4372" s="2" t="s">
        <v>8983</v>
      </c>
      <c r="B4372" s="2" t="s">
        <v>8984</v>
      </c>
      <c r="C4372" s="2" t="n">
        <v>5</v>
      </c>
      <c r="D4372" s="2" t="s">
        <v>96</v>
      </c>
      <c r="E4372" s="2" t="s">
        <v>8083</v>
      </c>
      <c r="F4372" s="3" t="n">
        <v>46084.7625</v>
      </c>
      <c r="G4372" s="2" t="s">
        <v>8917</v>
      </c>
      <c r="H4372" s="4" t="n">
        <v>0.6369</v>
      </c>
      <c r="I4372" s="2" t="s">
        <v>23</v>
      </c>
      <c r="J4372" s="2" t="s">
        <v>19</v>
      </c>
      <c r="K4372" s="2" t="n">
        <v>0</v>
      </c>
      <c r="L4372" s="2" t="n">
        <v>0</v>
      </c>
      <c r="M4372" s="2" t="n">
        <v>0</v>
      </c>
    </row>
    <row r="4373" customFormat="false" ht="15" hidden="false" customHeight="false" outlineLevel="0" collapsed="false">
      <c r="A4373" s="2" t="s">
        <v>8985</v>
      </c>
      <c r="B4373" s="2" t="s">
        <v>8986</v>
      </c>
      <c r="C4373" s="2" t="n">
        <v>3</v>
      </c>
      <c r="D4373" s="2" t="s">
        <v>58</v>
      </c>
      <c r="E4373" s="2" t="s">
        <v>8083</v>
      </c>
      <c r="F4373" s="3" t="n">
        <v>46084.7868055556</v>
      </c>
      <c r="G4373" s="2" t="s">
        <v>8917</v>
      </c>
      <c r="H4373" s="4" t="n">
        <v>0</v>
      </c>
      <c r="I4373" s="2" t="s">
        <v>18</v>
      </c>
      <c r="J4373" s="2" t="s">
        <v>59</v>
      </c>
      <c r="K4373" s="2" t="n">
        <v>3</v>
      </c>
      <c r="L4373" s="2" t="n">
        <v>0</v>
      </c>
      <c r="M4373" s="2" t="n">
        <v>0</v>
      </c>
    </row>
    <row r="4374" customFormat="false" ht="15" hidden="false" customHeight="false" outlineLevel="0" collapsed="false">
      <c r="A4374" s="2" t="s">
        <v>8987</v>
      </c>
      <c r="B4374" s="2" t="s">
        <v>8988</v>
      </c>
      <c r="C4374" s="2" t="n">
        <v>5</v>
      </c>
      <c r="D4374" s="2" t="s">
        <v>96</v>
      </c>
      <c r="E4374" s="2" t="s">
        <v>8083</v>
      </c>
      <c r="F4374" s="3" t="n">
        <v>46084.9777777778</v>
      </c>
      <c r="G4374" s="2" t="s">
        <v>8917</v>
      </c>
      <c r="H4374" s="4" t="n">
        <v>0.6369</v>
      </c>
      <c r="I4374" s="2" t="s">
        <v>23</v>
      </c>
      <c r="J4374" s="2" t="s">
        <v>19</v>
      </c>
      <c r="K4374" s="2" t="n">
        <v>3</v>
      </c>
      <c r="L4374" s="2" t="n">
        <v>0</v>
      </c>
      <c r="M4374" s="2" t="n">
        <v>0</v>
      </c>
    </row>
    <row r="4375" customFormat="false" ht="15" hidden="false" customHeight="false" outlineLevel="0" collapsed="false">
      <c r="A4375" s="2" t="s">
        <v>8989</v>
      </c>
      <c r="B4375" s="2" t="s">
        <v>8990</v>
      </c>
      <c r="C4375" s="2" t="n">
        <v>1</v>
      </c>
      <c r="D4375" s="2" t="s">
        <v>357</v>
      </c>
      <c r="E4375" s="2" t="s">
        <v>8083</v>
      </c>
      <c r="F4375" s="3" t="n">
        <v>46085.0069444445</v>
      </c>
      <c r="G4375" s="2" t="s">
        <v>8917</v>
      </c>
      <c r="H4375" s="4" t="n">
        <v>0</v>
      </c>
      <c r="I4375" s="2" t="s">
        <v>18</v>
      </c>
      <c r="J4375" s="2" t="s">
        <v>165</v>
      </c>
      <c r="K4375" s="2" t="n">
        <v>4</v>
      </c>
      <c r="L4375" s="2" t="n">
        <v>1</v>
      </c>
      <c r="M4375" s="2" t="n">
        <v>0</v>
      </c>
    </row>
    <row r="4376" customFormat="false" ht="15" hidden="false" customHeight="false" outlineLevel="0" collapsed="false">
      <c r="A4376" s="2" t="s">
        <v>8991</v>
      </c>
      <c r="B4376" s="2" t="s">
        <v>8992</v>
      </c>
      <c r="C4376" s="2" t="n">
        <v>5</v>
      </c>
      <c r="D4376" s="2" t="s">
        <v>52</v>
      </c>
      <c r="E4376" s="2" t="s">
        <v>8083</v>
      </c>
      <c r="F4376" s="3" t="n">
        <v>46085.05</v>
      </c>
      <c r="G4376" s="2" t="s">
        <v>8917</v>
      </c>
      <c r="H4376" s="4" t="n">
        <v>0.6369</v>
      </c>
      <c r="I4376" s="2" t="s">
        <v>23</v>
      </c>
      <c r="J4376" s="2" t="s">
        <v>19</v>
      </c>
      <c r="K4376" s="2" t="n">
        <v>2</v>
      </c>
      <c r="L4376" s="2" t="n">
        <v>0</v>
      </c>
      <c r="M4376" s="2" t="n">
        <v>0</v>
      </c>
    </row>
    <row r="4377" customFormat="false" ht="15" hidden="false" customHeight="false" outlineLevel="0" collapsed="false">
      <c r="A4377" s="2" t="s">
        <v>8993</v>
      </c>
      <c r="B4377" s="2" t="s">
        <v>8994</v>
      </c>
      <c r="C4377" s="2" t="n">
        <v>1</v>
      </c>
      <c r="D4377" s="2" t="s">
        <v>357</v>
      </c>
      <c r="E4377" s="2" t="s">
        <v>8083</v>
      </c>
      <c r="F4377" s="3" t="n">
        <v>46085.1958333333</v>
      </c>
      <c r="G4377" s="2" t="s">
        <v>8917</v>
      </c>
      <c r="H4377" s="4" t="n">
        <v>0</v>
      </c>
      <c r="I4377" s="2" t="s">
        <v>18</v>
      </c>
      <c r="J4377" s="2" t="s">
        <v>165</v>
      </c>
      <c r="K4377" s="2" t="n">
        <v>6</v>
      </c>
      <c r="L4377" s="2" t="n">
        <v>1</v>
      </c>
      <c r="M4377" s="2" t="n">
        <v>0</v>
      </c>
    </row>
    <row r="4378" customFormat="false" ht="15" hidden="false" customHeight="false" outlineLevel="0" collapsed="false">
      <c r="A4378" s="2" t="s">
        <v>8995</v>
      </c>
      <c r="B4378" s="2" t="s">
        <v>8996</v>
      </c>
      <c r="C4378" s="2" t="n">
        <v>5</v>
      </c>
      <c r="D4378" s="2" t="s">
        <v>40</v>
      </c>
      <c r="E4378" s="2" t="s">
        <v>8083</v>
      </c>
      <c r="F4378" s="3" t="n">
        <v>46085.2458333333</v>
      </c>
      <c r="G4378" s="2" t="s">
        <v>8917</v>
      </c>
      <c r="H4378" s="4" t="n">
        <v>0.4019</v>
      </c>
      <c r="I4378" s="2" t="s">
        <v>23</v>
      </c>
      <c r="J4378" s="2" t="s">
        <v>33</v>
      </c>
      <c r="K4378" s="2" t="n">
        <v>1</v>
      </c>
      <c r="L4378" s="2" t="n">
        <v>0</v>
      </c>
      <c r="M4378" s="2" t="n">
        <v>0</v>
      </c>
    </row>
    <row r="4379" customFormat="false" ht="15" hidden="false" customHeight="false" outlineLevel="0" collapsed="false">
      <c r="A4379" s="2" t="s">
        <v>8997</v>
      </c>
      <c r="B4379" s="2" t="s">
        <v>8998</v>
      </c>
      <c r="C4379" s="2" t="n">
        <v>5</v>
      </c>
      <c r="D4379" s="2" t="s">
        <v>127</v>
      </c>
      <c r="E4379" s="2" t="s">
        <v>8083</v>
      </c>
      <c r="F4379" s="3" t="n">
        <v>46085.3048611111</v>
      </c>
      <c r="G4379" s="2" t="s">
        <v>8917</v>
      </c>
      <c r="H4379" s="4" t="n">
        <v>0.9359</v>
      </c>
      <c r="I4379" s="2" t="s">
        <v>23</v>
      </c>
      <c r="J4379" s="2" t="s">
        <v>37</v>
      </c>
      <c r="K4379" s="2" t="n">
        <v>4</v>
      </c>
      <c r="L4379" s="2" t="n">
        <v>0</v>
      </c>
      <c r="M4379" s="2" t="n">
        <v>0</v>
      </c>
    </row>
    <row r="4380" customFormat="false" ht="15" hidden="false" customHeight="false" outlineLevel="0" collapsed="false">
      <c r="A4380" s="2" t="s">
        <v>8999</v>
      </c>
      <c r="B4380" s="2" t="s">
        <v>9000</v>
      </c>
      <c r="C4380" s="2" t="n">
        <v>4</v>
      </c>
      <c r="D4380" s="2" t="s">
        <v>52</v>
      </c>
      <c r="E4380" s="2" t="s">
        <v>8083</v>
      </c>
      <c r="F4380" s="3" t="n">
        <v>46085.3395833333</v>
      </c>
      <c r="G4380" s="2" t="s">
        <v>8917</v>
      </c>
      <c r="H4380" s="4" t="n">
        <v>0.6369</v>
      </c>
      <c r="I4380" s="2" t="s">
        <v>23</v>
      </c>
      <c r="J4380" s="2" t="s">
        <v>19</v>
      </c>
      <c r="K4380" s="2" t="n">
        <v>0</v>
      </c>
      <c r="L4380" s="2" t="n">
        <v>0</v>
      </c>
      <c r="M4380" s="2" t="n">
        <v>0</v>
      </c>
    </row>
    <row r="4381" customFormat="false" ht="15" hidden="false" customHeight="false" outlineLevel="0" collapsed="false">
      <c r="A4381" s="2" t="s">
        <v>9001</v>
      </c>
      <c r="B4381" s="2" t="s">
        <v>9002</v>
      </c>
      <c r="C4381" s="2" t="n">
        <v>3</v>
      </c>
      <c r="D4381" s="2" t="s">
        <v>3543</v>
      </c>
      <c r="E4381" s="2" t="s">
        <v>8083</v>
      </c>
      <c r="F4381" s="3" t="n">
        <v>46085.3868055556</v>
      </c>
      <c r="G4381" s="2" t="s">
        <v>8917</v>
      </c>
      <c r="H4381" s="4" t="n">
        <v>0.2382</v>
      </c>
      <c r="I4381" s="2" t="s">
        <v>23</v>
      </c>
      <c r="J4381" s="2" t="s">
        <v>37</v>
      </c>
      <c r="K4381" s="2" t="n">
        <v>5</v>
      </c>
      <c r="L4381" s="2" t="n">
        <v>0</v>
      </c>
      <c r="M4381" s="2" t="n">
        <v>0</v>
      </c>
    </row>
    <row r="4382" customFormat="false" ht="15" hidden="false" customHeight="false" outlineLevel="0" collapsed="false">
      <c r="A4382" s="2" t="s">
        <v>9003</v>
      </c>
      <c r="B4382" s="2" t="s">
        <v>9004</v>
      </c>
      <c r="C4382" s="2" t="n">
        <v>4</v>
      </c>
      <c r="D4382" s="2" t="s">
        <v>251</v>
      </c>
      <c r="E4382" s="2" t="s">
        <v>8083</v>
      </c>
      <c r="F4382" s="3" t="n">
        <v>46085.4722222222</v>
      </c>
      <c r="G4382" s="2" t="s">
        <v>8917</v>
      </c>
      <c r="H4382" s="4" t="n">
        <v>0.8651</v>
      </c>
      <c r="I4382" s="2" t="s">
        <v>23</v>
      </c>
      <c r="J4382" s="2" t="s">
        <v>19</v>
      </c>
      <c r="K4382" s="2" t="n">
        <v>3</v>
      </c>
      <c r="L4382" s="2" t="n">
        <v>0</v>
      </c>
      <c r="M4382" s="2" t="n">
        <v>0</v>
      </c>
    </row>
    <row r="4383" customFormat="false" ht="15" hidden="false" customHeight="false" outlineLevel="0" collapsed="false">
      <c r="A4383" s="2" t="s">
        <v>9005</v>
      </c>
      <c r="B4383" s="2" t="s">
        <v>9006</v>
      </c>
      <c r="C4383" s="2" t="n">
        <v>4</v>
      </c>
      <c r="D4383" s="2" t="s">
        <v>96</v>
      </c>
      <c r="E4383" s="2" t="s">
        <v>8083</v>
      </c>
      <c r="F4383" s="3" t="n">
        <v>46085.4902777778</v>
      </c>
      <c r="G4383" s="2" t="s">
        <v>8917</v>
      </c>
      <c r="H4383" s="4" t="n">
        <v>0.6369</v>
      </c>
      <c r="I4383" s="2" t="s">
        <v>23</v>
      </c>
      <c r="J4383" s="2" t="s">
        <v>19</v>
      </c>
      <c r="K4383" s="2" t="n">
        <v>2</v>
      </c>
      <c r="L4383" s="2" t="n">
        <v>0</v>
      </c>
      <c r="M4383" s="2" t="n">
        <v>0</v>
      </c>
    </row>
    <row r="4384" customFormat="false" ht="15" hidden="false" customHeight="false" outlineLevel="0" collapsed="false">
      <c r="A4384" s="2" t="s">
        <v>9007</v>
      </c>
      <c r="B4384" s="2" t="s">
        <v>9008</v>
      </c>
      <c r="C4384" s="2" t="n">
        <v>4</v>
      </c>
      <c r="D4384" s="2" t="s">
        <v>127</v>
      </c>
      <c r="E4384" s="2" t="s">
        <v>8083</v>
      </c>
      <c r="F4384" s="3" t="n">
        <v>46085.6166666667</v>
      </c>
      <c r="G4384" s="2" t="s">
        <v>8917</v>
      </c>
      <c r="H4384" s="4" t="n">
        <v>0.9359</v>
      </c>
      <c r="I4384" s="2" t="s">
        <v>23</v>
      </c>
      <c r="J4384" s="2" t="s">
        <v>37</v>
      </c>
      <c r="K4384" s="2" t="n">
        <v>5</v>
      </c>
      <c r="L4384" s="2" t="n">
        <v>0</v>
      </c>
      <c r="M4384" s="2" t="n">
        <v>0</v>
      </c>
    </row>
    <row r="4385" customFormat="false" ht="15" hidden="false" customHeight="false" outlineLevel="0" collapsed="false">
      <c r="A4385" s="2" t="s">
        <v>9009</v>
      </c>
      <c r="B4385" s="2" t="s">
        <v>9010</v>
      </c>
      <c r="C4385" s="2" t="n">
        <v>4</v>
      </c>
      <c r="D4385" s="2" t="s">
        <v>52</v>
      </c>
      <c r="E4385" s="2" t="s">
        <v>8083</v>
      </c>
      <c r="F4385" s="3" t="n">
        <v>46085.8041666667</v>
      </c>
      <c r="G4385" s="2" t="s">
        <v>8917</v>
      </c>
      <c r="H4385" s="4" t="n">
        <v>0.6369</v>
      </c>
      <c r="I4385" s="2" t="s">
        <v>23</v>
      </c>
      <c r="J4385" s="2" t="s">
        <v>19</v>
      </c>
      <c r="K4385" s="2" t="n">
        <v>0</v>
      </c>
      <c r="L4385" s="2" t="n">
        <v>0</v>
      </c>
      <c r="M4385" s="2" t="n">
        <v>0</v>
      </c>
    </row>
    <row r="4386" customFormat="false" ht="15" hidden="false" customHeight="false" outlineLevel="0" collapsed="false">
      <c r="A4386" s="2" t="s">
        <v>9011</v>
      </c>
      <c r="B4386" s="2" t="s">
        <v>149</v>
      </c>
      <c r="C4386" s="2" t="n">
        <v>5</v>
      </c>
      <c r="D4386" s="2" t="s">
        <v>62</v>
      </c>
      <c r="E4386" s="2" t="s">
        <v>8083</v>
      </c>
      <c r="F4386" s="3" t="n">
        <v>46086.0145833333</v>
      </c>
      <c r="G4386" s="2" t="s">
        <v>8917</v>
      </c>
      <c r="H4386" s="4" t="n">
        <v>0.7088</v>
      </c>
      <c r="I4386" s="2" t="s">
        <v>23</v>
      </c>
      <c r="J4386" s="2" t="s">
        <v>19</v>
      </c>
      <c r="K4386" s="2" t="n">
        <v>0</v>
      </c>
      <c r="L4386" s="2" t="n">
        <v>0</v>
      </c>
      <c r="M4386" s="2" t="n">
        <v>0</v>
      </c>
    </row>
    <row r="4387" customFormat="false" ht="15" hidden="false" customHeight="false" outlineLevel="0" collapsed="false">
      <c r="A4387" s="2" t="s">
        <v>9012</v>
      </c>
      <c r="B4387" s="2" t="s">
        <v>9013</v>
      </c>
      <c r="C4387" s="2" t="n">
        <v>3</v>
      </c>
      <c r="D4387" s="2" t="s">
        <v>455</v>
      </c>
      <c r="E4387" s="2" t="s">
        <v>8083</v>
      </c>
      <c r="F4387" s="3" t="n">
        <v>46086.0451388889</v>
      </c>
      <c r="G4387" s="2" t="s">
        <v>8917</v>
      </c>
      <c r="H4387" s="4" t="n">
        <v>-0.2263</v>
      </c>
      <c r="I4387" s="2" t="s">
        <v>84</v>
      </c>
      <c r="J4387" s="2" t="s">
        <v>165</v>
      </c>
      <c r="K4387" s="2" t="n">
        <v>3</v>
      </c>
      <c r="L4387" s="2" t="n">
        <v>0</v>
      </c>
      <c r="M4387" s="2" t="n">
        <v>0</v>
      </c>
    </row>
    <row r="4388" customFormat="false" ht="15" hidden="false" customHeight="false" outlineLevel="0" collapsed="false">
      <c r="A4388" s="2" t="s">
        <v>9014</v>
      </c>
      <c r="B4388" s="2" t="s">
        <v>9015</v>
      </c>
      <c r="C4388" s="2" t="n">
        <v>5</v>
      </c>
      <c r="D4388" s="2" t="s">
        <v>475</v>
      </c>
      <c r="E4388" s="2" t="s">
        <v>8083</v>
      </c>
      <c r="F4388" s="3" t="n">
        <v>46086.1027777778</v>
      </c>
      <c r="G4388" s="2" t="s">
        <v>8917</v>
      </c>
      <c r="H4388" s="4" t="n">
        <v>0.7845</v>
      </c>
      <c r="I4388" s="2" t="s">
        <v>23</v>
      </c>
      <c r="J4388" s="2" t="s">
        <v>33</v>
      </c>
      <c r="K4388" s="2" t="n">
        <v>5</v>
      </c>
      <c r="L4388" s="2" t="n">
        <v>0</v>
      </c>
      <c r="M4388" s="2" t="n">
        <v>0</v>
      </c>
    </row>
    <row r="4389" customFormat="false" ht="15" hidden="false" customHeight="false" outlineLevel="0" collapsed="false">
      <c r="A4389" s="2" t="s">
        <v>9016</v>
      </c>
      <c r="B4389" s="2" t="s">
        <v>9017</v>
      </c>
      <c r="C4389" s="2" t="n">
        <v>2</v>
      </c>
      <c r="D4389" s="2" t="s">
        <v>591</v>
      </c>
      <c r="E4389" s="2" t="s">
        <v>8083</v>
      </c>
      <c r="F4389" s="3" t="n">
        <v>46086.1458333333</v>
      </c>
      <c r="G4389" s="2" t="s">
        <v>8917</v>
      </c>
      <c r="H4389" s="4" t="n">
        <v>0</v>
      </c>
      <c r="I4389" s="2" t="s">
        <v>18</v>
      </c>
      <c r="J4389" s="2" t="s">
        <v>37</v>
      </c>
      <c r="K4389" s="2" t="n">
        <v>1</v>
      </c>
      <c r="L4389" s="2" t="n">
        <v>1</v>
      </c>
      <c r="M4389" s="2" t="n">
        <v>0</v>
      </c>
    </row>
    <row r="4390" customFormat="false" ht="15" hidden="false" customHeight="false" outlineLevel="0" collapsed="false">
      <c r="A4390" s="2" t="s">
        <v>9018</v>
      </c>
      <c r="B4390" s="2" t="s">
        <v>9019</v>
      </c>
      <c r="C4390" s="2" t="n">
        <v>4</v>
      </c>
      <c r="D4390" s="2" t="s">
        <v>22</v>
      </c>
      <c r="E4390" s="2" t="s">
        <v>8083</v>
      </c>
      <c r="F4390" s="3" t="n">
        <v>46086.21875</v>
      </c>
      <c r="G4390" s="2" t="s">
        <v>8917</v>
      </c>
      <c r="H4390" s="4" t="n">
        <v>0.2023</v>
      </c>
      <c r="I4390" s="2" t="s">
        <v>23</v>
      </c>
      <c r="J4390" s="2" t="s">
        <v>19</v>
      </c>
      <c r="K4390" s="2" t="n">
        <v>1</v>
      </c>
      <c r="L4390" s="2" t="n">
        <v>0</v>
      </c>
      <c r="M4390" s="2" t="n">
        <v>0</v>
      </c>
    </row>
    <row r="4391" customFormat="false" ht="15" hidden="false" customHeight="false" outlineLevel="0" collapsed="false">
      <c r="A4391" s="2" t="s">
        <v>9020</v>
      </c>
      <c r="B4391" s="2" t="s">
        <v>9021</v>
      </c>
      <c r="C4391" s="2" t="n">
        <v>5</v>
      </c>
      <c r="D4391" s="2" t="s">
        <v>52</v>
      </c>
      <c r="E4391" s="2" t="s">
        <v>8083</v>
      </c>
      <c r="F4391" s="3" t="n">
        <v>46086.2673611111</v>
      </c>
      <c r="G4391" s="2" t="s">
        <v>8917</v>
      </c>
      <c r="H4391" s="4" t="n">
        <v>0.6369</v>
      </c>
      <c r="I4391" s="2" t="s">
        <v>23</v>
      </c>
      <c r="J4391" s="2" t="s">
        <v>19</v>
      </c>
      <c r="K4391" s="2" t="n">
        <v>2</v>
      </c>
      <c r="L4391" s="2" t="n">
        <v>0</v>
      </c>
      <c r="M4391" s="2" t="n">
        <v>0</v>
      </c>
    </row>
    <row r="4392" customFormat="false" ht="15" hidden="false" customHeight="false" outlineLevel="0" collapsed="false">
      <c r="A4392" s="2" t="s">
        <v>9022</v>
      </c>
      <c r="B4392" s="2" t="s">
        <v>9023</v>
      </c>
      <c r="C4392" s="2" t="n">
        <v>5</v>
      </c>
      <c r="D4392" s="2" t="s">
        <v>282</v>
      </c>
      <c r="E4392" s="2" t="s">
        <v>8083</v>
      </c>
      <c r="F4392" s="3" t="n">
        <v>46086.5548611111</v>
      </c>
      <c r="G4392" s="2" t="s">
        <v>8917</v>
      </c>
      <c r="H4392" s="4" t="n">
        <v>0.7992</v>
      </c>
      <c r="I4392" s="2" t="s">
        <v>23</v>
      </c>
      <c r="J4392" s="2" t="s">
        <v>19</v>
      </c>
      <c r="K4392" s="2" t="n">
        <v>1</v>
      </c>
      <c r="L4392" s="2" t="n">
        <v>0</v>
      </c>
      <c r="M4392" s="2" t="n">
        <v>0</v>
      </c>
    </row>
    <row r="4393" customFormat="false" ht="15" hidden="false" customHeight="false" outlineLevel="0" collapsed="false">
      <c r="A4393" s="2" t="s">
        <v>9024</v>
      </c>
      <c r="B4393" s="2" t="s">
        <v>9025</v>
      </c>
      <c r="C4393" s="2" t="n">
        <v>5</v>
      </c>
      <c r="D4393" s="2" t="s">
        <v>62</v>
      </c>
      <c r="E4393" s="2" t="s">
        <v>8083</v>
      </c>
      <c r="F4393" s="3" t="n">
        <v>46086.8527777778</v>
      </c>
      <c r="G4393" s="2" t="s">
        <v>8917</v>
      </c>
      <c r="H4393" s="4" t="n">
        <v>0.7088</v>
      </c>
      <c r="I4393" s="2" t="s">
        <v>23</v>
      </c>
      <c r="J4393" s="2" t="s">
        <v>19</v>
      </c>
      <c r="K4393" s="2" t="n">
        <v>1</v>
      </c>
      <c r="L4393" s="2" t="n">
        <v>0</v>
      </c>
      <c r="M4393" s="2" t="n">
        <v>0</v>
      </c>
    </row>
    <row r="4394" customFormat="false" ht="15" hidden="false" customHeight="false" outlineLevel="0" collapsed="false">
      <c r="A4394" s="2" t="s">
        <v>9026</v>
      </c>
      <c r="B4394" s="2" t="s">
        <v>9027</v>
      </c>
      <c r="C4394" s="2" t="n">
        <v>1</v>
      </c>
      <c r="D4394" s="2" t="s">
        <v>733</v>
      </c>
      <c r="E4394" s="2" t="s">
        <v>8083</v>
      </c>
      <c r="F4394" s="3" t="n">
        <v>46087.2006944444</v>
      </c>
      <c r="G4394" s="2" t="s">
        <v>8917</v>
      </c>
      <c r="H4394" s="4" t="n">
        <v>-0.2846</v>
      </c>
      <c r="I4394" s="2" t="s">
        <v>84</v>
      </c>
      <c r="J4394" s="2" t="s">
        <v>37</v>
      </c>
      <c r="K4394" s="2" t="n">
        <v>2</v>
      </c>
      <c r="L4394" s="2" t="n">
        <v>0</v>
      </c>
      <c r="M4394" s="2" t="n">
        <v>0</v>
      </c>
    </row>
    <row r="4395" customFormat="false" ht="15" hidden="false" customHeight="false" outlineLevel="0" collapsed="false">
      <c r="A4395" s="2" t="s">
        <v>9028</v>
      </c>
      <c r="B4395" s="2" t="s">
        <v>9029</v>
      </c>
      <c r="C4395" s="2" t="n">
        <v>4</v>
      </c>
      <c r="D4395" s="2" t="s">
        <v>36</v>
      </c>
      <c r="E4395" s="2" t="s">
        <v>8083</v>
      </c>
      <c r="F4395" s="3" t="n">
        <v>46087.2833333333</v>
      </c>
      <c r="G4395" s="2" t="s">
        <v>8917</v>
      </c>
      <c r="H4395" s="4" t="n">
        <v>0.4404</v>
      </c>
      <c r="I4395" s="2" t="s">
        <v>23</v>
      </c>
      <c r="J4395" s="2" t="s">
        <v>37</v>
      </c>
      <c r="K4395" s="2" t="n">
        <v>3</v>
      </c>
      <c r="L4395" s="2" t="n">
        <v>0</v>
      </c>
      <c r="M4395" s="2" t="n">
        <v>0</v>
      </c>
    </row>
    <row r="4396" customFormat="false" ht="15" hidden="false" customHeight="false" outlineLevel="0" collapsed="false">
      <c r="A4396" s="2" t="s">
        <v>9030</v>
      </c>
      <c r="B4396" s="2" t="s">
        <v>9031</v>
      </c>
      <c r="C4396" s="2" t="n">
        <v>5</v>
      </c>
      <c r="D4396" s="2" t="s">
        <v>9032</v>
      </c>
      <c r="E4396" s="2" t="s">
        <v>8083</v>
      </c>
      <c r="F4396" s="3" t="n">
        <v>46087.3180555556</v>
      </c>
      <c r="G4396" s="2" t="s">
        <v>8917</v>
      </c>
      <c r="H4396" s="4" t="n">
        <v>0.3089</v>
      </c>
      <c r="I4396" s="2" t="s">
        <v>23</v>
      </c>
      <c r="J4396" s="2" t="s">
        <v>19</v>
      </c>
      <c r="K4396" s="2" t="n">
        <v>8</v>
      </c>
      <c r="L4396" s="2" t="n">
        <v>0</v>
      </c>
      <c r="M4396" s="2" t="n">
        <v>0</v>
      </c>
    </row>
    <row r="4397" customFormat="false" ht="15" hidden="false" customHeight="false" outlineLevel="0" collapsed="false">
      <c r="A4397" s="2" t="s">
        <v>9033</v>
      </c>
      <c r="B4397" s="2" t="s">
        <v>1373</v>
      </c>
      <c r="C4397" s="2" t="n">
        <v>3</v>
      </c>
      <c r="D4397" s="2" t="s">
        <v>99</v>
      </c>
      <c r="E4397" s="2" t="s">
        <v>8083</v>
      </c>
      <c r="F4397" s="3" t="n">
        <v>46087.3361111111</v>
      </c>
      <c r="G4397" s="2" t="s">
        <v>8917</v>
      </c>
      <c r="H4397" s="4" t="n">
        <v>-0.3089</v>
      </c>
      <c r="I4397" s="2" t="s">
        <v>84</v>
      </c>
      <c r="J4397" s="2" t="s">
        <v>19</v>
      </c>
      <c r="K4397" s="2" t="n">
        <v>7</v>
      </c>
      <c r="L4397" s="2" t="n">
        <v>0</v>
      </c>
      <c r="M4397" s="2" t="n">
        <v>0</v>
      </c>
    </row>
    <row r="4398" customFormat="false" ht="15" hidden="false" customHeight="false" outlineLevel="0" collapsed="false">
      <c r="A4398" s="2" t="s">
        <v>9034</v>
      </c>
      <c r="B4398" s="2" t="s">
        <v>9035</v>
      </c>
      <c r="C4398" s="2" t="n">
        <v>4</v>
      </c>
      <c r="D4398" s="2" t="s">
        <v>47</v>
      </c>
      <c r="E4398" s="2" t="s">
        <v>8083</v>
      </c>
      <c r="F4398" s="3" t="n">
        <v>46087.4194444444</v>
      </c>
      <c r="G4398" s="2" t="s">
        <v>8917</v>
      </c>
      <c r="H4398" s="4" t="n">
        <v>0.3089</v>
      </c>
      <c r="I4398" s="2" t="s">
        <v>23</v>
      </c>
      <c r="J4398" s="2" t="s">
        <v>19</v>
      </c>
      <c r="K4398" s="2" t="n">
        <v>4</v>
      </c>
      <c r="L4398" s="2" t="n">
        <v>0</v>
      </c>
      <c r="M4398" s="2" t="n">
        <v>0</v>
      </c>
    </row>
    <row r="4399" customFormat="false" ht="15" hidden="false" customHeight="false" outlineLevel="0" collapsed="false">
      <c r="A4399" s="2" t="s">
        <v>9036</v>
      </c>
      <c r="B4399" s="2" t="s">
        <v>9037</v>
      </c>
      <c r="C4399" s="2" t="n">
        <v>4</v>
      </c>
      <c r="D4399" s="2" t="s">
        <v>127</v>
      </c>
      <c r="E4399" s="2" t="s">
        <v>8083</v>
      </c>
      <c r="F4399" s="3" t="n">
        <v>46087.4576388889</v>
      </c>
      <c r="G4399" s="2" t="s">
        <v>8917</v>
      </c>
      <c r="H4399" s="4" t="n">
        <v>0.9359</v>
      </c>
      <c r="I4399" s="2" t="s">
        <v>23</v>
      </c>
      <c r="J4399" s="2" t="s">
        <v>37</v>
      </c>
      <c r="K4399" s="2" t="n">
        <v>4</v>
      </c>
      <c r="L4399" s="2" t="n">
        <v>0</v>
      </c>
      <c r="M4399" s="2" t="n">
        <v>0</v>
      </c>
    </row>
    <row r="4400" customFormat="false" ht="15" hidden="false" customHeight="false" outlineLevel="0" collapsed="false">
      <c r="A4400" s="2" t="s">
        <v>9038</v>
      </c>
      <c r="B4400" s="2" t="s">
        <v>9039</v>
      </c>
      <c r="C4400" s="2" t="n">
        <v>5</v>
      </c>
      <c r="D4400" s="2" t="s">
        <v>67</v>
      </c>
      <c r="E4400" s="2" t="s">
        <v>8083</v>
      </c>
      <c r="F4400" s="3" t="n">
        <v>46087.5430555556</v>
      </c>
      <c r="G4400" s="2" t="s">
        <v>8917</v>
      </c>
      <c r="H4400" s="4" t="n">
        <v>0.8953</v>
      </c>
      <c r="I4400" s="2" t="s">
        <v>23</v>
      </c>
      <c r="J4400" s="2" t="s">
        <v>19</v>
      </c>
      <c r="K4400" s="2" t="n">
        <v>1</v>
      </c>
      <c r="L4400" s="2" t="n">
        <v>0</v>
      </c>
      <c r="M4400" s="2" t="n">
        <v>0</v>
      </c>
    </row>
    <row r="4401" customFormat="false" ht="15" hidden="false" customHeight="false" outlineLevel="0" collapsed="false">
      <c r="A4401" s="2" t="s">
        <v>9040</v>
      </c>
      <c r="B4401" s="2" t="s">
        <v>9041</v>
      </c>
      <c r="C4401" s="2" t="n">
        <v>2</v>
      </c>
      <c r="D4401" s="2" t="s">
        <v>168</v>
      </c>
      <c r="E4401" s="2" t="s">
        <v>8083</v>
      </c>
      <c r="F4401" s="3" t="n">
        <v>46087.5847222222</v>
      </c>
      <c r="G4401" s="2" t="s">
        <v>8917</v>
      </c>
      <c r="H4401" s="4" t="n">
        <v>-0.1027</v>
      </c>
      <c r="I4401" s="2" t="s">
        <v>84</v>
      </c>
      <c r="J4401" s="2" t="s">
        <v>33</v>
      </c>
      <c r="K4401" s="2" t="n">
        <v>1</v>
      </c>
      <c r="L4401" s="2" t="n">
        <v>1</v>
      </c>
      <c r="M4401" s="2" t="n">
        <v>0</v>
      </c>
    </row>
    <row r="4402" customFormat="false" ht="15" hidden="false" customHeight="false" outlineLevel="0" collapsed="false">
      <c r="A4402" s="2" t="s">
        <v>9042</v>
      </c>
      <c r="B4402" s="2" t="s">
        <v>9043</v>
      </c>
      <c r="C4402" s="2" t="n">
        <v>1</v>
      </c>
      <c r="D4402" s="2" t="s">
        <v>133</v>
      </c>
      <c r="E4402" s="2" t="s">
        <v>8083</v>
      </c>
      <c r="F4402" s="3" t="n">
        <v>46087.6284722222</v>
      </c>
      <c r="G4402" s="2" t="s">
        <v>8917</v>
      </c>
      <c r="H4402" s="4" t="n">
        <v>-0.5719</v>
      </c>
      <c r="I4402" s="2" t="s">
        <v>84</v>
      </c>
      <c r="J4402" s="2" t="s">
        <v>33</v>
      </c>
      <c r="K4402" s="2" t="n">
        <v>0</v>
      </c>
      <c r="L4402" s="2" t="n">
        <v>0</v>
      </c>
      <c r="M4402" s="2" t="n">
        <v>0</v>
      </c>
    </row>
    <row r="4403" customFormat="false" ht="15" hidden="false" customHeight="false" outlineLevel="0" collapsed="false">
      <c r="A4403" s="2" t="s">
        <v>9044</v>
      </c>
      <c r="B4403" s="2" t="s">
        <v>9045</v>
      </c>
      <c r="C4403" s="2" t="n">
        <v>5</v>
      </c>
      <c r="D4403" s="2" t="s">
        <v>47</v>
      </c>
      <c r="E4403" s="2" t="s">
        <v>8083</v>
      </c>
      <c r="F4403" s="3" t="n">
        <v>46087.7465277778</v>
      </c>
      <c r="G4403" s="2" t="s">
        <v>8917</v>
      </c>
      <c r="H4403" s="4" t="n">
        <v>0.3089</v>
      </c>
      <c r="I4403" s="2" t="s">
        <v>23</v>
      </c>
      <c r="J4403" s="2" t="s">
        <v>19</v>
      </c>
      <c r="K4403" s="2" t="n">
        <v>4</v>
      </c>
      <c r="L4403" s="2" t="n">
        <v>0</v>
      </c>
      <c r="M4403" s="2" t="n">
        <v>0</v>
      </c>
    </row>
    <row r="4404" customFormat="false" ht="15" hidden="false" customHeight="false" outlineLevel="0" collapsed="false">
      <c r="A4404" s="2" t="s">
        <v>9046</v>
      </c>
      <c r="B4404" s="2" t="s">
        <v>9047</v>
      </c>
      <c r="C4404" s="2" t="n">
        <v>5</v>
      </c>
      <c r="D4404" s="2" t="s">
        <v>62</v>
      </c>
      <c r="E4404" s="2" t="s">
        <v>8083</v>
      </c>
      <c r="F4404" s="3" t="n">
        <v>46087.7986111111</v>
      </c>
      <c r="G4404" s="2" t="s">
        <v>8917</v>
      </c>
      <c r="H4404" s="4" t="n">
        <v>0.7088</v>
      </c>
      <c r="I4404" s="2" t="s">
        <v>23</v>
      </c>
      <c r="J4404" s="2" t="s">
        <v>19</v>
      </c>
      <c r="K4404" s="2" t="n">
        <v>2</v>
      </c>
      <c r="L4404" s="2" t="n">
        <v>0</v>
      </c>
      <c r="M4404" s="2" t="n">
        <v>0</v>
      </c>
    </row>
    <row r="4405" customFormat="false" ht="15" hidden="false" customHeight="false" outlineLevel="0" collapsed="false">
      <c r="A4405" s="2" t="s">
        <v>9048</v>
      </c>
      <c r="B4405" s="2" t="s">
        <v>9049</v>
      </c>
      <c r="C4405" s="2" t="n">
        <v>2</v>
      </c>
      <c r="D4405" s="2" t="s">
        <v>721</v>
      </c>
      <c r="E4405" s="2" t="s">
        <v>8083</v>
      </c>
      <c r="F4405" s="3" t="n">
        <v>46087.8423611111</v>
      </c>
      <c r="G4405" s="2" t="s">
        <v>8917</v>
      </c>
      <c r="H4405" s="4" t="n">
        <v>-0.4588</v>
      </c>
      <c r="I4405" s="2" t="s">
        <v>84</v>
      </c>
      <c r="J4405" s="2" t="s">
        <v>37</v>
      </c>
      <c r="K4405" s="2" t="n">
        <v>1</v>
      </c>
      <c r="L4405" s="2" t="n">
        <v>0</v>
      </c>
      <c r="M4405" s="2" t="n">
        <v>0</v>
      </c>
    </row>
    <row r="4406" customFormat="false" ht="15" hidden="false" customHeight="false" outlineLevel="0" collapsed="false">
      <c r="A4406" s="2" t="s">
        <v>9050</v>
      </c>
      <c r="B4406" s="2" t="s">
        <v>9051</v>
      </c>
      <c r="C4406" s="2" t="n">
        <v>1</v>
      </c>
      <c r="D4406" s="2" t="s">
        <v>591</v>
      </c>
      <c r="E4406" s="2" t="s">
        <v>8083</v>
      </c>
      <c r="F4406" s="3" t="n">
        <v>46087.8472222222</v>
      </c>
      <c r="G4406" s="2" t="s">
        <v>8917</v>
      </c>
      <c r="H4406" s="4" t="n">
        <v>0</v>
      </c>
      <c r="I4406" s="2" t="s">
        <v>18</v>
      </c>
      <c r="J4406" s="2" t="s">
        <v>37</v>
      </c>
      <c r="K4406" s="2" t="n">
        <v>0</v>
      </c>
      <c r="L4406" s="2" t="n">
        <v>0</v>
      </c>
      <c r="M4406" s="2" t="n">
        <v>0</v>
      </c>
    </row>
    <row r="4407" customFormat="false" ht="15" hidden="false" customHeight="false" outlineLevel="0" collapsed="false">
      <c r="A4407" s="2" t="s">
        <v>9052</v>
      </c>
      <c r="B4407" s="2" t="s">
        <v>9053</v>
      </c>
      <c r="C4407" s="2" t="n">
        <v>1</v>
      </c>
      <c r="D4407" s="2" t="s">
        <v>721</v>
      </c>
      <c r="E4407" s="2" t="s">
        <v>8083</v>
      </c>
      <c r="F4407" s="3" t="n">
        <v>46087.9986111111</v>
      </c>
      <c r="G4407" s="2" t="s">
        <v>8917</v>
      </c>
      <c r="H4407" s="4" t="n">
        <v>-0.4588</v>
      </c>
      <c r="I4407" s="2" t="s">
        <v>84</v>
      </c>
      <c r="J4407" s="2" t="s">
        <v>37</v>
      </c>
      <c r="K4407" s="2" t="n">
        <v>1</v>
      </c>
      <c r="L4407" s="2" t="n">
        <v>0</v>
      </c>
      <c r="M4407" s="2" t="n">
        <v>0</v>
      </c>
    </row>
    <row r="4408" customFormat="false" ht="15" hidden="false" customHeight="false" outlineLevel="0" collapsed="false">
      <c r="A4408" s="2" t="s">
        <v>9054</v>
      </c>
      <c r="B4408" s="2" t="s">
        <v>9055</v>
      </c>
      <c r="C4408" s="2" t="n">
        <v>4</v>
      </c>
      <c r="D4408" s="2" t="s">
        <v>127</v>
      </c>
      <c r="E4408" s="2" t="s">
        <v>8083</v>
      </c>
      <c r="F4408" s="3" t="n">
        <v>46088.1118055556</v>
      </c>
      <c r="G4408" s="2" t="s">
        <v>8917</v>
      </c>
      <c r="H4408" s="4" t="n">
        <v>0.9359</v>
      </c>
      <c r="I4408" s="2" t="s">
        <v>23</v>
      </c>
      <c r="J4408" s="2" t="s">
        <v>37</v>
      </c>
      <c r="K4408" s="2" t="n">
        <v>2</v>
      </c>
      <c r="L4408" s="2" t="n">
        <v>0</v>
      </c>
      <c r="M4408" s="2" t="n">
        <v>0</v>
      </c>
    </row>
    <row r="4409" customFormat="false" ht="15" hidden="false" customHeight="false" outlineLevel="0" collapsed="false">
      <c r="A4409" s="2" t="s">
        <v>9056</v>
      </c>
      <c r="B4409" s="2" t="s">
        <v>9057</v>
      </c>
      <c r="C4409" s="2" t="n">
        <v>3</v>
      </c>
      <c r="D4409" s="2" t="s">
        <v>99</v>
      </c>
      <c r="E4409" s="2" t="s">
        <v>8083</v>
      </c>
      <c r="F4409" s="3" t="n">
        <v>46088.1666666667</v>
      </c>
      <c r="G4409" s="2" t="s">
        <v>8917</v>
      </c>
      <c r="H4409" s="4" t="n">
        <v>-0.3089</v>
      </c>
      <c r="I4409" s="2" t="s">
        <v>84</v>
      </c>
      <c r="J4409" s="2" t="s">
        <v>19</v>
      </c>
      <c r="K4409" s="2" t="n">
        <v>1</v>
      </c>
      <c r="L4409" s="2" t="n">
        <v>0</v>
      </c>
      <c r="M4409" s="2" t="n">
        <v>0</v>
      </c>
    </row>
    <row r="4410" customFormat="false" ht="15" hidden="false" customHeight="false" outlineLevel="0" collapsed="false">
      <c r="A4410" s="2" t="s">
        <v>9058</v>
      </c>
      <c r="B4410" s="2" t="s">
        <v>9059</v>
      </c>
      <c r="C4410" s="2" t="n">
        <v>5</v>
      </c>
      <c r="D4410" s="2" t="s">
        <v>116</v>
      </c>
      <c r="E4410" s="2" t="s">
        <v>8083</v>
      </c>
      <c r="F4410" s="3" t="n">
        <v>46088.3229166667</v>
      </c>
      <c r="G4410" s="2" t="s">
        <v>8917</v>
      </c>
      <c r="H4410" s="4" t="n">
        <v>0.9359</v>
      </c>
      <c r="I4410" s="2" t="s">
        <v>23</v>
      </c>
      <c r="J4410" s="2" t="s">
        <v>37</v>
      </c>
      <c r="K4410" s="2" t="n">
        <v>0</v>
      </c>
      <c r="L4410" s="2" t="n">
        <v>0</v>
      </c>
      <c r="M4410" s="2" t="n">
        <v>0</v>
      </c>
    </row>
    <row r="4411" customFormat="false" ht="15" hidden="false" customHeight="false" outlineLevel="0" collapsed="false">
      <c r="A4411" s="2" t="s">
        <v>9060</v>
      </c>
      <c r="B4411" s="2" t="s">
        <v>9061</v>
      </c>
      <c r="C4411" s="2" t="n">
        <v>5</v>
      </c>
      <c r="D4411" s="2" t="s">
        <v>47</v>
      </c>
      <c r="E4411" s="2" t="s">
        <v>8083</v>
      </c>
      <c r="F4411" s="3" t="n">
        <v>46088.4930555556</v>
      </c>
      <c r="G4411" s="2" t="s">
        <v>8917</v>
      </c>
      <c r="H4411" s="4" t="n">
        <v>0.3089</v>
      </c>
      <c r="I4411" s="2" t="s">
        <v>23</v>
      </c>
      <c r="J4411" s="2" t="s">
        <v>19</v>
      </c>
      <c r="K4411" s="2" t="n">
        <v>1</v>
      </c>
      <c r="L4411" s="2" t="n">
        <v>0</v>
      </c>
      <c r="M4411" s="2" t="n">
        <v>0</v>
      </c>
    </row>
    <row r="4412" customFormat="false" ht="15" hidden="false" customHeight="false" outlineLevel="0" collapsed="false">
      <c r="A4412" s="2" t="s">
        <v>9062</v>
      </c>
      <c r="B4412" s="2" t="s">
        <v>9063</v>
      </c>
      <c r="C4412" s="2" t="n">
        <v>5</v>
      </c>
      <c r="D4412" s="2" t="s">
        <v>52</v>
      </c>
      <c r="E4412" s="2" t="s">
        <v>8083</v>
      </c>
      <c r="F4412" s="3" t="n">
        <v>46088.5722222222</v>
      </c>
      <c r="G4412" s="2" t="s">
        <v>8917</v>
      </c>
      <c r="H4412" s="4" t="n">
        <v>0.6369</v>
      </c>
      <c r="I4412" s="2" t="s">
        <v>23</v>
      </c>
      <c r="J4412" s="2" t="s">
        <v>19</v>
      </c>
      <c r="K4412" s="2" t="n">
        <v>3</v>
      </c>
      <c r="L4412" s="2" t="n">
        <v>0</v>
      </c>
      <c r="M4412" s="2" t="n">
        <v>0</v>
      </c>
    </row>
    <row r="4413" customFormat="false" ht="15" hidden="false" customHeight="false" outlineLevel="0" collapsed="false">
      <c r="A4413" s="2" t="s">
        <v>9064</v>
      </c>
      <c r="B4413" s="2" t="s">
        <v>9065</v>
      </c>
      <c r="C4413" s="2" t="n">
        <v>2</v>
      </c>
      <c r="D4413" s="2" t="s">
        <v>133</v>
      </c>
      <c r="E4413" s="2" t="s">
        <v>8083</v>
      </c>
      <c r="F4413" s="3" t="n">
        <v>46088.7277777778</v>
      </c>
      <c r="G4413" s="2" t="s">
        <v>8917</v>
      </c>
      <c r="H4413" s="4" t="n">
        <v>-0.5719</v>
      </c>
      <c r="I4413" s="2" t="s">
        <v>84</v>
      </c>
      <c r="J4413" s="2" t="s">
        <v>33</v>
      </c>
      <c r="K4413" s="2" t="n">
        <v>1</v>
      </c>
      <c r="L4413" s="2" t="n">
        <v>0</v>
      </c>
      <c r="M4413" s="2" t="n">
        <v>0</v>
      </c>
    </row>
    <row r="4414" customFormat="false" ht="15" hidden="false" customHeight="false" outlineLevel="0" collapsed="false">
      <c r="A4414" s="2" t="s">
        <v>9066</v>
      </c>
      <c r="B4414" s="2" t="s">
        <v>9067</v>
      </c>
      <c r="C4414" s="2" t="n">
        <v>4</v>
      </c>
      <c r="D4414" s="2" t="s">
        <v>87</v>
      </c>
      <c r="E4414" s="2" t="s">
        <v>8083</v>
      </c>
      <c r="F4414" s="3" t="n">
        <v>46088.9409722222</v>
      </c>
      <c r="G4414" s="2" t="s">
        <v>8917</v>
      </c>
      <c r="H4414" s="4" t="n">
        <v>0</v>
      </c>
      <c r="I4414" s="2" t="s">
        <v>18</v>
      </c>
      <c r="J4414" s="2" t="s">
        <v>19</v>
      </c>
      <c r="K4414" s="2" t="n">
        <v>4</v>
      </c>
      <c r="L4414" s="2" t="n">
        <v>0</v>
      </c>
      <c r="M4414" s="2" t="n">
        <v>0</v>
      </c>
    </row>
    <row r="4415" customFormat="false" ht="15" hidden="false" customHeight="false" outlineLevel="0" collapsed="false">
      <c r="A4415" s="2" t="s">
        <v>9068</v>
      </c>
      <c r="B4415" s="2" t="s">
        <v>9069</v>
      </c>
      <c r="C4415" s="2" t="n">
        <v>5</v>
      </c>
      <c r="D4415" s="2" t="s">
        <v>127</v>
      </c>
      <c r="E4415" s="2" t="s">
        <v>8083</v>
      </c>
      <c r="F4415" s="3" t="n">
        <v>46089.1125</v>
      </c>
      <c r="G4415" s="2" t="s">
        <v>8917</v>
      </c>
      <c r="H4415" s="4" t="n">
        <v>0.9359</v>
      </c>
      <c r="I4415" s="2" t="s">
        <v>23</v>
      </c>
      <c r="J4415" s="2" t="s">
        <v>37</v>
      </c>
      <c r="K4415" s="2" t="n">
        <v>1</v>
      </c>
      <c r="L4415" s="2" t="n">
        <v>0</v>
      </c>
      <c r="M4415" s="2" t="n">
        <v>0</v>
      </c>
    </row>
    <row r="4416" customFormat="false" ht="15" hidden="false" customHeight="false" outlineLevel="0" collapsed="false">
      <c r="A4416" s="2" t="s">
        <v>9070</v>
      </c>
      <c r="B4416" s="2" t="s">
        <v>9071</v>
      </c>
      <c r="C4416" s="2" t="n">
        <v>5</v>
      </c>
      <c r="D4416" s="2" t="s">
        <v>52</v>
      </c>
      <c r="E4416" s="2" t="s">
        <v>8083</v>
      </c>
      <c r="F4416" s="3" t="n">
        <v>46089.2034722222</v>
      </c>
      <c r="G4416" s="2" t="s">
        <v>8917</v>
      </c>
      <c r="H4416" s="4" t="n">
        <v>0.6369</v>
      </c>
      <c r="I4416" s="2" t="s">
        <v>23</v>
      </c>
      <c r="J4416" s="2" t="s">
        <v>19</v>
      </c>
      <c r="K4416" s="2" t="n">
        <v>0</v>
      </c>
      <c r="L4416" s="2" t="n">
        <v>0</v>
      </c>
      <c r="M4416" s="2" t="n">
        <v>0</v>
      </c>
    </row>
    <row r="4417" customFormat="false" ht="15" hidden="false" customHeight="false" outlineLevel="0" collapsed="false">
      <c r="A4417" s="2" t="s">
        <v>9072</v>
      </c>
      <c r="B4417" s="2" t="s">
        <v>9073</v>
      </c>
      <c r="C4417" s="2" t="n">
        <v>5</v>
      </c>
      <c r="D4417" s="2" t="s">
        <v>96</v>
      </c>
      <c r="E4417" s="2" t="s">
        <v>8083</v>
      </c>
      <c r="F4417" s="3" t="n">
        <v>46089.2881944445</v>
      </c>
      <c r="G4417" s="2" t="s">
        <v>8917</v>
      </c>
      <c r="H4417" s="4" t="n">
        <v>0.6369</v>
      </c>
      <c r="I4417" s="2" t="s">
        <v>23</v>
      </c>
      <c r="J4417" s="2" t="s">
        <v>19</v>
      </c>
      <c r="K4417" s="2" t="n">
        <v>1</v>
      </c>
      <c r="L4417" s="2" t="n">
        <v>0</v>
      </c>
      <c r="M4417" s="2" t="n">
        <v>0</v>
      </c>
    </row>
    <row r="4418" customFormat="false" ht="15" hidden="false" customHeight="false" outlineLevel="0" collapsed="false">
      <c r="A4418" s="2" t="s">
        <v>9074</v>
      </c>
      <c r="B4418" s="2" t="s">
        <v>9075</v>
      </c>
      <c r="C4418" s="2" t="n">
        <v>5</v>
      </c>
      <c r="D4418" s="2" t="s">
        <v>127</v>
      </c>
      <c r="E4418" s="2" t="s">
        <v>8083</v>
      </c>
      <c r="F4418" s="3" t="n">
        <v>46089.3020833333</v>
      </c>
      <c r="G4418" s="2" t="s">
        <v>8917</v>
      </c>
      <c r="H4418" s="4" t="n">
        <v>0.9359</v>
      </c>
      <c r="I4418" s="2" t="s">
        <v>23</v>
      </c>
      <c r="J4418" s="2" t="s">
        <v>37</v>
      </c>
      <c r="K4418" s="2" t="n">
        <v>1</v>
      </c>
      <c r="L4418" s="2" t="n">
        <v>0</v>
      </c>
      <c r="M4418" s="2" t="n">
        <v>0</v>
      </c>
    </row>
    <row r="4419" customFormat="false" ht="15" hidden="false" customHeight="false" outlineLevel="0" collapsed="false">
      <c r="A4419" s="2" t="s">
        <v>9076</v>
      </c>
      <c r="B4419" s="2" t="s">
        <v>9077</v>
      </c>
      <c r="C4419" s="2" t="n">
        <v>4</v>
      </c>
      <c r="D4419" s="2" t="s">
        <v>47</v>
      </c>
      <c r="E4419" s="2" t="s">
        <v>8083</v>
      </c>
      <c r="F4419" s="3" t="n">
        <v>46089.3715277778</v>
      </c>
      <c r="G4419" s="2" t="s">
        <v>8917</v>
      </c>
      <c r="H4419" s="4" t="n">
        <v>0.3089</v>
      </c>
      <c r="I4419" s="2" t="s">
        <v>23</v>
      </c>
      <c r="J4419" s="2" t="s">
        <v>19</v>
      </c>
      <c r="K4419" s="2" t="n">
        <v>9</v>
      </c>
      <c r="L4419" s="2" t="n">
        <v>0</v>
      </c>
      <c r="M4419" s="2" t="n">
        <v>0</v>
      </c>
    </row>
    <row r="4420" customFormat="false" ht="15" hidden="false" customHeight="false" outlineLevel="0" collapsed="false">
      <c r="A4420" s="2" t="s">
        <v>9078</v>
      </c>
      <c r="B4420" s="2" t="s">
        <v>9079</v>
      </c>
      <c r="C4420" s="2" t="n">
        <v>2</v>
      </c>
      <c r="D4420" s="2" t="s">
        <v>6560</v>
      </c>
      <c r="E4420" s="2" t="s">
        <v>8083</v>
      </c>
      <c r="F4420" s="3" t="n">
        <v>46089.4048611111</v>
      </c>
      <c r="G4420" s="2" t="s">
        <v>8917</v>
      </c>
      <c r="H4420" s="4" t="n">
        <v>0.0516</v>
      </c>
      <c r="I4420" s="2" t="s">
        <v>23</v>
      </c>
      <c r="J4420" s="2" t="s">
        <v>37</v>
      </c>
      <c r="K4420" s="2" t="n">
        <v>9</v>
      </c>
      <c r="L4420" s="2" t="n">
        <v>0</v>
      </c>
      <c r="M4420" s="2" t="n">
        <v>0</v>
      </c>
    </row>
    <row r="4421" customFormat="false" ht="15" hidden="false" customHeight="false" outlineLevel="0" collapsed="false">
      <c r="A4421" s="2" t="s">
        <v>9080</v>
      </c>
      <c r="B4421" s="2" t="s">
        <v>9081</v>
      </c>
      <c r="C4421" s="2" t="n">
        <v>3</v>
      </c>
      <c r="D4421" s="2" t="s">
        <v>1491</v>
      </c>
      <c r="E4421" s="2" t="s">
        <v>8083</v>
      </c>
      <c r="F4421" s="3" t="n">
        <v>46089.4333333333</v>
      </c>
      <c r="G4421" s="2" t="s">
        <v>8917</v>
      </c>
      <c r="H4421" s="4" t="n">
        <v>-0.1174</v>
      </c>
      <c r="I4421" s="2" t="s">
        <v>84</v>
      </c>
      <c r="J4421" s="2" t="s">
        <v>19</v>
      </c>
      <c r="K4421" s="2" t="n">
        <v>2</v>
      </c>
      <c r="L4421" s="2" t="n">
        <v>0</v>
      </c>
      <c r="M4421" s="2" t="n">
        <v>0</v>
      </c>
    </row>
    <row r="4422" customFormat="false" ht="15" hidden="false" customHeight="false" outlineLevel="0" collapsed="false">
      <c r="A4422" s="2" t="s">
        <v>9082</v>
      </c>
      <c r="B4422" s="2" t="s">
        <v>9083</v>
      </c>
      <c r="C4422" s="2" t="n">
        <v>3</v>
      </c>
      <c r="D4422" s="2" t="s">
        <v>831</v>
      </c>
      <c r="E4422" s="2" t="s">
        <v>8083</v>
      </c>
      <c r="F4422" s="3" t="n">
        <v>46089.45</v>
      </c>
      <c r="G4422" s="2" t="s">
        <v>8917</v>
      </c>
      <c r="H4422" s="4" t="n">
        <v>0.2023</v>
      </c>
      <c r="I4422" s="2" t="s">
        <v>23</v>
      </c>
      <c r="J4422" s="2" t="s">
        <v>19</v>
      </c>
      <c r="K4422" s="2" t="n">
        <v>5</v>
      </c>
      <c r="L4422" s="2" t="n">
        <v>0</v>
      </c>
      <c r="M4422" s="2" t="n">
        <v>0</v>
      </c>
    </row>
    <row r="4423" customFormat="false" ht="15" hidden="false" customHeight="false" outlineLevel="0" collapsed="false">
      <c r="A4423" s="2" t="s">
        <v>9084</v>
      </c>
      <c r="B4423" s="2" t="s">
        <v>9085</v>
      </c>
      <c r="C4423" s="2" t="n">
        <v>5</v>
      </c>
      <c r="D4423" s="2" t="s">
        <v>96</v>
      </c>
      <c r="E4423" s="2" t="s">
        <v>8083</v>
      </c>
      <c r="F4423" s="3" t="n">
        <v>46089.6229166667</v>
      </c>
      <c r="G4423" s="2" t="s">
        <v>8917</v>
      </c>
      <c r="H4423" s="4" t="n">
        <v>0.6369</v>
      </c>
      <c r="I4423" s="2" t="s">
        <v>23</v>
      </c>
      <c r="J4423" s="2" t="s">
        <v>19</v>
      </c>
      <c r="K4423" s="2" t="n">
        <v>6</v>
      </c>
      <c r="L4423" s="2" t="n">
        <v>0</v>
      </c>
      <c r="M4423" s="2" t="n">
        <v>0</v>
      </c>
    </row>
    <row r="4424" customFormat="false" ht="15" hidden="false" customHeight="false" outlineLevel="0" collapsed="false">
      <c r="A4424" s="2" t="s">
        <v>9086</v>
      </c>
      <c r="B4424" s="2" t="s">
        <v>9087</v>
      </c>
      <c r="C4424" s="2" t="n">
        <v>3</v>
      </c>
      <c r="D4424" s="2" t="s">
        <v>1952</v>
      </c>
      <c r="E4424" s="2" t="s">
        <v>8083</v>
      </c>
      <c r="F4424" s="3" t="n">
        <v>46089.8388888889</v>
      </c>
      <c r="G4424" s="2" t="s">
        <v>8917</v>
      </c>
      <c r="H4424" s="4" t="n">
        <v>0.5859</v>
      </c>
      <c r="I4424" s="2" t="s">
        <v>23</v>
      </c>
      <c r="J4424" s="2" t="s">
        <v>37</v>
      </c>
      <c r="K4424" s="2" t="n">
        <v>11</v>
      </c>
      <c r="L4424" s="2" t="n">
        <v>0</v>
      </c>
      <c r="M4424" s="2" t="n">
        <v>0</v>
      </c>
    </row>
    <row r="4425" customFormat="false" ht="15" hidden="false" customHeight="false" outlineLevel="0" collapsed="false">
      <c r="A4425" s="2" t="s">
        <v>9088</v>
      </c>
      <c r="B4425" s="2" t="s">
        <v>9089</v>
      </c>
      <c r="C4425" s="2" t="n">
        <v>4</v>
      </c>
      <c r="D4425" s="2" t="s">
        <v>127</v>
      </c>
      <c r="E4425" s="2" t="s">
        <v>8083</v>
      </c>
      <c r="F4425" s="3" t="n">
        <v>46089.8604166667</v>
      </c>
      <c r="G4425" s="2" t="s">
        <v>8917</v>
      </c>
      <c r="H4425" s="4" t="n">
        <v>0.9359</v>
      </c>
      <c r="I4425" s="2" t="s">
        <v>23</v>
      </c>
      <c r="J4425" s="2" t="s">
        <v>37</v>
      </c>
      <c r="K4425" s="2" t="n">
        <v>2</v>
      </c>
      <c r="L4425" s="2" t="n">
        <v>0</v>
      </c>
      <c r="M4425" s="2" t="n">
        <v>0</v>
      </c>
    </row>
    <row r="4426" customFormat="false" ht="15" hidden="false" customHeight="false" outlineLevel="0" collapsed="false">
      <c r="A4426" s="2" t="s">
        <v>9090</v>
      </c>
      <c r="B4426" s="2" t="s">
        <v>9091</v>
      </c>
      <c r="C4426" s="2" t="n">
        <v>4</v>
      </c>
      <c r="D4426" s="2" t="s">
        <v>127</v>
      </c>
      <c r="E4426" s="2" t="s">
        <v>8083</v>
      </c>
      <c r="F4426" s="3" t="n">
        <v>46089.8979166667</v>
      </c>
      <c r="G4426" s="2" t="s">
        <v>8917</v>
      </c>
      <c r="H4426" s="4" t="n">
        <v>0.9359</v>
      </c>
      <c r="I4426" s="2" t="s">
        <v>23</v>
      </c>
      <c r="J4426" s="2" t="s">
        <v>37</v>
      </c>
      <c r="K4426" s="2" t="n">
        <v>4</v>
      </c>
      <c r="L4426" s="2" t="n">
        <v>0</v>
      </c>
      <c r="M4426" s="2" t="n">
        <v>0</v>
      </c>
    </row>
    <row r="4427" customFormat="false" ht="15" hidden="false" customHeight="false" outlineLevel="0" collapsed="false">
      <c r="A4427" s="2" t="s">
        <v>9092</v>
      </c>
      <c r="B4427" s="2" t="s">
        <v>9093</v>
      </c>
      <c r="C4427" s="2" t="n">
        <v>4</v>
      </c>
      <c r="D4427" s="2" t="s">
        <v>127</v>
      </c>
      <c r="E4427" s="2" t="s">
        <v>8083</v>
      </c>
      <c r="F4427" s="3" t="n">
        <v>46090.0416666667</v>
      </c>
      <c r="G4427" s="2" t="s">
        <v>8917</v>
      </c>
      <c r="H4427" s="4" t="n">
        <v>0.9359</v>
      </c>
      <c r="I4427" s="2" t="s">
        <v>23</v>
      </c>
      <c r="J4427" s="2" t="s">
        <v>37</v>
      </c>
      <c r="K4427" s="2" t="n">
        <v>3</v>
      </c>
      <c r="L4427" s="2" t="n">
        <v>0</v>
      </c>
      <c r="M4427" s="2" t="n">
        <v>0</v>
      </c>
    </row>
    <row r="4428" customFormat="false" ht="15" hidden="false" customHeight="false" outlineLevel="0" collapsed="false">
      <c r="A4428" s="2" t="s">
        <v>9094</v>
      </c>
      <c r="B4428" s="2" t="s">
        <v>9095</v>
      </c>
      <c r="C4428" s="2" t="n">
        <v>5</v>
      </c>
      <c r="D4428" s="2" t="s">
        <v>40</v>
      </c>
      <c r="E4428" s="2" t="s">
        <v>8083</v>
      </c>
      <c r="F4428" s="3" t="n">
        <v>46090.1875</v>
      </c>
      <c r="G4428" s="2" t="s">
        <v>8917</v>
      </c>
      <c r="H4428" s="4" t="n">
        <v>0.4019</v>
      </c>
      <c r="I4428" s="2" t="s">
        <v>23</v>
      </c>
      <c r="J4428" s="2" t="s">
        <v>33</v>
      </c>
      <c r="K4428" s="2" t="n">
        <v>14</v>
      </c>
      <c r="L4428" s="2" t="n">
        <v>0</v>
      </c>
      <c r="M4428" s="2" t="n">
        <v>0</v>
      </c>
    </row>
    <row r="4429" customFormat="false" ht="15" hidden="false" customHeight="false" outlineLevel="0" collapsed="false">
      <c r="A4429" s="2" t="s">
        <v>9096</v>
      </c>
      <c r="B4429" s="2" t="s">
        <v>9097</v>
      </c>
      <c r="C4429" s="2" t="n">
        <v>3</v>
      </c>
      <c r="D4429" s="2" t="s">
        <v>36</v>
      </c>
      <c r="E4429" s="2" t="s">
        <v>8083</v>
      </c>
      <c r="F4429" s="3" t="n">
        <v>46090.1986111111</v>
      </c>
      <c r="G4429" s="2" t="s">
        <v>8917</v>
      </c>
      <c r="H4429" s="4" t="n">
        <v>0.4404</v>
      </c>
      <c r="I4429" s="2" t="s">
        <v>23</v>
      </c>
      <c r="J4429" s="2" t="s">
        <v>37</v>
      </c>
      <c r="K4429" s="2" t="n">
        <v>4</v>
      </c>
      <c r="L4429" s="2" t="n">
        <v>0</v>
      </c>
      <c r="M4429" s="2" t="n">
        <v>0</v>
      </c>
    </row>
    <row r="4430" customFormat="false" ht="15" hidden="false" customHeight="false" outlineLevel="0" collapsed="false">
      <c r="A4430" s="2" t="s">
        <v>9098</v>
      </c>
      <c r="B4430" s="2" t="s">
        <v>9099</v>
      </c>
      <c r="C4430" s="2" t="n">
        <v>4</v>
      </c>
      <c r="D4430" s="2" t="s">
        <v>213</v>
      </c>
      <c r="E4430" s="2" t="s">
        <v>8083</v>
      </c>
      <c r="F4430" s="3" t="n">
        <v>46090.2</v>
      </c>
      <c r="G4430" s="2" t="s">
        <v>8917</v>
      </c>
      <c r="H4430" s="4" t="n">
        <v>0.8651</v>
      </c>
      <c r="I4430" s="2" t="s">
        <v>23</v>
      </c>
      <c r="J4430" s="2" t="s">
        <v>19</v>
      </c>
      <c r="K4430" s="2" t="n">
        <v>0</v>
      </c>
      <c r="L4430" s="2" t="n">
        <v>0</v>
      </c>
      <c r="M4430" s="2" t="n">
        <v>0</v>
      </c>
    </row>
    <row r="4431" customFormat="false" ht="15" hidden="false" customHeight="false" outlineLevel="0" collapsed="false">
      <c r="A4431" s="2" t="s">
        <v>9100</v>
      </c>
      <c r="B4431" s="2" t="s">
        <v>9101</v>
      </c>
      <c r="C4431" s="2" t="n">
        <v>1</v>
      </c>
      <c r="D4431" s="2" t="s">
        <v>124</v>
      </c>
      <c r="E4431" s="2" t="s">
        <v>8083</v>
      </c>
      <c r="F4431" s="3" t="n">
        <v>46090.2125</v>
      </c>
      <c r="G4431" s="2" t="s">
        <v>8917</v>
      </c>
      <c r="H4431" s="4" t="n">
        <v>-0.0129</v>
      </c>
      <c r="I4431" s="2" t="s">
        <v>18</v>
      </c>
      <c r="J4431" s="2" t="s">
        <v>59</v>
      </c>
      <c r="K4431" s="2" t="n">
        <v>9</v>
      </c>
      <c r="L4431" s="2" t="n">
        <v>1</v>
      </c>
      <c r="M4431" s="2" t="n">
        <v>0</v>
      </c>
    </row>
    <row r="4432" customFormat="false" ht="15" hidden="false" customHeight="false" outlineLevel="0" collapsed="false">
      <c r="A4432" s="2" t="s">
        <v>9102</v>
      </c>
      <c r="B4432" s="2" t="s">
        <v>9103</v>
      </c>
      <c r="C4432" s="2" t="n">
        <v>4</v>
      </c>
      <c r="D4432" s="2" t="s">
        <v>2727</v>
      </c>
      <c r="E4432" s="2" t="s">
        <v>8083</v>
      </c>
      <c r="F4432" s="3" t="n">
        <v>46090.3305555556</v>
      </c>
      <c r="G4432" s="2" t="s">
        <v>8917</v>
      </c>
      <c r="H4432" s="4" t="n">
        <v>0.4019</v>
      </c>
      <c r="I4432" s="2" t="s">
        <v>23</v>
      </c>
      <c r="J4432" s="2" t="s">
        <v>33</v>
      </c>
      <c r="K4432" s="2" t="n">
        <v>5</v>
      </c>
      <c r="L4432" s="2" t="n">
        <v>0</v>
      </c>
      <c r="M4432" s="2" t="n">
        <v>0</v>
      </c>
    </row>
    <row r="4433" customFormat="false" ht="15" hidden="false" customHeight="false" outlineLevel="0" collapsed="false">
      <c r="A4433" s="2" t="s">
        <v>9104</v>
      </c>
      <c r="B4433" s="2" t="s">
        <v>9105</v>
      </c>
      <c r="C4433" s="2" t="n">
        <v>4</v>
      </c>
      <c r="D4433" s="2" t="s">
        <v>62</v>
      </c>
      <c r="E4433" s="2" t="s">
        <v>8083</v>
      </c>
      <c r="F4433" s="3" t="n">
        <v>46090.38125</v>
      </c>
      <c r="G4433" s="2" t="s">
        <v>8917</v>
      </c>
      <c r="H4433" s="4" t="n">
        <v>0.7088</v>
      </c>
      <c r="I4433" s="2" t="s">
        <v>23</v>
      </c>
      <c r="J4433" s="2" t="s">
        <v>19</v>
      </c>
      <c r="K4433" s="2" t="n">
        <v>6</v>
      </c>
      <c r="L4433" s="2" t="n">
        <v>0</v>
      </c>
      <c r="M4433" s="2" t="n">
        <v>0</v>
      </c>
    </row>
    <row r="4434" customFormat="false" ht="15" hidden="false" customHeight="false" outlineLevel="0" collapsed="false">
      <c r="A4434" s="2" t="s">
        <v>9106</v>
      </c>
      <c r="B4434" s="2" t="s">
        <v>9107</v>
      </c>
      <c r="C4434" s="2" t="n">
        <v>2</v>
      </c>
      <c r="D4434" s="2" t="s">
        <v>234</v>
      </c>
      <c r="E4434" s="2" t="s">
        <v>8083</v>
      </c>
      <c r="F4434" s="3" t="n">
        <v>46090.5993055556</v>
      </c>
      <c r="G4434" s="2" t="s">
        <v>8917</v>
      </c>
      <c r="H4434" s="4" t="n">
        <v>0</v>
      </c>
      <c r="I4434" s="2" t="s">
        <v>18</v>
      </c>
      <c r="J4434" s="2" t="s">
        <v>165</v>
      </c>
      <c r="K4434" s="2" t="n">
        <v>2</v>
      </c>
      <c r="L4434" s="2" t="n">
        <v>1</v>
      </c>
      <c r="M4434" s="2" t="n">
        <v>0</v>
      </c>
    </row>
    <row r="4435" customFormat="false" ht="15" hidden="false" customHeight="false" outlineLevel="0" collapsed="false">
      <c r="A4435" s="2" t="s">
        <v>9108</v>
      </c>
      <c r="B4435" s="2" t="s">
        <v>9109</v>
      </c>
      <c r="C4435" s="2" t="n">
        <v>3</v>
      </c>
      <c r="D4435" s="2" t="s">
        <v>99</v>
      </c>
      <c r="E4435" s="2" t="s">
        <v>8083</v>
      </c>
      <c r="F4435" s="3" t="n">
        <v>46090.9076388889</v>
      </c>
      <c r="G4435" s="2" t="s">
        <v>8917</v>
      </c>
      <c r="H4435" s="4" t="n">
        <v>-0.3089</v>
      </c>
      <c r="I4435" s="2" t="s">
        <v>84</v>
      </c>
      <c r="J4435" s="2" t="s">
        <v>19</v>
      </c>
      <c r="K4435" s="2" t="n">
        <v>6</v>
      </c>
      <c r="L4435" s="2" t="n">
        <v>0</v>
      </c>
      <c r="M4435" s="2" t="n">
        <v>0</v>
      </c>
    </row>
    <row r="4436" customFormat="false" ht="15" hidden="false" customHeight="false" outlineLevel="0" collapsed="false">
      <c r="A4436" s="2" t="s">
        <v>9110</v>
      </c>
      <c r="B4436" s="2" t="s">
        <v>9111</v>
      </c>
      <c r="C4436" s="2" t="n">
        <v>2</v>
      </c>
      <c r="D4436" s="2" t="s">
        <v>9112</v>
      </c>
      <c r="E4436" s="2" t="s">
        <v>8083</v>
      </c>
      <c r="F4436" s="3" t="n">
        <v>46091.0888888889</v>
      </c>
      <c r="G4436" s="2" t="s">
        <v>8917</v>
      </c>
      <c r="H4436" s="4" t="n">
        <v>0.1779</v>
      </c>
      <c r="I4436" s="2" t="s">
        <v>23</v>
      </c>
      <c r="J4436" s="2" t="s">
        <v>59</v>
      </c>
      <c r="K4436" s="2" t="n">
        <v>4</v>
      </c>
      <c r="L4436" s="2" t="n">
        <v>0</v>
      </c>
      <c r="M4436" s="2" t="n">
        <v>0</v>
      </c>
    </row>
    <row r="4437" customFormat="false" ht="15" hidden="false" customHeight="false" outlineLevel="0" collapsed="false">
      <c r="A4437" s="2" t="s">
        <v>9113</v>
      </c>
      <c r="B4437" s="2" t="s">
        <v>9114</v>
      </c>
      <c r="C4437" s="2" t="n">
        <v>5</v>
      </c>
      <c r="D4437" s="2" t="s">
        <v>1424</v>
      </c>
      <c r="E4437" s="2" t="s">
        <v>8083</v>
      </c>
      <c r="F4437" s="3" t="n">
        <v>46091.1291666667</v>
      </c>
      <c r="G4437" s="2" t="s">
        <v>8917</v>
      </c>
      <c r="H4437" s="4" t="n">
        <v>0.3089</v>
      </c>
      <c r="I4437" s="2" t="s">
        <v>23</v>
      </c>
      <c r="J4437" s="2" t="s">
        <v>19</v>
      </c>
      <c r="K4437" s="2" t="n">
        <v>11</v>
      </c>
      <c r="L4437" s="2" t="n">
        <v>0</v>
      </c>
      <c r="M4437" s="2" t="n">
        <v>0</v>
      </c>
    </row>
    <row r="4438" customFormat="false" ht="15" hidden="false" customHeight="false" outlineLevel="0" collapsed="false">
      <c r="A4438" s="2" t="s">
        <v>9115</v>
      </c>
      <c r="B4438" s="2" t="s">
        <v>9116</v>
      </c>
      <c r="C4438" s="2" t="n">
        <v>5</v>
      </c>
      <c r="D4438" s="2" t="s">
        <v>1217</v>
      </c>
      <c r="E4438" s="2" t="s">
        <v>8083</v>
      </c>
      <c r="F4438" s="3" t="n">
        <v>46091.1465277778</v>
      </c>
      <c r="G4438" s="2" t="s">
        <v>8917</v>
      </c>
      <c r="H4438" s="4" t="n">
        <v>0.8748</v>
      </c>
      <c r="I4438" s="2" t="s">
        <v>23</v>
      </c>
      <c r="J4438" s="2" t="s">
        <v>37</v>
      </c>
      <c r="K4438" s="2" t="n">
        <v>0</v>
      </c>
      <c r="L4438" s="2" t="n">
        <v>0</v>
      </c>
      <c r="M4438" s="2" t="n">
        <v>0</v>
      </c>
    </row>
    <row r="4439" customFormat="false" ht="15" hidden="false" customHeight="false" outlineLevel="0" collapsed="false">
      <c r="A4439" s="2" t="s">
        <v>9117</v>
      </c>
      <c r="B4439" s="2" t="s">
        <v>9118</v>
      </c>
      <c r="C4439" s="2" t="n">
        <v>5</v>
      </c>
      <c r="D4439" s="2" t="s">
        <v>15</v>
      </c>
      <c r="E4439" s="2" t="s">
        <v>8083</v>
      </c>
      <c r="F4439" s="3" t="n">
        <v>46091.2826388889</v>
      </c>
      <c r="G4439" s="2" t="s">
        <v>8917</v>
      </c>
      <c r="H4439" s="4" t="n">
        <v>0</v>
      </c>
      <c r="I4439" s="2" t="s">
        <v>18</v>
      </c>
      <c r="J4439" s="2" t="s">
        <v>19</v>
      </c>
      <c r="K4439" s="2" t="n">
        <v>1</v>
      </c>
      <c r="L4439" s="2" t="n">
        <v>0</v>
      </c>
      <c r="M4439" s="2" t="n">
        <v>0</v>
      </c>
    </row>
    <row r="4440" customFormat="false" ht="15" hidden="false" customHeight="false" outlineLevel="0" collapsed="false">
      <c r="A4440" s="2" t="s">
        <v>9119</v>
      </c>
      <c r="B4440" s="2" t="s">
        <v>9120</v>
      </c>
      <c r="C4440" s="2" t="n">
        <v>5</v>
      </c>
      <c r="D4440" s="2" t="s">
        <v>1052</v>
      </c>
      <c r="E4440" s="2" t="s">
        <v>8083</v>
      </c>
      <c r="F4440" s="3" t="n">
        <v>46091.49375</v>
      </c>
      <c r="G4440" s="2" t="s">
        <v>8917</v>
      </c>
      <c r="H4440" s="4" t="n">
        <v>0.7088</v>
      </c>
      <c r="I4440" s="2" t="s">
        <v>23</v>
      </c>
      <c r="J4440" s="2" t="s">
        <v>19</v>
      </c>
      <c r="K4440" s="2" t="n">
        <v>2</v>
      </c>
      <c r="L4440" s="2" t="n">
        <v>0</v>
      </c>
      <c r="M4440" s="2" t="n">
        <v>0</v>
      </c>
    </row>
    <row r="4441" customFormat="false" ht="15" hidden="false" customHeight="false" outlineLevel="0" collapsed="false">
      <c r="A4441" s="2" t="s">
        <v>9121</v>
      </c>
      <c r="B4441" s="2" t="s">
        <v>9122</v>
      </c>
      <c r="C4441" s="2" t="n">
        <v>3</v>
      </c>
      <c r="D4441" s="2" t="s">
        <v>301</v>
      </c>
      <c r="E4441" s="2" t="s">
        <v>8083</v>
      </c>
      <c r="F4441" s="3" t="n">
        <v>46091.5180555556</v>
      </c>
      <c r="G4441" s="2" t="s">
        <v>8917</v>
      </c>
      <c r="H4441" s="4" t="n">
        <v>0.2263</v>
      </c>
      <c r="I4441" s="2" t="s">
        <v>23</v>
      </c>
      <c r="J4441" s="2" t="s">
        <v>19</v>
      </c>
      <c r="K4441" s="2" t="n">
        <v>2</v>
      </c>
      <c r="L4441" s="2" t="n">
        <v>0</v>
      </c>
      <c r="M4441" s="2" t="n">
        <v>0</v>
      </c>
    </row>
    <row r="4442" customFormat="false" ht="15" hidden="false" customHeight="false" outlineLevel="0" collapsed="false">
      <c r="A4442" s="2" t="s">
        <v>9123</v>
      </c>
      <c r="B4442" s="2" t="s">
        <v>9124</v>
      </c>
      <c r="C4442" s="2" t="n">
        <v>3</v>
      </c>
      <c r="D4442" s="2" t="s">
        <v>301</v>
      </c>
      <c r="E4442" s="2" t="s">
        <v>8083</v>
      </c>
      <c r="F4442" s="3" t="n">
        <v>46091.5840277778</v>
      </c>
      <c r="G4442" s="2" t="s">
        <v>8917</v>
      </c>
      <c r="H4442" s="4" t="n">
        <v>0.2263</v>
      </c>
      <c r="I4442" s="2" t="s">
        <v>23</v>
      </c>
      <c r="J4442" s="2" t="s">
        <v>19</v>
      </c>
      <c r="K4442" s="2" t="n">
        <v>1</v>
      </c>
      <c r="L4442" s="2" t="n">
        <v>0</v>
      </c>
      <c r="M4442" s="2" t="n">
        <v>0</v>
      </c>
    </row>
    <row r="4443" customFormat="false" ht="15" hidden="false" customHeight="false" outlineLevel="0" collapsed="false">
      <c r="A4443" s="2" t="s">
        <v>9125</v>
      </c>
      <c r="B4443" s="2" t="s">
        <v>9126</v>
      </c>
      <c r="C4443" s="2" t="n">
        <v>4</v>
      </c>
      <c r="D4443" s="2" t="s">
        <v>90</v>
      </c>
      <c r="E4443" s="2" t="s">
        <v>8083</v>
      </c>
      <c r="F4443" s="3" t="n">
        <v>46091.7055555556</v>
      </c>
      <c r="G4443" s="2" t="s">
        <v>8917</v>
      </c>
      <c r="H4443" s="4" t="n">
        <v>0.6249</v>
      </c>
      <c r="I4443" s="2" t="s">
        <v>23</v>
      </c>
      <c r="J4443" s="2" t="s">
        <v>37</v>
      </c>
      <c r="K4443" s="2" t="n">
        <v>0</v>
      </c>
      <c r="L4443" s="2" t="n">
        <v>0</v>
      </c>
      <c r="M4443" s="2" t="n">
        <v>0</v>
      </c>
    </row>
    <row r="4444" customFormat="false" ht="15" hidden="false" customHeight="false" outlineLevel="0" collapsed="false">
      <c r="A4444" s="2" t="s">
        <v>9127</v>
      </c>
      <c r="B4444" s="2" t="s">
        <v>9128</v>
      </c>
      <c r="C4444" s="2" t="n">
        <v>5</v>
      </c>
      <c r="D4444" s="2" t="s">
        <v>127</v>
      </c>
      <c r="E4444" s="2" t="s">
        <v>8083</v>
      </c>
      <c r="F4444" s="3" t="n">
        <v>46091.76875</v>
      </c>
      <c r="G4444" s="2" t="s">
        <v>8917</v>
      </c>
      <c r="H4444" s="4" t="n">
        <v>0.9359</v>
      </c>
      <c r="I4444" s="2" t="s">
        <v>23</v>
      </c>
      <c r="J4444" s="2" t="s">
        <v>37</v>
      </c>
      <c r="K4444" s="2" t="n">
        <v>5</v>
      </c>
      <c r="L4444" s="2" t="n">
        <v>1</v>
      </c>
      <c r="M4444" s="2" t="n">
        <v>0</v>
      </c>
    </row>
    <row r="4445" customFormat="false" ht="15" hidden="false" customHeight="false" outlineLevel="0" collapsed="false">
      <c r="A4445" s="2" t="s">
        <v>9129</v>
      </c>
      <c r="B4445" s="2" t="s">
        <v>9130</v>
      </c>
      <c r="C4445" s="2" t="n">
        <v>5</v>
      </c>
      <c r="D4445" s="2" t="s">
        <v>47</v>
      </c>
      <c r="E4445" s="2" t="s">
        <v>8083</v>
      </c>
      <c r="F4445" s="3" t="n">
        <v>46091.925</v>
      </c>
      <c r="G4445" s="2" t="s">
        <v>8917</v>
      </c>
      <c r="H4445" s="4" t="n">
        <v>0.3089</v>
      </c>
      <c r="I4445" s="2" t="s">
        <v>23</v>
      </c>
      <c r="J4445" s="2" t="s">
        <v>19</v>
      </c>
      <c r="K4445" s="2" t="n">
        <v>0</v>
      </c>
      <c r="L4445" s="2" t="n">
        <v>0</v>
      </c>
      <c r="M4445" s="2" t="n">
        <v>0</v>
      </c>
    </row>
    <row r="4446" customFormat="false" ht="15" hidden="false" customHeight="false" outlineLevel="0" collapsed="false">
      <c r="A4446" s="2" t="s">
        <v>9131</v>
      </c>
      <c r="B4446" s="2" t="s">
        <v>4789</v>
      </c>
      <c r="C4446" s="2" t="n">
        <v>5</v>
      </c>
      <c r="D4446" s="2" t="s">
        <v>9132</v>
      </c>
      <c r="E4446" s="2" t="s">
        <v>8083</v>
      </c>
      <c r="F4446" s="3" t="n">
        <v>46091.9840277778</v>
      </c>
      <c r="G4446" s="2" t="s">
        <v>8917</v>
      </c>
      <c r="H4446" s="4" t="n">
        <v>0.9359</v>
      </c>
      <c r="I4446" s="2" t="s">
        <v>23</v>
      </c>
      <c r="J4446" s="2" t="s">
        <v>37</v>
      </c>
      <c r="K4446" s="2" t="n">
        <v>0</v>
      </c>
      <c r="L4446" s="2" t="n">
        <v>0</v>
      </c>
      <c r="M4446" s="2" t="n">
        <v>0</v>
      </c>
    </row>
    <row r="4447" customFormat="false" ht="15" hidden="false" customHeight="false" outlineLevel="0" collapsed="false">
      <c r="A4447" s="2" t="s">
        <v>9133</v>
      </c>
      <c r="B4447" s="2" t="s">
        <v>9134</v>
      </c>
      <c r="C4447" s="2" t="n">
        <v>5</v>
      </c>
      <c r="D4447" s="2" t="s">
        <v>407</v>
      </c>
      <c r="E4447" s="2" t="s">
        <v>8083</v>
      </c>
      <c r="F4447" s="3" t="n">
        <v>46092.0034722222</v>
      </c>
      <c r="G4447" s="2" t="s">
        <v>8917</v>
      </c>
      <c r="H4447" s="4" t="n">
        <v>0.7783</v>
      </c>
      <c r="I4447" s="2" t="s">
        <v>23</v>
      </c>
      <c r="J4447" s="2" t="s">
        <v>37</v>
      </c>
      <c r="K4447" s="2" t="n">
        <v>3</v>
      </c>
      <c r="L4447" s="2" t="n">
        <v>0</v>
      </c>
      <c r="M4447" s="2" t="n">
        <v>0</v>
      </c>
    </row>
    <row r="4448" customFormat="false" ht="15" hidden="false" customHeight="false" outlineLevel="0" collapsed="false">
      <c r="A4448" s="2" t="s">
        <v>9135</v>
      </c>
      <c r="B4448" s="2" t="s">
        <v>9136</v>
      </c>
      <c r="C4448" s="2" t="n">
        <v>4</v>
      </c>
      <c r="D4448" s="2" t="s">
        <v>87</v>
      </c>
      <c r="E4448" s="2" t="s">
        <v>8083</v>
      </c>
      <c r="F4448" s="3" t="n">
        <v>46092.1034722222</v>
      </c>
      <c r="G4448" s="2" t="s">
        <v>8917</v>
      </c>
      <c r="H4448" s="4" t="n">
        <v>0</v>
      </c>
      <c r="I4448" s="2" t="s">
        <v>18</v>
      </c>
      <c r="J4448" s="2" t="s">
        <v>19</v>
      </c>
      <c r="K4448" s="2" t="n">
        <v>8</v>
      </c>
      <c r="L4448" s="2" t="n">
        <v>0</v>
      </c>
      <c r="M4448" s="2" t="n">
        <v>0</v>
      </c>
    </row>
    <row r="4449" customFormat="false" ht="15" hidden="false" customHeight="false" outlineLevel="0" collapsed="false">
      <c r="A4449" s="2" t="s">
        <v>9137</v>
      </c>
      <c r="B4449" s="2" t="s">
        <v>9138</v>
      </c>
      <c r="C4449" s="2" t="n">
        <v>5</v>
      </c>
      <c r="D4449" s="2" t="s">
        <v>15</v>
      </c>
      <c r="E4449" s="2" t="s">
        <v>8083</v>
      </c>
      <c r="F4449" s="3" t="n">
        <v>46092.2472222222</v>
      </c>
      <c r="G4449" s="2" t="s">
        <v>8917</v>
      </c>
      <c r="H4449" s="4" t="n">
        <v>0</v>
      </c>
      <c r="I4449" s="2" t="s">
        <v>18</v>
      </c>
      <c r="J4449" s="2" t="s">
        <v>19</v>
      </c>
      <c r="K4449" s="2" t="n">
        <v>3</v>
      </c>
      <c r="L4449" s="2" t="n">
        <v>0</v>
      </c>
      <c r="M4449" s="2" t="n">
        <v>0</v>
      </c>
    </row>
    <row r="4450" customFormat="false" ht="15" hidden="false" customHeight="false" outlineLevel="0" collapsed="false">
      <c r="A4450" s="2" t="s">
        <v>9139</v>
      </c>
      <c r="B4450" s="2" t="s">
        <v>9140</v>
      </c>
      <c r="C4450" s="2" t="n">
        <v>5</v>
      </c>
      <c r="D4450" s="2" t="s">
        <v>15</v>
      </c>
      <c r="E4450" s="2" t="s">
        <v>8083</v>
      </c>
      <c r="F4450" s="3" t="n">
        <v>46092.3055555556</v>
      </c>
      <c r="G4450" s="2" t="s">
        <v>8917</v>
      </c>
      <c r="H4450" s="4" t="n">
        <v>0</v>
      </c>
      <c r="I4450" s="2" t="s">
        <v>18</v>
      </c>
      <c r="J4450" s="2" t="s">
        <v>19</v>
      </c>
      <c r="K4450" s="2" t="n">
        <v>2</v>
      </c>
      <c r="L4450" s="2" t="n">
        <v>0</v>
      </c>
      <c r="M4450" s="2" t="n">
        <v>0</v>
      </c>
    </row>
    <row r="4451" customFormat="false" ht="15" hidden="false" customHeight="false" outlineLevel="0" collapsed="false">
      <c r="A4451" s="2" t="s">
        <v>9141</v>
      </c>
      <c r="B4451" s="2" t="s">
        <v>9142</v>
      </c>
      <c r="C4451" s="2" t="n">
        <v>2</v>
      </c>
      <c r="D4451" s="2" t="s">
        <v>1942</v>
      </c>
      <c r="E4451" s="2" t="s">
        <v>8083</v>
      </c>
      <c r="F4451" s="3" t="n">
        <v>46092.40625</v>
      </c>
      <c r="G4451" s="2" t="s">
        <v>8917</v>
      </c>
      <c r="H4451" s="4" t="n">
        <v>0</v>
      </c>
      <c r="I4451" s="2" t="s">
        <v>18</v>
      </c>
      <c r="J4451" s="2" t="s">
        <v>165</v>
      </c>
      <c r="K4451" s="2" t="n">
        <v>0</v>
      </c>
      <c r="L4451" s="2" t="n">
        <v>1</v>
      </c>
      <c r="M4451" s="2" t="n">
        <v>0</v>
      </c>
    </row>
    <row r="4452" customFormat="false" ht="15" hidden="false" customHeight="false" outlineLevel="0" collapsed="false">
      <c r="A4452" s="2" t="s">
        <v>9143</v>
      </c>
      <c r="B4452" s="2" t="s">
        <v>9144</v>
      </c>
      <c r="C4452" s="2" t="n">
        <v>1</v>
      </c>
      <c r="D4452" s="2" t="s">
        <v>231</v>
      </c>
      <c r="E4452" s="2" t="s">
        <v>8083</v>
      </c>
      <c r="F4452" s="3" t="n">
        <v>46092.7145833333</v>
      </c>
      <c r="G4452" s="2" t="s">
        <v>8917</v>
      </c>
      <c r="H4452" s="4" t="n">
        <v>-0.3593</v>
      </c>
      <c r="I4452" s="2" t="s">
        <v>84</v>
      </c>
      <c r="J4452" s="2" t="s">
        <v>33</v>
      </c>
      <c r="K4452" s="2" t="n">
        <v>0</v>
      </c>
      <c r="L4452" s="2" t="n">
        <v>1</v>
      </c>
      <c r="M4452" s="2" t="n">
        <v>0</v>
      </c>
    </row>
    <row r="4453" customFormat="false" ht="15" hidden="false" customHeight="false" outlineLevel="0" collapsed="false">
      <c r="A4453" s="2" t="s">
        <v>9145</v>
      </c>
      <c r="B4453" s="2" t="s">
        <v>9146</v>
      </c>
      <c r="C4453" s="2" t="n">
        <v>5</v>
      </c>
      <c r="D4453" s="2" t="s">
        <v>15</v>
      </c>
      <c r="E4453" s="2" t="s">
        <v>8083</v>
      </c>
      <c r="F4453" s="3" t="n">
        <v>46092.7722222222</v>
      </c>
      <c r="G4453" s="2" t="s">
        <v>8917</v>
      </c>
      <c r="H4453" s="4" t="n">
        <v>0</v>
      </c>
      <c r="I4453" s="2" t="s">
        <v>18</v>
      </c>
      <c r="J4453" s="2" t="s">
        <v>19</v>
      </c>
      <c r="K4453" s="2" t="n">
        <v>5</v>
      </c>
      <c r="L4453" s="2" t="n">
        <v>0</v>
      </c>
      <c r="M4453" s="2" t="n">
        <v>0</v>
      </c>
    </row>
    <row r="4454" customFormat="false" ht="15" hidden="false" customHeight="false" outlineLevel="0" collapsed="false">
      <c r="A4454" s="2" t="s">
        <v>9147</v>
      </c>
      <c r="B4454" s="2" t="s">
        <v>9148</v>
      </c>
      <c r="C4454" s="2" t="n">
        <v>4</v>
      </c>
      <c r="D4454" s="2" t="s">
        <v>47</v>
      </c>
      <c r="E4454" s="2" t="s">
        <v>8083</v>
      </c>
      <c r="F4454" s="3" t="n">
        <v>46092.8104166667</v>
      </c>
      <c r="G4454" s="2" t="s">
        <v>8917</v>
      </c>
      <c r="H4454" s="4" t="n">
        <v>0.3089</v>
      </c>
      <c r="I4454" s="2" t="s">
        <v>23</v>
      </c>
      <c r="J4454" s="2" t="s">
        <v>19</v>
      </c>
      <c r="K4454" s="2" t="n">
        <v>5</v>
      </c>
      <c r="L4454" s="2" t="n">
        <v>0</v>
      </c>
      <c r="M4454" s="2" t="n">
        <v>0</v>
      </c>
    </row>
    <row r="4455" customFormat="false" ht="15" hidden="false" customHeight="false" outlineLevel="0" collapsed="false">
      <c r="A4455" s="2" t="s">
        <v>9149</v>
      </c>
      <c r="B4455" s="2" t="s">
        <v>9150</v>
      </c>
      <c r="C4455" s="2" t="n">
        <v>4</v>
      </c>
      <c r="D4455" s="2" t="s">
        <v>1018</v>
      </c>
      <c r="E4455" s="2" t="s">
        <v>8083</v>
      </c>
      <c r="F4455" s="3" t="n">
        <v>46092.8256944444</v>
      </c>
      <c r="G4455" s="2" t="s">
        <v>8917</v>
      </c>
      <c r="H4455" s="4" t="n">
        <v>0.803</v>
      </c>
      <c r="I4455" s="2" t="s">
        <v>23</v>
      </c>
      <c r="J4455" s="2" t="s">
        <v>19</v>
      </c>
      <c r="K4455" s="2" t="n">
        <v>3</v>
      </c>
      <c r="L4455" s="2" t="n">
        <v>0</v>
      </c>
      <c r="M4455" s="2" t="n">
        <v>0</v>
      </c>
    </row>
    <row r="4456" customFormat="false" ht="15" hidden="false" customHeight="false" outlineLevel="0" collapsed="false">
      <c r="A4456" s="2" t="s">
        <v>9151</v>
      </c>
      <c r="B4456" s="2" t="s">
        <v>9152</v>
      </c>
      <c r="C4456" s="2" t="n">
        <v>3</v>
      </c>
      <c r="D4456" s="2" t="s">
        <v>22</v>
      </c>
      <c r="E4456" s="2" t="s">
        <v>8083</v>
      </c>
      <c r="F4456" s="3" t="n">
        <v>46093.0604166667</v>
      </c>
      <c r="G4456" s="2" t="s">
        <v>8917</v>
      </c>
      <c r="H4456" s="4" t="n">
        <v>0.2023</v>
      </c>
      <c r="I4456" s="2" t="s">
        <v>23</v>
      </c>
      <c r="J4456" s="2" t="s">
        <v>19</v>
      </c>
      <c r="K4456" s="2" t="n">
        <v>3</v>
      </c>
      <c r="L4456" s="2" t="n">
        <v>0</v>
      </c>
      <c r="M4456" s="2" t="n">
        <v>0</v>
      </c>
    </row>
    <row r="4457" customFormat="false" ht="15" hidden="false" customHeight="false" outlineLevel="0" collapsed="false">
      <c r="A4457" s="2" t="s">
        <v>9153</v>
      </c>
      <c r="B4457" s="2" t="s">
        <v>9154</v>
      </c>
      <c r="C4457" s="2" t="n">
        <v>5</v>
      </c>
      <c r="D4457" s="2" t="s">
        <v>96</v>
      </c>
      <c r="E4457" s="2" t="s">
        <v>8083</v>
      </c>
      <c r="F4457" s="3" t="n">
        <v>46093.1229166667</v>
      </c>
      <c r="G4457" s="2" t="s">
        <v>8917</v>
      </c>
      <c r="H4457" s="4" t="n">
        <v>0.6369</v>
      </c>
      <c r="I4457" s="2" t="s">
        <v>23</v>
      </c>
      <c r="J4457" s="2" t="s">
        <v>19</v>
      </c>
      <c r="K4457" s="2" t="n">
        <v>0</v>
      </c>
      <c r="L4457" s="2" t="n">
        <v>0</v>
      </c>
      <c r="M4457" s="2" t="n">
        <v>0</v>
      </c>
    </row>
    <row r="4458" customFormat="false" ht="15" hidden="false" customHeight="false" outlineLevel="0" collapsed="false">
      <c r="A4458" s="2" t="s">
        <v>9155</v>
      </c>
      <c r="B4458" s="2" t="s">
        <v>9156</v>
      </c>
      <c r="C4458" s="2" t="n">
        <v>2</v>
      </c>
      <c r="D4458" s="2" t="s">
        <v>231</v>
      </c>
      <c r="E4458" s="2" t="s">
        <v>8083</v>
      </c>
      <c r="F4458" s="3" t="n">
        <v>46093.1770833333</v>
      </c>
      <c r="G4458" s="2" t="s">
        <v>8917</v>
      </c>
      <c r="H4458" s="4" t="n">
        <v>-0.3593</v>
      </c>
      <c r="I4458" s="2" t="s">
        <v>84</v>
      </c>
      <c r="J4458" s="2" t="s">
        <v>33</v>
      </c>
      <c r="K4458" s="2" t="n">
        <v>3</v>
      </c>
      <c r="L4458" s="2" t="n">
        <v>1</v>
      </c>
      <c r="M4458" s="2" t="n">
        <v>0</v>
      </c>
    </row>
    <row r="4459" customFormat="false" ht="15" hidden="false" customHeight="false" outlineLevel="0" collapsed="false">
      <c r="A4459" s="2" t="s">
        <v>9157</v>
      </c>
      <c r="B4459" s="2" t="s">
        <v>9158</v>
      </c>
      <c r="C4459" s="2" t="n">
        <v>5</v>
      </c>
      <c r="D4459" s="2" t="s">
        <v>1167</v>
      </c>
      <c r="E4459" s="2" t="s">
        <v>8083</v>
      </c>
      <c r="F4459" s="3" t="n">
        <v>46093.2597222222</v>
      </c>
      <c r="G4459" s="2" t="s">
        <v>8917</v>
      </c>
      <c r="H4459" s="4" t="n">
        <v>0.8519</v>
      </c>
      <c r="I4459" s="2" t="s">
        <v>23</v>
      </c>
      <c r="J4459" s="2" t="s">
        <v>37</v>
      </c>
      <c r="K4459" s="2" t="n">
        <v>2</v>
      </c>
      <c r="L4459" s="2" t="n">
        <v>0</v>
      </c>
      <c r="M4459" s="2" t="n">
        <v>0</v>
      </c>
    </row>
    <row r="4460" customFormat="false" ht="15" hidden="false" customHeight="false" outlineLevel="0" collapsed="false">
      <c r="A4460" s="2" t="s">
        <v>9159</v>
      </c>
      <c r="B4460" s="2" t="s">
        <v>9160</v>
      </c>
      <c r="C4460" s="2" t="n">
        <v>4</v>
      </c>
      <c r="D4460" s="2" t="s">
        <v>127</v>
      </c>
      <c r="E4460" s="2" t="s">
        <v>8083</v>
      </c>
      <c r="F4460" s="3" t="n">
        <v>46093.2604166667</v>
      </c>
      <c r="G4460" s="2" t="s">
        <v>8917</v>
      </c>
      <c r="H4460" s="4" t="n">
        <v>0.9359</v>
      </c>
      <c r="I4460" s="2" t="s">
        <v>23</v>
      </c>
      <c r="J4460" s="2" t="s">
        <v>37</v>
      </c>
      <c r="K4460" s="2" t="n">
        <v>1</v>
      </c>
      <c r="L4460" s="2" t="n">
        <v>0</v>
      </c>
      <c r="M4460" s="2" t="n">
        <v>0</v>
      </c>
    </row>
    <row r="4461" customFormat="false" ht="15" hidden="false" customHeight="false" outlineLevel="0" collapsed="false">
      <c r="A4461" s="2" t="s">
        <v>9161</v>
      </c>
      <c r="B4461" s="2" t="s">
        <v>9162</v>
      </c>
      <c r="C4461" s="2" t="n">
        <v>5</v>
      </c>
      <c r="D4461" s="2" t="s">
        <v>47</v>
      </c>
      <c r="E4461" s="2" t="s">
        <v>8083</v>
      </c>
      <c r="F4461" s="3" t="n">
        <v>46093.34375</v>
      </c>
      <c r="G4461" s="2" t="s">
        <v>8917</v>
      </c>
      <c r="H4461" s="4" t="n">
        <v>0.3089</v>
      </c>
      <c r="I4461" s="2" t="s">
        <v>23</v>
      </c>
      <c r="J4461" s="2" t="s">
        <v>19</v>
      </c>
      <c r="K4461" s="2" t="n">
        <v>0</v>
      </c>
      <c r="L4461" s="2" t="n">
        <v>0</v>
      </c>
      <c r="M4461" s="2" t="n">
        <v>0</v>
      </c>
    </row>
    <row r="4462" customFormat="false" ht="15" hidden="false" customHeight="false" outlineLevel="0" collapsed="false">
      <c r="A4462" s="2" t="s">
        <v>9163</v>
      </c>
      <c r="B4462" s="2" t="s">
        <v>9164</v>
      </c>
      <c r="C4462" s="2" t="n">
        <v>1</v>
      </c>
      <c r="D4462" s="2" t="s">
        <v>168</v>
      </c>
      <c r="E4462" s="2" t="s">
        <v>8083</v>
      </c>
      <c r="F4462" s="3" t="n">
        <v>46093.3472222222</v>
      </c>
      <c r="G4462" s="2" t="s">
        <v>8917</v>
      </c>
      <c r="H4462" s="4" t="n">
        <v>-0.1027</v>
      </c>
      <c r="I4462" s="2" t="s">
        <v>84</v>
      </c>
      <c r="J4462" s="2" t="s">
        <v>33</v>
      </c>
      <c r="K4462" s="2" t="n">
        <v>3</v>
      </c>
      <c r="L4462" s="2" t="n">
        <v>1</v>
      </c>
      <c r="M4462" s="2" t="n">
        <v>0</v>
      </c>
    </row>
    <row r="4463" customFormat="false" ht="15" hidden="false" customHeight="false" outlineLevel="0" collapsed="false">
      <c r="A4463" s="2" t="s">
        <v>9165</v>
      </c>
      <c r="B4463" s="2" t="s">
        <v>342</v>
      </c>
      <c r="C4463" s="2" t="n">
        <v>5</v>
      </c>
      <c r="D4463" s="2" t="s">
        <v>1622</v>
      </c>
      <c r="E4463" s="2" t="s">
        <v>8083</v>
      </c>
      <c r="F4463" s="3" t="n">
        <v>46093.4819444444</v>
      </c>
      <c r="G4463" s="2" t="s">
        <v>8917</v>
      </c>
      <c r="H4463" s="4" t="n">
        <v>0.8555</v>
      </c>
      <c r="I4463" s="2" t="s">
        <v>23</v>
      </c>
      <c r="J4463" s="2" t="s">
        <v>19</v>
      </c>
      <c r="K4463" s="2" t="n">
        <v>5</v>
      </c>
      <c r="L4463" s="2" t="n">
        <v>1</v>
      </c>
      <c r="M4463" s="2" t="n">
        <v>0</v>
      </c>
    </row>
    <row r="4464" customFormat="false" ht="15" hidden="false" customHeight="false" outlineLevel="0" collapsed="false">
      <c r="A4464" s="2" t="s">
        <v>9166</v>
      </c>
      <c r="B4464" s="2" t="s">
        <v>9167</v>
      </c>
      <c r="C4464" s="2" t="n">
        <v>5</v>
      </c>
      <c r="D4464" s="2" t="s">
        <v>40</v>
      </c>
      <c r="E4464" s="2" t="s">
        <v>8083</v>
      </c>
      <c r="F4464" s="3" t="n">
        <v>46093.4979166667</v>
      </c>
      <c r="G4464" s="2" t="s">
        <v>8917</v>
      </c>
      <c r="H4464" s="4" t="n">
        <v>0.4019</v>
      </c>
      <c r="I4464" s="2" t="s">
        <v>23</v>
      </c>
      <c r="J4464" s="2" t="s">
        <v>33</v>
      </c>
      <c r="K4464" s="2" t="n">
        <v>6</v>
      </c>
      <c r="L4464" s="2" t="n">
        <v>0</v>
      </c>
      <c r="M4464" s="2" t="n">
        <v>0</v>
      </c>
    </row>
    <row r="4465" customFormat="false" ht="15" hidden="false" customHeight="false" outlineLevel="0" collapsed="false">
      <c r="A4465" s="2" t="s">
        <v>9168</v>
      </c>
      <c r="B4465" s="2" t="s">
        <v>9169</v>
      </c>
      <c r="C4465" s="2" t="n">
        <v>4</v>
      </c>
      <c r="D4465" s="2" t="s">
        <v>52</v>
      </c>
      <c r="E4465" s="2" t="s">
        <v>8083</v>
      </c>
      <c r="F4465" s="3" t="n">
        <v>46093.65625</v>
      </c>
      <c r="G4465" s="2" t="s">
        <v>8917</v>
      </c>
      <c r="H4465" s="4" t="n">
        <v>0.6369</v>
      </c>
      <c r="I4465" s="2" t="s">
        <v>23</v>
      </c>
      <c r="J4465" s="2" t="s">
        <v>19</v>
      </c>
      <c r="K4465" s="2" t="n">
        <v>1</v>
      </c>
      <c r="L4465" s="2" t="n">
        <v>0</v>
      </c>
      <c r="M4465" s="2" t="n">
        <v>0</v>
      </c>
    </row>
    <row r="4466" customFormat="false" ht="15" hidden="false" customHeight="false" outlineLevel="0" collapsed="false">
      <c r="A4466" s="2" t="s">
        <v>9170</v>
      </c>
      <c r="B4466" s="2" t="s">
        <v>9171</v>
      </c>
      <c r="C4466" s="2" t="n">
        <v>5</v>
      </c>
      <c r="D4466" s="2" t="s">
        <v>875</v>
      </c>
      <c r="E4466" s="2" t="s">
        <v>8083</v>
      </c>
      <c r="F4466" s="3" t="n">
        <v>46093.69375</v>
      </c>
      <c r="G4466" s="2" t="s">
        <v>8917</v>
      </c>
      <c r="H4466" s="4" t="n">
        <v>0.7992</v>
      </c>
      <c r="I4466" s="2" t="s">
        <v>23</v>
      </c>
      <c r="J4466" s="2" t="s">
        <v>19</v>
      </c>
      <c r="K4466" s="2" t="n">
        <v>1</v>
      </c>
      <c r="L4466" s="2" t="n">
        <v>0</v>
      </c>
      <c r="M4466" s="2" t="n">
        <v>0</v>
      </c>
    </row>
    <row r="4467" customFormat="false" ht="15" hidden="false" customHeight="false" outlineLevel="0" collapsed="false">
      <c r="A4467" s="2" t="s">
        <v>9172</v>
      </c>
      <c r="B4467" s="2" t="s">
        <v>9173</v>
      </c>
      <c r="C4467" s="2" t="n">
        <v>4</v>
      </c>
      <c r="D4467" s="2" t="s">
        <v>62</v>
      </c>
      <c r="E4467" s="2" t="s">
        <v>8083</v>
      </c>
      <c r="F4467" s="3" t="n">
        <v>46093.8111111111</v>
      </c>
      <c r="G4467" s="2" t="s">
        <v>8917</v>
      </c>
      <c r="H4467" s="4" t="n">
        <v>0.7088</v>
      </c>
      <c r="I4467" s="2" t="s">
        <v>23</v>
      </c>
      <c r="J4467" s="2" t="s">
        <v>19</v>
      </c>
      <c r="K4467" s="2" t="n">
        <v>2</v>
      </c>
      <c r="L4467" s="2" t="n">
        <v>0</v>
      </c>
      <c r="M4467" s="2" t="n">
        <v>0</v>
      </c>
    </row>
    <row r="4468" customFormat="false" ht="15" hidden="false" customHeight="false" outlineLevel="0" collapsed="false">
      <c r="A4468" s="2" t="s">
        <v>9174</v>
      </c>
      <c r="B4468" s="2" t="s">
        <v>9175</v>
      </c>
      <c r="C4468" s="2" t="n">
        <v>5</v>
      </c>
      <c r="D4468" s="2" t="s">
        <v>47</v>
      </c>
      <c r="E4468" s="2" t="s">
        <v>8083</v>
      </c>
      <c r="F4468" s="3" t="n">
        <v>46093.8166666667</v>
      </c>
      <c r="G4468" s="2" t="s">
        <v>8917</v>
      </c>
      <c r="H4468" s="4" t="n">
        <v>0.3089</v>
      </c>
      <c r="I4468" s="2" t="s">
        <v>23</v>
      </c>
      <c r="J4468" s="2" t="s">
        <v>19</v>
      </c>
      <c r="K4468" s="2" t="n">
        <v>9</v>
      </c>
      <c r="L4468" s="2" t="n">
        <v>0</v>
      </c>
      <c r="M4468" s="2" t="n">
        <v>0</v>
      </c>
    </row>
    <row r="4469" customFormat="false" ht="15" hidden="false" customHeight="false" outlineLevel="0" collapsed="false">
      <c r="A4469" s="2" t="s">
        <v>9176</v>
      </c>
      <c r="B4469" s="2" t="s">
        <v>9177</v>
      </c>
      <c r="C4469" s="2" t="n">
        <v>4</v>
      </c>
      <c r="D4469" s="2" t="s">
        <v>52</v>
      </c>
      <c r="E4469" s="2" t="s">
        <v>8083</v>
      </c>
      <c r="F4469" s="3" t="n">
        <v>46093.8611111111</v>
      </c>
      <c r="G4469" s="2" t="s">
        <v>8917</v>
      </c>
      <c r="H4469" s="4" t="n">
        <v>0.6369</v>
      </c>
      <c r="I4469" s="2" t="s">
        <v>23</v>
      </c>
      <c r="J4469" s="2" t="s">
        <v>19</v>
      </c>
      <c r="K4469" s="2" t="n">
        <v>3</v>
      </c>
      <c r="L4469" s="2" t="n">
        <v>0</v>
      </c>
      <c r="M4469" s="2" t="n">
        <v>0</v>
      </c>
    </row>
    <row r="4470" customFormat="false" ht="15" hidden="false" customHeight="false" outlineLevel="0" collapsed="false">
      <c r="A4470" s="2" t="s">
        <v>9178</v>
      </c>
      <c r="B4470" s="2" t="s">
        <v>9179</v>
      </c>
      <c r="C4470" s="2" t="n">
        <v>5</v>
      </c>
      <c r="D4470" s="2" t="s">
        <v>62</v>
      </c>
      <c r="E4470" s="2" t="s">
        <v>8083</v>
      </c>
      <c r="F4470" s="3" t="n">
        <v>46094.1048611111</v>
      </c>
      <c r="G4470" s="2" t="s">
        <v>8917</v>
      </c>
      <c r="H4470" s="4" t="n">
        <v>0.7088</v>
      </c>
      <c r="I4470" s="2" t="s">
        <v>23</v>
      </c>
      <c r="J4470" s="2" t="s">
        <v>19</v>
      </c>
      <c r="K4470" s="2" t="n">
        <v>1</v>
      </c>
      <c r="L4470" s="2" t="n">
        <v>0</v>
      </c>
      <c r="M4470" s="2" t="n">
        <v>0</v>
      </c>
    </row>
    <row r="4471" customFormat="false" ht="15" hidden="false" customHeight="false" outlineLevel="0" collapsed="false">
      <c r="A4471" s="2" t="s">
        <v>9180</v>
      </c>
      <c r="B4471" s="2" t="s">
        <v>9181</v>
      </c>
      <c r="C4471" s="2" t="n">
        <v>4</v>
      </c>
      <c r="D4471" s="2" t="s">
        <v>807</v>
      </c>
      <c r="E4471" s="2" t="s">
        <v>8083</v>
      </c>
      <c r="F4471" s="3" t="n">
        <v>46094.3347222222</v>
      </c>
      <c r="G4471" s="2" t="s">
        <v>8917</v>
      </c>
      <c r="H4471" s="4" t="n">
        <v>0.6369</v>
      </c>
      <c r="I4471" s="2" t="s">
        <v>23</v>
      </c>
      <c r="J4471" s="2" t="s">
        <v>19</v>
      </c>
      <c r="K4471" s="2" t="n">
        <v>8</v>
      </c>
      <c r="L4471" s="2" t="n">
        <v>0</v>
      </c>
      <c r="M4471" s="2" t="n">
        <v>0</v>
      </c>
    </row>
    <row r="4472" customFormat="false" ht="15" hidden="false" customHeight="false" outlineLevel="0" collapsed="false">
      <c r="A4472" s="2" t="s">
        <v>9182</v>
      </c>
      <c r="B4472" s="2" t="s">
        <v>9183</v>
      </c>
      <c r="C4472" s="2" t="n">
        <v>5</v>
      </c>
      <c r="D4472" s="2" t="s">
        <v>52</v>
      </c>
      <c r="E4472" s="2" t="s">
        <v>8083</v>
      </c>
      <c r="F4472" s="3" t="n">
        <v>46094.4125</v>
      </c>
      <c r="G4472" s="2" t="s">
        <v>8917</v>
      </c>
      <c r="H4472" s="4" t="n">
        <v>0.6369</v>
      </c>
      <c r="I4472" s="2" t="s">
        <v>23</v>
      </c>
      <c r="J4472" s="2" t="s">
        <v>19</v>
      </c>
      <c r="K4472" s="2" t="n">
        <v>5</v>
      </c>
      <c r="L4472" s="2" t="n">
        <v>0</v>
      </c>
      <c r="M4472" s="2" t="n">
        <v>0</v>
      </c>
    </row>
    <row r="4473" customFormat="false" ht="15" hidden="false" customHeight="false" outlineLevel="0" collapsed="false">
      <c r="A4473" s="2" t="s">
        <v>9184</v>
      </c>
      <c r="B4473" s="2" t="s">
        <v>7694</v>
      </c>
      <c r="C4473" s="2" t="n">
        <v>5</v>
      </c>
      <c r="D4473" s="2" t="s">
        <v>90</v>
      </c>
      <c r="E4473" s="2" t="s">
        <v>8083</v>
      </c>
      <c r="F4473" s="3" t="n">
        <v>46094.53125</v>
      </c>
      <c r="G4473" s="2" t="s">
        <v>8917</v>
      </c>
      <c r="H4473" s="4" t="n">
        <v>0.6249</v>
      </c>
      <c r="I4473" s="2" t="s">
        <v>23</v>
      </c>
      <c r="J4473" s="2" t="s">
        <v>37</v>
      </c>
      <c r="K4473" s="2" t="n">
        <v>3</v>
      </c>
      <c r="L4473" s="2" t="n">
        <v>0</v>
      </c>
      <c r="M4473" s="2" t="n">
        <v>0</v>
      </c>
    </row>
    <row r="4474" customFormat="false" ht="15" hidden="false" customHeight="false" outlineLevel="0" collapsed="false">
      <c r="A4474" s="2" t="s">
        <v>9185</v>
      </c>
      <c r="B4474" s="2" t="s">
        <v>9186</v>
      </c>
      <c r="C4474" s="2" t="n">
        <v>4</v>
      </c>
      <c r="D4474" s="2" t="s">
        <v>301</v>
      </c>
      <c r="E4474" s="2" t="s">
        <v>8083</v>
      </c>
      <c r="F4474" s="3" t="n">
        <v>46094.5659722222</v>
      </c>
      <c r="G4474" s="2" t="s">
        <v>8917</v>
      </c>
      <c r="H4474" s="4" t="n">
        <v>0.2263</v>
      </c>
      <c r="I4474" s="2" t="s">
        <v>23</v>
      </c>
      <c r="J4474" s="2" t="s">
        <v>19</v>
      </c>
      <c r="K4474" s="2" t="n">
        <v>8</v>
      </c>
      <c r="L4474" s="2" t="n">
        <v>0</v>
      </c>
      <c r="M4474" s="2" t="n">
        <v>0</v>
      </c>
    </row>
    <row r="4475" customFormat="false" ht="15" hidden="false" customHeight="false" outlineLevel="0" collapsed="false">
      <c r="A4475" s="2" t="s">
        <v>9187</v>
      </c>
      <c r="B4475" s="2" t="s">
        <v>9188</v>
      </c>
      <c r="C4475" s="2" t="n">
        <v>5</v>
      </c>
      <c r="D4475" s="2" t="s">
        <v>210</v>
      </c>
      <c r="E4475" s="2" t="s">
        <v>8083</v>
      </c>
      <c r="F4475" s="3" t="n">
        <v>46094.6451388889</v>
      </c>
      <c r="G4475" s="2" t="s">
        <v>8917</v>
      </c>
      <c r="H4475" s="4" t="n">
        <v>0.5448</v>
      </c>
      <c r="I4475" s="2" t="s">
        <v>23</v>
      </c>
      <c r="J4475" s="2" t="s">
        <v>19</v>
      </c>
      <c r="K4475" s="2" t="n">
        <v>6</v>
      </c>
      <c r="L4475" s="2" t="n">
        <v>0</v>
      </c>
      <c r="M4475" s="2" t="n">
        <v>0</v>
      </c>
    </row>
    <row r="4476" customFormat="false" ht="15" hidden="false" customHeight="false" outlineLevel="0" collapsed="false">
      <c r="A4476" s="2" t="s">
        <v>9189</v>
      </c>
      <c r="B4476" s="2" t="s">
        <v>9190</v>
      </c>
      <c r="C4476" s="2" t="n">
        <v>5</v>
      </c>
      <c r="D4476" s="2" t="s">
        <v>1797</v>
      </c>
      <c r="E4476" s="2" t="s">
        <v>8083</v>
      </c>
      <c r="F4476" s="3" t="n">
        <v>46094.6604166667</v>
      </c>
      <c r="G4476" s="2" t="s">
        <v>8917</v>
      </c>
      <c r="H4476" s="4" t="n">
        <v>0.4019</v>
      </c>
      <c r="I4476" s="2" t="s">
        <v>23</v>
      </c>
      <c r="J4476" s="2" t="s">
        <v>33</v>
      </c>
      <c r="K4476" s="2" t="n">
        <v>4</v>
      </c>
      <c r="L4476" s="2" t="n">
        <v>0</v>
      </c>
      <c r="M4476" s="2" t="n">
        <v>0</v>
      </c>
    </row>
    <row r="4477" customFormat="false" ht="15" hidden="false" customHeight="false" outlineLevel="0" collapsed="false">
      <c r="A4477" s="2" t="s">
        <v>9191</v>
      </c>
      <c r="B4477" s="2" t="s">
        <v>9192</v>
      </c>
      <c r="C4477" s="2" t="n">
        <v>1</v>
      </c>
      <c r="D4477" s="2" t="s">
        <v>701</v>
      </c>
      <c r="E4477" s="2" t="s">
        <v>8083</v>
      </c>
      <c r="F4477" s="3" t="n">
        <v>46094.8354166667</v>
      </c>
      <c r="G4477" s="2" t="s">
        <v>8917</v>
      </c>
      <c r="H4477" s="4" t="n">
        <v>-0.7184</v>
      </c>
      <c r="I4477" s="2" t="s">
        <v>84</v>
      </c>
      <c r="J4477" s="2" t="s">
        <v>37</v>
      </c>
      <c r="K4477" s="2" t="n">
        <v>5</v>
      </c>
      <c r="L4477" s="2" t="n">
        <v>0</v>
      </c>
      <c r="M4477" s="2" t="n">
        <v>0</v>
      </c>
    </row>
    <row r="4478" customFormat="false" ht="15" hidden="false" customHeight="false" outlineLevel="0" collapsed="false">
      <c r="A4478" s="2" t="s">
        <v>9193</v>
      </c>
      <c r="B4478" s="2" t="s">
        <v>7113</v>
      </c>
      <c r="C4478" s="2" t="n">
        <v>4</v>
      </c>
      <c r="D4478" s="2" t="s">
        <v>40</v>
      </c>
      <c r="E4478" s="2" t="s">
        <v>8083</v>
      </c>
      <c r="F4478" s="3" t="n">
        <v>46094.8763888889</v>
      </c>
      <c r="G4478" s="2" t="s">
        <v>8917</v>
      </c>
      <c r="H4478" s="4" t="n">
        <v>0.4019</v>
      </c>
      <c r="I4478" s="2" t="s">
        <v>23</v>
      </c>
      <c r="J4478" s="2" t="s">
        <v>33</v>
      </c>
      <c r="K4478" s="2" t="n">
        <v>0</v>
      </c>
      <c r="L4478" s="2" t="n">
        <v>0</v>
      </c>
      <c r="M4478" s="2" t="n">
        <v>0</v>
      </c>
    </row>
    <row r="4479" customFormat="false" ht="15" hidden="false" customHeight="false" outlineLevel="0" collapsed="false">
      <c r="A4479" s="2" t="s">
        <v>9194</v>
      </c>
      <c r="B4479" s="2" t="s">
        <v>9195</v>
      </c>
      <c r="C4479" s="2" t="n">
        <v>4</v>
      </c>
      <c r="D4479" s="2" t="s">
        <v>15</v>
      </c>
      <c r="E4479" s="2" t="s">
        <v>8083</v>
      </c>
      <c r="F4479" s="3" t="n">
        <v>46094.9125</v>
      </c>
      <c r="G4479" s="2" t="s">
        <v>8917</v>
      </c>
      <c r="H4479" s="4" t="n">
        <v>0</v>
      </c>
      <c r="I4479" s="2" t="s">
        <v>18</v>
      </c>
      <c r="J4479" s="2" t="s">
        <v>19</v>
      </c>
      <c r="K4479" s="2" t="n">
        <v>3</v>
      </c>
      <c r="L4479" s="2" t="n">
        <v>0</v>
      </c>
      <c r="M4479" s="2" t="n">
        <v>0</v>
      </c>
    </row>
    <row r="4480" customFormat="false" ht="15" hidden="false" customHeight="false" outlineLevel="0" collapsed="false">
      <c r="A4480" s="2" t="s">
        <v>9196</v>
      </c>
      <c r="B4480" s="2" t="s">
        <v>7611</v>
      </c>
      <c r="C4480" s="2" t="n">
        <v>2</v>
      </c>
      <c r="D4480" s="2" t="s">
        <v>2895</v>
      </c>
      <c r="E4480" s="2" t="s">
        <v>8083</v>
      </c>
      <c r="F4480" s="3" t="n">
        <v>46095.0069444445</v>
      </c>
      <c r="G4480" s="2" t="s">
        <v>8917</v>
      </c>
      <c r="H4480" s="4" t="n">
        <v>0.4215</v>
      </c>
      <c r="I4480" s="2" t="s">
        <v>23</v>
      </c>
      <c r="J4480" s="2" t="s">
        <v>59</v>
      </c>
      <c r="K4480" s="2" t="n">
        <v>6</v>
      </c>
      <c r="L4480" s="2" t="n">
        <v>0</v>
      </c>
      <c r="M4480" s="2" t="n">
        <v>0</v>
      </c>
    </row>
    <row r="4481" customFormat="false" ht="15" hidden="false" customHeight="false" outlineLevel="0" collapsed="false">
      <c r="A4481" s="2" t="s">
        <v>9197</v>
      </c>
      <c r="B4481" s="2" t="s">
        <v>9198</v>
      </c>
      <c r="C4481" s="2" t="n">
        <v>5</v>
      </c>
      <c r="D4481" s="2" t="s">
        <v>15</v>
      </c>
      <c r="E4481" s="2" t="s">
        <v>8083</v>
      </c>
      <c r="F4481" s="3" t="n">
        <v>46095.0166666667</v>
      </c>
      <c r="G4481" s="2" t="s">
        <v>8917</v>
      </c>
      <c r="H4481" s="4" t="n">
        <v>0</v>
      </c>
      <c r="I4481" s="2" t="s">
        <v>18</v>
      </c>
      <c r="J4481" s="2" t="s">
        <v>19</v>
      </c>
      <c r="K4481" s="2" t="n">
        <v>3</v>
      </c>
      <c r="L4481" s="2" t="n">
        <v>0</v>
      </c>
      <c r="M4481" s="2" t="n">
        <v>0</v>
      </c>
    </row>
    <row r="4482" customFormat="false" ht="15" hidden="false" customHeight="false" outlineLevel="0" collapsed="false">
      <c r="A4482" s="2" t="s">
        <v>9199</v>
      </c>
      <c r="B4482" s="2" t="s">
        <v>9200</v>
      </c>
      <c r="C4482" s="2" t="n">
        <v>2</v>
      </c>
      <c r="D4482" s="2" t="s">
        <v>133</v>
      </c>
      <c r="E4482" s="2" t="s">
        <v>8083</v>
      </c>
      <c r="F4482" s="3" t="n">
        <v>46095.0229166667</v>
      </c>
      <c r="G4482" s="2" t="s">
        <v>8917</v>
      </c>
      <c r="H4482" s="4" t="n">
        <v>-0.5719</v>
      </c>
      <c r="I4482" s="2" t="s">
        <v>84</v>
      </c>
      <c r="J4482" s="2" t="s">
        <v>33</v>
      </c>
      <c r="K4482" s="2" t="n">
        <v>8</v>
      </c>
      <c r="L4482" s="2" t="n">
        <v>0</v>
      </c>
      <c r="M4482" s="2" t="n">
        <v>0</v>
      </c>
    </row>
    <row r="4483" customFormat="false" ht="15" hidden="false" customHeight="false" outlineLevel="0" collapsed="false">
      <c r="A4483" s="2" t="s">
        <v>9201</v>
      </c>
      <c r="B4483" s="2" t="s">
        <v>6336</v>
      </c>
      <c r="C4483" s="2" t="n">
        <v>5</v>
      </c>
      <c r="D4483" s="2" t="s">
        <v>47</v>
      </c>
      <c r="E4483" s="2" t="s">
        <v>8083</v>
      </c>
      <c r="F4483" s="3" t="n">
        <v>46095.1430555556</v>
      </c>
      <c r="G4483" s="2" t="s">
        <v>8917</v>
      </c>
      <c r="H4483" s="4" t="n">
        <v>0.3089</v>
      </c>
      <c r="I4483" s="2" t="s">
        <v>23</v>
      </c>
      <c r="J4483" s="2" t="s">
        <v>19</v>
      </c>
      <c r="K4483" s="2" t="n">
        <v>7</v>
      </c>
      <c r="L4483" s="2" t="n">
        <v>0</v>
      </c>
      <c r="M4483" s="2" t="n">
        <v>0</v>
      </c>
    </row>
    <row r="4484" customFormat="false" ht="15" hidden="false" customHeight="false" outlineLevel="0" collapsed="false">
      <c r="A4484" s="2" t="s">
        <v>9202</v>
      </c>
      <c r="B4484" s="2" t="s">
        <v>9203</v>
      </c>
      <c r="C4484" s="2" t="n">
        <v>4</v>
      </c>
      <c r="D4484" s="2" t="s">
        <v>90</v>
      </c>
      <c r="E4484" s="2" t="s">
        <v>8083</v>
      </c>
      <c r="F4484" s="3" t="n">
        <v>46095.2145833333</v>
      </c>
      <c r="G4484" s="2" t="s">
        <v>8917</v>
      </c>
      <c r="H4484" s="4" t="n">
        <v>0.6249</v>
      </c>
      <c r="I4484" s="2" t="s">
        <v>23</v>
      </c>
      <c r="J4484" s="2" t="s">
        <v>37</v>
      </c>
      <c r="K4484" s="2" t="n">
        <v>4</v>
      </c>
      <c r="L4484" s="2" t="n">
        <v>0</v>
      </c>
      <c r="M4484" s="2" t="n">
        <v>0</v>
      </c>
    </row>
    <row r="4485" customFormat="false" ht="15" hidden="false" customHeight="false" outlineLevel="0" collapsed="false">
      <c r="A4485" s="2" t="s">
        <v>9204</v>
      </c>
      <c r="B4485" s="2" t="s">
        <v>9205</v>
      </c>
      <c r="C4485" s="2" t="n">
        <v>5</v>
      </c>
      <c r="D4485" s="2" t="s">
        <v>52</v>
      </c>
      <c r="E4485" s="2" t="s">
        <v>8083</v>
      </c>
      <c r="F4485" s="3" t="n">
        <v>46095.3277777778</v>
      </c>
      <c r="G4485" s="2" t="s">
        <v>8917</v>
      </c>
      <c r="H4485" s="4" t="n">
        <v>0.6369</v>
      </c>
      <c r="I4485" s="2" t="s">
        <v>23</v>
      </c>
      <c r="J4485" s="2" t="s">
        <v>19</v>
      </c>
      <c r="K4485" s="2" t="n">
        <v>1</v>
      </c>
      <c r="L4485" s="2" t="n">
        <v>0</v>
      </c>
      <c r="M4485" s="2" t="n">
        <v>0</v>
      </c>
    </row>
    <row r="4486" customFormat="false" ht="15" hidden="false" customHeight="false" outlineLevel="0" collapsed="false">
      <c r="A4486" s="2" t="s">
        <v>9206</v>
      </c>
      <c r="B4486" s="2" t="s">
        <v>9207</v>
      </c>
      <c r="C4486" s="2" t="n">
        <v>2</v>
      </c>
      <c r="D4486" s="2" t="s">
        <v>402</v>
      </c>
      <c r="E4486" s="2" t="s">
        <v>8083</v>
      </c>
      <c r="F4486" s="3" t="n">
        <v>46095.3333333333</v>
      </c>
      <c r="G4486" s="2" t="s">
        <v>8917</v>
      </c>
      <c r="H4486" s="4" t="n">
        <v>0</v>
      </c>
      <c r="I4486" s="2" t="s">
        <v>18</v>
      </c>
      <c r="J4486" s="2" t="s">
        <v>59</v>
      </c>
      <c r="K4486" s="2" t="n">
        <v>10</v>
      </c>
      <c r="L4486" s="2" t="n">
        <v>1</v>
      </c>
      <c r="M4486" s="2" t="n">
        <v>0</v>
      </c>
    </row>
    <row r="4487" customFormat="false" ht="15" hidden="false" customHeight="false" outlineLevel="0" collapsed="false">
      <c r="A4487" s="2" t="s">
        <v>9208</v>
      </c>
      <c r="B4487" s="2" t="s">
        <v>9209</v>
      </c>
      <c r="C4487" s="2" t="n">
        <v>5</v>
      </c>
      <c r="D4487" s="2" t="s">
        <v>90</v>
      </c>
      <c r="E4487" s="2" t="s">
        <v>8083</v>
      </c>
      <c r="F4487" s="3" t="n">
        <v>46095.3888888889</v>
      </c>
      <c r="G4487" s="2" t="s">
        <v>8917</v>
      </c>
      <c r="H4487" s="4" t="n">
        <v>0.6249</v>
      </c>
      <c r="I4487" s="2" t="s">
        <v>23</v>
      </c>
      <c r="J4487" s="2" t="s">
        <v>37</v>
      </c>
      <c r="K4487" s="2" t="n">
        <v>0</v>
      </c>
      <c r="L4487" s="2" t="n">
        <v>0</v>
      </c>
      <c r="M4487" s="2" t="n">
        <v>0</v>
      </c>
    </row>
    <row r="4488" customFormat="false" ht="15" hidden="false" customHeight="false" outlineLevel="0" collapsed="false">
      <c r="A4488" s="2" t="s">
        <v>9210</v>
      </c>
      <c r="B4488" s="2" t="s">
        <v>6028</v>
      </c>
      <c r="C4488" s="2" t="n">
        <v>5</v>
      </c>
      <c r="D4488" s="2" t="s">
        <v>1387</v>
      </c>
      <c r="E4488" s="2" t="s">
        <v>8083</v>
      </c>
      <c r="F4488" s="3" t="n">
        <v>46095.5423611111</v>
      </c>
      <c r="G4488" s="2" t="s">
        <v>8917</v>
      </c>
      <c r="H4488" s="4" t="n">
        <v>0.9359</v>
      </c>
      <c r="I4488" s="2" t="s">
        <v>23</v>
      </c>
      <c r="J4488" s="2" t="s">
        <v>37</v>
      </c>
      <c r="K4488" s="2" t="n">
        <v>9</v>
      </c>
      <c r="L4488" s="2" t="n">
        <v>0</v>
      </c>
      <c r="M4488" s="2" t="n">
        <v>0</v>
      </c>
    </row>
    <row r="4489" customFormat="false" ht="15" hidden="false" customHeight="false" outlineLevel="0" collapsed="false">
      <c r="A4489" s="2" t="s">
        <v>9211</v>
      </c>
      <c r="B4489" s="2" t="s">
        <v>9212</v>
      </c>
      <c r="C4489" s="2" t="n">
        <v>4</v>
      </c>
      <c r="D4489" s="2" t="s">
        <v>22</v>
      </c>
      <c r="E4489" s="2" t="s">
        <v>8083</v>
      </c>
      <c r="F4489" s="3" t="n">
        <v>46095.6694444444</v>
      </c>
      <c r="G4489" s="2" t="s">
        <v>8917</v>
      </c>
      <c r="H4489" s="4" t="n">
        <v>0.2023</v>
      </c>
      <c r="I4489" s="2" t="s">
        <v>23</v>
      </c>
      <c r="J4489" s="2" t="s">
        <v>19</v>
      </c>
      <c r="K4489" s="2" t="n">
        <v>5</v>
      </c>
      <c r="L4489" s="2" t="n">
        <v>0</v>
      </c>
      <c r="M4489" s="2" t="n">
        <v>0</v>
      </c>
    </row>
    <row r="4490" customFormat="false" ht="15" hidden="false" customHeight="false" outlineLevel="0" collapsed="false">
      <c r="A4490" s="2" t="s">
        <v>9213</v>
      </c>
      <c r="B4490" s="2" t="s">
        <v>9214</v>
      </c>
      <c r="C4490" s="2" t="n">
        <v>5</v>
      </c>
      <c r="D4490" s="2" t="s">
        <v>90</v>
      </c>
      <c r="E4490" s="2" t="s">
        <v>8083</v>
      </c>
      <c r="F4490" s="3" t="n">
        <v>46095.7944444444</v>
      </c>
      <c r="G4490" s="2" t="s">
        <v>8917</v>
      </c>
      <c r="H4490" s="4" t="n">
        <v>0.6249</v>
      </c>
      <c r="I4490" s="2" t="s">
        <v>23</v>
      </c>
      <c r="J4490" s="2" t="s">
        <v>37</v>
      </c>
      <c r="K4490" s="2" t="n">
        <v>8</v>
      </c>
      <c r="L4490" s="2" t="n">
        <v>0</v>
      </c>
      <c r="M4490" s="2" t="n">
        <v>0</v>
      </c>
    </row>
    <row r="4491" customFormat="false" ht="15" hidden="false" customHeight="false" outlineLevel="0" collapsed="false">
      <c r="A4491" s="2" t="s">
        <v>9215</v>
      </c>
      <c r="B4491" s="2" t="s">
        <v>9216</v>
      </c>
      <c r="C4491" s="2" t="n">
        <v>3</v>
      </c>
      <c r="D4491" s="2" t="s">
        <v>99</v>
      </c>
      <c r="E4491" s="2" t="s">
        <v>8083</v>
      </c>
      <c r="F4491" s="3" t="n">
        <v>46095.8548611111</v>
      </c>
      <c r="G4491" s="2" t="s">
        <v>8917</v>
      </c>
      <c r="H4491" s="4" t="n">
        <v>-0.3089</v>
      </c>
      <c r="I4491" s="2" t="s">
        <v>84</v>
      </c>
      <c r="J4491" s="2" t="s">
        <v>19</v>
      </c>
      <c r="K4491" s="2" t="n">
        <v>0</v>
      </c>
      <c r="L4491" s="2" t="n">
        <v>0</v>
      </c>
      <c r="M4491" s="2" t="n">
        <v>0</v>
      </c>
    </row>
    <row r="4492" customFormat="false" ht="15" hidden="false" customHeight="false" outlineLevel="0" collapsed="false">
      <c r="A4492" s="2" t="s">
        <v>9217</v>
      </c>
      <c r="B4492" s="2" t="s">
        <v>9218</v>
      </c>
      <c r="C4492" s="2" t="n">
        <v>4</v>
      </c>
      <c r="D4492" s="2" t="s">
        <v>489</v>
      </c>
      <c r="E4492" s="2" t="s">
        <v>8083</v>
      </c>
      <c r="F4492" s="3" t="n">
        <v>46095.8888888889</v>
      </c>
      <c r="G4492" s="2" t="s">
        <v>8917</v>
      </c>
      <c r="H4492" s="4" t="n">
        <v>0.803</v>
      </c>
      <c r="I4492" s="2" t="s">
        <v>23</v>
      </c>
      <c r="J4492" s="2" t="s">
        <v>19</v>
      </c>
      <c r="K4492" s="2" t="n">
        <v>2</v>
      </c>
      <c r="L4492" s="2" t="n">
        <v>0</v>
      </c>
      <c r="M4492" s="2" t="n">
        <v>0</v>
      </c>
    </row>
    <row r="4493" customFormat="false" ht="15" hidden="false" customHeight="false" outlineLevel="0" collapsed="false">
      <c r="A4493" s="2" t="s">
        <v>9219</v>
      </c>
      <c r="B4493" s="2" t="s">
        <v>9220</v>
      </c>
      <c r="C4493" s="2" t="n">
        <v>4</v>
      </c>
      <c r="D4493" s="2" t="s">
        <v>96</v>
      </c>
      <c r="E4493" s="2" t="s">
        <v>8083</v>
      </c>
      <c r="F4493" s="3" t="n">
        <v>46095.9222222222</v>
      </c>
      <c r="G4493" s="2" t="s">
        <v>8917</v>
      </c>
      <c r="H4493" s="4" t="n">
        <v>0.6369</v>
      </c>
      <c r="I4493" s="2" t="s">
        <v>23</v>
      </c>
      <c r="J4493" s="2" t="s">
        <v>19</v>
      </c>
      <c r="K4493" s="2" t="n">
        <v>1</v>
      </c>
      <c r="L4493" s="2" t="n">
        <v>0</v>
      </c>
      <c r="M4493" s="2" t="n">
        <v>0</v>
      </c>
    </row>
    <row r="4494" customFormat="false" ht="15" hidden="false" customHeight="false" outlineLevel="0" collapsed="false">
      <c r="A4494" s="2" t="s">
        <v>9221</v>
      </c>
      <c r="B4494" s="2" t="s">
        <v>9222</v>
      </c>
      <c r="C4494" s="2" t="n">
        <v>5</v>
      </c>
      <c r="D4494" s="2" t="s">
        <v>15</v>
      </c>
      <c r="E4494" s="2" t="s">
        <v>8083</v>
      </c>
      <c r="F4494" s="3" t="n">
        <v>46095.9861111111</v>
      </c>
      <c r="G4494" s="2" t="s">
        <v>8917</v>
      </c>
      <c r="H4494" s="4" t="n">
        <v>0</v>
      </c>
      <c r="I4494" s="2" t="s">
        <v>18</v>
      </c>
      <c r="J4494" s="2" t="s">
        <v>19</v>
      </c>
      <c r="K4494" s="2" t="n">
        <v>0</v>
      </c>
      <c r="L4494" s="2" t="n">
        <v>0</v>
      </c>
      <c r="M4494" s="2" t="n">
        <v>0</v>
      </c>
    </row>
    <row r="4495" customFormat="false" ht="15" hidden="false" customHeight="false" outlineLevel="0" collapsed="false">
      <c r="A4495" s="2" t="s">
        <v>9223</v>
      </c>
      <c r="B4495" s="2" t="s">
        <v>9224</v>
      </c>
      <c r="C4495" s="2" t="n">
        <v>4</v>
      </c>
      <c r="D4495" s="2" t="s">
        <v>15</v>
      </c>
      <c r="E4495" s="2" t="s">
        <v>8083</v>
      </c>
      <c r="F4495" s="3" t="n">
        <v>46096.21875</v>
      </c>
      <c r="G4495" s="2" t="s">
        <v>8917</v>
      </c>
      <c r="H4495" s="4" t="n">
        <v>0</v>
      </c>
      <c r="I4495" s="2" t="s">
        <v>18</v>
      </c>
      <c r="J4495" s="2" t="s">
        <v>19</v>
      </c>
      <c r="K4495" s="2" t="n">
        <v>14</v>
      </c>
      <c r="L4495" s="2" t="n">
        <v>0</v>
      </c>
      <c r="M4495" s="2" t="n">
        <v>0</v>
      </c>
    </row>
    <row r="4496" customFormat="false" ht="15" hidden="false" customHeight="false" outlineLevel="0" collapsed="false">
      <c r="A4496" s="2" t="s">
        <v>9225</v>
      </c>
      <c r="B4496" s="2" t="s">
        <v>9226</v>
      </c>
      <c r="C4496" s="2" t="n">
        <v>4</v>
      </c>
      <c r="D4496" s="2" t="s">
        <v>40</v>
      </c>
      <c r="E4496" s="2" t="s">
        <v>8083</v>
      </c>
      <c r="F4496" s="3" t="n">
        <v>46096.4645833333</v>
      </c>
      <c r="G4496" s="2" t="s">
        <v>8917</v>
      </c>
      <c r="H4496" s="4" t="n">
        <v>0.4019</v>
      </c>
      <c r="I4496" s="2" t="s">
        <v>23</v>
      </c>
      <c r="J4496" s="2" t="s">
        <v>33</v>
      </c>
      <c r="K4496" s="2" t="n">
        <v>12</v>
      </c>
      <c r="L4496" s="2" t="n">
        <v>0</v>
      </c>
      <c r="M4496" s="2" t="n">
        <v>0</v>
      </c>
    </row>
    <row r="4497" customFormat="false" ht="15" hidden="false" customHeight="false" outlineLevel="0" collapsed="false">
      <c r="A4497" s="2" t="s">
        <v>9227</v>
      </c>
      <c r="B4497" s="2" t="s">
        <v>9228</v>
      </c>
      <c r="C4497" s="2" t="n">
        <v>5</v>
      </c>
      <c r="D4497" s="2" t="s">
        <v>90</v>
      </c>
      <c r="E4497" s="2" t="s">
        <v>8083</v>
      </c>
      <c r="F4497" s="3" t="n">
        <v>46096.5326388889</v>
      </c>
      <c r="G4497" s="2" t="s">
        <v>8917</v>
      </c>
      <c r="H4497" s="4" t="n">
        <v>0.6249</v>
      </c>
      <c r="I4497" s="2" t="s">
        <v>23</v>
      </c>
      <c r="J4497" s="2" t="s">
        <v>37</v>
      </c>
      <c r="K4497" s="2" t="n">
        <v>6</v>
      </c>
      <c r="L4497" s="2" t="n">
        <v>0</v>
      </c>
      <c r="M4497" s="2" t="n">
        <v>0</v>
      </c>
    </row>
    <row r="4498" customFormat="false" ht="15" hidden="false" customHeight="false" outlineLevel="0" collapsed="false">
      <c r="A4498" s="2" t="s">
        <v>9229</v>
      </c>
      <c r="B4498" s="2" t="s">
        <v>9230</v>
      </c>
      <c r="C4498" s="2" t="n">
        <v>1</v>
      </c>
      <c r="D4498" s="2" t="s">
        <v>661</v>
      </c>
      <c r="E4498" s="2" t="s">
        <v>8083</v>
      </c>
      <c r="F4498" s="3" t="n">
        <v>46096.6486111111</v>
      </c>
      <c r="G4498" s="2" t="s">
        <v>8917</v>
      </c>
      <c r="H4498" s="4" t="n">
        <v>0</v>
      </c>
      <c r="I4498" s="2" t="s">
        <v>18</v>
      </c>
      <c r="J4498" s="2" t="s">
        <v>59</v>
      </c>
      <c r="K4498" s="2" t="n">
        <v>7</v>
      </c>
      <c r="L4498" s="2" t="n">
        <v>1</v>
      </c>
      <c r="M4498" s="2" t="n">
        <v>0</v>
      </c>
    </row>
    <row r="4499" customFormat="false" ht="15" hidden="false" customHeight="false" outlineLevel="0" collapsed="false">
      <c r="A4499" s="2" t="s">
        <v>9231</v>
      </c>
      <c r="B4499" s="2" t="s">
        <v>9232</v>
      </c>
      <c r="C4499" s="2" t="n">
        <v>5</v>
      </c>
      <c r="D4499" s="2" t="s">
        <v>9233</v>
      </c>
      <c r="E4499" s="2" t="s">
        <v>8083</v>
      </c>
      <c r="F4499" s="3" t="n">
        <v>46096.7993055556</v>
      </c>
      <c r="G4499" s="2" t="s">
        <v>8917</v>
      </c>
      <c r="H4499" s="4" t="n">
        <v>0.8221</v>
      </c>
      <c r="I4499" s="2" t="s">
        <v>23</v>
      </c>
      <c r="J4499" s="2" t="s">
        <v>33</v>
      </c>
      <c r="K4499" s="2" t="n">
        <v>1</v>
      </c>
      <c r="L4499" s="2" t="n">
        <v>0</v>
      </c>
      <c r="M4499" s="2" t="n">
        <v>0</v>
      </c>
    </row>
    <row r="4500" customFormat="false" ht="15" hidden="false" customHeight="false" outlineLevel="0" collapsed="false">
      <c r="A4500" s="2" t="s">
        <v>9234</v>
      </c>
      <c r="B4500" s="2" t="s">
        <v>9235</v>
      </c>
      <c r="C4500" s="2" t="n">
        <v>5</v>
      </c>
      <c r="D4500" s="2" t="s">
        <v>96</v>
      </c>
      <c r="E4500" s="2" t="s">
        <v>8083</v>
      </c>
      <c r="F4500" s="3" t="n">
        <v>46096.8243055556</v>
      </c>
      <c r="G4500" s="2" t="s">
        <v>8917</v>
      </c>
      <c r="H4500" s="4" t="n">
        <v>0.6369</v>
      </c>
      <c r="I4500" s="2" t="s">
        <v>23</v>
      </c>
      <c r="J4500" s="2" t="s">
        <v>19</v>
      </c>
      <c r="K4500" s="2" t="n">
        <v>4</v>
      </c>
      <c r="L4500" s="2" t="n">
        <v>0</v>
      </c>
      <c r="M4500" s="2" t="n">
        <v>0</v>
      </c>
    </row>
    <row r="4501" customFormat="false" ht="15" hidden="false" customHeight="false" outlineLevel="0" collapsed="false">
      <c r="A4501" s="2" t="s">
        <v>9236</v>
      </c>
      <c r="B4501" s="2" t="s">
        <v>9237</v>
      </c>
      <c r="C4501" s="2" t="n">
        <v>3</v>
      </c>
      <c r="D4501" s="2" t="s">
        <v>36</v>
      </c>
      <c r="E4501" s="2" t="s">
        <v>8083</v>
      </c>
      <c r="F4501" s="3" t="n">
        <v>46096.8708333333</v>
      </c>
      <c r="G4501" s="2" t="s">
        <v>8917</v>
      </c>
      <c r="H4501" s="4" t="n">
        <v>0.4404</v>
      </c>
      <c r="I4501" s="2" t="s">
        <v>23</v>
      </c>
      <c r="J4501" s="2" t="s">
        <v>37</v>
      </c>
      <c r="K4501" s="2" t="n">
        <v>1</v>
      </c>
      <c r="L4501" s="2" t="n">
        <v>0</v>
      </c>
      <c r="M4501" s="2" t="n">
        <v>0</v>
      </c>
    </row>
    <row r="4502" customFormat="false" ht="15" hidden="false" customHeight="false" outlineLevel="0" collapsed="false">
      <c r="A4502" s="2" t="s">
        <v>9238</v>
      </c>
      <c r="B4502" s="2" t="s">
        <v>9239</v>
      </c>
      <c r="C4502" s="2" t="n">
        <v>1</v>
      </c>
      <c r="D4502" s="2" t="s">
        <v>32</v>
      </c>
      <c r="E4502" s="2" t="s">
        <v>8083</v>
      </c>
      <c r="F4502" s="3" t="n">
        <v>46096.9368055556</v>
      </c>
      <c r="G4502" s="2" t="s">
        <v>8917</v>
      </c>
      <c r="H4502" s="4" t="n">
        <v>0.2023</v>
      </c>
      <c r="I4502" s="2" t="s">
        <v>23</v>
      </c>
      <c r="J4502" s="2" t="s">
        <v>33</v>
      </c>
      <c r="K4502" s="2" t="n">
        <v>7</v>
      </c>
      <c r="L4502" s="2" t="n">
        <v>1</v>
      </c>
      <c r="M4502" s="2" t="n">
        <v>0</v>
      </c>
    </row>
    <row r="4503" customFormat="false" ht="15" hidden="false" customHeight="false" outlineLevel="0" collapsed="false">
      <c r="A4503" s="2" t="s">
        <v>9240</v>
      </c>
      <c r="B4503" s="2" t="s">
        <v>2170</v>
      </c>
      <c r="C4503" s="2" t="n">
        <v>4</v>
      </c>
      <c r="D4503" s="2" t="s">
        <v>204</v>
      </c>
      <c r="E4503" s="2" t="s">
        <v>8083</v>
      </c>
      <c r="F4503" s="3" t="n">
        <v>46096.9604166667</v>
      </c>
      <c r="G4503" s="2" t="s">
        <v>8917</v>
      </c>
      <c r="H4503" s="4" t="n">
        <v>0.7712</v>
      </c>
      <c r="I4503" s="2" t="s">
        <v>23</v>
      </c>
      <c r="J4503" s="2" t="s">
        <v>19</v>
      </c>
      <c r="K4503" s="2" t="n">
        <v>3</v>
      </c>
      <c r="L4503" s="2" t="n">
        <v>0</v>
      </c>
      <c r="M4503" s="2" t="n">
        <v>0</v>
      </c>
    </row>
    <row r="4504" customFormat="false" ht="15" hidden="false" customHeight="false" outlineLevel="0" collapsed="false">
      <c r="A4504" s="2" t="s">
        <v>9241</v>
      </c>
      <c r="B4504" s="2" t="s">
        <v>5777</v>
      </c>
      <c r="C4504" s="2" t="n">
        <v>3</v>
      </c>
      <c r="D4504" s="2" t="s">
        <v>3393</v>
      </c>
      <c r="E4504" s="2" t="s">
        <v>8083</v>
      </c>
      <c r="F4504" s="3" t="n">
        <v>46096.9625</v>
      </c>
      <c r="G4504" s="2" t="s">
        <v>8917</v>
      </c>
      <c r="H4504" s="4" t="n">
        <v>0.4215</v>
      </c>
      <c r="I4504" s="2" t="s">
        <v>23</v>
      </c>
      <c r="J4504" s="2" t="s">
        <v>19</v>
      </c>
      <c r="K4504" s="2" t="n">
        <v>3</v>
      </c>
      <c r="L4504" s="2" t="n">
        <v>0</v>
      </c>
      <c r="M4504" s="2" t="n">
        <v>0</v>
      </c>
    </row>
    <row r="4505" customFormat="false" ht="15" hidden="false" customHeight="false" outlineLevel="0" collapsed="false">
      <c r="A4505" s="2" t="s">
        <v>9242</v>
      </c>
      <c r="B4505" s="2" t="s">
        <v>9243</v>
      </c>
      <c r="C4505" s="2" t="n">
        <v>5</v>
      </c>
      <c r="D4505" s="2" t="s">
        <v>96</v>
      </c>
      <c r="E4505" s="2" t="s">
        <v>8083</v>
      </c>
      <c r="F4505" s="3" t="n">
        <v>46097.08125</v>
      </c>
      <c r="G4505" s="2" t="s">
        <v>8917</v>
      </c>
      <c r="H4505" s="4" t="n">
        <v>0.6369</v>
      </c>
      <c r="I4505" s="2" t="s">
        <v>23</v>
      </c>
      <c r="J4505" s="2" t="s">
        <v>19</v>
      </c>
      <c r="K4505" s="2" t="n">
        <v>2</v>
      </c>
      <c r="L4505" s="2" t="n">
        <v>0</v>
      </c>
      <c r="M4505" s="2" t="n">
        <v>0</v>
      </c>
    </row>
    <row r="4506" customFormat="false" ht="15" hidden="false" customHeight="false" outlineLevel="0" collapsed="false">
      <c r="A4506" s="2" t="s">
        <v>9244</v>
      </c>
      <c r="B4506" s="2" t="s">
        <v>9245</v>
      </c>
      <c r="C4506" s="2" t="n">
        <v>5</v>
      </c>
      <c r="D4506" s="2" t="s">
        <v>127</v>
      </c>
      <c r="E4506" s="2" t="s">
        <v>8083</v>
      </c>
      <c r="F4506" s="3" t="n">
        <v>46097.09375</v>
      </c>
      <c r="G4506" s="2" t="s">
        <v>8917</v>
      </c>
      <c r="H4506" s="4" t="n">
        <v>0.9359</v>
      </c>
      <c r="I4506" s="2" t="s">
        <v>23</v>
      </c>
      <c r="J4506" s="2" t="s">
        <v>37</v>
      </c>
      <c r="K4506" s="2" t="n">
        <v>5</v>
      </c>
      <c r="L4506" s="2" t="n">
        <v>0</v>
      </c>
      <c r="M4506" s="2" t="n">
        <v>0</v>
      </c>
    </row>
    <row r="4507" customFormat="false" ht="15" hidden="false" customHeight="false" outlineLevel="0" collapsed="false">
      <c r="A4507" s="2" t="s">
        <v>9246</v>
      </c>
      <c r="B4507" s="2" t="s">
        <v>9247</v>
      </c>
      <c r="C4507" s="2" t="n">
        <v>2</v>
      </c>
      <c r="D4507" s="2" t="s">
        <v>1942</v>
      </c>
      <c r="E4507" s="2" t="s">
        <v>8083</v>
      </c>
      <c r="F4507" s="3" t="n">
        <v>46097.1013888889</v>
      </c>
      <c r="G4507" s="2" t="s">
        <v>8917</v>
      </c>
      <c r="H4507" s="4" t="n">
        <v>0</v>
      </c>
      <c r="I4507" s="2" t="s">
        <v>18</v>
      </c>
      <c r="J4507" s="2" t="s">
        <v>165</v>
      </c>
      <c r="K4507" s="2" t="n">
        <v>5</v>
      </c>
      <c r="L4507" s="2" t="n">
        <v>1</v>
      </c>
      <c r="M4507" s="2" t="n">
        <v>0</v>
      </c>
    </row>
    <row r="4508" customFormat="false" ht="15" hidden="false" customHeight="false" outlineLevel="0" collapsed="false">
      <c r="A4508" s="2" t="s">
        <v>9248</v>
      </c>
      <c r="B4508" s="2" t="s">
        <v>9249</v>
      </c>
      <c r="C4508" s="2" t="n">
        <v>5</v>
      </c>
      <c r="D4508" s="2" t="s">
        <v>15</v>
      </c>
      <c r="E4508" s="2" t="s">
        <v>8083</v>
      </c>
      <c r="F4508" s="3" t="n">
        <v>46097.1208333333</v>
      </c>
      <c r="G4508" s="2" t="s">
        <v>8917</v>
      </c>
      <c r="H4508" s="4" t="n">
        <v>0</v>
      </c>
      <c r="I4508" s="2" t="s">
        <v>18</v>
      </c>
      <c r="J4508" s="2" t="s">
        <v>19</v>
      </c>
      <c r="K4508" s="2" t="n">
        <v>0</v>
      </c>
      <c r="L4508" s="2" t="n">
        <v>0</v>
      </c>
      <c r="M4508" s="2" t="n">
        <v>0</v>
      </c>
    </row>
    <row r="4509" customFormat="false" ht="15" hidden="false" customHeight="false" outlineLevel="0" collapsed="false">
      <c r="A4509" s="2" t="s">
        <v>9250</v>
      </c>
      <c r="B4509" s="2" t="s">
        <v>9251</v>
      </c>
      <c r="C4509" s="2" t="n">
        <v>5</v>
      </c>
      <c r="D4509" s="2" t="s">
        <v>1254</v>
      </c>
      <c r="E4509" s="2" t="s">
        <v>8083</v>
      </c>
      <c r="F4509" s="3" t="n">
        <v>46097.1388888889</v>
      </c>
      <c r="G4509" s="2" t="s">
        <v>8917</v>
      </c>
      <c r="H4509" s="4" t="n">
        <v>0</v>
      </c>
      <c r="I4509" s="2" t="s">
        <v>18</v>
      </c>
      <c r="J4509" s="2" t="s">
        <v>19</v>
      </c>
      <c r="K4509" s="2" t="n">
        <v>0</v>
      </c>
      <c r="L4509" s="2" t="n">
        <v>0</v>
      </c>
      <c r="M4509" s="2" t="n">
        <v>0</v>
      </c>
    </row>
    <row r="4510" customFormat="false" ht="15" hidden="false" customHeight="false" outlineLevel="0" collapsed="false">
      <c r="A4510" s="2" t="s">
        <v>9252</v>
      </c>
      <c r="B4510" s="2" t="s">
        <v>9253</v>
      </c>
      <c r="C4510" s="2" t="n">
        <v>5</v>
      </c>
      <c r="D4510" s="2" t="s">
        <v>62</v>
      </c>
      <c r="E4510" s="2" t="s">
        <v>8083</v>
      </c>
      <c r="F4510" s="3" t="n">
        <v>46097.3611111111</v>
      </c>
      <c r="G4510" s="2" t="s">
        <v>8917</v>
      </c>
      <c r="H4510" s="4" t="n">
        <v>0.7088</v>
      </c>
      <c r="I4510" s="2" t="s">
        <v>23</v>
      </c>
      <c r="J4510" s="2" t="s">
        <v>19</v>
      </c>
      <c r="K4510" s="2" t="n">
        <v>2</v>
      </c>
      <c r="L4510" s="2" t="n">
        <v>0</v>
      </c>
      <c r="M4510" s="2" t="n">
        <v>0</v>
      </c>
    </row>
    <row r="4511" customFormat="false" ht="15" hidden="false" customHeight="false" outlineLevel="0" collapsed="false">
      <c r="A4511" s="2" t="s">
        <v>9254</v>
      </c>
      <c r="B4511" s="2" t="s">
        <v>9255</v>
      </c>
      <c r="C4511" s="2" t="n">
        <v>4</v>
      </c>
      <c r="D4511" s="2" t="s">
        <v>96</v>
      </c>
      <c r="E4511" s="2" t="s">
        <v>8083</v>
      </c>
      <c r="F4511" s="3" t="n">
        <v>46097.6513888889</v>
      </c>
      <c r="G4511" s="2" t="s">
        <v>8917</v>
      </c>
      <c r="H4511" s="4" t="n">
        <v>0.6369</v>
      </c>
      <c r="I4511" s="2" t="s">
        <v>23</v>
      </c>
      <c r="J4511" s="2" t="s">
        <v>19</v>
      </c>
      <c r="K4511" s="2" t="n">
        <v>6</v>
      </c>
      <c r="L4511" s="2" t="n">
        <v>0</v>
      </c>
      <c r="M4511" s="2" t="n">
        <v>0</v>
      </c>
    </row>
    <row r="4512" customFormat="false" ht="15" hidden="false" customHeight="false" outlineLevel="0" collapsed="false">
      <c r="A4512" s="2" t="s">
        <v>9256</v>
      </c>
      <c r="B4512" s="2" t="s">
        <v>9257</v>
      </c>
      <c r="C4512" s="2" t="n">
        <v>5</v>
      </c>
      <c r="D4512" s="2" t="s">
        <v>40</v>
      </c>
      <c r="E4512" s="2" t="s">
        <v>8083</v>
      </c>
      <c r="F4512" s="3" t="n">
        <v>46097.68125</v>
      </c>
      <c r="G4512" s="2" t="s">
        <v>8917</v>
      </c>
      <c r="H4512" s="4" t="n">
        <v>0.4019</v>
      </c>
      <c r="I4512" s="2" t="s">
        <v>23</v>
      </c>
      <c r="J4512" s="2" t="s">
        <v>33</v>
      </c>
      <c r="K4512" s="2" t="n">
        <v>2</v>
      </c>
      <c r="L4512" s="2" t="n">
        <v>0</v>
      </c>
      <c r="M4512" s="2" t="n">
        <v>0</v>
      </c>
    </row>
    <row r="4513" customFormat="false" ht="15" hidden="false" customHeight="false" outlineLevel="0" collapsed="false">
      <c r="A4513" s="2" t="s">
        <v>9258</v>
      </c>
      <c r="B4513" s="2" t="s">
        <v>9259</v>
      </c>
      <c r="C4513" s="2" t="n">
        <v>1</v>
      </c>
      <c r="D4513" s="2" t="s">
        <v>8305</v>
      </c>
      <c r="E4513" s="2" t="s">
        <v>8083</v>
      </c>
      <c r="F4513" s="3" t="n">
        <v>46097.7756944444</v>
      </c>
      <c r="G4513" s="2" t="s">
        <v>8917</v>
      </c>
      <c r="H4513" s="4" t="n">
        <v>-0.5037</v>
      </c>
      <c r="I4513" s="2" t="s">
        <v>84</v>
      </c>
      <c r="J4513" s="2" t="s">
        <v>37</v>
      </c>
      <c r="K4513" s="2" t="n">
        <v>1</v>
      </c>
      <c r="L4513" s="2" t="n">
        <v>1</v>
      </c>
      <c r="M4513" s="2" t="n">
        <v>0</v>
      </c>
    </row>
    <row r="4514" customFormat="false" ht="15" hidden="false" customHeight="false" outlineLevel="0" collapsed="false">
      <c r="A4514" s="2" t="s">
        <v>9260</v>
      </c>
      <c r="B4514" s="2" t="s">
        <v>9261</v>
      </c>
      <c r="C4514" s="2" t="n">
        <v>3</v>
      </c>
      <c r="D4514" s="2" t="s">
        <v>99</v>
      </c>
      <c r="E4514" s="2" t="s">
        <v>8083</v>
      </c>
      <c r="F4514" s="3" t="n">
        <v>46097.8972222222</v>
      </c>
      <c r="G4514" s="2" t="s">
        <v>8917</v>
      </c>
      <c r="H4514" s="4" t="n">
        <v>-0.3089</v>
      </c>
      <c r="I4514" s="2" t="s">
        <v>84</v>
      </c>
      <c r="J4514" s="2" t="s">
        <v>19</v>
      </c>
      <c r="K4514" s="2" t="n">
        <v>2</v>
      </c>
      <c r="L4514" s="2" t="n">
        <v>0</v>
      </c>
      <c r="M4514" s="2" t="n">
        <v>0</v>
      </c>
    </row>
    <row r="4515" customFormat="false" ht="15" hidden="false" customHeight="false" outlineLevel="0" collapsed="false">
      <c r="A4515" s="2" t="s">
        <v>9262</v>
      </c>
      <c r="B4515" s="2" t="s">
        <v>9263</v>
      </c>
      <c r="C4515" s="2" t="n">
        <v>5</v>
      </c>
      <c r="D4515" s="2" t="s">
        <v>943</v>
      </c>
      <c r="E4515" s="2" t="s">
        <v>8083</v>
      </c>
      <c r="F4515" s="3" t="n">
        <v>46097.9979166667</v>
      </c>
      <c r="G4515" s="2" t="s">
        <v>8917</v>
      </c>
      <c r="H4515" s="4" t="n">
        <v>0.7549</v>
      </c>
      <c r="I4515" s="2" t="s">
        <v>23</v>
      </c>
      <c r="J4515" s="2" t="s">
        <v>19</v>
      </c>
      <c r="K4515" s="2" t="n">
        <v>17</v>
      </c>
      <c r="L4515" s="2" t="n">
        <v>0</v>
      </c>
      <c r="M4515" s="2" t="n">
        <v>0</v>
      </c>
    </row>
    <row r="4516" customFormat="false" ht="15" hidden="false" customHeight="false" outlineLevel="0" collapsed="false">
      <c r="A4516" s="2" t="s">
        <v>9264</v>
      </c>
      <c r="B4516" s="2" t="s">
        <v>9265</v>
      </c>
      <c r="C4516" s="2" t="n">
        <v>3</v>
      </c>
      <c r="D4516" s="2" t="s">
        <v>99</v>
      </c>
      <c r="E4516" s="2" t="s">
        <v>8083</v>
      </c>
      <c r="F4516" s="3" t="n">
        <v>46098.0923611111</v>
      </c>
      <c r="G4516" s="2" t="s">
        <v>8917</v>
      </c>
      <c r="H4516" s="4" t="n">
        <v>-0.3089</v>
      </c>
      <c r="I4516" s="2" t="s">
        <v>84</v>
      </c>
      <c r="J4516" s="2" t="s">
        <v>19</v>
      </c>
      <c r="K4516" s="2" t="n">
        <v>4</v>
      </c>
      <c r="L4516" s="2" t="n">
        <v>0</v>
      </c>
      <c r="M4516" s="2" t="n">
        <v>0</v>
      </c>
    </row>
    <row r="4517" customFormat="false" ht="15" hidden="false" customHeight="false" outlineLevel="0" collapsed="false">
      <c r="A4517" s="2" t="s">
        <v>9266</v>
      </c>
      <c r="B4517" s="2" t="s">
        <v>9267</v>
      </c>
      <c r="C4517" s="2" t="n">
        <v>3</v>
      </c>
      <c r="D4517" s="2" t="s">
        <v>99</v>
      </c>
      <c r="E4517" s="2" t="s">
        <v>8083</v>
      </c>
      <c r="F4517" s="3" t="n">
        <v>46098.1770833333</v>
      </c>
      <c r="G4517" s="2" t="s">
        <v>8917</v>
      </c>
      <c r="H4517" s="4" t="n">
        <v>-0.3089</v>
      </c>
      <c r="I4517" s="2" t="s">
        <v>84</v>
      </c>
      <c r="J4517" s="2" t="s">
        <v>19</v>
      </c>
      <c r="K4517" s="2" t="n">
        <v>2</v>
      </c>
      <c r="L4517" s="2" t="n">
        <v>0</v>
      </c>
      <c r="M4517" s="2" t="n">
        <v>0</v>
      </c>
    </row>
    <row r="4518" customFormat="false" ht="15" hidden="false" customHeight="false" outlineLevel="0" collapsed="false">
      <c r="A4518" s="2" t="s">
        <v>9268</v>
      </c>
      <c r="B4518" s="2" t="s">
        <v>9269</v>
      </c>
      <c r="C4518" s="2" t="n">
        <v>5</v>
      </c>
      <c r="D4518" s="2" t="s">
        <v>475</v>
      </c>
      <c r="E4518" s="2" t="s">
        <v>8083</v>
      </c>
      <c r="F4518" s="3" t="n">
        <v>46098.1819444444</v>
      </c>
      <c r="G4518" s="2" t="s">
        <v>8917</v>
      </c>
      <c r="H4518" s="4" t="n">
        <v>0.7845</v>
      </c>
      <c r="I4518" s="2" t="s">
        <v>23</v>
      </c>
      <c r="J4518" s="2" t="s">
        <v>33</v>
      </c>
      <c r="K4518" s="2" t="n">
        <v>4</v>
      </c>
      <c r="L4518" s="2" t="n">
        <v>0</v>
      </c>
      <c r="M4518" s="2" t="n">
        <v>0</v>
      </c>
    </row>
    <row r="4519" customFormat="false" ht="15" hidden="false" customHeight="false" outlineLevel="0" collapsed="false">
      <c r="A4519" s="2" t="s">
        <v>9270</v>
      </c>
      <c r="B4519" s="2" t="s">
        <v>9271</v>
      </c>
      <c r="C4519" s="2" t="n">
        <v>3</v>
      </c>
      <c r="D4519" s="2" t="s">
        <v>22</v>
      </c>
      <c r="E4519" s="2" t="s">
        <v>8083</v>
      </c>
      <c r="F4519" s="3" t="n">
        <v>46098.2354166667</v>
      </c>
      <c r="G4519" s="2" t="s">
        <v>8917</v>
      </c>
      <c r="H4519" s="4" t="n">
        <v>0.2023</v>
      </c>
      <c r="I4519" s="2" t="s">
        <v>23</v>
      </c>
      <c r="J4519" s="2" t="s">
        <v>19</v>
      </c>
      <c r="K4519" s="2" t="n">
        <v>8</v>
      </c>
      <c r="L4519" s="2" t="n">
        <v>0</v>
      </c>
      <c r="M4519" s="2" t="n">
        <v>0</v>
      </c>
    </row>
    <row r="4520" customFormat="false" ht="15" hidden="false" customHeight="false" outlineLevel="0" collapsed="false">
      <c r="A4520" s="2" t="s">
        <v>9272</v>
      </c>
      <c r="B4520" s="2" t="s">
        <v>9273</v>
      </c>
      <c r="C4520" s="2" t="n">
        <v>5</v>
      </c>
      <c r="D4520" s="2" t="s">
        <v>90</v>
      </c>
      <c r="E4520" s="2" t="s">
        <v>8083</v>
      </c>
      <c r="F4520" s="3" t="n">
        <v>46098.3555555556</v>
      </c>
      <c r="G4520" s="2" t="s">
        <v>8917</v>
      </c>
      <c r="H4520" s="4" t="n">
        <v>0.6249</v>
      </c>
      <c r="I4520" s="2" t="s">
        <v>23</v>
      </c>
      <c r="J4520" s="2" t="s">
        <v>37</v>
      </c>
      <c r="K4520" s="2" t="n">
        <v>1</v>
      </c>
      <c r="L4520" s="2" t="n">
        <v>0</v>
      </c>
      <c r="M4520" s="2" t="n">
        <v>0</v>
      </c>
    </row>
    <row r="4521" customFormat="false" ht="15" hidden="false" customHeight="false" outlineLevel="0" collapsed="false">
      <c r="A4521" s="2" t="s">
        <v>9274</v>
      </c>
      <c r="B4521" s="2" t="s">
        <v>9275</v>
      </c>
      <c r="C4521" s="2" t="n">
        <v>5</v>
      </c>
      <c r="D4521" s="2" t="s">
        <v>40</v>
      </c>
      <c r="E4521" s="2" t="s">
        <v>8083</v>
      </c>
      <c r="F4521" s="3" t="n">
        <v>46098.3638888889</v>
      </c>
      <c r="G4521" s="2" t="s">
        <v>8917</v>
      </c>
      <c r="H4521" s="4" t="n">
        <v>0.4019</v>
      </c>
      <c r="I4521" s="2" t="s">
        <v>23</v>
      </c>
      <c r="J4521" s="2" t="s">
        <v>33</v>
      </c>
      <c r="K4521" s="2" t="n">
        <v>4</v>
      </c>
      <c r="L4521" s="2" t="n">
        <v>0</v>
      </c>
      <c r="M4521" s="2" t="n">
        <v>0</v>
      </c>
    </row>
    <row r="4522" customFormat="false" ht="15" hidden="false" customHeight="false" outlineLevel="0" collapsed="false">
      <c r="A4522" s="2" t="s">
        <v>9276</v>
      </c>
      <c r="B4522" s="2" t="s">
        <v>9277</v>
      </c>
      <c r="C4522" s="2" t="n">
        <v>5</v>
      </c>
      <c r="D4522" s="2" t="s">
        <v>9278</v>
      </c>
      <c r="E4522" s="2" t="s">
        <v>8083</v>
      </c>
      <c r="F4522" s="3" t="n">
        <v>46098.3923611111</v>
      </c>
      <c r="G4522" s="2" t="s">
        <v>8917</v>
      </c>
      <c r="H4522" s="4" t="n">
        <v>0.7475</v>
      </c>
      <c r="I4522" s="2" t="s">
        <v>23</v>
      </c>
      <c r="J4522" s="2" t="s">
        <v>37</v>
      </c>
      <c r="K4522" s="2" t="n">
        <v>1</v>
      </c>
      <c r="L4522" s="2" t="n">
        <v>0</v>
      </c>
      <c r="M4522" s="2" t="n">
        <v>0</v>
      </c>
    </row>
    <row r="4523" customFormat="false" ht="15" hidden="false" customHeight="false" outlineLevel="0" collapsed="false">
      <c r="A4523" s="2" t="s">
        <v>9279</v>
      </c>
      <c r="B4523" s="2" t="s">
        <v>9280</v>
      </c>
      <c r="C4523" s="2" t="n">
        <v>5</v>
      </c>
      <c r="D4523" s="2" t="s">
        <v>90</v>
      </c>
      <c r="E4523" s="2" t="s">
        <v>8083</v>
      </c>
      <c r="F4523" s="3" t="n">
        <v>46098.4458333333</v>
      </c>
      <c r="G4523" s="2" t="s">
        <v>8917</v>
      </c>
      <c r="H4523" s="4" t="n">
        <v>0.6249</v>
      </c>
      <c r="I4523" s="2" t="s">
        <v>23</v>
      </c>
      <c r="J4523" s="2" t="s">
        <v>37</v>
      </c>
      <c r="K4523" s="2" t="n">
        <v>2</v>
      </c>
      <c r="L4523" s="2" t="n">
        <v>0</v>
      </c>
      <c r="M4523" s="2" t="n">
        <v>0</v>
      </c>
    </row>
    <row r="4524" customFormat="false" ht="15" hidden="false" customHeight="false" outlineLevel="0" collapsed="false">
      <c r="A4524" s="2" t="s">
        <v>9281</v>
      </c>
      <c r="B4524" s="2" t="s">
        <v>9282</v>
      </c>
      <c r="C4524" s="2" t="n">
        <v>2</v>
      </c>
      <c r="D4524" s="2" t="s">
        <v>109</v>
      </c>
      <c r="E4524" s="2" t="s">
        <v>8083</v>
      </c>
      <c r="F4524" s="3" t="n">
        <v>46098.525</v>
      </c>
      <c r="G4524" s="2" t="s">
        <v>8917</v>
      </c>
      <c r="H4524" s="4" t="n">
        <v>0</v>
      </c>
      <c r="I4524" s="2" t="s">
        <v>18</v>
      </c>
      <c r="J4524" s="2" t="s">
        <v>110</v>
      </c>
      <c r="K4524" s="2" t="n">
        <v>3</v>
      </c>
      <c r="L4524" s="2" t="n">
        <v>1</v>
      </c>
      <c r="M4524" s="2" t="n">
        <v>0</v>
      </c>
    </row>
    <row r="4525" customFormat="false" ht="15" hidden="false" customHeight="false" outlineLevel="0" collapsed="false">
      <c r="A4525" s="2" t="s">
        <v>9283</v>
      </c>
      <c r="B4525" s="2" t="s">
        <v>9284</v>
      </c>
      <c r="C4525" s="2" t="n">
        <v>2</v>
      </c>
      <c r="D4525" s="2" t="s">
        <v>661</v>
      </c>
      <c r="E4525" s="2" t="s">
        <v>8083</v>
      </c>
      <c r="F4525" s="3" t="n">
        <v>46098.6784722222</v>
      </c>
      <c r="G4525" s="2" t="s">
        <v>8917</v>
      </c>
      <c r="H4525" s="4" t="n">
        <v>0</v>
      </c>
      <c r="I4525" s="2" t="s">
        <v>18</v>
      </c>
      <c r="J4525" s="2" t="s">
        <v>59</v>
      </c>
      <c r="K4525" s="2" t="n">
        <v>3</v>
      </c>
      <c r="L4525" s="2" t="n">
        <v>0</v>
      </c>
      <c r="M4525" s="2" t="n">
        <v>0</v>
      </c>
    </row>
    <row r="4526" customFormat="false" ht="15" hidden="false" customHeight="false" outlineLevel="0" collapsed="false">
      <c r="A4526" s="2" t="s">
        <v>9285</v>
      </c>
      <c r="B4526" s="2" t="s">
        <v>9286</v>
      </c>
      <c r="C4526" s="2" t="n">
        <v>3</v>
      </c>
      <c r="D4526" s="2" t="s">
        <v>1374</v>
      </c>
      <c r="E4526" s="2" t="s">
        <v>8083</v>
      </c>
      <c r="F4526" s="3" t="n">
        <v>46098.7159722222</v>
      </c>
      <c r="G4526" s="2" t="s">
        <v>8917</v>
      </c>
      <c r="H4526" s="4" t="n">
        <v>0.4404</v>
      </c>
      <c r="I4526" s="2" t="s">
        <v>23</v>
      </c>
      <c r="J4526" s="2" t="s">
        <v>59</v>
      </c>
      <c r="K4526" s="2" t="n">
        <v>5</v>
      </c>
      <c r="L4526" s="2" t="n">
        <v>0</v>
      </c>
      <c r="M4526" s="2" t="n">
        <v>0</v>
      </c>
    </row>
    <row r="4527" customFormat="false" ht="15" hidden="false" customHeight="false" outlineLevel="0" collapsed="false">
      <c r="A4527" s="2" t="s">
        <v>9287</v>
      </c>
      <c r="B4527" s="2" t="s">
        <v>9288</v>
      </c>
      <c r="C4527" s="2" t="n">
        <v>4</v>
      </c>
      <c r="D4527" s="2" t="s">
        <v>90</v>
      </c>
      <c r="E4527" s="2" t="s">
        <v>8083</v>
      </c>
      <c r="F4527" s="3" t="n">
        <v>46098.7722222222</v>
      </c>
      <c r="G4527" s="2" t="s">
        <v>8917</v>
      </c>
      <c r="H4527" s="4" t="n">
        <v>0.6249</v>
      </c>
      <c r="I4527" s="2" t="s">
        <v>23</v>
      </c>
      <c r="J4527" s="2" t="s">
        <v>37</v>
      </c>
      <c r="K4527" s="2" t="n">
        <v>0</v>
      </c>
      <c r="L4527" s="2" t="n">
        <v>0</v>
      </c>
      <c r="M4527" s="2" t="n">
        <v>0</v>
      </c>
    </row>
    <row r="4528" customFormat="false" ht="15" hidden="false" customHeight="false" outlineLevel="0" collapsed="false">
      <c r="A4528" s="2" t="s">
        <v>9289</v>
      </c>
      <c r="B4528" s="2" t="s">
        <v>9290</v>
      </c>
      <c r="C4528" s="2" t="n">
        <v>5</v>
      </c>
      <c r="D4528" s="2" t="s">
        <v>62</v>
      </c>
      <c r="E4528" s="2" t="s">
        <v>8083</v>
      </c>
      <c r="F4528" s="3" t="n">
        <v>46099.0847222222</v>
      </c>
      <c r="G4528" s="2" t="s">
        <v>8917</v>
      </c>
      <c r="H4528" s="4" t="n">
        <v>0.7088</v>
      </c>
      <c r="I4528" s="2" t="s">
        <v>23</v>
      </c>
      <c r="J4528" s="2" t="s">
        <v>19</v>
      </c>
      <c r="K4528" s="2" t="n">
        <v>3</v>
      </c>
      <c r="L4528" s="2" t="n">
        <v>0</v>
      </c>
      <c r="M4528" s="2" t="n">
        <v>0</v>
      </c>
    </row>
    <row r="4529" customFormat="false" ht="15" hidden="false" customHeight="false" outlineLevel="0" collapsed="false">
      <c r="A4529" s="2" t="s">
        <v>9291</v>
      </c>
      <c r="B4529" s="2" t="s">
        <v>9292</v>
      </c>
      <c r="C4529" s="2" t="n">
        <v>5</v>
      </c>
      <c r="D4529" s="2" t="s">
        <v>90</v>
      </c>
      <c r="E4529" s="2" t="s">
        <v>8083</v>
      </c>
      <c r="F4529" s="3" t="n">
        <v>46099.1861111111</v>
      </c>
      <c r="G4529" s="2" t="s">
        <v>8917</v>
      </c>
      <c r="H4529" s="4" t="n">
        <v>0.6249</v>
      </c>
      <c r="I4529" s="2" t="s">
        <v>23</v>
      </c>
      <c r="J4529" s="2" t="s">
        <v>37</v>
      </c>
      <c r="K4529" s="2" t="n">
        <v>1</v>
      </c>
      <c r="L4529" s="2" t="n">
        <v>0</v>
      </c>
      <c r="M4529" s="2" t="n">
        <v>0</v>
      </c>
    </row>
    <row r="4530" customFormat="false" ht="15" hidden="false" customHeight="false" outlineLevel="0" collapsed="false">
      <c r="A4530" s="2" t="s">
        <v>9293</v>
      </c>
      <c r="B4530" s="2" t="s">
        <v>9294</v>
      </c>
      <c r="C4530" s="2" t="n">
        <v>5</v>
      </c>
      <c r="D4530" s="2" t="s">
        <v>799</v>
      </c>
      <c r="E4530" s="2" t="s">
        <v>8083</v>
      </c>
      <c r="F4530" s="3" t="n">
        <v>46099.2680555556</v>
      </c>
      <c r="G4530" s="2" t="s">
        <v>8917</v>
      </c>
      <c r="H4530" s="4" t="n">
        <v>0.9606</v>
      </c>
      <c r="I4530" s="2" t="s">
        <v>23</v>
      </c>
      <c r="J4530" s="2" t="s">
        <v>37</v>
      </c>
      <c r="K4530" s="2" t="n">
        <v>10</v>
      </c>
      <c r="L4530" s="2" t="n">
        <v>0</v>
      </c>
      <c r="M4530" s="2" t="n">
        <v>0</v>
      </c>
    </row>
    <row r="4531" customFormat="false" ht="15" hidden="false" customHeight="false" outlineLevel="0" collapsed="false">
      <c r="A4531" s="2" t="s">
        <v>9295</v>
      </c>
      <c r="B4531" s="2" t="s">
        <v>9296</v>
      </c>
      <c r="C4531" s="2" t="n">
        <v>5</v>
      </c>
      <c r="D4531" s="2" t="s">
        <v>121</v>
      </c>
      <c r="E4531" s="2" t="s">
        <v>8083</v>
      </c>
      <c r="F4531" s="3" t="n">
        <v>46099.46875</v>
      </c>
      <c r="G4531" s="2" t="s">
        <v>8917</v>
      </c>
      <c r="H4531" s="4" t="n">
        <v>0.607</v>
      </c>
      <c r="I4531" s="2" t="s">
        <v>23</v>
      </c>
      <c r="J4531" s="2" t="s">
        <v>33</v>
      </c>
      <c r="K4531" s="2" t="n">
        <v>1</v>
      </c>
      <c r="L4531" s="2" t="n">
        <v>0</v>
      </c>
      <c r="M4531" s="2" t="n">
        <v>0</v>
      </c>
    </row>
    <row r="4532" customFormat="false" ht="15" hidden="false" customHeight="false" outlineLevel="0" collapsed="false">
      <c r="A4532" s="2" t="s">
        <v>9297</v>
      </c>
      <c r="B4532" s="2" t="s">
        <v>9298</v>
      </c>
      <c r="C4532" s="2" t="n">
        <v>5</v>
      </c>
      <c r="D4532" s="2" t="s">
        <v>104</v>
      </c>
      <c r="E4532" s="2" t="s">
        <v>8083</v>
      </c>
      <c r="F4532" s="3" t="n">
        <v>46099.51875</v>
      </c>
      <c r="G4532" s="2" t="s">
        <v>8917</v>
      </c>
      <c r="H4532" s="4" t="n">
        <v>0.8481</v>
      </c>
      <c r="I4532" s="2" t="s">
        <v>23</v>
      </c>
      <c r="J4532" s="2" t="s">
        <v>37</v>
      </c>
      <c r="K4532" s="2" t="n">
        <v>1</v>
      </c>
      <c r="L4532" s="2" t="n">
        <v>0</v>
      </c>
      <c r="M4532" s="2" t="n">
        <v>0</v>
      </c>
    </row>
    <row r="4533" customFormat="false" ht="15" hidden="false" customHeight="false" outlineLevel="0" collapsed="false">
      <c r="A4533" s="2" t="s">
        <v>9299</v>
      </c>
      <c r="B4533" s="2" t="s">
        <v>9300</v>
      </c>
      <c r="C4533" s="2" t="n">
        <v>5</v>
      </c>
      <c r="D4533" s="2" t="s">
        <v>40</v>
      </c>
      <c r="E4533" s="2" t="s">
        <v>8083</v>
      </c>
      <c r="F4533" s="3" t="n">
        <v>46099.8590277778</v>
      </c>
      <c r="G4533" s="2" t="s">
        <v>8917</v>
      </c>
      <c r="H4533" s="4" t="n">
        <v>0.4019</v>
      </c>
      <c r="I4533" s="2" t="s">
        <v>23</v>
      </c>
      <c r="J4533" s="2" t="s">
        <v>33</v>
      </c>
      <c r="K4533" s="2" t="n">
        <v>1</v>
      </c>
      <c r="L4533" s="2" t="n">
        <v>0</v>
      </c>
      <c r="M4533" s="2" t="n">
        <v>0</v>
      </c>
    </row>
    <row r="4534" customFormat="false" ht="15" hidden="false" customHeight="false" outlineLevel="0" collapsed="false">
      <c r="A4534" s="2" t="s">
        <v>9301</v>
      </c>
      <c r="B4534" s="2" t="s">
        <v>9302</v>
      </c>
      <c r="C4534" s="2" t="n">
        <v>5</v>
      </c>
      <c r="D4534" s="2" t="s">
        <v>47</v>
      </c>
      <c r="E4534" s="2" t="s">
        <v>8083</v>
      </c>
      <c r="F4534" s="3" t="n">
        <v>46099.9777777778</v>
      </c>
      <c r="G4534" s="2" t="s">
        <v>8917</v>
      </c>
      <c r="H4534" s="4" t="n">
        <v>0.3089</v>
      </c>
      <c r="I4534" s="2" t="s">
        <v>23</v>
      </c>
      <c r="J4534" s="2" t="s">
        <v>19</v>
      </c>
      <c r="K4534" s="2" t="n">
        <v>1</v>
      </c>
      <c r="L4534" s="2" t="n">
        <v>0</v>
      </c>
      <c r="M4534" s="2" t="n">
        <v>0</v>
      </c>
    </row>
    <row r="4535" customFormat="false" ht="15" hidden="false" customHeight="false" outlineLevel="0" collapsed="false">
      <c r="A4535" s="2" t="s">
        <v>9303</v>
      </c>
      <c r="B4535" s="2" t="s">
        <v>9304</v>
      </c>
      <c r="C4535" s="2" t="n">
        <v>4</v>
      </c>
      <c r="D4535" s="2" t="s">
        <v>7808</v>
      </c>
      <c r="E4535" s="2" t="s">
        <v>8083</v>
      </c>
      <c r="F4535" s="3" t="n">
        <v>46100.0958333333</v>
      </c>
      <c r="G4535" s="2" t="s">
        <v>8917</v>
      </c>
      <c r="H4535" s="4" t="n">
        <v>0.6848</v>
      </c>
      <c r="I4535" s="2" t="s">
        <v>23</v>
      </c>
      <c r="J4535" s="2" t="s">
        <v>37</v>
      </c>
      <c r="K4535" s="2" t="n">
        <v>5</v>
      </c>
      <c r="L4535" s="2" t="n">
        <v>0</v>
      </c>
      <c r="M4535" s="2" t="n">
        <v>0</v>
      </c>
    </row>
    <row r="4536" customFormat="false" ht="15" hidden="false" customHeight="false" outlineLevel="0" collapsed="false">
      <c r="A4536" s="2" t="s">
        <v>9305</v>
      </c>
      <c r="B4536" s="2" t="s">
        <v>9306</v>
      </c>
      <c r="C4536" s="2" t="n">
        <v>1</v>
      </c>
      <c r="D4536" s="2" t="s">
        <v>721</v>
      </c>
      <c r="E4536" s="2" t="s">
        <v>8083</v>
      </c>
      <c r="F4536" s="3" t="n">
        <v>46100.2347222222</v>
      </c>
      <c r="G4536" s="2" t="s">
        <v>8917</v>
      </c>
      <c r="H4536" s="4" t="n">
        <v>-0.4588</v>
      </c>
      <c r="I4536" s="2" t="s">
        <v>84</v>
      </c>
      <c r="J4536" s="2" t="s">
        <v>37</v>
      </c>
      <c r="K4536" s="2" t="n">
        <v>0</v>
      </c>
      <c r="L4536" s="2" t="n">
        <v>1</v>
      </c>
      <c r="M4536" s="2" t="n">
        <v>0</v>
      </c>
    </row>
    <row r="4537" customFormat="false" ht="15" hidden="false" customHeight="false" outlineLevel="0" collapsed="false">
      <c r="A4537" s="2" t="s">
        <v>9307</v>
      </c>
      <c r="B4537" s="2" t="s">
        <v>9308</v>
      </c>
      <c r="C4537" s="2" t="n">
        <v>4</v>
      </c>
      <c r="D4537" s="2" t="s">
        <v>1052</v>
      </c>
      <c r="E4537" s="2" t="s">
        <v>8083</v>
      </c>
      <c r="F4537" s="3" t="n">
        <v>46100.31875</v>
      </c>
      <c r="G4537" s="2" t="s">
        <v>8917</v>
      </c>
      <c r="H4537" s="4" t="n">
        <v>0.7088</v>
      </c>
      <c r="I4537" s="2" t="s">
        <v>23</v>
      </c>
      <c r="J4537" s="2" t="s">
        <v>19</v>
      </c>
      <c r="K4537" s="2" t="n">
        <v>0</v>
      </c>
      <c r="L4537" s="2" t="n">
        <v>0</v>
      </c>
      <c r="M4537" s="2" t="n">
        <v>0</v>
      </c>
    </row>
    <row r="4538" customFormat="false" ht="15" hidden="false" customHeight="false" outlineLevel="0" collapsed="false">
      <c r="A4538" s="2" t="s">
        <v>9309</v>
      </c>
      <c r="B4538" s="2" t="s">
        <v>9310</v>
      </c>
      <c r="C4538" s="2" t="n">
        <v>5</v>
      </c>
      <c r="D4538" s="2" t="s">
        <v>127</v>
      </c>
      <c r="E4538" s="2" t="s">
        <v>8083</v>
      </c>
      <c r="F4538" s="3" t="n">
        <v>46100.3326388889</v>
      </c>
      <c r="G4538" s="2" t="s">
        <v>8917</v>
      </c>
      <c r="H4538" s="4" t="n">
        <v>0.9359</v>
      </c>
      <c r="I4538" s="2" t="s">
        <v>23</v>
      </c>
      <c r="J4538" s="2" t="s">
        <v>37</v>
      </c>
      <c r="K4538" s="2" t="n">
        <v>8</v>
      </c>
      <c r="L4538" s="2" t="n">
        <v>0</v>
      </c>
      <c r="M4538" s="2" t="n">
        <v>0</v>
      </c>
    </row>
    <row r="4539" customFormat="false" ht="15" hidden="false" customHeight="false" outlineLevel="0" collapsed="false">
      <c r="A4539" s="2" t="s">
        <v>9311</v>
      </c>
      <c r="B4539" s="2" t="s">
        <v>9312</v>
      </c>
      <c r="C4539" s="2" t="n">
        <v>5</v>
      </c>
      <c r="D4539" s="2" t="s">
        <v>15</v>
      </c>
      <c r="E4539" s="2" t="s">
        <v>8083</v>
      </c>
      <c r="F4539" s="3" t="n">
        <v>46100.3472222222</v>
      </c>
      <c r="G4539" s="2" t="s">
        <v>8917</v>
      </c>
      <c r="H4539" s="4" t="n">
        <v>0</v>
      </c>
      <c r="I4539" s="2" t="s">
        <v>18</v>
      </c>
      <c r="J4539" s="2" t="s">
        <v>19</v>
      </c>
      <c r="K4539" s="2" t="n">
        <v>4</v>
      </c>
      <c r="L4539" s="2" t="n">
        <v>0</v>
      </c>
      <c r="M4539" s="2" t="n">
        <v>0</v>
      </c>
    </row>
    <row r="4540" customFormat="false" ht="15" hidden="false" customHeight="false" outlineLevel="0" collapsed="false">
      <c r="A4540" s="2" t="s">
        <v>9313</v>
      </c>
      <c r="B4540" s="2" t="s">
        <v>9314</v>
      </c>
      <c r="C4540" s="2" t="n">
        <v>5</v>
      </c>
      <c r="D4540" s="2" t="s">
        <v>40</v>
      </c>
      <c r="E4540" s="2" t="s">
        <v>8083</v>
      </c>
      <c r="F4540" s="3" t="n">
        <v>46100.3638888889</v>
      </c>
      <c r="G4540" s="2" t="s">
        <v>8917</v>
      </c>
      <c r="H4540" s="4" t="n">
        <v>0.4019</v>
      </c>
      <c r="I4540" s="2" t="s">
        <v>23</v>
      </c>
      <c r="J4540" s="2" t="s">
        <v>33</v>
      </c>
      <c r="K4540" s="2" t="n">
        <v>9</v>
      </c>
      <c r="L4540" s="2" t="n">
        <v>0</v>
      </c>
      <c r="M4540" s="2" t="n">
        <v>0</v>
      </c>
    </row>
    <row r="4541" customFormat="false" ht="15" hidden="false" customHeight="false" outlineLevel="0" collapsed="false">
      <c r="A4541" s="2" t="s">
        <v>9315</v>
      </c>
      <c r="B4541" s="2" t="s">
        <v>149</v>
      </c>
      <c r="C4541" s="2" t="n">
        <v>2</v>
      </c>
      <c r="D4541" s="2" t="s">
        <v>733</v>
      </c>
      <c r="E4541" s="2" t="s">
        <v>8083</v>
      </c>
      <c r="F4541" s="3" t="n">
        <v>46100.4756944445</v>
      </c>
      <c r="G4541" s="2" t="s">
        <v>8917</v>
      </c>
      <c r="H4541" s="4" t="n">
        <v>-0.2846</v>
      </c>
      <c r="I4541" s="2" t="s">
        <v>84</v>
      </c>
      <c r="J4541" s="2" t="s">
        <v>37</v>
      </c>
      <c r="K4541" s="2" t="n">
        <v>12</v>
      </c>
      <c r="L4541" s="2" t="n">
        <v>0</v>
      </c>
      <c r="M4541" s="2" t="n">
        <v>0</v>
      </c>
    </row>
    <row r="4542" customFormat="false" ht="15" hidden="false" customHeight="false" outlineLevel="0" collapsed="false">
      <c r="A4542" s="2" t="s">
        <v>9316</v>
      </c>
      <c r="B4542" s="2" t="s">
        <v>9317</v>
      </c>
      <c r="C4542" s="2" t="n">
        <v>1</v>
      </c>
      <c r="D4542" s="2" t="s">
        <v>586</v>
      </c>
      <c r="E4542" s="2" t="s">
        <v>8083</v>
      </c>
      <c r="F4542" s="3" t="n">
        <v>46100.5625</v>
      </c>
      <c r="G4542" s="2" t="s">
        <v>8917</v>
      </c>
      <c r="H4542" s="4" t="n">
        <v>-0.7936</v>
      </c>
      <c r="I4542" s="2" t="s">
        <v>84</v>
      </c>
      <c r="J4542" s="2" t="s">
        <v>19</v>
      </c>
      <c r="K4542" s="2" t="n">
        <v>7</v>
      </c>
      <c r="L4542" s="2" t="n">
        <v>1</v>
      </c>
      <c r="M4542" s="2" t="n">
        <v>0</v>
      </c>
    </row>
    <row r="4543" customFormat="false" ht="15" hidden="false" customHeight="false" outlineLevel="0" collapsed="false">
      <c r="A4543" s="2" t="s">
        <v>9318</v>
      </c>
      <c r="B4543" s="2" t="s">
        <v>9319</v>
      </c>
      <c r="C4543" s="2" t="n">
        <v>5</v>
      </c>
      <c r="D4543" s="2" t="s">
        <v>47</v>
      </c>
      <c r="E4543" s="2" t="s">
        <v>8083</v>
      </c>
      <c r="F4543" s="3" t="n">
        <v>46100.9083333333</v>
      </c>
      <c r="G4543" s="2" t="s">
        <v>8917</v>
      </c>
      <c r="H4543" s="4" t="n">
        <v>0.3089</v>
      </c>
      <c r="I4543" s="2" t="s">
        <v>23</v>
      </c>
      <c r="J4543" s="2" t="s">
        <v>19</v>
      </c>
      <c r="K4543" s="2" t="n">
        <v>0</v>
      </c>
      <c r="L4543" s="2" t="n">
        <v>0</v>
      </c>
      <c r="M4543" s="2" t="n">
        <v>0</v>
      </c>
    </row>
    <row r="4544" customFormat="false" ht="15" hidden="false" customHeight="false" outlineLevel="0" collapsed="false">
      <c r="A4544" s="2" t="s">
        <v>9320</v>
      </c>
      <c r="B4544" s="2" t="s">
        <v>9321</v>
      </c>
      <c r="C4544" s="2" t="n">
        <v>1</v>
      </c>
      <c r="D4544" s="2" t="s">
        <v>482</v>
      </c>
      <c r="E4544" s="2" t="s">
        <v>8083</v>
      </c>
      <c r="F4544" s="3" t="n">
        <v>46101.1291666667</v>
      </c>
      <c r="G4544" s="2" t="s">
        <v>8917</v>
      </c>
      <c r="H4544" s="4" t="n">
        <v>-0.6808</v>
      </c>
      <c r="I4544" s="2" t="s">
        <v>84</v>
      </c>
      <c r="J4544" s="2" t="s">
        <v>110</v>
      </c>
      <c r="K4544" s="2" t="n">
        <v>8</v>
      </c>
      <c r="L4544" s="2" t="n">
        <v>1</v>
      </c>
      <c r="M4544" s="2" t="n">
        <v>0</v>
      </c>
    </row>
    <row r="4545" customFormat="false" ht="15" hidden="false" customHeight="false" outlineLevel="0" collapsed="false">
      <c r="A4545" s="2" t="s">
        <v>9322</v>
      </c>
      <c r="B4545" s="2" t="s">
        <v>9323</v>
      </c>
      <c r="C4545" s="2" t="n">
        <v>2</v>
      </c>
      <c r="D4545" s="2" t="s">
        <v>234</v>
      </c>
      <c r="E4545" s="2" t="s">
        <v>8083</v>
      </c>
      <c r="F4545" s="3" t="n">
        <v>46101.2875</v>
      </c>
      <c r="G4545" s="2" t="s">
        <v>8917</v>
      </c>
      <c r="H4545" s="4" t="n">
        <v>0</v>
      </c>
      <c r="I4545" s="2" t="s">
        <v>18</v>
      </c>
      <c r="J4545" s="2" t="s">
        <v>165</v>
      </c>
      <c r="K4545" s="2" t="n">
        <v>0</v>
      </c>
      <c r="L4545" s="2" t="n">
        <v>1</v>
      </c>
      <c r="M4545" s="2" t="n">
        <v>0</v>
      </c>
    </row>
    <row r="4546" customFormat="false" ht="15" hidden="false" customHeight="false" outlineLevel="0" collapsed="false">
      <c r="A4546" s="2" t="s">
        <v>9324</v>
      </c>
      <c r="B4546" s="2" t="s">
        <v>9325</v>
      </c>
      <c r="C4546" s="2" t="n">
        <v>4</v>
      </c>
      <c r="D4546" s="2" t="s">
        <v>304</v>
      </c>
      <c r="E4546" s="2" t="s">
        <v>8083</v>
      </c>
      <c r="F4546" s="3" t="n">
        <v>46101.2972222222</v>
      </c>
      <c r="G4546" s="2" t="s">
        <v>8917</v>
      </c>
      <c r="H4546" s="4" t="n">
        <v>0.6249</v>
      </c>
      <c r="I4546" s="2" t="s">
        <v>23</v>
      </c>
      <c r="J4546" s="2" t="s">
        <v>37</v>
      </c>
      <c r="K4546" s="2" t="n">
        <v>1</v>
      </c>
      <c r="L4546" s="2" t="n">
        <v>0</v>
      </c>
      <c r="M4546" s="2" t="n">
        <v>0</v>
      </c>
    </row>
    <row r="4547" customFormat="false" ht="15" hidden="false" customHeight="false" outlineLevel="0" collapsed="false">
      <c r="A4547" s="2" t="s">
        <v>9326</v>
      </c>
      <c r="B4547" s="2" t="s">
        <v>9327</v>
      </c>
      <c r="C4547" s="2" t="n">
        <v>5</v>
      </c>
      <c r="D4547" s="2" t="s">
        <v>15</v>
      </c>
      <c r="E4547" s="2" t="s">
        <v>8083</v>
      </c>
      <c r="F4547" s="3" t="n">
        <v>46101.6354166667</v>
      </c>
      <c r="G4547" s="2" t="s">
        <v>8917</v>
      </c>
      <c r="H4547" s="4" t="n">
        <v>0</v>
      </c>
      <c r="I4547" s="2" t="s">
        <v>18</v>
      </c>
      <c r="J4547" s="2" t="s">
        <v>19</v>
      </c>
      <c r="K4547" s="2" t="n">
        <v>0</v>
      </c>
      <c r="L4547" s="2" t="n">
        <v>0</v>
      </c>
      <c r="M4547" s="2" t="n">
        <v>0</v>
      </c>
    </row>
    <row r="4548" customFormat="false" ht="15" hidden="false" customHeight="false" outlineLevel="0" collapsed="false">
      <c r="A4548" s="2" t="s">
        <v>9328</v>
      </c>
      <c r="B4548" s="2" t="s">
        <v>9329</v>
      </c>
      <c r="C4548" s="2" t="n">
        <v>2</v>
      </c>
      <c r="D4548" s="2" t="s">
        <v>591</v>
      </c>
      <c r="E4548" s="2" t="s">
        <v>8083</v>
      </c>
      <c r="F4548" s="3" t="n">
        <v>46101.6444444444</v>
      </c>
      <c r="G4548" s="2" t="s">
        <v>8917</v>
      </c>
      <c r="H4548" s="4" t="n">
        <v>0</v>
      </c>
      <c r="I4548" s="2" t="s">
        <v>18</v>
      </c>
      <c r="J4548" s="2" t="s">
        <v>37</v>
      </c>
      <c r="K4548" s="2" t="n">
        <v>2</v>
      </c>
      <c r="L4548" s="2" t="n">
        <v>0</v>
      </c>
      <c r="M4548" s="2" t="n">
        <v>0</v>
      </c>
    </row>
    <row r="4549" customFormat="false" ht="15" hidden="false" customHeight="false" outlineLevel="0" collapsed="false">
      <c r="A4549" s="2" t="s">
        <v>9330</v>
      </c>
      <c r="B4549" s="2" t="s">
        <v>9331</v>
      </c>
      <c r="C4549" s="2" t="n">
        <v>5</v>
      </c>
      <c r="D4549" s="2" t="s">
        <v>389</v>
      </c>
      <c r="E4549" s="2" t="s">
        <v>8083</v>
      </c>
      <c r="F4549" s="3" t="n">
        <v>46101.6458333333</v>
      </c>
      <c r="G4549" s="2" t="s">
        <v>8917</v>
      </c>
      <c r="H4549" s="4" t="n">
        <v>0.8519</v>
      </c>
      <c r="I4549" s="2" t="s">
        <v>23</v>
      </c>
      <c r="J4549" s="2" t="s">
        <v>37</v>
      </c>
      <c r="K4549" s="2" t="n">
        <v>0</v>
      </c>
      <c r="L4549" s="2" t="n">
        <v>0</v>
      </c>
      <c r="M4549" s="2" t="n">
        <v>0</v>
      </c>
    </row>
    <row r="4550" customFormat="false" ht="15" hidden="false" customHeight="false" outlineLevel="0" collapsed="false">
      <c r="A4550" s="2" t="s">
        <v>9332</v>
      </c>
      <c r="B4550" s="2" t="s">
        <v>9333</v>
      </c>
      <c r="C4550" s="2" t="n">
        <v>4</v>
      </c>
      <c r="D4550" s="2" t="s">
        <v>52</v>
      </c>
      <c r="E4550" s="2" t="s">
        <v>8083</v>
      </c>
      <c r="F4550" s="3" t="n">
        <v>46101.6895833333</v>
      </c>
      <c r="G4550" s="2" t="s">
        <v>8917</v>
      </c>
      <c r="H4550" s="4" t="n">
        <v>0.6369</v>
      </c>
      <c r="I4550" s="2" t="s">
        <v>23</v>
      </c>
      <c r="J4550" s="2" t="s">
        <v>19</v>
      </c>
      <c r="K4550" s="2" t="n">
        <v>5</v>
      </c>
      <c r="L4550" s="2" t="n">
        <v>0</v>
      </c>
      <c r="M4550" s="2" t="n">
        <v>0</v>
      </c>
    </row>
    <row r="4551" customFormat="false" ht="15" hidden="false" customHeight="false" outlineLevel="0" collapsed="false">
      <c r="A4551" s="2" t="s">
        <v>9334</v>
      </c>
      <c r="B4551" s="2" t="s">
        <v>9335</v>
      </c>
      <c r="C4551" s="2" t="n">
        <v>5</v>
      </c>
      <c r="D4551" s="2" t="s">
        <v>15</v>
      </c>
      <c r="E4551" s="2" t="s">
        <v>8083</v>
      </c>
      <c r="F4551" s="3" t="n">
        <v>46101.7326388889</v>
      </c>
      <c r="G4551" s="2" t="s">
        <v>8917</v>
      </c>
      <c r="H4551" s="4" t="n">
        <v>0</v>
      </c>
      <c r="I4551" s="2" t="s">
        <v>18</v>
      </c>
      <c r="J4551" s="2" t="s">
        <v>19</v>
      </c>
      <c r="K4551" s="2" t="n">
        <v>1</v>
      </c>
      <c r="L4551" s="2" t="n">
        <v>0</v>
      </c>
      <c r="M4551" s="2" t="n">
        <v>0</v>
      </c>
    </row>
    <row r="4552" customFormat="false" ht="15" hidden="false" customHeight="false" outlineLevel="0" collapsed="false">
      <c r="A4552" s="2" t="s">
        <v>9336</v>
      </c>
      <c r="B4552" s="2" t="s">
        <v>9337</v>
      </c>
      <c r="C4552" s="2" t="n">
        <v>2</v>
      </c>
      <c r="D4552" s="2" t="s">
        <v>58</v>
      </c>
      <c r="E4552" s="2" t="s">
        <v>8083</v>
      </c>
      <c r="F4552" s="3" t="n">
        <v>46101.7645833333</v>
      </c>
      <c r="G4552" s="2" t="s">
        <v>8917</v>
      </c>
      <c r="H4552" s="4" t="n">
        <v>0</v>
      </c>
      <c r="I4552" s="2" t="s">
        <v>18</v>
      </c>
      <c r="J4552" s="2" t="s">
        <v>59</v>
      </c>
      <c r="K4552" s="2" t="n">
        <v>5</v>
      </c>
      <c r="L4552" s="2" t="n">
        <v>1</v>
      </c>
      <c r="M4552" s="2" t="n">
        <v>0</v>
      </c>
    </row>
    <row r="4553" customFormat="false" ht="15" hidden="false" customHeight="false" outlineLevel="0" collapsed="false">
      <c r="A4553" s="2" t="s">
        <v>9338</v>
      </c>
      <c r="B4553" s="2" t="s">
        <v>9339</v>
      </c>
      <c r="C4553" s="2" t="n">
        <v>5</v>
      </c>
      <c r="D4553" s="2" t="s">
        <v>555</v>
      </c>
      <c r="E4553" s="2" t="s">
        <v>8083</v>
      </c>
      <c r="F4553" s="3" t="n">
        <v>46101.7868055556</v>
      </c>
      <c r="G4553" s="2" t="s">
        <v>8917</v>
      </c>
      <c r="H4553" s="4" t="n">
        <v>0.8221</v>
      </c>
      <c r="I4553" s="2" t="s">
        <v>23</v>
      </c>
      <c r="J4553" s="2" t="s">
        <v>33</v>
      </c>
      <c r="K4553" s="2" t="n">
        <v>1</v>
      </c>
      <c r="L4553" s="2" t="n">
        <v>0</v>
      </c>
      <c r="M4553" s="2" t="n">
        <v>0</v>
      </c>
    </row>
    <row r="4554" customFormat="false" ht="15" hidden="false" customHeight="false" outlineLevel="0" collapsed="false">
      <c r="A4554" s="2" t="s">
        <v>9340</v>
      </c>
      <c r="B4554" s="2" t="s">
        <v>9341</v>
      </c>
      <c r="C4554" s="2" t="n">
        <v>2</v>
      </c>
      <c r="D4554" s="2" t="s">
        <v>231</v>
      </c>
      <c r="E4554" s="2" t="s">
        <v>8083</v>
      </c>
      <c r="F4554" s="3" t="n">
        <v>46101.9006944444</v>
      </c>
      <c r="G4554" s="2" t="s">
        <v>8917</v>
      </c>
      <c r="H4554" s="4" t="n">
        <v>-0.3593</v>
      </c>
      <c r="I4554" s="2" t="s">
        <v>84</v>
      </c>
      <c r="J4554" s="2" t="s">
        <v>33</v>
      </c>
      <c r="K4554" s="2" t="n">
        <v>0</v>
      </c>
      <c r="L4554" s="2" t="n">
        <v>0</v>
      </c>
      <c r="M4554" s="2" t="n">
        <v>0</v>
      </c>
    </row>
    <row r="4555" customFormat="false" ht="15" hidden="false" customHeight="false" outlineLevel="0" collapsed="false">
      <c r="A4555" s="2" t="s">
        <v>9342</v>
      </c>
      <c r="B4555" s="2" t="s">
        <v>9343</v>
      </c>
      <c r="C4555" s="2" t="n">
        <v>4</v>
      </c>
      <c r="D4555" s="2" t="s">
        <v>2587</v>
      </c>
      <c r="E4555" s="2" t="s">
        <v>8083</v>
      </c>
      <c r="F4555" s="3" t="n">
        <v>46101.9298611111</v>
      </c>
      <c r="G4555" s="2" t="s">
        <v>8917</v>
      </c>
      <c r="H4555" s="4" t="n">
        <v>0.9828</v>
      </c>
      <c r="I4555" s="2" t="s">
        <v>23</v>
      </c>
      <c r="J4555" s="2" t="s">
        <v>37</v>
      </c>
      <c r="K4555" s="2" t="n">
        <v>1</v>
      </c>
      <c r="L4555" s="2" t="n">
        <v>0</v>
      </c>
      <c r="M4555" s="2" t="n">
        <v>0</v>
      </c>
    </row>
    <row r="4556" customFormat="false" ht="15" hidden="false" customHeight="false" outlineLevel="0" collapsed="false">
      <c r="A4556" s="2" t="s">
        <v>9344</v>
      </c>
      <c r="B4556" s="2" t="s">
        <v>9345</v>
      </c>
      <c r="C4556" s="2" t="n">
        <v>2</v>
      </c>
      <c r="D4556" s="2" t="s">
        <v>823</v>
      </c>
      <c r="E4556" s="2" t="s">
        <v>8083</v>
      </c>
      <c r="F4556" s="3" t="n">
        <v>46101.9701388889</v>
      </c>
      <c r="G4556" s="2" t="s">
        <v>8917</v>
      </c>
      <c r="H4556" s="4" t="n">
        <v>-0.6997</v>
      </c>
      <c r="I4556" s="2" t="s">
        <v>84</v>
      </c>
      <c r="J4556" s="2" t="s">
        <v>19</v>
      </c>
      <c r="K4556" s="2" t="n">
        <v>0</v>
      </c>
      <c r="L4556" s="2" t="n">
        <v>1</v>
      </c>
      <c r="M4556" s="2" t="n">
        <v>0</v>
      </c>
    </row>
    <row r="4557" customFormat="false" ht="15" hidden="false" customHeight="false" outlineLevel="0" collapsed="false">
      <c r="A4557" s="2" t="s">
        <v>9346</v>
      </c>
      <c r="B4557" s="2" t="s">
        <v>5881</v>
      </c>
      <c r="C4557" s="2" t="n">
        <v>5</v>
      </c>
      <c r="D4557" s="2" t="s">
        <v>40</v>
      </c>
      <c r="E4557" s="2" t="s">
        <v>8083</v>
      </c>
      <c r="F4557" s="3" t="n">
        <v>46102.1944444445</v>
      </c>
      <c r="G4557" s="2" t="s">
        <v>8917</v>
      </c>
      <c r="H4557" s="4" t="n">
        <v>0.4019</v>
      </c>
      <c r="I4557" s="2" t="s">
        <v>23</v>
      </c>
      <c r="J4557" s="2" t="s">
        <v>33</v>
      </c>
      <c r="K4557" s="2" t="n">
        <v>2</v>
      </c>
      <c r="L4557" s="2" t="n">
        <v>0</v>
      </c>
      <c r="M4557" s="2" t="n">
        <v>0</v>
      </c>
    </row>
    <row r="4558" customFormat="false" ht="15" hidden="false" customHeight="false" outlineLevel="0" collapsed="false">
      <c r="A4558" s="2" t="s">
        <v>9347</v>
      </c>
      <c r="B4558" s="2" t="s">
        <v>9348</v>
      </c>
      <c r="C4558" s="2" t="n">
        <v>4</v>
      </c>
      <c r="D4558" s="2" t="s">
        <v>90</v>
      </c>
      <c r="E4558" s="2" t="s">
        <v>8083</v>
      </c>
      <c r="F4558" s="3" t="n">
        <v>46102.2243055556</v>
      </c>
      <c r="G4558" s="2" t="s">
        <v>8917</v>
      </c>
      <c r="H4558" s="4" t="n">
        <v>0.6249</v>
      </c>
      <c r="I4558" s="2" t="s">
        <v>23</v>
      </c>
      <c r="J4558" s="2" t="s">
        <v>37</v>
      </c>
      <c r="K4558" s="2" t="n">
        <v>0</v>
      </c>
      <c r="L4558" s="2" t="n">
        <v>0</v>
      </c>
      <c r="M4558" s="2" t="n">
        <v>0</v>
      </c>
    </row>
    <row r="4559" customFormat="false" ht="15" hidden="false" customHeight="false" outlineLevel="0" collapsed="false">
      <c r="A4559" s="2" t="s">
        <v>9349</v>
      </c>
      <c r="B4559" s="2" t="s">
        <v>9350</v>
      </c>
      <c r="C4559" s="2" t="n">
        <v>5</v>
      </c>
      <c r="D4559" s="2" t="s">
        <v>90</v>
      </c>
      <c r="E4559" s="2" t="s">
        <v>8083</v>
      </c>
      <c r="F4559" s="3" t="n">
        <v>46102.2986111111</v>
      </c>
      <c r="G4559" s="2" t="s">
        <v>8917</v>
      </c>
      <c r="H4559" s="4" t="n">
        <v>0.6249</v>
      </c>
      <c r="I4559" s="2" t="s">
        <v>23</v>
      </c>
      <c r="J4559" s="2" t="s">
        <v>37</v>
      </c>
      <c r="K4559" s="2" t="n">
        <v>5</v>
      </c>
      <c r="L4559" s="2" t="n">
        <v>0</v>
      </c>
      <c r="M4559" s="2" t="n">
        <v>0</v>
      </c>
    </row>
    <row r="4560" customFormat="false" ht="15" hidden="false" customHeight="false" outlineLevel="0" collapsed="false">
      <c r="A4560" s="2" t="s">
        <v>9351</v>
      </c>
      <c r="B4560" s="2" t="s">
        <v>9352</v>
      </c>
      <c r="C4560" s="2" t="n">
        <v>5</v>
      </c>
      <c r="D4560" s="2" t="s">
        <v>47</v>
      </c>
      <c r="E4560" s="2" t="s">
        <v>8083</v>
      </c>
      <c r="F4560" s="3" t="n">
        <v>46102.3048611111</v>
      </c>
      <c r="G4560" s="2" t="s">
        <v>8917</v>
      </c>
      <c r="H4560" s="4" t="n">
        <v>0.3089</v>
      </c>
      <c r="I4560" s="2" t="s">
        <v>23</v>
      </c>
      <c r="J4560" s="2" t="s">
        <v>19</v>
      </c>
      <c r="K4560" s="2" t="n">
        <v>12</v>
      </c>
      <c r="L4560" s="2" t="n">
        <v>0</v>
      </c>
      <c r="M4560" s="2" t="n">
        <v>0</v>
      </c>
    </row>
    <row r="4561" customFormat="false" ht="15" hidden="false" customHeight="false" outlineLevel="0" collapsed="false">
      <c r="A4561" s="2" t="s">
        <v>9353</v>
      </c>
      <c r="B4561" s="2" t="s">
        <v>9354</v>
      </c>
      <c r="C4561" s="2" t="n">
        <v>5</v>
      </c>
      <c r="D4561" s="2" t="s">
        <v>127</v>
      </c>
      <c r="E4561" s="2" t="s">
        <v>8083</v>
      </c>
      <c r="F4561" s="3" t="n">
        <v>46102.3090277778</v>
      </c>
      <c r="G4561" s="2" t="s">
        <v>8917</v>
      </c>
      <c r="H4561" s="4" t="n">
        <v>0.9359</v>
      </c>
      <c r="I4561" s="2" t="s">
        <v>23</v>
      </c>
      <c r="J4561" s="2" t="s">
        <v>37</v>
      </c>
      <c r="K4561" s="2" t="n">
        <v>1</v>
      </c>
      <c r="L4561" s="2" t="n">
        <v>0</v>
      </c>
      <c r="M4561" s="2" t="n">
        <v>0</v>
      </c>
    </row>
    <row r="4562" customFormat="false" ht="15" hidden="false" customHeight="false" outlineLevel="0" collapsed="false">
      <c r="A4562" s="2" t="s">
        <v>9355</v>
      </c>
      <c r="B4562" s="2" t="s">
        <v>9356</v>
      </c>
      <c r="C4562" s="2" t="n">
        <v>4</v>
      </c>
      <c r="D4562" s="2" t="s">
        <v>52</v>
      </c>
      <c r="E4562" s="2" t="s">
        <v>8083</v>
      </c>
      <c r="F4562" s="3" t="n">
        <v>46102.3319444444</v>
      </c>
      <c r="G4562" s="2" t="s">
        <v>8917</v>
      </c>
      <c r="H4562" s="4" t="n">
        <v>0.6369</v>
      </c>
      <c r="I4562" s="2" t="s">
        <v>23</v>
      </c>
      <c r="J4562" s="2" t="s">
        <v>19</v>
      </c>
      <c r="K4562" s="2" t="n">
        <v>0</v>
      </c>
      <c r="L4562" s="2" t="n">
        <v>0</v>
      </c>
      <c r="M4562" s="2" t="n">
        <v>0</v>
      </c>
    </row>
    <row r="4563" customFormat="false" ht="15" hidden="false" customHeight="false" outlineLevel="0" collapsed="false">
      <c r="A4563" s="2" t="s">
        <v>9357</v>
      </c>
      <c r="B4563" s="2" t="s">
        <v>9358</v>
      </c>
      <c r="C4563" s="2" t="n">
        <v>3</v>
      </c>
      <c r="D4563" s="2" t="s">
        <v>301</v>
      </c>
      <c r="E4563" s="2" t="s">
        <v>8083</v>
      </c>
      <c r="F4563" s="3" t="n">
        <v>46102.51875</v>
      </c>
      <c r="G4563" s="2" t="s">
        <v>8917</v>
      </c>
      <c r="H4563" s="4" t="n">
        <v>0.2263</v>
      </c>
      <c r="I4563" s="2" t="s">
        <v>23</v>
      </c>
      <c r="J4563" s="2" t="s">
        <v>19</v>
      </c>
      <c r="K4563" s="2" t="n">
        <v>9</v>
      </c>
      <c r="L4563" s="2" t="n">
        <v>0</v>
      </c>
      <c r="M4563" s="2" t="n">
        <v>0</v>
      </c>
    </row>
    <row r="4564" customFormat="false" ht="15" hidden="false" customHeight="false" outlineLevel="0" collapsed="false">
      <c r="A4564" s="2" t="s">
        <v>9359</v>
      </c>
      <c r="B4564" s="2" t="s">
        <v>9360</v>
      </c>
      <c r="C4564" s="2" t="n">
        <v>4</v>
      </c>
      <c r="D4564" s="2" t="s">
        <v>47</v>
      </c>
      <c r="E4564" s="2" t="s">
        <v>8083</v>
      </c>
      <c r="F4564" s="3" t="n">
        <v>46102.5916666667</v>
      </c>
      <c r="G4564" s="2" t="s">
        <v>8917</v>
      </c>
      <c r="H4564" s="4" t="n">
        <v>0.3089</v>
      </c>
      <c r="I4564" s="2" t="s">
        <v>23</v>
      </c>
      <c r="J4564" s="2" t="s">
        <v>19</v>
      </c>
      <c r="K4564" s="2" t="n">
        <v>3</v>
      </c>
      <c r="L4564" s="2" t="n">
        <v>0</v>
      </c>
      <c r="M4564" s="2" t="n">
        <v>0</v>
      </c>
    </row>
    <row r="4565" customFormat="false" ht="15" hidden="false" customHeight="false" outlineLevel="0" collapsed="false">
      <c r="A4565" s="2" t="s">
        <v>9361</v>
      </c>
      <c r="B4565" s="2" t="s">
        <v>9362</v>
      </c>
      <c r="C4565" s="2" t="n">
        <v>4</v>
      </c>
      <c r="D4565" s="2" t="s">
        <v>127</v>
      </c>
      <c r="E4565" s="2" t="s">
        <v>8083</v>
      </c>
      <c r="F4565" s="3" t="n">
        <v>46102.6076388889</v>
      </c>
      <c r="G4565" s="2" t="s">
        <v>8917</v>
      </c>
      <c r="H4565" s="4" t="n">
        <v>0.9359</v>
      </c>
      <c r="I4565" s="2" t="s">
        <v>23</v>
      </c>
      <c r="J4565" s="2" t="s">
        <v>37</v>
      </c>
      <c r="K4565" s="2" t="n">
        <v>4</v>
      </c>
      <c r="L4565" s="2" t="n">
        <v>0</v>
      </c>
      <c r="M4565" s="2" t="n">
        <v>0</v>
      </c>
    </row>
    <row r="4566" customFormat="false" ht="15" hidden="false" customHeight="false" outlineLevel="0" collapsed="false">
      <c r="A4566" s="2" t="s">
        <v>9363</v>
      </c>
      <c r="B4566" s="2" t="s">
        <v>9364</v>
      </c>
      <c r="C4566" s="2" t="n">
        <v>5</v>
      </c>
      <c r="D4566" s="2" t="s">
        <v>15</v>
      </c>
      <c r="E4566" s="2" t="s">
        <v>8083</v>
      </c>
      <c r="F4566" s="3" t="n">
        <v>46102.7597222222</v>
      </c>
      <c r="G4566" s="2" t="s">
        <v>8917</v>
      </c>
      <c r="H4566" s="4" t="n">
        <v>0</v>
      </c>
      <c r="I4566" s="2" t="s">
        <v>18</v>
      </c>
      <c r="J4566" s="2" t="s">
        <v>19</v>
      </c>
      <c r="K4566" s="2" t="n">
        <v>0</v>
      </c>
      <c r="L4566" s="2" t="n">
        <v>0</v>
      </c>
      <c r="M4566" s="2" t="n">
        <v>0</v>
      </c>
    </row>
    <row r="4567" customFormat="false" ht="15" hidden="false" customHeight="false" outlineLevel="0" collapsed="false">
      <c r="A4567" s="2" t="s">
        <v>9365</v>
      </c>
      <c r="B4567" s="2" t="s">
        <v>9366</v>
      </c>
      <c r="C4567" s="2" t="n">
        <v>3</v>
      </c>
      <c r="D4567" s="2" t="s">
        <v>3400</v>
      </c>
      <c r="E4567" s="2" t="s">
        <v>8083</v>
      </c>
      <c r="F4567" s="3" t="n">
        <v>46102.8152777778</v>
      </c>
      <c r="G4567" s="2" t="s">
        <v>8917</v>
      </c>
      <c r="H4567" s="4" t="n">
        <v>-0.5667</v>
      </c>
      <c r="I4567" s="2" t="s">
        <v>84</v>
      </c>
      <c r="J4567" s="2" t="s">
        <v>37</v>
      </c>
      <c r="K4567" s="2" t="n">
        <v>3</v>
      </c>
      <c r="L4567" s="2" t="n">
        <v>0</v>
      </c>
      <c r="M4567" s="2" t="n">
        <v>0</v>
      </c>
    </row>
    <row r="4568" customFormat="false" ht="15" hidden="false" customHeight="false" outlineLevel="0" collapsed="false">
      <c r="A4568" s="2" t="s">
        <v>9367</v>
      </c>
      <c r="B4568" s="2" t="s">
        <v>9368</v>
      </c>
      <c r="C4568" s="2" t="n">
        <v>5</v>
      </c>
      <c r="D4568" s="2" t="s">
        <v>96</v>
      </c>
      <c r="E4568" s="2" t="s">
        <v>8083</v>
      </c>
      <c r="F4568" s="3" t="n">
        <v>46103.03125</v>
      </c>
      <c r="G4568" s="2" t="s">
        <v>8917</v>
      </c>
      <c r="H4568" s="4" t="n">
        <v>0.6369</v>
      </c>
      <c r="I4568" s="2" t="s">
        <v>23</v>
      </c>
      <c r="J4568" s="2" t="s">
        <v>19</v>
      </c>
      <c r="K4568" s="2" t="n">
        <v>4</v>
      </c>
      <c r="L4568" s="2" t="n">
        <v>0</v>
      </c>
      <c r="M4568" s="2" t="n">
        <v>0</v>
      </c>
    </row>
    <row r="4569" customFormat="false" ht="15" hidden="false" customHeight="false" outlineLevel="0" collapsed="false">
      <c r="A4569" s="2" t="s">
        <v>9369</v>
      </c>
      <c r="B4569" s="2" t="s">
        <v>515</v>
      </c>
      <c r="C4569" s="2" t="n">
        <v>3</v>
      </c>
      <c r="D4569" s="2" t="s">
        <v>99</v>
      </c>
      <c r="E4569" s="2" t="s">
        <v>8083</v>
      </c>
      <c r="F4569" s="3" t="n">
        <v>46103.0472222222</v>
      </c>
      <c r="G4569" s="2" t="s">
        <v>8917</v>
      </c>
      <c r="H4569" s="4" t="n">
        <v>-0.3089</v>
      </c>
      <c r="I4569" s="2" t="s">
        <v>84</v>
      </c>
      <c r="J4569" s="2" t="s">
        <v>19</v>
      </c>
      <c r="K4569" s="2" t="n">
        <v>1</v>
      </c>
      <c r="L4569" s="2" t="n">
        <v>0</v>
      </c>
      <c r="M4569" s="2" t="n">
        <v>0</v>
      </c>
    </row>
    <row r="4570" customFormat="false" ht="15" hidden="false" customHeight="false" outlineLevel="0" collapsed="false">
      <c r="A4570" s="2" t="s">
        <v>9370</v>
      </c>
      <c r="B4570" s="2" t="s">
        <v>9371</v>
      </c>
      <c r="C4570" s="2" t="n">
        <v>4</v>
      </c>
      <c r="D4570" s="2" t="s">
        <v>1217</v>
      </c>
      <c r="E4570" s="2" t="s">
        <v>8083</v>
      </c>
      <c r="F4570" s="3" t="n">
        <v>46103.0708333333</v>
      </c>
      <c r="G4570" s="2" t="s">
        <v>8917</v>
      </c>
      <c r="H4570" s="4" t="n">
        <v>0.8748</v>
      </c>
      <c r="I4570" s="2" t="s">
        <v>23</v>
      </c>
      <c r="J4570" s="2" t="s">
        <v>37</v>
      </c>
      <c r="K4570" s="2" t="n">
        <v>4</v>
      </c>
      <c r="L4570" s="2" t="n">
        <v>0</v>
      </c>
      <c r="M4570" s="2" t="n">
        <v>0</v>
      </c>
    </row>
    <row r="4571" customFormat="false" ht="15" hidden="false" customHeight="false" outlineLevel="0" collapsed="false">
      <c r="A4571" s="2" t="s">
        <v>9372</v>
      </c>
      <c r="B4571" s="2" t="s">
        <v>9373</v>
      </c>
      <c r="C4571" s="2" t="n">
        <v>5</v>
      </c>
      <c r="D4571" s="2" t="s">
        <v>116</v>
      </c>
      <c r="E4571" s="2" t="s">
        <v>8083</v>
      </c>
      <c r="F4571" s="3" t="n">
        <v>46103.2138888889</v>
      </c>
      <c r="G4571" s="2" t="s">
        <v>8917</v>
      </c>
      <c r="H4571" s="4" t="n">
        <v>0.9359</v>
      </c>
      <c r="I4571" s="2" t="s">
        <v>23</v>
      </c>
      <c r="J4571" s="2" t="s">
        <v>37</v>
      </c>
      <c r="K4571" s="2" t="n">
        <v>3</v>
      </c>
      <c r="L4571" s="2" t="n">
        <v>0</v>
      </c>
      <c r="M4571" s="2" t="n">
        <v>0</v>
      </c>
    </row>
    <row r="4572" customFormat="false" ht="15" hidden="false" customHeight="false" outlineLevel="0" collapsed="false">
      <c r="A4572" s="2" t="s">
        <v>9374</v>
      </c>
      <c r="B4572" s="2" t="s">
        <v>1426</v>
      </c>
      <c r="C4572" s="2" t="n">
        <v>5</v>
      </c>
      <c r="D4572" s="2" t="s">
        <v>1013</v>
      </c>
      <c r="E4572" s="2" t="s">
        <v>8083</v>
      </c>
      <c r="F4572" s="3" t="n">
        <v>46103.4625</v>
      </c>
      <c r="G4572" s="2" t="s">
        <v>8917</v>
      </c>
      <c r="H4572" s="4" t="n">
        <v>0.9606</v>
      </c>
      <c r="I4572" s="2" t="s">
        <v>23</v>
      </c>
      <c r="J4572" s="2" t="s">
        <v>37</v>
      </c>
      <c r="K4572" s="2" t="n">
        <v>6</v>
      </c>
      <c r="L4572" s="2" t="n">
        <v>0</v>
      </c>
      <c r="M4572" s="2" t="n">
        <v>0</v>
      </c>
    </row>
    <row r="4573" customFormat="false" ht="15" hidden="false" customHeight="false" outlineLevel="0" collapsed="false">
      <c r="A4573" s="2" t="s">
        <v>9375</v>
      </c>
      <c r="B4573" s="2" t="s">
        <v>9376</v>
      </c>
      <c r="C4573" s="2" t="n">
        <v>4</v>
      </c>
      <c r="D4573" s="2" t="s">
        <v>787</v>
      </c>
      <c r="E4573" s="2" t="s">
        <v>8083</v>
      </c>
      <c r="F4573" s="3" t="n">
        <v>46103.5298611111</v>
      </c>
      <c r="G4573" s="2" t="s">
        <v>8917</v>
      </c>
      <c r="H4573" s="4" t="n">
        <v>0.7475</v>
      </c>
      <c r="I4573" s="2" t="s">
        <v>23</v>
      </c>
      <c r="J4573" s="2" t="s">
        <v>37</v>
      </c>
      <c r="K4573" s="2" t="n">
        <v>9</v>
      </c>
      <c r="L4573" s="2" t="n">
        <v>0</v>
      </c>
      <c r="M4573" s="2" t="n">
        <v>0</v>
      </c>
    </row>
    <row r="4574" customFormat="false" ht="15" hidden="false" customHeight="false" outlineLevel="0" collapsed="false">
      <c r="A4574" s="2" t="s">
        <v>9377</v>
      </c>
      <c r="B4574" s="2" t="s">
        <v>9378</v>
      </c>
      <c r="C4574" s="2" t="n">
        <v>1</v>
      </c>
      <c r="D4574" s="2" t="s">
        <v>823</v>
      </c>
      <c r="E4574" s="2" t="s">
        <v>8083</v>
      </c>
      <c r="F4574" s="3" t="n">
        <v>46103.5590277778</v>
      </c>
      <c r="G4574" s="2" t="s">
        <v>8917</v>
      </c>
      <c r="H4574" s="4" t="n">
        <v>-0.6997</v>
      </c>
      <c r="I4574" s="2" t="s">
        <v>84</v>
      </c>
      <c r="J4574" s="2" t="s">
        <v>19</v>
      </c>
      <c r="K4574" s="2" t="n">
        <v>2</v>
      </c>
      <c r="L4574" s="2" t="n">
        <v>0</v>
      </c>
      <c r="M4574" s="2" t="n">
        <v>0</v>
      </c>
    </row>
    <row r="4575" customFormat="false" ht="15" hidden="false" customHeight="false" outlineLevel="0" collapsed="false">
      <c r="A4575" s="2" t="s">
        <v>9379</v>
      </c>
      <c r="B4575" s="2" t="s">
        <v>9380</v>
      </c>
      <c r="C4575" s="2" t="n">
        <v>5</v>
      </c>
      <c r="D4575" s="2" t="s">
        <v>62</v>
      </c>
      <c r="E4575" s="2" t="s">
        <v>8083</v>
      </c>
      <c r="F4575" s="3" t="n">
        <v>46103.6958333333</v>
      </c>
      <c r="G4575" s="2" t="s">
        <v>8917</v>
      </c>
      <c r="H4575" s="4" t="n">
        <v>0.7088</v>
      </c>
      <c r="I4575" s="2" t="s">
        <v>23</v>
      </c>
      <c r="J4575" s="2" t="s">
        <v>19</v>
      </c>
      <c r="K4575" s="2" t="n">
        <v>0</v>
      </c>
      <c r="L4575" s="2" t="n">
        <v>0</v>
      </c>
      <c r="M4575" s="2" t="n">
        <v>0</v>
      </c>
    </row>
    <row r="4576" customFormat="false" ht="15" hidden="false" customHeight="false" outlineLevel="0" collapsed="false">
      <c r="A4576" s="2" t="s">
        <v>9381</v>
      </c>
      <c r="B4576" s="2" t="s">
        <v>9382</v>
      </c>
      <c r="C4576" s="2" t="n">
        <v>4</v>
      </c>
      <c r="D4576" s="2" t="s">
        <v>62</v>
      </c>
      <c r="E4576" s="2" t="s">
        <v>8083</v>
      </c>
      <c r="F4576" s="3" t="n">
        <v>46103.8881944444</v>
      </c>
      <c r="G4576" s="2" t="s">
        <v>8917</v>
      </c>
      <c r="H4576" s="4" t="n">
        <v>0.7088</v>
      </c>
      <c r="I4576" s="2" t="s">
        <v>23</v>
      </c>
      <c r="J4576" s="2" t="s">
        <v>19</v>
      </c>
      <c r="K4576" s="2" t="n">
        <v>2</v>
      </c>
      <c r="L4576" s="2" t="n">
        <v>0</v>
      </c>
      <c r="M4576" s="2" t="n">
        <v>0</v>
      </c>
    </row>
    <row r="4577" customFormat="false" ht="15" hidden="false" customHeight="false" outlineLevel="0" collapsed="false">
      <c r="A4577" s="2" t="s">
        <v>9383</v>
      </c>
      <c r="B4577" s="2" t="s">
        <v>9384</v>
      </c>
      <c r="C4577" s="2" t="n">
        <v>5</v>
      </c>
      <c r="D4577" s="2" t="s">
        <v>799</v>
      </c>
      <c r="E4577" s="2" t="s">
        <v>8083</v>
      </c>
      <c r="F4577" s="3" t="n">
        <v>46104.0951388889</v>
      </c>
      <c r="G4577" s="2" t="s">
        <v>8917</v>
      </c>
      <c r="H4577" s="4" t="n">
        <v>0.9606</v>
      </c>
      <c r="I4577" s="2" t="s">
        <v>23</v>
      </c>
      <c r="J4577" s="2" t="s">
        <v>37</v>
      </c>
      <c r="K4577" s="2" t="n">
        <v>6</v>
      </c>
      <c r="L4577" s="2" t="n">
        <v>0</v>
      </c>
      <c r="M4577" s="2" t="n">
        <v>0</v>
      </c>
    </row>
    <row r="4578" customFormat="false" ht="15" hidden="false" customHeight="false" outlineLevel="0" collapsed="false">
      <c r="A4578" s="2" t="s">
        <v>9385</v>
      </c>
      <c r="B4578" s="2" t="s">
        <v>9386</v>
      </c>
      <c r="C4578" s="2" t="n">
        <v>3</v>
      </c>
      <c r="D4578" s="2" t="s">
        <v>22</v>
      </c>
      <c r="E4578" s="2" t="s">
        <v>8083</v>
      </c>
      <c r="F4578" s="3" t="n">
        <v>46104.2416666667</v>
      </c>
      <c r="G4578" s="2" t="s">
        <v>8917</v>
      </c>
      <c r="H4578" s="4" t="n">
        <v>0.2023</v>
      </c>
      <c r="I4578" s="2" t="s">
        <v>23</v>
      </c>
      <c r="J4578" s="2" t="s">
        <v>19</v>
      </c>
      <c r="K4578" s="2" t="n">
        <v>5</v>
      </c>
      <c r="L4578" s="2" t="n">
        <v>0</v>
      </c>
      <c r="M4578" s="2" t="n">
        <v>0</v>
      </c>
    </row>
    <row r="4579" customFormat="false" ht="15" hidden="false" customHeight="false" outlineLevel="0" collapsed="false">
      <c r="A4579" s="2" t="s">
        <v>9387</v>
      </c>
      <c r="B4579" s="2" t="s">
        <v>9388</v>
      </c>
      <c r="C4579" s="2" t="n">
        <v>4</v>
      </c>
      <c r="D4579" s="2" t="s">
        <v>15</v>
      </c>
      <c r="E4579" s="2" t="s">
        <v>8083</v>
      </c>
      <c r="F4579" s="3" t="n">
        <v>46104.2923611111</v>
      </c>
      <c r="G4579" s="2" t="s">
        <v>8917</v>
      </c>
      <c r="H4579" s="4" t="n">
        <v>0</v>
      </c>
      <c r="I4579" s="2" t="s">
        <v>18</v>
      </c>
      <c r="J4579" s="2" t="s">
        <v>19</v>
      </c>
      <c r="K4579" s="2" t="n">
        <v>3</v>
      </c>
      <c r="L4579" s="2" t="n">
        <v>0</v>
      </c>
      <c r="M4579" s="2" t="n">
        <v>0</v>
      </c>
    </row>
    <row r="4580" customFormat="false" ht="15" hidden="false" customHeight="false" outlineLevel="0" collapsed="false">
      <c r="A4580" s="2" t="s">
        <v>9389</v>
      </c>
      <c r="B4580" s="2" t="s">
        <v>9390</v>
      </c>
      <c r="C4580" s="2" t="n">
        <v>4</v>
      </c>
      <c r="D4580" s="2" t="s">
        <v>96</v>
      </c>
      <c r="E4580" s="2" t="s">
        <v>8083</v>
      </c>
      <c r="F4580" s="3" t="n">
        <v>46104.3055555556</v>
      </c>
      <c r="G4580" s="2" t="s">
        <v>8917</v>
      </c>
      <c r="H4580" s="4" t="n">
        <v>0.6369</v>
      </c>
      <c r="I4580" s="2" t="s">
        <v>23</v>
      </c>
      <c r="J4580" s="2" t="s">
        <v>19</v>
      </c>
      <c r="K4580" s="2" t="n">
        <v>1</v>
      </c>
      <c r="L4580" s="2" t="n">
        <v>0</v>
      </c>
      <c r="M4580" s="2" t="n">
        <v>0</v>
      </c>
    </row>
    <row r="4581" customFormat="false" ht="15" hidden="false" customHeight="false" outlineLevel="0" collapsed="false">
      <c r="A4581" s="2" t="s">
        <v>9391</v>
      </c>
      <c r="B4581" s="2" t="s">
        <v>9392</v>
      </c>
      <c r="C4581" s="2" t="n">
        <v>5</v>
      </c>
      <c r="D4581" s="2" t="s">
        <v>62</v>
      </c>
      <c r="E4581" s="2" t="s">
        <v>8083</v>
      </c>
      <c r="F4581" s="3" t="n">
        <v>46104.5166666667</v>
      </c>
      <c r="G4581" s="2" t="s">
        <v>8917</v>
      </c>
      <c r="H4581" s="4" t="n">
        <v>0.7088</v>
      </c>
      <c r="I4581" s="2" t="s">
        <v>23</v>
      </c>
      <c r="J4581" s="2" t="s">
        <v>19</v>
      </c>
      <c r="K4581" s="2" t="n">
        <v>0</v>
      </c>
      <c r="L4581" s="2" t="n">
        <v>0</v>
      </c>
      <c r="M4581" s="2" t="n">
        <v>0</v>
      </c>
    </row>
    <row r="4582" customFormat="false" ht="15" hidden="false" customHeight="false" outlineLevel="0" collapsed="false">
      <c r="A4582" s="2" t="s">
        <v>9393</v>
      </c>
      <c r="B4582" s="2" t="s">
        <v>5418</v>
      </c>
      <c r="C4582" s="2" t="n">
        <v>3</v>
      </c>
      <c r="D4582" s="2" t="s">
        <v>301</v>
      </c>
      <c r="E4582" s="2" t="s">
        <v>8083</v>
      </c>
      <c r="F4582" s="3" t="n">
        <v>46104.6638888889</v>
      </c>
      <c r="G4582" s="2" t="s">
        <v>8917</v>
      </c>
      <c r="H4582" s="4" t="n">
        <v>0.2263</v>
      </c>
      <c r="I4582" s="2" t="s">
        <v>23</v>
      </c>
      <c r="J4582" s="2" t="s">
        <v>19</v>
      </c>
      <c r="K4582" s="2" t="n">
        <v>3</v>
      </c>
      <c r="L4582" s="2" t="n">
        <v>0</v>
      </c>
      <c r="M4582" s="2" t="n">
        <v>0</v>
      </c>
    </row>
    <row r="4583" customFormat="false" ht="15" hidden="false" customHeight="false" outlineLevel="0" collapsed="false">
      <c r="A4583" s="2" t="s">
        <v>9394</v>
      </c>
      <c r="B4583" s="2" t="s">
        <v>9395</v>
      </c>
      <c r="C4583" s="2" t="n">
        <v>4</v>
      </c>
      <c r="D4583" s="2" t="s">
        <v>1279</v>
      </c>
      <c r="E4583" s="2" t="s">
        <v>8083</v>
      </c>
      <c r="F4583" s="3" t="n">
        <v>46104.6847222222</v>
      </c>
      <c r="G4583" s="2" t="s">
        <v>8917</v>
      </c>
      <c r="H4583" s="4" t="n">
        <v>0.7783</v>
      </c>
      <c r="I4583" s="2" t="s">
        <v>23</v>
      </c>
      <c r="J4583" s="2" t="s">
        <v>37</v>
      </c>
      <c r="K4583" s="2" t="n">
        <v>2</v>
      </c>
      <c r="L4583" s="2" t="n">
        <v>0</v>
      </c>
      <c r="M4583" s="2" t="n">
        <v>0</v>
      </c>
    </row>
    <row r="4584" customFormat="false" ht="15" hidden="false" customHeight="false" outlineLevel="0" collapsed="false">
      <c r="A4584" s="2" t="s">
        <v>9396</v>
      </c>
      <c r="B4584" s="2" t="s">
        <v>9397</v>
      </c>
      <c r="C4584" s="2" t="n">
        <v>4</v>
      </c>
      <c r="D4584" s="2" t="s">
        <v>40</v>
      </c>
      <c r="E4584" s="2" t="s">
        <v>8083</v>
      </c>
      <c r="F4584" s="3" t="n">
        <v>46104.7569444445</v>
      </c>
      <c r="G4584" s="2" t="s">
        <v>8917</v>
      </c>
      <c r="H4584" s="4" t="n">
        <v>0.4019</v>
      </c>
      <c r="I4584" s="2" t="s">
        <v>23</v>
      </c>
      <c r="J4584" s="2" t="s">
        <v>33</v>
      </c>
      <c r="K4584" s="2" t="n">
        <v>0</v>
      </c>
      <c r="L4584" s="2" t="n">
        <v>0</v>
      </c>
      <c r="M4584" s="2" t="n">
        <v>0</v>
      </c>
    </row>
    <row r="4585" customFormat="false" ht="15" hidden="false" customHeight="false" outlineLevel="0" collapsed="false">
      <c r="A4585" s="2" t="s">
        <v>9398</v>
      </c>
      <c r="B4585" s="2" t="s">
        <v>9399</v>
      </c>
      <c r="C4585" s="2" t="n">
        <v>5</v>
      </c>
      <c r="D4585" s="2" t="s">
        <v>213</v>
      </c>
      <c r="E4585" s="2" t="s">
        <v>8083</v>
      </c>
      <c r="F4585" s="3" t="n">
        <v>46104.9361111111</v>
      </c>
      <c r="G4585" s="2" t="s">
        <v>8917</v>
      </c>
      <c r="H4585" s="4" t="n">
        <v>0.8651</v>
      </c>
      <c r="I4585" s="2" t="s">
        <v>23</v>
      </c>
      <c r="J4585" s="2" t="s">
        <v>19</v>
      </c>
      <c r="K4585" s="2" t="n">
        <v>6</v>
      </c>
      <c r="L4585" s="2" t="n">
        <v>0</v>
      </c>
      <c r="M4585" s="2" t="n">
        <v>0</v>
      </c>
    </row>
    <row r="4586" customFormat="false" ht="15" hidden="false" customHeight="false" outlineLevel="0" collapsed="false">
      <c r="A4586" s="2" t="s">
        <v>9400</v>
      </c>
      <c r="B4586" s="2" t="s">
        <v>9401</v>
      </c>
      <c r="C4586" s="2" t="n">
        <v>5</v>
      </c>
      <c r="D4586" s="2" t="s">
        <v>52</v>
      </c>
      <c r="E4586" s="2" t="s">
        <v>8083</v>
      </c>
      <c r="F4586" s="3" t="n">
        <v>46104.9701388889</v>
      </c>
      <c r="G4586" s="2" t="s">
        <v>8917</v>
      </c>
      <c r="H4586" s="4" t="n">
        <v>0.6369</v>
      </c>
      <c r="I4586" s="2" t="s">
        <v>23</v>
      </c>
      <c r="J4586" s="2" t="s">
        <v>19</v>
      </c>
      <c r="K4586" s="2" t="n">
        <v>1</v>
      </c>
      <c r="L4586" s="2" t="n">
        <v>0</v>
      </c>
      <c r="M4586" s="2" t="n">
        <v>0</v>
      </c>
    </row>
    <row r="4587" customFormat="false" ht="15" hidden="false" customHeight="false" outlineLevel="0" collapsed="false">
      <c r="A4587" s="2" t="s">
        <v>9402</v>
      </c>
      <c r="B4587" s="2" t="s">
        <v>9403</v>
      </c>
      <c r="C4587" s="2" t="n">
        <v>1</v>
      </c>
      <c r="D4587" s="2" t="s">
        <v>109</v>
      </c>
      <c r="E4587" s="2" t="s">
        <v>8083</v>
      </c>
      <c r="F4587" s="3" t="n">
        <v>46105.125</v>
      </c>
      <c r="G4587" s="2" t="s">
        <v>8917</v>
      </c>
      <c r="H4587" s="4" t="n">
        <v>0</v>
      </c>
      <c r="I4587" s="2" t="s">
        <v>18</v>
      </c>
      <c r="J4587" s="2" t="s">
        <v>110</v>
      </c>
      <c r="K4587" s="2" t="n">
        <v>1</v>
      </c>
      <c r="L4587" s="2" t="n">
        <v>1</v>
      </c>
      <c r="M4587" s="2" t="n">
        <v>0</v>
      </c>
    </row>
    <row r="4588" customFormat="false" ht="15" hidden="false" customHeight="false" outlineLevel="0" collapsed="false">
      <c r="A4588" s="2" t="s">
        <v>9404</v>
      </c>
      <c r="B4588" s="2" t="s">
        <v>9405</v>
      </c>
      <c r="C4588" s="2" t="n">
        <v>5</v>
      </c>
      <c r="D4588" s="2" t="s">
        <v>1217</v>
      </c>
      <c r="E4588" s="2" t="s">
        <v>8083</v>
      </c>
      <c r="F4588" s="3" t="n">
        <v>46105.1604166667</v>
      </c>
      <c r="G4588" s="2" t="s">
        <v>8917</v>
      </c>
      <c r="H4588" s="4" t="n">
        <v>0.8748</v>
      </c>
      <c r="I4588" s="2" t="s">
        <v>23</v>
      </c>
      <c r="J4588" s="2" t="s">
        <v>37</v>
      </c>
      <c r="K4588" s="2" t="n">
        <v>6</v>
      </c>
      <c r="L4588" s="2" t="n">
        <v>0</v>
      </c>
      <c r="M4588" s="2" t="n">
        <v>0</v>
      </c>
    </row>
    <row r="4589" customFormat="false" ht="15" hidden="false" customHeight="false" outlineLevel="0" collapsed="false">
      <c r="A4589" s="2" t="s">
        <v>9406</v>
      </c>
      <c r="B4589" s="2" t="s">
        <v>9407</v>
      </c>
      <c r="C4589" s="2" t="n">
        <v>5</v>
      </c>
      <c r="D4589" s="2" t="s">
        <v>15</v>
      </c>
      <c r="E4589" s="2" t="s">
        <v>8083</v>
      </c>
      <c r="F4589" s="3" t="n">
        <v>46105.2770833333</v>
      </c>
      <c r="G4589" s="2" t="s">
        <v>8917</v>
      </c>
      <c r="H4589" s="4" t="n">
        <v>0</v>
      </c>
      <c r="I4589" s="2" t="s">
        <v>18</v>
      </c>
      <c r="J4589" s="2" t="s">
        <v>19</v>
      </c>
      <c r="K4589" s="2" t="n">
        <v>7</v>
      </c>
      <c r="L4589" s="2" t="n">
        <v>0</v>
      </c>
      <c r="M4589" s="2" t="n">
        <v>0</v>
      </c>
    </row>
    <row r="4590" customFormat="false" ht="15" hidden="false" customHeight="false" outlineLevel="0" collapsed="false">
      <c r="A4590" s="2" t="s">
        <v>9408</v>
      </c>
      <c r="B4590" s="2" t="s">
        <v>9409</v>
      </c>
      <c r="C4590" s="2" t="n">
        <v>5</v>
      </c>
      <c r="D4590" s="2" t="s">
        <v>90</v>
      </c>
      <c r="E4590" s="2" t="s">
        <v>8083</v>
      </c>
      <c r="F4590" s="3" t="n">
        <v>46105.5006944445</v>
      </c>
      <c r="G4590" s="2" t="s">
        <v>8917</v>
      </c>
      <c r="H4590" s="4" t="n">
        <v>0.6249</v>
      </c>
      <c r="I4590" s="2" t="s">
        <v>23</v>
      </c>
      <c r="J4590" s="2" t="s">
        <v>37</v>
      </c>
      <c r="K4590" s="2" t="n">
        <v>9</v>
      </c>
      <c r="L4590" s="2" t="n">
        <v>0</v>
      </c>
      <c r="M4590" s="2" t="n">
        <v>0</v>
      </c>
    </row>
    <row r="4591" customFormat="false" ht="15" hidden="false" customHeight="false" outlineLevel="0" collapsed="false">
      <c r="A4591" s="2" t="s">
        <v>9410</v>
      </c>
      <c r="B4591" s="2" t="s">
        <v>9411</v>
      </c>
      <c r="C4591" s="2" t="n">
        <v>5</v>
      </c>
      <c r="D4591" s="2" t="s">
        <v>127</v>
      </c>
      <c r="E4591" s="2" t="s">
        <v>8083</v>
      </c>
      <c r="F4591" s="3" t="n">
        <v>46105.5611111111</v>
      </c>
      <c r="G4591" s="2" t="s">
        <v>8917</v>
      </c>
      <c r="H4591" s="4" t="n">
        <v>0.9359</v>
      </c>
      <c r="I4591" s="2" t="s">
        <v>23</v>
      </c>
      <c r="J4591" s="2" t="s">
        <v>37</v>
      </c>
      <c r="K4591" s="2" t="n">
        <v>3</v>
      </c>
      <c r="L4591" s="2" t="n">
        <v>0</v>
      </c>
      <c r="M4591" s="2" t="n">
        <v>0</v>
      </c>
    </row>
    <row r="4592" customFormat="false" ht="15" hidden="false" customHeight="false" outlineLevel="0" collapsed="false">
      <c r="A4592" s="2" t="s">
        <v>9412</v>
      </c>
      <c r="B4592" s="2" t="s">
        <v>9413</v>
      </c>
      <c r="C4592" s="2" t="n">
        <v>3</v>
      </c>
      <c r="D4592" s="2" t="s">
        <v>1952</v>
      </c>
      <c r="E4592" s="2" t="s">
        <v>8083</v>
      </c>
      <c r="F4592" s="3" t="n">
        <v>46105.6</v>
      </c>
      <c r="G4592" s="2" t="s">
        <v>8917</v>
      </c>
      <c r="H4592" s="4" t="n">
        <v>0.5859</v>
      </c>
      <c r="I4592" s="2" t="s">
        <v>23</v>
      </c>
      <c r="J4592" s="2" t="s">
        <v>37</v>
      </c>
      <c r="K4592" s="2" t="n">
        <v>5</v>
      </c>
      <c r="L4592" s="2" t="n">
        <v>0</v>
      </c>
      <c r="M4592" s="2" t="n">
        <v>0</v>
      </c>
    </row>
    <row r="4593" customFormat="false" ht="15" hidden="false" customHeight="false" outlineLevel="0" collapsed="false">
      <c r="A4593" s="2" t="s">
        <v>9414</v>
      </c>
      <c r="B4593" s="2" t="s">
        <v>9415</v>
      </c>
      <c r="C4593" s="2" t="n">
        <v>4</v>
      </c>
      <c r="D4593" s="2" t="s">
        <v>489</v>
      </c>
      <c r="E4593" s="2" t="s">
        <v>8083</v>
      </c>
      <c r="F4593" s="3" t="n">
        <v>46105.6513888889</v>
      </c>
      <c r="G4593" s="2" t="s">
        <v>8917</v>
      </c>
      <c r="H4593" s="4" t="n">
        <v>0.803</v>
      </c>
      <c r="I4593" s="2" t="s">
        <v>23</v>
      </c>
      <c r="J4593" s="2" t="s">
        <v>19</v>
      </c>
      <c r="K4593" s="2" t="n">
        <v>4</v>
      </c>
      <c r="L4593" s="2" t="n">
        <v>0</v>
      </c>
      <c r="M4593" s="2" t="n">
        <v>0</v>
      </c>
    </row>
    <row r="4594" customFormat="false" ht="15" hidden="false" customHeight="false" outlineLevel="0" collapsed="false">
      <c r="A4594" s="2" t="s">
        <v>9416</v>
      </c>
      <c r="B4594" s="2" t="s">
        <v>9417</v>
      </c>
      <c r="C4594" s="2" t="n">
        <v>4</v>
      </c>
      <c r="D4594" s="2" t="s">
        <v>40</v>
      </c>
      <c r="E4594" s="2" t="s">
        <v>8083</v>
      </c>
      <c r="F4594" s="3" t="n">
        <v>46105.7291666667</v>
      </c>
      <c r="G4594" s="2" t="s">
        <v>8917</v>
      </c>
      <c r="H4594" s="4" t="n">
        <v>0.4019</v>
      </c>
      <c r="I4594" s="2" t="s">
        <v>23</v>
      </c>
      <c r="J4594" s="2" t="s">
        <v>33</v>
      </c>
      <c r="K4594" s="2" t="n">
        <v>4</v>
      </c>
      <c r="L4594" s="2" t="n">
        <v>0</v>
      </c>
      <c r="M4594" s="2" t="n">
        <v>0</v>
      </c>
    </row>
    <row r="4595" customFormat="false" ht="15" hidden="false" customHeight="false" outlineLevel="0" collapsed="false">
      <c r="A4595" s="2" t="s">
        <v>9418</v>
      </c>
      <c r="B4595" s="2" t="s">
        <v>9419</v>
      </c>
      <c r="C4595" s="2" t="n">
        <v>1</v>
      </c>
      <c r="D4595" s="2" t="s">
        <v>357</v>
      </c>
      <c r="E4595" s="2" t="s">
        <v>8083</v>
      </c>
      <c r="F4595" s="3" t="n">
        <v>46105.7944444444</v>
      </c>
      <c r="G4595" s="2" t="s">
        <v>8917</v>
      </c>
      <c r="H4595" s="4" t="n">
        <v>0</v>
      </c>
      <c r="I4595" s="2" t="s">
        <v>18</v>
      </c>
      <c r="J4595" s="2" t="s">
        <v>165</v>
      </c>
      <c r="K4595" s="2" t="n">
        <v>3</v>
      </c>
      <c r="L4595" s="2" t="n">
        <v>0</v>
      </c>
      <c r="M4595" s="2" t="n">
        <v>0</v>
      </c>
    </row>
    <row r="4596" customFormat="false" ht="15" hidden="false" customHeight="false" outlineLevel="0" collapsed="false">
      <c r="A4596" s="2" t="s">
        <v>9420</v>
      </c>
      <c r="B4596" s="2" t="s">
        <v>9421</v>
      </c>
      <c r="C4596" s="2" t="n">
        <v>5</v>
      </c>
      <c r="D4596" s="2" t="s">
        <v>90</v>
      </c>
      <c r="E4596" s="2" t="s">
        <v>8083</v>
      </c>
      <c r="F4596" s="3" t="n">
        <v>46105.8652777778</v>
      </c>
      <c r="G4596" s="2" t="s">
        <v>8917</v>
      </c>
      <c r="H4596" s="4" t="n">
        <v>0.6249</v>
      </c>
      <c r="I4596" s="2" t="s">
        <v>23</v>
      </c>
      <c r="J4596" s="2" t="s">
        <v>37</v>
      </c>
      <c r="K4596" s="2" t="n">
        <v>0</v>
      </c>
      <c r="L4596" s="2" t="n">
        <v>0</v>
      </c>
      <c r="M4596" s="2" t="n">
        <v>0</v>
      </c>
    </row>
    <row r="4597" customFormat="false" ht="15" hidden="false" customHeight="false" outlineLevel="0" collapsed="false">
      <c r="A4597" s="2" t="s">
        <v>9422</v>
      </c>
      <c r="B4597" s="2" t="s">
        <v>9423</v>
      </c>
      <c r="C4597" s="2" t="n">
        <v>5</v>
      </c>
      <c r="D4597" s="2" t="s">
        <v>62</v>
      </c>
      <c r="E4597" s="2" t="s">
        <v>8083</v>
      </c>
      <c r="F4597" s="3" t="n">
        <v>46105.9034722222</v>
      </c>
      <c r="G4597" s="2" t="s">
        <v>8917</v>
      </c>
      <c r="H4597" s="4" t="n">
        <v>0.7088</v>
      </c>
      <c r="I4597" s="2" t="s">
        <v>23</v>
      </c>
      <c r="J4597" s="2" t="s">
        <v>19</v>
      </c>
      <c r="K4597" s="2" t="n">
        <v>3</v>
      </c>
      <c r="L4597" s="2" t="n">
        <v>0</v>
      </c>
      <c r="M4597" s="2" t="n">
        <v>0</v>
      </c>
    </row>
    <row r="4598" customFormat="false" ht="15" hidden="false" customHeight="false" outlineLevel="0" collapsed="false">
      <c r="A4598" s="2" t="s">
        <v>9424</v>
      </c>
      <c r="B4598" s="2" t="s">
        <v>9425</v>
      </c>
      <c r="C4598" s="2" t="n">
        <v>2</v>
      </c>
      <c r="D4598" s="2" t="s">
        <v>83</v>
      </c>
      <c r="E4598" s="2" t="s">
        <v>8083</v>
      </c>
      <c r="F4598" s="3" t="n">
        <v>46105.9152777778</v>
      </c>
      <c r="G4598" s="2" t="s">
        <v>8917</v>
      </c>
      <c r="H4598" s="4" t="n">
        <v>-0.6166</v>
      </c>
      <c r="I4598" s="2" t="s">
        <v>84</v>
      </c>
      <c r="J4598" s="2" t="s">
        <v>59</v>
      </c>
      <c r="K4598" s="2" t="n">
        <v>0</v>
      </c>
      <c r="L4598" s="2" t="n">
        <v>1</v>
      </c>
      <c r="M4598" s="2" t="n">
        <v>0</v>
      </c>
    </row>
    <row r="4599" customFormat="false" ht="15" hidden="false" customHeight="false" outlineLevel="0" collapsed="false">
      <c r="A4599" s="2" t="s">
        <v>9426</v>
      </c>
      <c r="B4599" s="2" t="s">
        <v>9427</v>
      </c>
      <c r="C4599" s="2" t="n">
        <v>5</v>
      </c>
      <c r="D4599" s="2" t="s">
        <v>875</v>
      </c>
      <c r="E4599" s="2" t="s">
        <v>8083</v>
      </c>
      <c r="F4599" s="3" t="n">
        <v>46106.0902777778</v>
      </c>
      <c r="G4599" s="2" t="s">
        <v>8917</v>
      </c>
      <c r="H4599" s="4" t="n">
        <v>0.7992</v>
      </c>
      <c r="I4599" s="2" t="s">
        <v>23</v>
      </c>
      <c r="J4599" s="2" t="s">
        <v>19</v>
      </c>
      <c r="K4599" s="2" t="n">
        <v>1</v>
      </c>
      <c r="L4599" s="2" t="n">
        <v>0</v>
      </c>
      <c r="M4599" s="2" t="n">
        <v>0</v>
      </c>
    </row>
    <row r="4600" customFormat="false" ht="15" hidden="false" customHeight="false" outlineLevel="0" collapsed="false">
      <c r="A4600" s="2" t="s">
        <v>9428</v>
      </c>
      <c r="B4600" s="2" t="s">
        <v>9429</v>
      </c>
      <c r="C4600" s="2" t="n">
        <v>5</v>
      </c>
      <c r="D4600" s="2" t="s">
        <v>40</v>
      </c>
      <c r="E4600" s="2" t="s">
        <v>8083</v>
      </c>
      <c r="F4600" s="3" t="n">
        <v>46106.1111111111</v>
      </c>
      <c r="G4600" s="2" t="s">
        <v>8917</v>
      </c>
      <c r="H4600" s="4" t="n">
        <v>0.4019</v>
      </c>
      <c r="I4600" s="2" t="s">
        <v>23</v>
      </c>
      <c r="J4600" s="2" t="s">
        <v>33</v>
      </c>
      <c r="K4600" s="2" t="n">
        <v>0</v>
      </c>
      <c r="L4600" s="2" t="n">
        <v>0</v>
      </c>
      <c r="M4600" s="2" t="n">
        <v>0</v>
      </c>
    </row>
    <row r="4601" customFormat="false" ht="15" hidden="false" customHeight="false" outlineLevel="0" collapsed="false">
      <c r="A4601" s="2" t="s">
        <v>9430</v>
      </c>
      <c r="B4601" s="2" t="s">
        <v>9431</v>
      </c>
      <c r="C4601" s="2" t="n">
        <v>3</v>
      </c>
      <c r="D4601" s="2" t="s">
        <v>397</v>
      </c>
      <c r="E4601" s="2" t="s">
        <v>8083</v>
      </c>
      <c r="F4601" s="3" t="n">
        <v>46106.3784722222</v>
      </c>
      <c r="G4601" s="2" t="s">
        <v>8917</v>
      </c>
      <c r="H4601" s="4" t="n">
        <v>0</v>
      </c>
      <c r="I4601" s="2" t="s">
        <v>18</v>
      </c>
      <c r="J4601" s="2" t="s">
        <v>110</v>
      </c>
      <c r="K4601" s="2" t="n">
        <v>1</v>
      </c>
      <c r="L4601" s="2" t="n">
        <v>1</v>
      </c>
      <c r="M4601" s="2" t="n">
        <v>0</v>
      </c>
    </row>
    <row r="4602" customFormat="false" ht="15" hidden="false" customHeight="false" outlineLevel="0" collapsed="false">
      <c r="A4602" s="2" t="s">
        <v>9432</v>
      </c>
      <c r="B4602" s="2" t="s">
        <v>9433</v>
      </c>
      <c r="C4602" s="2" t="n">
        <v>2</v>
      </c>
      <c r="D4602" s="2" t="s">
        <v>357</v>
      </c>
      <c r="E4602" s="2" t="s">
        <v>8083</v>
      </c>
      <c r="F4602" s="3" t="n">
        <v>46106.5902777778</v>
      </c>
      <c r="G4602" s="2" t="s">
        <v>8917</v>
      </c>
      <c r="H4602" s="4" t="n">
        <v>0</v>
      </c>
      <c r="I4602" s="2" t="s">
        <v>18</v>
      </c>
      <c r="J4602" s="2" t="s">
        <v>165</v>
      </c>
      <c r="K4602" s="2" t="n">
        <v>1</v>
      </c>
      <c r="L4602" s="2" t="n">
        <v>0</v>
      </c>
      <c r="M4602" s="2" t="n">
        <v>0</v>
      </c>
    </row>
    <row r="4603" customFormat="false" ht="15" hidden="false" customHeight="false" outlineLevel="0" collapsed="false">
      <c r="A4603" s="2" t="s">
        <v>9434</v>
      </c>
      <c r="B4603" s="2" t="s">
        <v>9435</v>
      </c>
      <c r="C4603" s="2" t="n">
        <v>4</v>
      </c>
      <c r="D4603" s="2" t="s">
        <v>87</v>
      </c>
      <c r="E4603" s="2" t="s">
        <v>8083</v>
      </c>
      <c r="F4603" s="3" t="n">
        <v>46106.5986111111</v>
      </c>
      <c r="G4603" s="2" t="s">
        <v>8917</v>
      </c>
      <c r="H4603" s="4" t="n">
        <v>0</v>
      </c>
      <c r="I4603" s="2" t="s">
        <v>18</v>
      </c>
      <c r="J4603" s="2" t="s">
        <v>19</v>
      </c>
      <c r="K4603" s="2" t="n">
        <v>1</v>
      </c>
      <c r="L4603" s="2" t="n">
        <v>0</v>
      </c>
      <c r="M4603" s="2" t="n">
        <v>0</v>
      </c>
    </row>
    <row r="4604" customFormat="false" ht="15" hidden="false" customHeight="false" outlineLevel="0" collapsed="false">
      <c r="A4604" s="2" t="s">
        <v>9436</v>
      </c>
      <c r="B4604" s="2" t="s">
        <v>9437</v>
      </c>
      <c r="C4604" s="2" t="n">
        <v>5</v>
      </c>
      <c r="D4604" s="2" t="s">
        <v>1004</v>
      </c>
      <c r="E4604" s="2" t="s">
        <v>8083</v>
      </c>
      <c r="F4604" s="3" t="n">
        <v>46106.7652777778</v>
      </c>
      <c r="G4604" s="2" t="s">
        <v>8917</v>
      </c>
      <c r="H4604" s="4" t="n">
        <v>0.6249</v>
      </c>
      <c r="I4604" s="2" t="s">
        <v>23</v>
      </c>
      <c r="J4604" s="2" t="s">
        <v>37</v>
      </c>
      <c r="K4604" s="2" t="n">
        <v>1</v>
      </c>
      <c r="L4604" s="2" t="n">
        <v>0</v>
      </c>
      <c r="M4604" s="2" t="n">
        <v>0</v>
      </c>
    </row>
    <row r="4605" customFormat="false" ht="15" hidden="false" customHeight="false" outlineLevel="0" collapsed="false">
      <c r="A4605" s="2" t="s">
        <v>9438</v>
      </c>
      <c r="B4605" s="2" t="s">
        <v>4395</v>
      </c>
      <c r="C4605" s="2" t="n">
        <v>5</v>
      </c>
      <c r="D4605" s="2" t="s">
        <v>52</v>
      </c>
      <c r="E4605" s="2" t="s">
        <v>8083</v>
      </c>
      <c r="F4605" s="3" t="n">
        <v>46106.8083333333</v>
      </c>
      <c r="G4605" s="2" t="s">
        <v>8917</v>
      </c>
      <c r="H4605" s="4" t="n">
        <v>0.6369</v>
      </c>
      <c r="I4605" s="2" t="s">
        <v>23</v>
      </c>
      <c r="J4605" s="2" t="s">
        <v>19</v>
      </c>
      <c r="K4605" s="2" t="n">
        <v>2</v>
      </c>
      <c r="L4605" s="2" t="n">
        <v>0</v>
      </c>
      <c r="M4605" s="2" t="n">
        <v>0</v>
      </c>
    </row>
    <row r="4606" customFormat="false" ht="15" hidden="false" customHeight="false" outlineLevel="0" collapsed="false">
      <c r="A4606" s="2" t="s">
        <v>9439</v>
      </c>
      <c r="B4606" s="2" t="s">
        <v>9440</v>
      </c>
      <c r="C4606" s="2" t="n">
        <v>2</v>
      </c>
      <c r="D4606" s="2" t="s">
        <v>455</v>
      </c>
      <c r="E4606" s="2" t="s">
        <v>8083</v>
      </c>
      <c r="F4606" s="3" t="n">
        <v>46106.9076388889</v>
      </c>
      <c r="G4606" s="2" t="s">
        <v>8917</v>
      </c>
      <c r="H4606" s="4" t="n">
        <v>-0.2263</v>
      </c>
      <c r="I4606" s="2" t="s">
        <v>84</v>
      </c>
      <c r="J4606" s="2" t="s">
        <v>165</v>
      </c>
      <c r="K4606" s="2" t="n">
        <v>5</v>
      </c>
      <c r="L4606" s="2" t="n">
        <v>0</v>
      </c>
      <c r="M4606" s="2" t="n">
        <v>0</v>
      </c>
    </row>
    <row r="4607" customFormat="false" ht="15" hidden="false" customHeight="false" outlineLevel="0" collapsed="false">
      <c r="A4607" s="2" t="s">
        <v>9441</v>
      </c>
      <c r="B4607" s="2" t="s">
        <v>9442</v>
      </c>
      <c r="C4607" s="2" t="n">
        <v>5</v>
      </c>
      <c r="D4607" s="2" t="s">
        <v>90</v>
      </c>
      <c r="E4607" s="2" t="s">
        <v>8083</v>
      </c>
      <c r="F4607" s="3" t="n">
        <v>46107.0388888889</v>
      </c>
      <c r="G4607" s="2" t="s">
        <v>8917</v>
      </c>
      <c r="H4607" s="4" t="n">
        <v>0.6249</v>
      </c>
      <c r="I4607" s="2" t="s">
        <v>23</v>
      </c>
      <c r="J4607" s="2" t="s">
        <v>37</v>
      </c>
      <c r="K4607" s="2" t="n">
        <v>0</v>
      </c>
      <c r="L4607" s="2" t="n">
        <v>0</v>
      </c>
      <c r="M4607" s="2" t="n">
        <v>0</v>
      </c>
    </row>
    <row r="4608" customFormat="false" ht="15" hidden="false" customHeight="false" outlineLevel="0" collapsed="false">
      <c r="A4608" s="2" t="s">
        <v>9443</v>
      </c>
      <c r="B4608" s="2" t="s">
        <v>9444</v>
      </c>
      <c r="C4608" s="2" t="n">
        <v>4</v>
      </c>
      <c r="D4608" s="2" t="s">
        <v>1622</v>
      </c>
      <c r="E4608" s="2" t="s">
        <v>8083</v>
      </c>
      <c r="F4608" s="3" t="n">
        <v>46107.0958333333</v>
      </c>
      <c r="G4608" s="2" t="s">
        <v>8917</v>
      </c>
      <c r="H4608" s="4" t="n">
        <v>0.8555</v>
      </c>
      <c r="I4608" s="2" t="s">
        <v>23</v>
      </c>
      <c r="J4608" s="2" t="s">
        <v>19</v>
      </c>
      <c r="K4608" s="2" t="n">
        <v>2</v>
      </c>
      <c r="L4608" s="2" t="n">
        <v>0</v>
      </c>
      <c r="M4608" s="2" t="n">
        <v>0</v>
      </c>
    </row>
    <row r="4609" customFormat="false" ht="15" hidden="false" customHeight="false" outlineLevel="0" collapsed="false">
      <c r="A4609" s="2" t="s">
        <v>9445</v>
      </c>
      <c r="B4609" s="2" t="s">
        <v>9446</v>
      </c>
      <c r="C4609" s="2" t="n">
        <v>1</v>
      </c>
      <c r="D4609" s="2" t="s">
        <v>701</v>
      </c>
      <c r="E4609" s="2" t="s">
        <v>8083</v>
      </c>
      <c r="F4609" s="3" t="n">
        <v>46107.2104166667</v>
      </c>
      <c r="G4609" s="2" t="s">
        <v>8917</v>
      </c>
      <c r="H4609" s="4" t="n">
        <v>-0.7184</v>
      </c>
      <c r="I4609" s="2" t="s">
        <v>84</v>
      </c>
      <c r="J4609" s="2" t="s">
        <v>37</v>
      </c>
      <c r="K4609" s="2" t="n">
        <v>8</v>
      </c>
      <c r="L4609" s="2" t="n">
        <v>0</v>
      </c>
      <c r="M4609" s="2" t="n">
        <v>0</v>
      </c>
    </row>
    <row r="4610" customFormat="false" ht="15" hidden="false" customHeight="false" outlineLevel="0" collapsed="false">
      <c r="A4610" s="2" t="s">
        <v>9447</v>
      </c>
      <c r="B4610" s="2" t="s">
        <v>9448</v>
      </c>
      <c r="C4610" s="2" t="n">
        <v>1</v>
      </c>
      <c r="D4610" s="2" t="s">
        <v>9449</v>
      </c>
      <c r="E4610" s="2" t="s">
        <v>8083</v>
      </c>
      <c r="F4610" s="3" t="n">
        <v>46107.4</v>
      </c>
      <c r="G4610" s="2" t="s">
        <v>8917</v>
      </c>
      <c r="H4610" s="4" t="n">
        <v>-0.4215</v>
      </c>
      <c r="I4610" s="2" t="s">
        <v>84</v>
      </c>
      <c r="J4610" s="2" t="s">
        <v>33</v>
      </c>
      <c r="K4610" s="2" t="n">
        <v>4</v>
      </c>
      <c r="L4610" s="2" t="n">
        <v>0</v>
      </c>
      <c r="M4610" s="2" t="n">
        <v>0</v>
      </c>
    </row>
    <row r="4611" customFormat="false" ht="15" hidden="false" customHeight="false" outlineLevel="0" collapsed="false">
      <c r="A4611" s="2" t="s">
        <v>9450</v>
      </c>
      <c r="B4611" s="2" t="s">
        <v>9451</v>
      </c>
      <c r="C4611" s="2" t="n">
        <v>5</v>
      </c>
      <c r="D4611" s="2" t="s">
        <v>62</v>
      </c>
      <c r="E4611" s="2" t="s">
        <v>8083</v>
      </c>
      <c r="F4611" s="3" t="n">
        <v>46107.4097222222</v>
      </c>
      <c r="G4611" s="2" t="s">
        <v>8917</v>
      </c>
      <c r="H4611" s="4" t="n">
        <v>0.7088</v>
      </c>
      <c r="I4611" s="2" t="s">
        <v>23</v>
      </c>
      <c r="J4611" s="2" t="s">
        <v>19</v>
      </c>
      <c r="K4611" s="2" t="n">
        <v>0</v>
      </c>
      <c r="L4611" s="2" t="n">
        <v>0</v>
      </c>
      <c r="M4611" s="2" t="n">
        <v>0</v>
      </c>
    </row>
    <row r="4612" customFormat="false" ht="15" hidden="false" customHeight="false" outlineLevel="0" collapsed="false">
      <c r="A4612" s="2" t="s">
        <v>9452</v>
      </c>
      <c r="B4612" s="2" t="s">
        <v>9453</v>
      </c>
      <c r="C4612" s="2" t="n">
        <v>4</v>
      </c>
      <c r="D4612" s="2" t="s">
        <v>40</v>
      </c>
      <c r="E4612" s="2" t="s">
        <v>8083</v>
      </c>
      <c r="F4612" s="3" t="n">
        <v>46107.4402777778</v>
      </c>
      <c r="G4612" s="2" t="s">
        <v>8917</v>
      </c>
      <c r="H4612" s="4" t="n">
        <v>0.4019</v>
      </c>
      <c r="I4612" s="2" t="s">
        <v>23</v>
      </c>
      <c r="J4612" s="2" t="s">
        <v>33</v>
      </c>
      <c r="K4612" s="2" t="n">
        <v>12</v>
      </c>
      <c r="L4612" s="2" t="n">
        <v>0</v>
      </c>
      <c r="M4612" s="2" t="n">
        <v>0</v>
      </c>
    </row>
    <row r="4613" customFormat="false" ht="15" hidden="false" customHeight="false" outlineLevel="0" collapsed="false">
      <c r="A4613" s="2" t="s">
        <v>9454</v>
      </c>
      <c r="B4613" s="2" t="s">
        <v>2724</v>
      </c>
      <c r="C4613" s="2" t="n">
        <v>4</v>
      </c>
      <c r="D4613" s="2" t="s">
        <v>9455</v>
      </c>
      <c r="E4613" s="2" t="s">
        <v>8083</v>
      </c>
      <c r="F4613" s="3" t="n">
        <v>46107.4666666667</v>
      </c>
      <c r="G4613" s="2" t="s">
        <v>8917</v>
      </c>
      <c r="H4613" s="4" t="n">
        <v>0.438</v>
      </c>
      <c r="I4613" s="2" t="s">
        <v>23</v>
      </c>
      <c r="J4613" s="2" t="s">
        <v>19</v>
      </c>
      <c r="K4613" s="2" t="n">
        <v>2</v>
      </c>
      <c r="L4613" s="2" t="n">
        <v>0</v>
      </c>
      <c r="M4613" s="2" t="n">
        <v>0</v>
      </c>
    </row>
    <row r="4614" customFormat="false" ht="15" hidden="false" customHeight="false" outlineLevel="0" collapsed="false">
      <c r="A4614" s="2" t="s">
        <v>9456</v>
      </c>
      <c r="B4614" s="2" t="s">
        <v>9457</v>
      </c>
      <c r="C4614" s="2" t="n">
        <v>5</v>
      </c>
      <c r="D4614" s="2" t="s">
        <v>90</v>
      </c>
      <c r="E4614" s="2" t="s">
        <v>8083</v>
      </c>
      <c r="F4614" s="3" t="n">
        <v>46107.6368055556</v>
      </c>
      <c r="G4614" s="2" t="s">
        <v>8917</v>
      </c>
      <c r="H4614" s="4" t="n">
        <v>0.6249</v>
      </c>
      <c r="I4614" s="2" t="s">
        <v>23</v>
      </c>
      <c r="J4614" s="2" t="s">
        <v>37</v>
      </c>
      <c r="K4614" s="2" t="n">
        <v>0</v>
      </c>
      <c r="L4614" s="2" t="n">
        <v>0</v>
      </c>
      <c r="M4614" s="2" t="n">
        <v>0</v>
      </c>
    </row>
    <row r="4615" customFormat="false" ht="15" hidden="false" customHeight="false" outlineLevel="0" collapsed="false">
      <c r="A4615" s="2" t="s">
        <v>9458</v>
      </c>
      <c r="B4615" s="2" t="s">
        <v>9459</v>
      </c>
      <c r="C4615" s="2" t="n">
        <v>5</v>
      </c>
      <c r="D4615" s="2" t="s">
        <v>15</v>
      </c>
      <c r="E4615" s="2" t="s">
        <v>8083</v>
      </c>
      <c r="F4615" s="3" t="n">
        <v>46107.7819444445</v>
      </c>
      <c r="G4615" s="2" t="s">
        <v>8917</v>
      </c>
      <c r="H4615" s="4" t="n">
        <v>0</v>
      </c>
      <c r="I4615" s="2" t="s">
        <v>18</v>
      </c>
      <c r="J4615" s="2" t="s">
        <v>19</v>
      </c>
      <c r="K4615" s="2" t="n">
        <v>8</v>
      </c>
      <c r="L4615" s="2" t="n">
        <v>0</v>
      </c>
      <c r="M4615" s="2" t="n">
        <v>0</v>
      </c>
    </row>
    <row r="4616" customFormat="false" ht="15" hidden="false" customHeight="false" outlineLevel="0" collapsed="false">
      <c r="A4616" s="2" t="s">
        <v>9460</v>
      </c>
      <c r="B4616" s="2" t="s">
        <v>9461</v>
      </c>
      <c r="C4616" s="2" t="n">
        <v>5</v>
      </c>
      <c r="D4616" s="2" t="s">
        <v>96</v>
      </c>
      <c r="E4616" s="2" t="s">
        <v>8083</v>
      </c>
      <c r="F4616" s="3" t="n">
        <v>46107.8680555556</v>
      </c>
      <c r="G4616" s="2" t="s">
        <v>8917</v>
      </c>
      <c r="H4616" s="4" t="n">
        <v>0.6369</v>
      </c>
      <c r="I4616" s="2" t="s">
        <v>23</v>
      </c>
      <c r="J4616" s="2" t="s">
        <v>19</v>
      </c>
      <c r="K4616" s="2" t="n">
        <v>1</v>
      </c>
      <c r="L4616" s="2" t="n">
        <v>0</v>
      </c>
      <c r="M4616" s="2" t="n">
        <v>0</v>
      </c>
    </row>
    <row r="4617" customFormat="false" ht="15" hidden="false" customHeight="false" outlineLevel="0" collapsed="false">
      <c r="A4617" s="2" t="s">
        <v>9462</v>
      </c>
      <c r="B4617" s="2" t="s">
        <v>9463</v>
      </c>
      <c r="C4617" s="2" t="n">
        <v>3</v>
      </c>
      <c r="D4617" s="2" t="s">
        <v>36</v>
      </c>
      <c r="E4617" s="2" t="s">
        <v>8083</v>
      </c>
      <c r="F4617" s="3" t="n">
        <v>46107.9590277778</v>
      </c>
      <c r="G4617" s="2" t="s">
        <v>8917</v>
      </c>
      <c r="H4617" s="4" t="n">
        <v>0.4404</v>
      </c>
      <c r="I4617" s="2" t="s">
        <v>23</v>
      </c>
      <c r="J4617" s="2" t="s">
        <v>37</v>
      </c>
      <c r="K4617" s="2" t="n">
        <v>0</v>
      </c>
      <c r="L4617" s="2" t="n">
        <v>0</v>
      </c>
      <c r="M4617" s="2" t="n">
        <v>0</v>
      </c>
    </row>
    <row r="4618" customFormat="false" ht="15" hidden="false" customHeight="false" outlineLevel="0" collapsed="false">
      <c r="A4618" s="2" t="s">
        <v>9464</v>
      </c>
      <c r="B4618" s="2" t="s">
        <v>9465</v>
      </c>
      <c r="C4618" s="2" t="n">
        <v>4</v>
      </c>
      <c r="D4618" s="2" t="s">
        <v>15</v>
      </c>
      <c r="E4618" s="2" t="s">
        <v>8083</v>
      </c>
      <c r="F4618" s="3" t="n">
        <v>46107.9805555556</v>
      </c>
      <c r="G4618" s="2" t="s">
        <v>8917</v>
      </c>
      <c r="H4618" s="4" t="n">
        <v>0</v>
      </c>
      <c r="I4618" s="2" t="s">
        <v>18</v>
      </c>
      <c r="J4618" s="2" t="s">
        <v>19</v>
      </c>
      <c r="K4618" s="2" t="n">
        <v>0</v>
      </c>
      <c r="L4618" s="2" t="n">
        <v>1</v>
      </c>
      <c r="M4618" s="2" t="n">
        <v>0</v>
      </c>
    </row>
    <row r="4619" customFormat="false" ht="15" hidden="false" customHeight="false" outlineLevel="0" collapsed="false">
      <c r="A4619" s="2" t="s">
        <v>9466</v>
      </c>
      <c r="B4619" s="2" t="s">
        <v>9467</v>
      </c>
      <c r="C4619" s="2" t="n">
        <v>2</v>
      </c>
      <c r="D4619" s="2" t="s">
        <v>498</v>
      </c>
      <c r="E4619" s="2" t="s">
        <v>8083</v>
      </c>
      <c r="F4619" s="3" t="n">
        <v>46107.9965277778</v>
      </c>
      <c r="G4619" s="2" t="s">
        <v>8917</v>
      </c>
      <c r="H4619" s="4" t="n">
        <v>0</v>
      </c>
      <c r="I4619" s="2" t="s">
        <v>18</v>
      </c>
      <c r="J4619" s="2" t="s">
        <v>165</v>
      </c>
      <c r="K4619" s="2" t="n">
        <v>0</v>
      </c>
      <c r="L4619" s="2" t="n">
        <v>0</v>
      </c>
      <c r="M4619" s="2" t="n">
        <v>0</v>
      </c>
    </row>
    <row r="4620" customFormat="false" ht="15" hidden="false" customHeight="false" outlineLevel="0" collapsed="false">
      <c r="A4620" s="2" t="s">
        <v>9468</v>
      </c>
      <c r="B4620" s="2" t="s">
        <v>9469</v>
      </c>
      <c r="C4620" s="2" t="n">
        <v>1</v>
      </c>
      <c r="D4620" s="2" t="s">
        <v>2085</v>
      </c>
      <c r="E4620" s="2" t="s">
        <v>8083</v>
      </c>
      <c r="F4620" s="3" t="n">
        <v>46108.1236111111</v>
      </c>
      <c r="G4620" s="2" t="s">
        <v>8917</v>
      </c>
      <c r="H4620" s="4" t="n">
        <v>0.2263</v>
      </c>
      <c r="I4620" s="2" t="s">
        <v>23</v>
      </c>
      <c r="J4620" s="2" t="s">
        <v>110</v>
      </c>
      <c r="K4620" s="2" t="n">
        <v>0</v>
      </c>
      <c r="L4620" s="2" t="n">
        <v>1</v>
      </c>
      <c r="M4620" s="2" t="n">
        <v>0</v>
      </c>
    </row>
    <row r="4621" customFormat="false" ht="15" hidden="false" customHeight="false" outlineLevel="0" collapsed="false">
      <c r="A4621" s="2" t="s">
        <v>9470</v>
      </c>
      <c r="B4621" s="2" t="s">
        <v>9471</v>
      </c>
      <c r="C4621" s="2" t="n">
        <v>5</v>
      </c>
      <c r="D4621" s="2" t="s">
        <v>47</v>
      </c>
      <c r="E4621" s="2" t="s">
        <v>8083</v>
      </c>
      <c r="F4621" s="3" t="n">
        <v>46108.2861111111</v>
      </c>
      <c r="G4621" s="2" t="s">
        <v>8917</v>
      </c>
      <c r="H4621" s="4" t="n">
        <v>0.3089</v>
      </c>
      <c r="I4621" s="2" t="s">
        <v>23</v>
      </c>
      <c r="J4621" s="2" t="s">
        <v>19</v>
      </c>
      <c r="K4621" s="2" t="n">
        <v>4</v>
      </c>
      <c r="L4621" s="2" t="n">
        <v>0</v>
      </c>
      <c r="M4621" s="2" t="n">
        <v>0</v>
      </c>
    </row>
    <row r="4622" customFormat="false" ht="15" hidden="false" customHeight="false" outlineLevel="0" collapsed="false">
      <c r="A4622" s="2" t="s">
        <v>9472</v>
      </c>
      <c r="B4622" s="2" t="s">
        <v>9473</v>
      </c>
      <c r="C4622" s="2" t="n">
        <v>4</v>
      </c>
      <c r="D4622" s="2" t="s">
        <v>15</v>
      </c>
      <c r="E4622" s="2" t="s">
        <v>8083</v>
      </c>
      <c r="F4622" s="3" t="n">
        <v>46108.3222222222</v>
      </c>
      <c r="G4622" s="2" t="s">
        <v>8917</v>
      </c>
      <c r="H4622" s="4" t="n">
        <v>0</v>
      </c>
      <c r="I4622" s="2" t="s">
        <v>18</v>
      </c>
      <c r="J4622" s="2" t="s">
        <v>19</v>
      </c>
      <c r="K4622" s="2" t="n">
        <v>4</v>
      </c>
      <c r="L4622" s="2" t="n">
        <v>0</v>
      </c>
      <c r="M4622" s="2" t="n">
        <v>0</v>
      </c>
    </row>
    <row r="4623" customFormat="false" ht="15" hidden="false" customHeight="false" outlineLevel="0" collapsed="false">
      <c r="A4623" s="2" t="s">
        <v>9474</v>
      </c>
      <c r="B4623" s="2" t="s">
        <v>9475</v>
      </c>
      <c r="C4623" s="2" t="n">
        <v>5</v>
      </c>
      <c r="D4623" s="2" t="s">
        <v>15</v>
      </c>
      <c r="E4623" s="2" t="s">
        <v>8083</v>
      </c>
      <c r="F4623" s="3" t="n">
        <v>46108.3513888889</v>
      </c>
      <c r="G4623" s="2" t="s">
        <v>8917</v>
      </c>
      <c r="H4623" s="4" t="n">
        <v>0</v>
      </c>
      <c r="I4623" s="2" t="s">
        <v>18</v>
      </c>
      <c r="J4623" s="2" t="s">
        <v>19</v>
      </c>
      <c r="K4623" s="2" t="n">
        <v>5</v>
      </c>
      <c r="L4623" s="2" t="n">
        <v>0</v>
      </c>
      <c r="M4623" s="2" t="n">
        <v>0</v>
      </c>
    </row>
    <row r="4624" customFormat="false" ht="15" hidden="false" customHeight="false" outlineLevel="0" collapsed="false">
      <c r="A4624" s="2" t="s">
        <v>9476</v>
      </c>
      <c r="B4624" s="2" t="s">
        <v>9477</v>
      </c>
      <c r="C4624" s="2" t="n">
        <v>4</v>
      </c>
      <c r="D4624" s="2" t="s">
        <v>62</v>
      </c>
      <c r="E4624" s="2" t="s">
        <v>8083</v>
      </c>
      <c r="F4624" s="3" t="n">
        <v>46108.5319444445</v>
      </c>
      <c r="G4624" s="2" t="s">
        <v>8917</v>
      </c>
      <c r="H4624" s="4" t="n">
        <v>0.7088</v>
      </c>
      <c r="I4624" s="2" t="s">
        <v>23</v>
      </c>
      <c r="J4624" s="2" t="s">
        <v>19</v>
      </c>
      <c r="K4624" s="2" t="n">
        <v>3</v>
      </c>
      <c r="L4624" s="2" t="n">
        <v>0</v>
      </c>
      <c r="M4624" s="2" t="n">
        <v>0</v>
      </c>
    </row>
    <row r="4625" customFormat="false" ht="15" hidden="false" customHeight="false" outlineLevel="0" collapsed="false">
      <c r="A4625" s="2" t="s">
        <v>9478</v>
      </c>
      <c r="B4625" s="2" t="s">
        <v>9479</v>
      </c>
      <c r="C4625" s="2" t="n">
        <v>4</v>
      </c>
      <c r="D4625" s="2" t="s">
        <v>87</v>
      </c>
      <c r="E4625" s="2" t="s">
        <v>8083</v>
      </c>
      <c r="F4625" s="3" t="n">
        <v>46108.5555555556</v>
      </c>
      <c r="G4625" s="2" t="s">
        <v>8917</v>
      </c>
      <c r="H4625" s="4" t="n">
        <v>0</v>
      </c>
      <c r="I4625" s="2" t="s">
        <v>18</v>
      </c>
      <c r="J4625" s="2" t="s">
        <v>19</v>
      </c>
      <c r="K4625" s="2" t="n">
        <v>1</v>
      </c>
      <c r="L4625" s="2" t="n">
        <v>0</v>
      </c>
      <c r="M4625" s="2" t="n">
        <v>0</v>
      </c>
    </row>
    <row r="4626" customFormat="false" ht="15" hidden="false" customHeight="false" outlineLevel="0" collapsed="false">
      <c r="A4626" s="2" t="s">
        <v>9480</v>
      </c>
      <c r="B4626" s="2" t="s">
        <v>9481</v>
      </c>
      <c r="C4626" s="2" t="n">
        <v>5</v>
      </c>
      <c r="D4626" s="2" t="s">
        <v>40</v>
      </c>
      <c r="E4626" s="2" t="s">
        <v>8083</v>
      </c>
      <c r="F4626" s="3" t="n">
        <v>46108.5638888889</v>
      </c>
      <c r="G4626" s="2" t="s">
        <v>8917</v>
      </c>
      <c r="H4626" s="4" t="n">
        <v>0.4019</v>
      </c>
      <c r="I4626" s="2" t="s">
        <v>23</v>
      </c>
      <c r="J4626" s="2" t="s">
        <v>33</v>
      </c>
      <c r="K4626" s="2" t="n">
        <v>3</v>
      </c>
      <c r="L4626" s="2" t="n">
        <v>0</v>
      </c>
      <c r="M4626" s="2" t="n">
        <v>0</v>
      </c>
    </row>
    <row r="4627" customFormat="false" ht="15" hidden="false" customHeight="false" outlineLevel="0" collapsed="false">
      <c r="A4627" s="2" t="s">
        <v>9482</v>
      </c>
      <c r="B4627" s="2" t="s">
        <v>9483</v>
      </c>
      <c r="C4627" s="2" t="n">
        <v>1</v>
      </c>
      <c r="D4627" s="2" t="s">
        <v>498</v>
      </c>
      <c r="E4627" s="2" t="s">
        <v>8083</v>
      </c>
      <c r="F4627" s="3" t="n">
        <v>46108.5840277778</v>
      </c>
      <c r="G4627" s="2" t="s">
        <v>8917</v>
      </c>
      <c r="H4627" s="4" t="n">
        <v>0</v>
      </c>
      <c r="I4627" s="2" t="s">
        <v>18</v>
      </c>
      <c r="J4627" s="2" t="s">
        <v>165</v>
      </c>
      <c r="K4627" s="2" t="n">
        <v>2</v>
      </c>
      <c r="L4627" s="2" t="n">
        <v>0</v>
      </c>
      <c r="M4627" s="2" t="n">
        <v>0</v>
      </c>
    </row>
    <row r="4628" customFormat="false" ht="15" hidden="false" customHeight="false" outlineLevel="0" collapsed="false">
      <c r="A4628" s="2" t="s">
        <v>9484</v>
      </c>
      <c r="B4628" s="2" t="s">
        <v>9485</v>
      </c>
      <c r="C4628" s="2" t="n">
        <v>5</v>
      </c>
      <c r="D4628" s="2" t="s">
        <v>90</v>
      </c>
      <c r="E4628" s="2" t="s">
        <v>8083</v>
      </c>
      <c r="F4628" s="3" t="n">
        <v>46108.6298611111</v>
      </c>
      <c r="G4628" s="2" t="s">
        <v>8917</v>
      </c>
      <c r="H4628" s="4" t="n">
        <v>0.6249</v>
      </c>
      <c r="I4628" s="2" t="s">
        <v>23</v>
      </c>
      <c r="J4628" s="2" t="s">
        <v>37</v>
      </c>
      <c r="K4628" s="2" t="n">
        <v>1</v>
      </c>
      <c r="L4628" s="2" t="n">
        <v>0</v>
      </c>
      <c r="M4628" s="2" t="n">
        <v>0</v>
      </c>
    </row>
    <row r="4629" customFormat="false" ht="15" hidden="false" customHeight="false" outlineLevel="0" collapsed="false">
      <c r="A4629" s="2" t="s">
        <v>9486</v>
      </c>
      <c r="B4629" s="2" t="s">
        <v>9487</v>
      </c>
      <c r="C4629" s="2" t="n">
        <v>5</v>
      </c>
      <c r="D4629" s="2" t="s">
        <v>90</v>
      </c>
      <c r="E4629" s="2" t="s">
        <v>8083</v>
      </c>
      <c r="F4629" s="3" t="n">
        <v>46108.6423611111</v>
      </c>
      <c r="G4629" s="2" t="s">
        <v>8917</v>
      </c>
      <c r="H4629" s="4" t="n">
        <v>0.6249</v>
      </c>
      <c r="I4629" s="2" t="s">
        <v>23</v>
      </c>
      <c r="J4629" s="2" t="s">
        <v>37</v>
      </c>
      <c r="K4629" s="2" t="n">
        <v>0</v>
      </c>
      <c r="L4629" s="2" t="n">
        <v>0</v>
      </c>
      <c r="M4629" s="2" t="n">
        <v>0</v>
      </c>
    </row>
    <row r="4630" customFormat="false" ht="15" hidden="false" customHeight="false" outlineLevel="0" collapsed="false">
      <c r="A4630" s="2" t="s">
        <v>9488</v>
      </c>
      <c r="B4630" s="2" t="s">
        <v>9489</v>
      </c>
      <c r="C4630" s="2" t="n">
        <v>5</v>
      </c>
      <c r="D4630" s="2" t="s">
        <v>15</v>
      </c>
      <c r="E4630" s="2" t="s">
        <v>8083</v>
      </c>
      <c r="F4630" s="3" t="n">
        <v>46108.6944444445</v>
      </c>
      <c r="G4630" s="2" t="s">
        <v>8917</v>
      </c>
      <c r="H4630" s="4" t="n">
        <v>0</v>
      </c>
      <c r="I4630" s="2" t="s">
        <v>18</v>
      </c>
      <c r="J4630" s="2" t="s">
        <v>19</v>
      </c>
      <c r="K4630" s="2" t="n">
        <v>0</v>
      </c>
      <c r="L4630" s="2" t="n">
        <v>0</v>
      </c>
      <c r="M4630" s="2" t="n">
        <v>0</v>
      </c>
    </row>
    <row r="4631" customFormat="false" ht="15" hidden="false" customHeight="false" outlineLevel="0" collapsed="false">
      <c r="A4631" s="2" t="s">
        <v>9490</v>
      </c>
      <c r="B4631" s="2" t="s">
        <v>9491</v>
      </c>
      <c r="C4631" s="2" t="n">
        <v>1</v>
      </c>
      <c r="D4631" s="2" t="s">
        <v>397</v>
      </c>
      <c r="E4631" s="2" t="s">
        <v>8083</v>
      </c>
      <c r="F4631" s="3" t="n">
        <v>46108.7597222222</v>
      </c>
      <c r="G4631" s="2" t="s">
        <v>8917</v>
      </c>
      <c r="H4631" s="4" t="n">
        <v>0</v>
      </c>
      <c r="I4631" s="2" t="s">
        <v>18</v>
      </c>
      <c r="J4631" s="2" t="s">
        <v>110</v>
      </c>
      <c r="K4631" s="2" t="n">
        <v>1</v>
      </c>
      <c r="L4631" s="2" t="n">
        <v>0</v>
      </c>
      <c r="M4631" s="2" t="n">
        <v>0</v>
      </c>
    </row>
    <row r="4632" customFormat="false" ht="15" hidden="false" customHeight="false" outlineLevel="0" collapsed="false">
      <c r="A4632" s="2" t="s">
        <v>9492</v>
      </c>
      <c r="B4632" s="2" t="s">
        <v>9493</v>
      </c>
      <c r="C4632" s="2" t="n">
        <v>4</v>
      </c>
      <c r="D4632" s="2" t="s">
        <v>36</v>
      </c>
      <c r="E4632" s="2" t="s">
        <v>8083</v>
      </c>
      <c r="F4632" s="3" t="n">
        <v>46108.7715277778</v>
      </c>
      <c r="G4632" s="2" t="s">
        <v>8917</v>
      </c>
      <c r="H4632" s="4" t="n">
        <v>0.4404</v>
      </c>
      <c r="I4632" s="2" t="s">
        <v>23</v>
      </c>
      <c r="J4632" s="2" t="s">
        <v>37</v>
      </c>
      <c r="K4632" s="2" t="n">
        <v>0</v>
      </c>
      <c r="L4632" s="2" t="n">
        <v>0</v>
      </c>
      <c r="M4632" s="2" t="n">
        <v>0</v>
      </c>
    </row>
    <row r="4633" customFormat="false" ht="15" hidden="false" customHeight="false" outlineLevel="0" collapsed="false">
      <c r="A4633" s="2" t="s">
        <v>9494</v>
      </c>
      <c r="B4633" s="2" t="s">
        <v>9495</v>
      </c>
      <c r="C4633" s="2" t="n">
        <v>5</v>
      </c>
      <c r="D4633" s="2" t="s">
        <v>47</v>
      </c>
      <c r="E4633" s="2" t="s">
        <v>8083</v>
      </c>
      <c r="F4633" s="3" t="n">
        <v>46108.7729166667</v>
      </c>
      <c r="G4633" s="2" t="s">
        <v>8917</v>
      </c>
      <c r="H4633" s="4" t="n">
        <v>0.3089</v>
      </c>
      <c r="I4633" s="2" t="s">
        <v>23</v>
      </c>
      <c r="J4633" s="2" t="s">
        <v>19</v>
      </c>
      <c r="K4633" s="2" t="n">
        <v>5</v>
      </c>
      <c r="L4633" s="2" t="n">
        <v>0</v>
      </c>
      <c r="M4633" s="2" t="n">
        <v>0</v>
      </c>
    </row>
    <row r="4634" customFormat="false" ht="15" hidden="false" customHeight="false" outlineLevel="0" collapsed="false">
      <c r="A4634" s="2" t="s">
        <v>9496</v>
      </c>
      <c r="B4634" s="2" t="s">
        <v>9497</v>
      </c>
      <c r="C4634" s="2" t="n">
        <v>3</v>
      </c>
      <c r="D4634" s="2" t="s">
        <v>58</v>
      </c>
      <c r="E4634" s="2" t="s">
        <v>8083</v>
      </c>
      <c r="F4634" s="3" t="n">
        <v>46108.7972222222</v>
      </c>
      <c r="G4634" s="2" t="s">
        <v>8917</v>
      </c>
      <c r="H4634" s="4" t="n">
        <v>0</v>
      </c>
      <c r="I4634" s="2" t="s">
        <v>18</v>
      </c>
      <c r="J4634" s="2" t="s">
        <v>59</v>
      </c>
      <c r="K4634" s="2" t="n">
        <v>0</v>
      </c>
      <c r="L4634" s="2" t="n">
        <v>0</v>
      </c>
      <c r="M4634" s="2" t="n">
        <v>0</v>
      </c>
    </row>
    <row r="4635" customFormat="false" ht="15" hidden="false" customHeight="false" outlineLevel="0" collapsed="false">
      <c r="A4635" s="2" t="s">
        <v>9498</v>
      </c>
      <c r="B4635" s="2" t="s">
        <v>9499</v>
      </c>
      <c r="C4635" s="2" t="n">
        <v>4</v>
      </c>
      <c r="D4635" s="2" t="s">
        <v>40</v>
      </c>
      <c r="E4635" s="2" t="s">
        <v>8083</v>
      </c>
      <c r="F4635" s="3" t="n">
        <v>46108.8076388889</v>
      </c>
      <c r="G4635" s="2" t="s">
        <v>8917</v>
      </c>
      <c r="H4635" s="4" t="n">
        <v>0.4019</v>
      </c>
      <c r="I4635" s="2" t="s">
        <v>23</v>
      </c>
      <c r="J4635" s="2" t="s">
        <v>33</v>
      </c>
      <c r="K4635" s="2" t="n">
        <v>7</v>
      </c>
      <c r="L4635" s="2" t="n">
        <v>0</v>
      </c>
      <c r="M4635" s="2" t="n">
        <v>0</v>
      </c>
    </row>
    <row r="4636" customFormat="false" ht="15" hidden="false" customHeight="false" outlineLevel="0" collapsed="false">
      <c r="A4636" s="2" t="s">
        <v>9500</v>
      </c>
      <c r="B4636" s="2" t="s">
        <v>9501</v>
      </c>
      <c r="C4636" s="2" t="n">
        <v>5</v>
      </c>
      <c r="D4636" s="2" t="s">
        <v>90</v>
      </c>
      <c r="E4636" s="2" t="s">
        <v>8083</v>
      </c>
      <c r="F4636" s="3" t="n">
        <v>46108.8486111111</v>
      </c>
      <c r="G4636" s="2" t="s">
        <v>8917</v>
      </c>
      <c r="H4636" s="4" t="n">
        <v>0.6249</v>
      </c>
      <c r="I4636" s="2" t="s">
        <v>23</v>
      </c>
      <c r="J4636" s="2" t="s">
        <v>37</v>
      </c>
      <c r="K4636" s="2" t="n">
        <v>2</v>
      </c>
      <c r="L4636" s="2" t="n">
        <v>0</v>
      </c>
      <c r="M4636" s="2" t="n">
        <v>0</v>
      </c>
    </row>
    <row r="4637" customFormat="false" ht="15" hidden="false" customHeight="false" outlineLevel="0" collapsed="false">
      <c r="A4637" s="2" t="s">
        <v>9502</v>
      </c>
      <c r="B4637" s="2" t="s">
        <v>9503</v>
      </c>
      <c r="C4637" s="2" t="n">
        <v>4</v>
      </c>
      <c r="D4637" s="2" t="s">
        <v>2109</v>
      </c>
      <c r="E4637" s="2" t="s">
        <v>8083</v>
      </c>
      <c r="F4637" s="3" t="n">
        <v>46108.8694444444</v>
      </c>
      <c r="G4637" s="2" t="s">
        <v>8917</v>
      </c>
      <c r="H4637" s="4" t="n">
        <v>0</v>
      </c>
      <c r="I4637" s="2" t="s">
        <v>18</v>
      </c>
      <c r="J4637" s="2" t="s">
        <v>19</v>
      </c>
      <c r="K4637" s="2" t="n">
        <v>0</v>
      </c>
      <c r="L4637" s="2" t="n">
        <v>1</v>
      </c>
      <c r="M4637" s="2" t="n">
        <v>0</v>
      </c>
    </row>
    <row r="4638" customFormat="false" ht="15" hidden="false" customHeight="false" outlineLevel="0" collapsed="false">
      <c r="A4638" s="2" t="s">
        <v>9504</v>
      </c>
      <c r="B4638" s="2" t="s">
        <v>9505</v>
      </c>
      <c r="C4638" s="2" t="n">
        <v>4</v>
      </c>
      <c r="D4638" s="2" t="s">
        <v>127</v>
      </c>
      <c r="E4638" s="2" t="s">
        <v>8083</v>
      </c>
      <c r="F4638" s="3" t="n">
        <v>46108.9034722222</v>
      </c>
      <c r="G4638" s="2" t="s">
        <v>8917</v>
      </c>
      <c r="H4638" s="4" t="n">
        <v>0.9359</v>
      </c>
      <c r="I4638" s="2" t="s">
        <v>23</v>
      </c>
      <c r="J4638" s="2" t="s">
        <v>37</v>
      </c>
      <c r="K4638" s="2" t="n">
        <v>0</v>
      </c>
      <c r="L4638" s="2" t="n">
        <v>0</v>
      </c>
      <c r="M4638" s="2" t="n">
        <v>0</v>
      </c>
    </row>
    <row r="4639" customFormat="false" ht="15" hidden="false" customHeight="false" outlineLevel="0" collapsed="false">
      <c r="A4639" s="2" t="s">
        <v>9506</v>
      </c>
      <c r="B4639" s="2" t="s">
        <v>9507</v>
      </c>
      <c r="C4639" s="2" t="n">
        <v>5</v>
      </c>
      <c r="D4639" s="2" t="s">
        <v>90</v>
      </c>
      <c r="E4639" s="2" t="s">
        <v>8083</v>
      </c>
      <c r="F4639" s="3" t="n">
        <v>46109.2451388889</v>
      </c>
      <c r="G4639" s="2" t="s">
        <v>8917</v>
      </c>
      <c r="H4639" s="4" t="n">
        <v>0.6249</v>
      </c>
      <c r="I4639" s="2" t="s">
        <v>23</v>
      </c>
      <c r="J4639" s="2" t="s">
        <v>37</v>
      </c>
      <c r="K4639" s="2" t="n">
        <v>3</v>
      </c>
      <c r="L4639" s="2" t="n">
        <v>0</v>
      </c>
      <c r="M4639" s="2" t="n">
        <v>0</v>
      </c>
    </row>
    <row r="4640" customFormat="false" ht="15" hidden="false" customHeight="false" outlineLevel="0" collapsed="false">
      <c r="A4640" s="2" t="s">
        <v>9508</v>
      </c>
      <c r="B4640" s="2" t="s">
        <v>9509</v>
      </c>
      <c r="C4640" s="2" t="n">
        <v>5</v>
      </c>
      <c r="D4640" s="2" t="s">
        <v>96</v>
      </c>
      <c r="E4640" s="2" t="s">
        <v>8083</v>
      </c>
      <c r="F4640" s="3" t="n">
        <v>46109.3611111111</v>
      </c>
      <c r="G4640" s="2" t="s">
        <v>8917</v>
      </c>
      <c r="H4640" s="4" t="n">
        <v>0.6369</v>
      </c>
      <c r="I4640" s="2" t="s">
        <v>23</v>
      </c>
      <c r="J4640" s="2" t="s">
        <v>19</v>
      </c>
      <c r="K4640" s="2" t="n">
        <v>0</v>
      </c>
      <c r="L4640" s="2" t="n">
        <v>0</v>
      </c>
      <c r="M4640" s="2" t="n">
        <v>0</v>
      </c>
    </row>
    <row r="4641" customFormat="false" ht="15" hidden="false" customHeight="false" outlineLevel="0" collapsed="false">
      <c r="A4641" s="2" t="s">
        <v>9510</v>
      </c>
      <c r="B4641" s="2" t="s">
        <v>9511</v>
      </c>
      <c r="C4641" s="2" t="n">
        <v>4</v>
      </c>
      <c r="D4641" s="2" t="s">
        <v>3104</v>
      </c>
      <c r="E4641" s="2" t="s">
        <v>8083</v>
      </c>
      <c r="F4641" s="3" t="n">
        <v>46109.4243055556</v>
      </c>
      <c r="G4641" s="2" t="s">
        <v>8917</v>
      </c>
      <c r="H4641" s="4" t="n">
        <v>0.3089</v>
      </c>
      <c r="I4641" s="2" t="s">
        <v>23</v>
      </c>
      <c r="J4641" s="2" t="s">
        <v>19</v>
      </c>
      <c r="K4641" s="2" t="n">
        <v>5</v>
      </c>
      <c r="L4641" s="2" t="n">
        <v>0</v>
      </c>
      <c r="M4641" s="2" t="n">
        <v>0</v>
      </c>
    </row>
    <row r="4642" customFormat="false" ht="15" hidden="false" customHeight="false" outlineLevel="0" collapsed="false">
      <c r="A4642" s="2" t="s">
        <v>9512</v>
      </c>
      <c r="B4642" s="2" t="s">
        <v>9513</v>
      </c>
      <c r="C4642" s="2" t="n">
        <v>3</v>
      </c>
      <c r="D4642" s="2" t="s">
        <v>2127</v>
      </c>
      <c r="E4642" s="2" t="s">
        <v>8083</v>
      </c>
      <c r="F4642" s="3" t="n">
        <v>46109.5701388889</v>
      </c>
      <c r="G4642" s="2" t="s">
        <v>8917</v>
      </c>
      <c r="H4642" s="4" t="n">
        <v>0.3818</v>
      </c>
      <c r="I4642" s="2" t="s">
        <v>23</v>
      </c>
      <c r="J4642" s="2" t="s">
        <v>19</v>
      </c>
      <c r="K4642" s="2" t="n">
        <v>1</v>
      </c>
      <c r="L4642" s="2" t="n">
        <v>0</v>
      </c>
      <c r="M4642" s="2" t="n">
        <v>0</v>
      </c>
    </row>
    <row r="4643" customFormat="false" ht="15" hidden="false" customHeight="false" outlineLevel="0" collapsed="false">
      <c r="A4643" s="2" t="s">
        <v>9514</v>
      </c>
      <c r="B4643" s="2" t="s">
        <v>9515</v>
      </c>
      <c r="C4643" s="2" t="n">
        <v>5</v>
      </c>
      <c r="D4643" s="2" t="s">
        <v>90</v>
      </c>
      <c r="E4643" s="2" t="s">
        <v>8083</v>
      </c>
      <c r="F4643" s="3" t="n">
        <v>46109.5902777778</v>
      </c>
      <c r="G4643" s="2" t="s">
        <v>8917</v>
      </c>
      <c r="H4643" s="4" t="n">
        <v>0.6249</v>
      </c>
      <c r="I4643" s="2" t="s">
        <v>23</v>
      </c>
      <c r="J4643" s="2" t="s">
        <v>37</v>
      </c>
      <c r="K4643" s="2" t="n">
        <v>0</v>
      </c>
      <c r="L4643" s="2" t="n">
        <v>0</v>
      </c>
      <c r="M4643" s="2" t="n">
        <v>0</v>
      </c>
    </row>
    <row r="4644" customFormat="false" ht="15" hidden="false" customHeight="false" outlineLevel="0" collapsed="false">
      <c r="A4644" s="2" t="s">
        <v>9516</v>
      </c>
      <c r="B4644" s="2" t="s">
        <v>9517</v>
      </c>
      <c r="C4644" s="2" t="n">
        <v>5</v>
      </c>
      <c r="D4644" s="2" t="s">
        <v>213</v>
      </c>
      <c r="E4644" s="2" t="s">
        <v>8083</v>
      </c>
      <c r="F4644" s="3" t="n">
        <v>46109.6305555556</v>
      </c>
      <c r="G4644" s="2" t="s">
        <v>8917</v>
      </c>
      <c r="H4644" s="4" t="n">
        <v>0.8651</v>
      </c>
      <c r="I4644" s="2" t="s">
        <v>23</v>
      </c>
      <c r="J4644" s="2" t="s">
        <v>19</v>
      </c>
      <c r="K4644" s="2" t="n">
        <v>0</v>
      </c>
      <c r="L4644" s="2" t="n">
        <v>0</v>
      </c>
      <c r="M4644" s="2" t="n">
        <v>0</v>
      </c>
    </row>
    <row r="4645" customFormat="false" ht="15" hidden="false" customHeight="false" outlineLevel="0" collapsed="false">
      <c r="A4645" s="2" t="s">
        <v>9518</v>
      </c>
      <c r="B4645" s="2" t="s">
        <v>9519</v>
      </c>
      <c r="C4645" s="2" t="n">
        <v>5</v>
      </c>
      <c r="D4645" s="2" t="s">
        <v>40</v>
      </c>
      <c r="E4645" s="2" t="s">
        <v>8083</v>
      </c>
      <c r="F4645" s="3" t="n">
        <v>46109.9930555556</v>
      </c>
      <c r="G4645" s="2" t="s">
        <v>8917</v>
      </c>
      <c r="H4645" s="4" t="n">
        <v>0.4019</v>
      </c>
      <c r="I4645" s="2" t="s">
        <v>23</v>
      </c>
      <c r="J4645" s="2" t="s">
        <v>33</v>
      </c>
      <c r="K4645" s="2" t="n">
        <v>3</v>
      </c>
      <c r="L4645" s="2" t="n">
        <v>0</v>
      </c>
      <c r="M4645" s="2" t="n">
        <v>0</v>
      </c>
    </row>
    <row r="4646" customFormat="false" ht="15" hidden="false" customHeight="false" outlineLevel="0" collapsed="false">
      <c r="A4646" s="2" t="s">
        <v>9520</v>
      </c>
      <c r="B4646" s="2" t="s">
        <v>9521</v>
      </c>
      <c r="C4646" s="2" t="n">
        <v>4</v>
      </c>
      <c r="D4646" s="2" t="s">
        <v>828</v>
      </c>
      <c r="E4646" s="2" t="s">
        <v>8083</v>
      </c>
      <c r="F4646" s="3" t="n">
        <v>46110.0215277778</v>
      </c>
      <c r="G4646" s="2" t="s">
        <v>8917</v>
      </c>
      <c r="H4646" s="4" t="n">
        <v>0.8519</v>
      </c>
      <c r="I4646" s="2" t="s">
        <v>23</v>
      </c>
      <c r="J4646" s="2" t="s">
        <v>37</v>
      </c>
      <c r="K4646" s="2" t="n">
        <v>4</v>
      </c>
      <c r="L4646" s="2" t="n">
        <v>0</v>
      </c>
      <c r="M4646" s="2" t="n">
        <v>0</v>
      </c>
    </row>
    <row r="4647" customFormat="false" ht="15" hidden="false" customHeight="false" outlineLevel="0" collapsed="false">
      <c r="A4647" s="2" t="s">
        <v>9522</v>
      </c>
      <c r="B4647" s="2" t="s">
        <v>9523</v>
      </c>
      <c r="C4647" s="2" t="n">
        <v>5</v>
      </c>
      <c r="D4647" s="2" t="s">
        <v>15</v>
      </c>
      <c r="E4647" s="2" t="s">
        <v>8083</v>
      </c>
      <c r="F4647" s="3" t="n">
        <v>46110.1305555556</v>
      </c>
      <c r="G4647" s="2" t="s">
        <v>8917</v>
      </c>
      <c r="H4647" s="4" t="n">
        <v>0</v>
      </c>
      <c r="I4647" s="2" t="s">
        <v>18</v>
      </c>
      <c r="J4647" s="2" t="s">
        <v>19</v>
      </c>
      <c r="K4647" s="2" t="n">
        <v>2</v>
      </c>
      <c r="L4647" s="2" t="n">
        <v>0</v>
      </c>
      <c r="M4647" s="2" t="n">
        <v>0</v>
      </c>
    </row>
    <row r="4648" customFormat="false" ht="15" hidden="false" customHeight="false" outlineLevel="0" collapsed="false">
      <c r="A4648" s="2" t="s">
        <v>9524</v>
      </c>
      <c r="B4648" s="2" t="s">
        <v>9525</v>
      </c>
      <c r="C4648" s="2" t="n">
        <v>5</v>
      </c>
      <c r="D4648" s="2" t="s">
        <v>96</v>
      </c>
      <c r="E4648" s="2" t="s">
        <v>8083</v>
      </c>
      <c r="F4648" s="3" t="n">
        <v>46110.1354166667</v>
      </c>
      <c r="G4648" s="2" t="s">
        <v>8917</v>
      </c>
      <c r="H4648" s="4" t="n">
        <v>0.6369</v>
      </c>
      <c r="I4648" s="2" t="s">
        <v>23</v>
      </c>
      <c r="J4648" s="2" t="s">
        <v>19</v>
      </c>
      <c r="K4648" s="2" t="n">
        <v>2</v>
      </c>
      <c r="L4648" s="2" t="n">
        <v>0</v>
      </c>
      <c r="M4648" s="2" t="n">
        <v>0</v>
      </c>
    </row>
    <row r="4649" customFormat="false" ht="15" hidden="false" customHeight="false" outlineLevel="0" collapsed="false">
      <c r="A4649" s="2" t="s">
        <v>9526</v>
      </c>
      <c r="B4649" s="2" t="s">
        <v>9527</v>
      </c>
      <c r="C4649" s="2" t="n">
        <v>2</v>
      </c>
      <c r="D4649" s="2" t="s">
        <v>32</v>
      </c>
      <c r="E4649" s="2" t="s">
        <v>8083</v>
      </c>
      <c r="F4649" s="3" t="n">
        <v>46110.1701388889</v>
      </c>
      <c r="G4649" s="2" t="s">
        <v>8917</v>
      </c>
      <c r="H4649" s="4" t="n">
        <v>0.2023</v>
      </c>
      <c r="I4649" s="2" t="s">
        <v>23</v>
      </c>
      <c r="J4649" s="2" t="s">
        <v>33</v>
      </c>
      <c r="K4649" s="2" t="n">
        <v>5</v>
      </c>
      <c r="L4649" s="2" t="n">
        <v>0</v>
      </c>
      <c r="M4649" s="2" t="n">
        <v>0</v>
      </c>
    </row>
    <row r="4650" customFormat="false" ht="15" hidden="false" customHeight="false" outlineLevel="0" collapsed="false">
      <c r="A4650" s="2" t="s">
        <v>9528</v>
      </c>
      <c r="B4650" s="2" t="s">
        <v>9529</v>
      </c>
      <c r="C4650" s="2" t="n">
        <v>5</v>
      </c>
      <c r="D4650" s="2" t="s">
        <v>127</v>
      </c>
      <c r="E4650" s="2" t="s">
        <v>8083</v>
      </c>
      <c r="F4650" s="3" t="n">
        <v>46110.2631944444</v>
      </c>
      <c r="G4650" s="2" t="s">
        <v>8917</v>
      </c>
      <c r="H4650" s="4" t="n">
        <v>0.9359</v>
      </c>
      <c r="I4650" s="2" t="s">
        <v>23</v>
      </c>
      <c r="J4650" s="2" t="s">
        <v>37</v>
      </c>
      <c r="K4650" s="2" t="n">
        <v>3</v>
      </c>
      <c r="L4650" s="2" t="n">
        <v>0</v>
      </c>
      <c r="M4650" s="2" t="n">
        <v>0</v>
      </c>
    </row>
    <row r="4651" customFormat="false" ht="15" hidden="false" customHeight="false" outlineLevel="0" collapsed="false">
      <c r="A4651" s="2" t="s">
        <v>9530</v>
      </c>
      <c r="B4651" s="2" t="s">
        <v>9531</v>
      </c>
      <c r="C4651" s="2" t="n">
        <v>5</v>
      </c>
      <c r="D4651" s="2" t="s">
        <v>40</v>
      </c>
      <c r="E4651" s="2" t="s">
        <v>8083</v>
      </c>
      <c r="F4651" s="3" t="n">
        <v>46110.4833333333</v>
      </c>
      <c r="G4651" s="2" t="s">
        <v>8917</v>
      </c>
      <c r="H4651" s="4" t="n">
        <v>0.4019</v>
      </c>
      <c r="I4651" s="2" t="s">
        <v>23</v>
      </c>
      <c r="J4651" s="2" t="s">
        <v>33</v>
      </c>
      <c r="K4651" s="2" t="n">
        <v>0</v>
      </c>
      <c r="L4651" s="2" t="n">
        <v>0</v>
      </c>
      <c r="M4651" s="2" t="n">
        <v>0</v>
      </c>
    </row>
    <row r="4652" customFormat="false" ht="15" hidden="false" customHeight="false" outlineLevel="0" collapsed="false">
      <c r="A4652" s="2" t="s">
        <v>9532</v>
      </c>
      <c r="B4652" s="2" t="s">
        <v>9533</v>
      </c>
      <c r="C4652" s="2" t="n">
        <v>5</v>
      </c>
      <c r="D4652" s="2" t="s">
        <v>15</v>
      </c>
      <c r="E4652" s="2" t="s">
        <v>8083</v>
      </c>
      <c r="F4652" s="3" t="n">
        <v>46110.4965277778</v>
      </c>
      <c r="G4652" s="2" t="s">
        <v>8917</v>
      </c>
      <c r="H4652" s="4" t="n">
        <v>0</v>
      </c>
      <c r="I4652" s="2" t="s">
        <v>18</v>
      </c>
      <c r="J4652" s="2" t="s">
        <v>19</v>
      </c>
      <c r="K4652" s="2" t="n">
        <v>1</v>
      </c>
      <c r="L4652" s="2" t="n">
        <v>0</v>
      </c>
      <c r="M4652" s="2" t="n">
        <v>0</v>
      </c>
    </row>
    <row r="4653" customFormat="false" ht="15" hidden="false" customHeight="false" outlineLevel="0" collapsed="false">
      <c r="A4653" s="2" t="s">
        <v>9534</v>
      </c>
      <c r="B4653" s="2" t="s">
        <v>9535</v>
      </c>
      <c r="C4653" s="2" t="n">
        <v>2</v>
      </c>
      <c r="D4653" s="2" t="s">
        <v>591</v>
      </c>
      <c r="E4653" s="2" t="s">
        <v>8083</v>
      </c>
      <c r="F4653" s="3" t="n">
        <v>46110.5104166667</v>
      </c>
      <c r="G4653" s="2" t="s">
        <v>8917</v>
      </c>
      <c r="H4653" s="4" t="n">
        <v>0</v>
      </c>
      <c r="I4653" s="2" t="s">
        <v>18</v>
      </c>
      <c r="J4653" s="2" t="s">
        <v>37</v>
      </c>
      <c r="K4653" s="2" t="n">
        <v>1</v>
      </c>
      <c r="L4653" s="2" t="n">
        <v>1</v>
      </c>
      <c r="M4653" s="2" t="n">
        <v>0</v>
      </c>
    </row>
    <row r="4654" customFormat="false" ht="15" hidden="false" customHeight="false" outlineLevel="0" collapsed="false">
      <c r="A4654" s="2" t="s">
        <v>9536</v>
      </c>
      <c r="B4654" s="2" t="s">
        <v>9537</v>
      </c>
      <c r="C4654" s="2" t="n">
        <v>3</v>
      </c>
      <c r="D4654" s="2" t="s">
        <v>36</v>
      </c>
      <c r="E4654" s="2" t="s">
        <v>8083</v>
      </c>
      <c r="F4654" s="3" t="n">
        <v>46110.54375</v>
      </c>
      <c r="G4654" s="2" t="s">
        <v>8917</v>
      </c>
      <c r="H4654" s="4" t="n">
        <v>0.4404</v>
      </c>
      <c r="I4654" s="2" t="s">
        <v>23</v>
      </c>
      <c r="J4654" s="2" t="s">
        <v>37</v>
      </c>
      <c r="K4654" s="2" t="n">
        <v>0</v>
      </c>
      <c r="L4654" s="2" t="n">
        <v>0</v>
      </c>
      <c r="M4654" s="2" t="n">
        <v>0</v>
      </c>
    </row>
    <row r="4655" customFormat="false" ht="15" hidden="false" customHeight="false" outlineLevel="0" collapsed="false">
      <c r="A4655" s="2" t="s">
        <v>9538</v>
      </c>
      <c r="B4655" s="2" t="s">
        <v>9539</v>
      </c>
      <c r="C4655" s="2" t="n">
        <v>2</v>
      </c>
      <c r="D4655" s="2" t="s">
        <v>498</v>
      </c>
      <c r="E4655" s="2" t="s">
        <v>8083</v>
      </c>
      <c r="F4655" s="3" t="n">
        <v>46110.7298611111</v>
      </c>
      <c r="G4655" s="2" t="s">
        <v>8917</v>
      </c>
      <c r="H4655" s="4" t="n">
        <v>0</v>
      </c>
      <c r="I4655" s="2" t="s">
        <v>18</v>
      </c>
      <c r="J4655" s="2" t="s">
        <v>165</v>
      </c>
      <c r="K4655" s="2" t="n">
        <v>10</v>
      </c>
      <c r="L4655" s="2" t="n">
        <v>1</v>
      </c>
      <c r="M4655" s="2" t="n">
        <v>0</v>
      </c>
    </row>
    <row r="4656" customFormat="false" ht="15" hidden="false" customHeight="false" outlineLevel="0" collapsed="false">
      <c r="A4656" s="2" t="s">
        <v>9540</v>
      </c>
      <c r="B4656" s="2" t="s">
        <v>9541</v>
      </c>
      <c r="C4656" s="2" t="n">
        <v>5</v>
      </c>
      <c r="D4656" s="2" t="s">
        <v>127</v>
      </c>
      <c r="E4656" s="2" t="s">
        <v>8083</v>
      </c>
      <c r="F4656" s="3" t="n">
        <v>46110.8916666667</v>
      </c>
      <c r="G4656" s="2" t="s">
        <v>8917</v>
      </c>
      <c r="H4656" s="4" t="n">
        <v>0.9359</v>
      </c>
      <c r="I4656" s="2" t="s">
        <v>23</v>
      </c>
      <c r="J4656" s="2" t="s">
        <v>37</v>
      </c>
      <c r="K4656" s="2" t="n">
        <v>12</v>
      </c>
      <c r="L4656" s="2" t="n">
        <v>0</v>
      </c>
      <c r="M4656" s="2" t="n">
        <v>0</v>
      </c>
    </row>
    <row r="4657" customFormat="false" ht="15" hidden="false" customHeight="false" outlineLevel="0" collapsed="false">
      <c r="A4657" s="2" t="s">
        <v>9542</v>
      </c>
      <c r="B4657" s="2" t="s">
        <v>9543</v>
      </c>
      <c r="C4657" s="2" t="n">
        <v>4</v>
      </c>
      <c r="D4657" s="2" t="s">
        <v>1705</v>
      </c>
      <c r="E4657" s="2" t="s">
        <v>8083</v>
      </c>
      <c r="F4657" s="3" t="n">
        <v>46110.975</v>
      </c>
      <c r="G4657" s="2" t="s">
        <v>8917</v>
      </c>
      <c r="H4657" s="4" t="n">
        <v>-0.2283</v>
      </c>
      <c r="I4657" s="2" t="s">
        <v>84</v>
      </c>
      <c r="J4657" s="2" t="s">
        <v>19</v>
      </c>
      <c r="K4657" s="2" t="n">
        <v>1</v>
      </c>
      <c r="L4657" s="2" t="n">
        <v>0</v>
      </c>
      <c r="M4657" s="2" t="n">
        <v>0</v>
      </c>
    </row>
    <row r="4658" customFormat="false" ht="15" hidden="false" customHeight="false" outlineLevel="0" collapsed="false">
      <c r="A4658" s="2" t="s">
        <v>9544</v>
      </c>
      <c r="B4658" s="2" t="s">
        <v>9545</v>
      </c>
      <c r="C4658" s="2" t="n">
        <v>5</v>
      </c>
      <c r="D4658" s="2" t="s">
        <v>639</v>
      </c>
      <c r="E4658" s="2" t="s">
        <v>8083</v>
      </c>
      <c r="F4658" s="3" t="n">
        <v>46110.99375</v>
      </c>
      <c r="G4658" s="2" t="s">
        <v>8917</v>
      </c>
      <c r="H4658" s="4" t="n">
        <v>0.7088</v>
      </c>
      <c r="I4658" s="2" t="s">
        <v>23</v>
      </c>
      <c r="J4658" s="2" t="s">
        <v>19</v>
      </c>
      <c r="K4658" s="2" t="n">
        <v>1</v>
      </c>
      <c r="L4658" s="2" t="n">
        <v>0</v>
      </c>
      <c r="M4658" s="2" t="n">
        <v>0</v>
      </c>
    </row>
    <row r="4659" customFormat="false" ht="15" hidden="false" customHeight="false" outlineLevel="0" collapsed="false">
      <c r="A4659" s="2" t="s">
        <v>9546</v>
      </c>
      <c r="B4659" s="2" t="s">
        <v>9547</v>
      </c>
      <c r="C4659" s="2" t="n">
        <v>5</v>
      </c>
      <c r="D4659" s="2" t="s">
        <v>475</v>
      </c>
      <c r="E4659" s="2" t="s">
        <v>8083</v>
      </c>
      <c r="F4659" s="3" t="n">
        <v>46111.1673611111</v>
      </c>
      <c r="G4659" s="2" t="s">
        <v>8917</v>
      </c>
      <c r="H4659" s="4" t="n">
        <v>0.7845</v>
      </c>
      <c r="I4659" s="2" t="s">
        <v>23</v>
      </c>
      <c r="J4659" s="2" t="s">
        <v>33</v>
      </c>
      <c r="K4659" s="2" t="n">
        <v>8</v>
      </c>
      <c r="L4659" s="2" t="n">
        <v>0</v>
      </c>
      <c r="M4659" s="2" t="n">
        <v>0</v>
      </c>
    </row>
    <row r="4660" customFormat="false" ht="15" hidden="false" customHeight="false" outlineLevel="0" collapsed="false">
      <c r="A4660" s="2" t="s">
        <v>9548</v>
      </c>
      <c r="B4660" s="2" t="s">
        <v>9549</v>
      </c>
      <c r="C4660" s="2" t="n">
        <v>5</v>
      </c>
      <c r="D4660" s="2" t="s">
        <v>127</v>
      </c>
      <c r="E4660" s="2" t="s">
        <v>8083</v>
      </c>
      <c r="F4660" s="3" t="n">
        <v>46111.2354166667</v>
      </c>
      <c r="G4660" s="2" t="s">
        <v>8917</v>
      </c>
      <c r="H4660" s="4" t="n">
        <v>0.9359</v>
      </c>
      <c r="I4660" s="2" t="s">
        <v>23</v>
      </c>
      <c r="J4660" s="2" t="s">
        <v>37</v>
      </c>
      <c r="K4660" s="2" t="n">
        <v>8</v>
      </c>
      <c r="L4660" s="2" t="n">
        <v>0</v>
      </c>
      <c r="M4660" s="2" t="n">
        <v>0</v>
      </c>
    </row>
    <row r="4661" customFormat="false" ht="15" hidden="false" customHeight="false" outlineLevel="0" collapsed="false">
      <c r="A4661" s="2" t="s">
        <v>9550</v>
      </c>
      <c r="B4661" s="2" t="s">
        <v>9551</v>
      </c>
      <c r="C4661" s="2" t="n">
        <v>5</v>
      </c>
      <c r="D4661" s="2" t="s">
        <v>62</v>
      </c>
      <c r="E4661" s="2" t="s">
        <v>8083</v>
      </c>
      <c r="F4661" s="3" t="n">
        <v>46111.325</v>
      </c>
      <c r="G4661" s="2" t="s">
        <v>8917</v>
      </c>
      <c r="H4661" s="4" t="n">
        <v>0.7088</v>
      </c>
      <c r="I4661" s="2" t="s">
        <v>23</v>
      </c>
      <c r="J4661" s="2" t="s">
        <v>19</v>
      </c>
      <c r="K4661" s="2" t="n">
        <v>0</v>
      </c>
      <c r="L4661" s="2" t="n">
        <v>0</v>
      </c>
      <c r="M4661" s="2" t="n">
        <v>0</v>
      </c>
    </row>
    <row r="4662" customFormat="false" ht="15" hidden="false" customHeight="false" outlineLevel="0" collapsed="false">
      <c r="A4662" s="2" t="s">
        <v>9552</v>
      </c>
      <c r="B4662" s="2" t="s">
        <v>9553</v>
      </c>
      <c r="C4662" s="2" t="n">
        <v>5</v>
      </c>
      <c r="D4662" s="2" t="s">
        <v>304</v>
      </c>
      <c r="E4662" s="2" t="s">
        <v>8083</v>
      </c>
      <c r="F4662" s="3" t="n">
        <v>46111.3423611111</v>
      </c>
      <c r="G4662" s="2" t="s">
        <v>8917</v>
      </c>
      <c r="H4662" s="4" t="n">
        <v>0.6249</v>
      </c>
      <c r="I4662" s="2" t="s">
        <v>23</v>
      </c>
      <c r="J4662" s="2" t="s">
        <v>37</v>
      </c>
      <c r="K4662" s="2" t="n">
        <v>0</v>
      </c>
      <c r="L4662" s="2" t="n">
        <v>0</v>
      </c>
      <c r="M4662" s="2" t="n">
        <v>0</v>
      </c>
    </row>
    <row r="4663" customFormat="false" ht="15" hidden="false" customHeight="false" outlineLevel="0" collapsed="false">
      <c r="A4663" s="2" t="s">
        <v>9554</v>
      </c>
      <c r="B4663" s="2" t="s">
        <v>9555</v>
      </c>
      <c r="C4663" s="2" t="n">
        <v>5</v>
      </c>
      <c r="D4663" s="2" t="s">
        <v>15</v>
      </c>
      <c r="E4663" s="2" t="s">
        <v>8083</v>
      </c>
      <c r="F4663" s="3" t="n">
        <v>46111.3895833333</v>
      </c>
      <c r="G4663" s="2" t="s">
        <v>8917</v>
      </c>
      <c r="H4663" s="4" t="n">
        <v>0</v>
      </c>
      <c r="I4663" s="2" t="s">
        <v>18</v>
      </c>
      <c r="J4663" s="2" t="s">
        <v>19</v>
      </c>
      <c r="K4663" s="2" t="n">
        <v>0</v>
      </c>
      <c r="L4663" s="2" t="n">
        <v>0</v>
      </c>
      <c r="M4663" s="2" t="n">
        <v>0</v>
      </c>
    </row>
    <row r="4664" customFormat="false" ht="15" hidden="false" customHeight="false" outlineLevel="0" collapsed="false">
      <c r="A4664" s="2" t="s">
        <v>9556</v>
      </c>
      <c r="B4664" s="2" t="s">
        <v>9557</v>
      </c>
      <c r="C4664" s="2" t="n">
        <v>5</v>
      </c>
      <c r="D4664" s="2" t="s">
        <v>40</v>
      </c>
      <c r="E4664" s="2" t="s">
        <v>8083</v>
      </c>
      <c r="F4664" s="3" t="n">
        <v>46111.4118055556</v>
      </c>
      <c r="G4664" s="2" t="s">
        <v>8917</v>
      </c>
      <c r="H4664" s="4" t="n">
        <v>0.4019</v>
      </c>
      <c r="I4664" s="2" t="s">
        <v>23</v>
      </c>
      <c r="J4664" s="2" t="s">
        <v>33</v>
      </c>
      <c r="K4664" s="2" t="n">
        <v>1</v>
      </c>
      <c r="L4664" s="2" t="n">
        <v>0</v>
      </c>
      <c r="M4664" s="2" t="n">
        <v>0</v>
      </c>
    </row>
    <row r="4665" customFormat="false" ht="15" hidden="false" customHeight="false" outlineLevel="0" collapsed="false">
      <c r="A4665" s="2" t="s">
        <v>9558</v>
      </c>
      <c r="B4665" s="2" t="s">
        <v>9559</v>
      </c>
      <c r="C4665" s="2" t="n">
        <v>4</v>
      </c>
      <c r="D4665" s="2" t="s">
        <v>652</v>
      </c>
      <c r="E4665" s="2" t="s">
        <v>8083</v>
      </c>
      <c r="F4665" s="3" t="n">
        <v>46111.4263888889</v>
      </c>
      <c r="G4665" s="2" t="s">
        <v>8917</v>
      </c>
      <c r="H4665" s="4" t="n">
        <v>0.8555</v>
      </c>
      <c r="I4665" s="2" t="s">
        <v>23</v>
      </c>
      <c r="J4665" s="2" t="s">
        <v>19</v>
      </c>
      <c r="K4665" s="2" t="n">
        <v>6</v>
      </c>
      <c r="L4665" s="2" t="n">
        <v>0</v>
      </c>
      <c r="M4665" s="2" t="n">
        <v>0</v>
      </c>
    </row>
    <row r="4666" customFormat="false" ht="15" hidden="false" customHeight="false" outlineLevel="0" collapsed="false">
      <c r="A4666" s="2" t="s">
        <v>9560</v>
      </c>
      <c r="B4666" s="2" t="s">
        <v>9561</v>
      </c>
      <c r="C4666" s="2" t="n">
        <v>4</v>
      </c>
      <c r="D4666" s="2" t="s">
        <v>52</v>
      </c>
      <c r="E4666" s="2" t="s">
        <v>8083</v>
      </c>
      <c r="F4666" s="3" t="n">
        <v>46111.5173611111</v>
      </c>
      <c r="G4666" s="2" t="s">
        <v>8917</v>
      </c>
      <c r="H4666" s="4" t="n">
        <v>0.6369</v>
      </c>
      <c r="I4666" s="2" t="s">
        <v>23</v>
      </c>
      <c r="J4666" s="2" t="s">
        <v>19</v>
      </c>
      <c r="K4666" s="2" t="n">
        <v>2</v>
      </c>
      <c r="L4666" s="2" t="n">
        <v>0</v>
      </c>
      <c r="M4666" s="2" t="n">
        <v>0</v>
      </c>
    </row>
    <row r="4667" customFormat="false" ht="15" hidden="false" customHeight="false" outlineLevel="0" collapsed="false">
      <c r="A4667" s="2" t="s">
        <v>9562</v>
      </c>
      <c r="B4667" s="2" t="s">
        <v>9563</v>
      </c>
      <c r="C4667" s="2" t="n">
        <v>5</v>
      </c>
      <c r="D4667" s="2" t="s">
        <v>40</v>
      </c>
      <c r="E4667" s="2" t="s">
        <v>8083</v>
      </c>
      <c r="F4667" s="3" t="n">
        <v>46111.7180555556</v>
      </c>
      <c r="G4667" s="2" t="s">
        <v>8917</v>
      </c>
      <c r="H4667" s="4" t="n">
        <v>0.4019</v>
      </c>
      <c r="I4667" s="2" t="s">
        <v>23</v>
      </c>
      <c r="J4667" s="2" t="s">
        <v>33</v>
      </c>
      <c r="K4667" s="2" t="n">
        <v>4</v>
      </c>
      <c r="L4667" s="2" t="n">
        <v>1</v>
      </c>
      <c r="M4667" s="2" t="n">
        <v>0</v>
      </c>
    </row>
    <row r="4668" customFormat="false" ht="15" hidden="false" customHeight="false" outlineLevel="0" collapsed="false">
      <c r="A4668" s="2" t="s">
        <v>9564</v>
      </c>
      <c r="B4668" s="2" t="s">
        <v>9565</v>
      </c>
      <c r="C4668" s="2" t="n">
        <v>4</v>
      </c>
      <c r="D4668" s="2" t="s">
        <v>2605</v>
      </c>
      <c r="E4668" s="2" t="s">
        <v>8083</v>
      </c>
      <c r="F4668" s="3" t="n">
        <v>46111.7444444444</v>
      </c>
      <c r="G4668" s="2" t="s">
        <v>8917</v>
      </c>
      <c r="H4668" s="4" t="n">
        <v>0.4867</v>
      </c>
      <c r="I4668" s="2" t="s">
        <v>23</v>
      </c>
      <c r="J4668" s="2" t="s">
        <v>19</v>
      </c>
      <c r="K4668" s="2" t="n">
        <v>14</v>
      </c>
      <c r="L4668" s="2" t="n">
        <v>0</v>
      </c>
      <c r="M4668" s="2" t="n">
        <v>0</v>
      </c>
    </row>
    <row r="4669" customFormat="false" ht="15" hidden="false" customHeight="false" outlineLevel="0" collapsed="false">
      <c r="A4669" s="2" t="s">
        <v>9566</v>
      </c>
      <c r="B4669" s="2" t="s">
        <v>9567</v>
      </c>
      <c r="C4669" s="2" t="n">
        <v>3</v>
      </c>
      <c r="D4669" s="2" t="s">
        <v>1491</v>
      </c>
      <c r="E4669" s="2" t="s">
        <v>8083</v>
      </c>
      <c r="F4669" s="3" t="n">
        <v>46111.8034722222</v>
      </c>
      <c r="G4669" s="2" t="s">
        <v>8917</v>
      </c>
      <c r="H4669" s="4" t="n">
        <v>-0.1174</v>
      </c>
      <c r="I4669" s="2" t="s">
        <v>84</v>
      </c>
      <c r="J4669" s="2" t="s">
        <v>19</v>
      </c>
      <c r="K4669" s="2" t="n">
        <v>3</v>
      </c>
      <c r="L4669" s="2" t="n">
        <v>0</v>
      </c>
      <c r="M4669" s="2" t="n">
        <v>0</v>
      </c>
    </row>
    <row r="4670" customFormat="false" ht="15" hidden="false" customHeight="false" outlineLevel="0" collapsed="false">
      <c r="A4670" s="2" t="s">
        <v>9568</v>
      </c>
      <c r="B4670" s="2" t="s">
        <v>9569</v>
      </c>
      <c r="C4670" s="2" t="n">
        <v>5</v>
      </c>
      <c r="D4670" s="2" t="s">
        <v>62</v>
      </c>
      <c r="E4670" s="2" t="s">
        <v>8083</v>
      </c>
      <c r="F4670" s="3" t="n">
        <v>46111.84375</v>
      </c>
      <c r="G4670" s="2" t="s">
        <v>8917</v>
      </c>
      <c r="H4670" s="4" t="n">
        <v>0.7088</v>
      </c>
      <c r="I4670" s="2" t="s">
        <v>23</v>
      </c>
      <c r="J4670" s="2" t="s">
        <v>19</v>
      </c>
      <c r="K4670" s="2" t="n">
        <v>1</v>
      </c>
      <c r="L4670" s="2" t="n">
        <v>0</v>
      </c>
      <c r="M4670" s="2" t="n">
        <v>0</v>
      </c>
    </row>
    <row r="4671" customFormat="false" ht="15" hidden="false" customHeight="false" outlineLevel="0" collapsed="false">
      <c r="A4671" s="2" t="s">
        <v>9570</v>
      </c>
      <c r="B4671" s="2" t="s">
        <v>9571</v>
      </c>
      <c r="C4671" s="2" t="n">
        <v>5</v>
      </c>
      <c r="D4671" s="2" t="s">
        <v>304</v>
      </c>
      <c r="E4671" s="2" t="s">
        <v>8083</v>
      </c>
      <c r="F4671" s="3" t="n">
        <v>46111.8458333333</v>
      </c>
      <c r="G4671" s="2" t="s">
        <v>8917</v>
      </c>
      <c r="H4671" s="4" t="n">
        <v>0.6249</v>
      </c>
      <c r="I4671" s="2" t="s">
        <v>23</v>
      </c>
      <c r="J4671" s="2" t="s">
        <v>37</v>
      </c>
      <c r="K4671" s="2" t="n">
        <v>5</v>
      </c>
      <c r="L4671" s="2" t="n">
        <v>0</v>
      </c>
      <c r="M4671" s="2" t="n">
        <v>0</v>
      </c>
    </row>
    <row r="4672" customFormat="false" ht="15" hidden="false" customHeight="false" outlineLevel="0" collapsed="false">
      <c r="A4672" s="2" t="s">
        <v>9572</v>
      </c>
      <c r="B4672" s="2" t="s">
        <v>9573</v>
      </c>
      <c r="C4672" s="2" t="n">
        <v>5</v>
      </c>
      <c r="D4672" s="2" t="s">
        <v>52</v>
      </c>
      <c r="E4672" s="2" t="s">
        <v>8083</v>
      </c>
      <c r="F4672" s="3" t="n">
        <v>46111.8972222222</v>
      </c>
      <c r="G4672" s="2" t="s">
        <v>8917</v>
      </c>
      <c r="H4672" s="4" t="n">
        <v>0.6369</v>
      </c>
      <c r="I4672" s="2" t="s">
        <v>23</v>
      </c>
      <c r="J4672" s="2" t="s">
        <v>19</v>
      </c>
      <c r="K4672" s="2" t="n">
        <v>5</v>
      </c>
      <c r="L4672" s="2" t="n">
        <v>0</v>
      </c>
      <c r="M4672" s="2" t="n">
        <v>0</v>
      </c>
    </row>
    <row r="4673" customFormat="false" ht="15" hidden="false" customHeight="false" outlineLevel="0" collapsed="false">
      <c r="A4673" s="2" t="s">
        <v>9574</v>
      </c>
      <c r="B4673" s="2" t="s">
        <v>9575</v>
      </c>
      <c r="C4673" s="2" t="n">
        <v>4</v>
      </c>
      <c r="D4673" s="2" t="s">
        <v>407</v>
      </c>
      <c r="E4673" s="2" t="s">
        <v>8083</v>
      </c>
      <c r="F4673" s="3" t="n">
        <v>46111.9583333333</v>
      </c>
      <c r="G4673" s="2" t="s">
        <v>8917</v>
      </c>
      <c r="H4673" s="4" t="n">
        <v>0.7783</v>
      </c>
      <c r="I4673" s="2" t="s">
        <v>23</v>
      </c>
      <c r="J4673" s="2" t="s">
        <v>37</v>
      </c>
      <c r="K4673" s="2" t="n">
        <v>11</v>
      </c>
      <c r="L4673" s="2" t="n">
        <v>0</v>
      </c>
      <c r="M4673" s="2" t="n">
        <v>0</v>
      </c>
    </row>
    <row r="4674" customFormat="false" ht="15" hidden="false" customHeight="false" outlineLevel="0" collapsed="false">
      <c r="A4674" s="2" t="s">
        <v>9576</v>
      </c>
      <c r="B4674" s="2" t="s">
        <v>9577</v>
      </c>
      <c r="C4674" s="2" t="n">
        <v>5</v>
      </c>
      <c r="D4674" s="2" t="s">
        <v>2140</v>
      </c>
      <c r="E4674" s="2" t="s">
        <v>8083</v>
      </c>
      <c r="F4674" s="3" t="n">
        <v>46112.0895833333</v>
      </c>
      <c r="G4674" s="2" t="s">
        <v>8917</v>
      </c>
      <c r="H4674" s="4" t="n">
        <v>0.8777</v>
      </c>
      <c r="I4674" s="2" t="s">
        <v>23</v>
      </c>
      <c r="J4674" s="2" t="s">
        <v>19</v>
      </c>
      <c r="K4674" s="2" t="n">
        <v>1</v>
      </c>
      <c r="L4674" s="2" t="n">
        <v>0</v>
      </c>
      <c r="M4674" s="2" t="n">
        <v>0</v>
      </c>
    </row>
    <row r="4675" customFormat="false" ht="15" hidden="false" customHeight="false" outlineLevel="0" collapsed="false">
      <c r="A4675" s="2" t="s">
        <v>9578</v>
      </c>
      <c r="B4675" s="2" t="s">
        <v>9579</v>
      </c>
      <c r="C4675" s="2" t="n">
        <v>5</v>
      </c>
      <c r="D4675" s="2" t="s">
        <v>47</v>
      </c>
      <c r="E4675" s="2" t="s">
        <v>8083</v>
      </c>
      <c r="F4675" s="3" t="n">
        <v>46112.1361111111</v>
      </c>
      <c r="G4675" s="2" t="s">
        <v>8917</v>
      </c>
      <c r="H4675" s="4" t="n">
        <v>0.3089</v>
      </c>
      <c r="I4675" s="2" t="s">
        <v>23</v>
      </c>
      <c r="J4675" s="2" t="s">
        <v>19</v>
      </c>
      <c r="K4675" s="2" t="n">
        <v>1</v>
      </c>
      <c r="L4675" s="2" t="n">
        <v>0</v>
      </c>
      <c r="M4675" s="2" t="n">
        <v>0</v>
      </c>
    </row>
    <row r="4676" customFormat="false" ht="15" hidden="false" customHeight="false" outlineLevel="0" collapsed="false">
      <c r="A4676" s="2" t="s">
        <v>9580</v>
      </c>
      <c r="B4676" s="2" t="s">
        <v>9581</v>
      </c>
      <c r="C4676" s="2" t="n">
        <v>5</v>
      </c>
      <c r="D4676" s="2" t="s">
        <v>40</v>
      </c>
      <c r="E4676" s="2" t="s">
        <v>8083</v>
      </c>
      <c r="F4676" s="3" t="n">
        <v>46112.2298611111</v>
      </c>
      <c r="G4676" s="2" t="s">
        <v>8917</v>
      </c>
      <c r="H4676" s="4" t="n">
        <v>0.4019</v>
      </c>
      <c r="I4676" s="2" t="s">
        <v>23</v>
      </c>
      <c r="J4676" s="2" t="s">
        <v>33</v>
      </c>
      <c r="K4676" s="2" t="n">
        <v>6</v>
      </c>
      <c r="L4676" s="2" t="n">
        <v>0</v>
      </c>
      <c r="M4676" s="2" t="n">
        <v>0</v>
      </c>
    </row>
    <row r="4677" customFormat="false" ht="15" hidden="false" customHeight="false" outlineLevel="0" collapsed="false">
      <c r="A4677" s="2" t="s">
        <v>9582</v>
      </c>
      <c r="B4677" s="2" t="s">
        <v>9583</v>
      </c>
      <c r="C4677" s="2" t="n">
        <v>4</v>
      </c>
      <c r="D4677" s="2" t="s">
        <v>152</v>
      </c>
      <c r="E4677" s="2" t="s">
        <v>8083</v>
      </c>
      <c r="F4677" s="3" t="n">
        <v>46112.2493055556</v>
      </c>
      <c r="G4677" s="2" t="s">
        <v>8917</v>
      </c>
      <c r="H4677" s="4" t="n">
        <v>0.8313</v>
      </c>
      <c r="I4677" s="2" t="s">
        <v>23</v>
      </c>
      <c r="J4677" s="2" t="s">
        <v>37</v>
      </c>
      <c r="K4677" s="2" t="n">
        <v>2</v>
      </c>
      <c r="L4677" s="2" t="n">
        <v>0</v>
      </c>
      <c r="M4677" s="2" t="n">
        <v>0</v>
      </c>
    </row>
    <row r="4678" customFormat="false" ht="15" hidden="false" customHeight="false" outlineLevel="0" collapsed="false">
      <c r="A4678" s="2" t="s">
        <v>9584</v>
      </c>
      <c r="B4678" s="2" t="s">
        <v>9585</v>
      </c>
      <c r="C4678" s="2" t="n">
        <v>3</v>
      </c>
      <c r="D4678" s="2" t="s">
        <v>3517</v>
      </c>
      <c r="E4678" s="2" t="s">
        <v>8083</v>
      </c>
      <c r="F4678" s="3" t="n">
        <v>46112.2756944444</v>
      </c>
      <c r="G4678" s="2" t="s">
        <v>8917</v>
      </c>
      <c r="H4678" s="4" t="n">
        <v>0.5859</v>
      </c>
      <c r="I4678" s="2" t="s">
        <v>23</v>
      </c>
      <c r="J4678" s="2" t="s">
        <v>37</v>
      </c>
      <c r="K4678" s="2" t="n">
        <v>2</v>
      </c>
      <c r="L4678" s="2" t="n">
        <v>0</v>
      </c>
      <c r="M4678" s="2" t="n">
        <v>0</v>
      </c>
    </row>
    <row r="4679" customFormat="false" ht="15" hidden="false" customHeight="false" outlineLevel="0" collapsed="false">
      <c r="A4679" s="2" t="s">
        <v>9586</v>
      </c>
      <c r="B4679" s="2" t="s">
        <v>4395</v>
      </c>
      <c r="C4679" s="2" t="n">
        <v>3</v>
      </c>
      <c r="D4679" s="2" t="s">
        <v>87</v>
      </c>
      <c r="E4679" s="2" t="s">
        <v>8083</v>
      </c>
      <c r="F4679" s="3" t="n">
        <v>46112.3569444444</v>
      </c>
      <c r="G4679" s="2" t="s">
        <v>8917</v>
      </c>
      <c r="H4679" s="4" t="n">
        <v>0</v>
      </c>
      <c r="I4679" s="2" t="s">
        <v>18</v>
      </c>
      <c r="J4679" s="2" t="s">
        <v>19</v>
      </c>
      <c r="K4679" s="2" t="n">
        <v>2</v>
      </c>
      <c r="L4679" s="2" t="n">
        <v>0</v>
      </c>
      <c r="M4679" s="2" t="n">
        <v>0</v>
      </c>
    </row>
    <row r="4680" customFormat="false" ht="15" hidden="false" customHeight="false" outlineLevel="0" collapsed="false">
      <c r="A4680" s="2" t="s">
        <v>9587</v>
      </c>
      <c r="B4680" s="2" t="s">
        <v>9588</v>
      </c>
      <c r="C4680" s="2" t="n">
        <v>5</v>
      </c>
      <c r="D4680" s="2" t="s">
        <v>1387</v>
      </c>
      <c r="E4680" s="2" t="s">
        <v>8083</v>
      </c>
      <c r="F4680" s="3" t="n">
        <v>46112.3979166667</v>
      </c>
      <c r="G4680" s="2" t="s">
        <v>8917</v>
      </c>
      <c r="H4680" s="4" t="n">
        <v>0.9359</v>
      </c>
      <c r="I4680" s="2" t="s">
        <v>23</v>
      </c>
      <c r="J4680" s="2" t="s">
        <v>37</v>
      </c>
      <c r="K4680" s="2" t="n">
        <v>3</v>
      </c>
      <c r="L4680" s="2" t="n">
        <v>0</v>
      </c>
      <c r="M4680" s="2" t="n">
        <v>0</v>
      </c>
    </row>
    <row r="4681" customFormat="false" ht="15" hidden="false" customHeight="false" outlineLevel="0" collapsed="false">
      <c r="A4681" s="2" t="s">
        <v>9589</v>
      </c>
      <c r="B4681" s="2" t="s">
        <v>9590</v>
      </c>
      <c r="C4681" s="2" t="n">
        <v>3</v>
      </c>
      <c r="D4681" s="2" t="s">
        <v>1029</v>
      </c>
      <c r="E4681" s="2" t="s">
        <v>8083</v>
      </c>
      <c r="F4681" s="3" t="n">
        <v>46112.6402777778</v>
      </c>
      <c r="G4681" s="2" t="s">
        <v>8917</v>
      </c>
      <c r="H4681" s="4" t="n">
        <v>0.1154</v>
      </c>
      <c r="I4681" s="2" t="s">
        <v>23</v>
      </c>
      <c r="J4681" s="2" t="s">
        <v>19</v>
      </c>
      <c r="K4681" s="2" t="n">
        <v>3</v>
      </c>
      <c r="L4681" s="2" t="n">
        <v>1</v>
      </c>
      <c r="M4681" s="2" t="n">
        <v>0</v>
      </c>
    </row>
    <row r="4682" customFormat="false" ht="15" hidden="false" customHeight="false" outlineLevel="0" collapsed="false">
      <c r="A4682" s="2" t="s">
        <v>9591</v>
      </c>
      <c r="B4682" s="2" t="s">
        <v>9592</v>
      </c>
      <c r="C4682" s="2" t="n">
        <v>1</v>
      </c>
      <c r="D4682" s="2" t="s">
        <v>9593</v>
      </c>
      <c r="E4682" s="2" t="s">
        <v>8083</v>
      </c>
      <c r="F4682" s="3" t="n">
        <v>46112.8333333333</v>
      </c>
      <c r="G4682" s="2" t="s">
        <v>8917</v>
      </c>
      <c r="H4682" s="4" t="n">
        <v>0.2023</v>
      </c>
      <c r="I4682" s="2" t="s">
        <v>23</v>
      </c>
      <c r="J4682" s="2" t="s">
        <v>165</v>
      </c>
      <c r="K4682" s="2" t="n">
        <v>3</v>
      </c>
      <c r="L4682" s="2" t="n">
        <v>0</v>
      </c>
      <c r="M4682" s="2" t="n">
        <v>0</v>
      </c>
    </row>
    <row r="4683" customFormat="false" ht="15" hidden="false" customHeight="false" outlineLevel="0" collapsed="false">
      <c r="A4683" s="2" t="s">
        <v>9594</v>
      </c>
      <c r="B4683" s="2" t="s">
        <v>9595</v>
      </c>
      <c r="C4683" s="2" t="n">
        <v>1</v>
      </c>
      <c r="D4683" s="2" t="s">
        <v>823</v>
      </c>
      <c r="E4683" s="2" t="s">
        <v>8083</v>
      </c>
      <c r="F4683" s="3" t="n">
        <v>46112.8402777778</v>
      </c>
      <c r="G4683" s="2" t="s">
        <v>8917</v>
      </c>
      <c r="H4683" s="4" t="n">
        <v>-0.6997</v>
      </c>
      <c r="I4683" s="2" t="s">
        <v>84</v>
      </c>
      <c r="J4683" s="2" t="s">
        <v>19</v>
      </c>
      <c r="K4683" s="2" t="n">
        <v>2</v>
      </c>
      <c r="L4683" s="2" t="n">
        <v>0</v>
      </c>
      <c r="M4683" s="2" t="n">
        <v>0</v>
      </c>
    </row>
    <row r="4684" customFormat="false" ht="15" hidden="false" customHeight="false" outlineLevel="0" collapsed="false">
      <c r="A4684" s="2" t="s">
        <v>9596</v>
      </c>
      <c r="B4684" s="2" t="s">
        <v>9597</v>
      </c>
      <c r="C4684" s="2" t="n">
        <v>1</v>
      </c>
      <c r="D4684" s="2" t="s">
        <v>661</v>
      </c>
      <c r="E4684" s="2" t="s">
        <v>8083</v>
      </c>
      <c r="F4684" s="3" t="n">
        <v>46112.9666666667</v>
      </c>
      <c r="G4684" s="2" t="s">
        <v>8917</v>
      </c>
      <c r="H4684" s="4" t="n">
        <v>0</v>
      </c>
      <c r="I4684" s="2" t="s">
        <v>18</v>
      </c>
      <c r="J4684" s="2" t="s">
        <v>59</v>
      </c>
      <c r="K4684" s="2" t="n">
        <v>3</v>
      </c>
      <c r="L4684" s="2" t="n">
        <v>1</v>
      </c>
      <c r="M4684" s="2" t="n">
        <v>0</v>
      </c>
    </row>
    <row r="4685" customFormat="false" ht="15" hidden="false" customHeight="false" outlineLevel="0" collapsed="false">
      <c r="A4685" s="2" t="s">
        <v>9598</v>
      </c>
      <c r="B4685" s="2" t="s">
        <v>9599</v>
      </c>
      <c r="C4685" s="2" t="n">
        <v>4</v>
      </c>
      <c r="D4685" s="2" t="s">
        <v>96</v>
      </c>
      <c r="E4685" s="2" t="s">
        <v>8083</v>
      </c>
      <c r="F4685" s="3" t="n">
        <v>46112.99375</v>
      </c>
      <c r="G4685" s="2" t="s">
        <v>8917</v>
      </c>
      <c r="H4685" s="4" t="n">
        <v>0.6369</v>
      </c>
      <c r="I4685" s="2" t="s">
        <v>23</v>
      </c>
      <c r="J4685" s="2" t="s">
        <v>19</v>
      </c>
      <c r="K4685" s="2" t="n">
        <v>16</v>
      </c>
      <c r="L4685" s="2" t="n">
        <v>0</v>
      </c>
      <c r="M4685" s="2" t="n">
        <v>0</v>
      </c>
    </row>
    <row r="4686" customFormat="false" ht="15" hidden="false" customHeight="false" outlineLevel="0" collapsed="false">
      <c r="A4686" s="2" t="s">
        <v>9600</v>
      </c>
      <c r="B4686" s="2" t="s">
        <v>9601</v>
      </c>
      <c r="C4686" s="2" t="n">
        <v>3</v>
      </c>
      <c r="D4686" s="2" t="s">
        <v>87</v>
      </c>
      <c r="E4686" s="2" t="s">
        <v>8083</v>
      </c>
      <c r="F4686" s="3" t="n">
        <v>46113.1618055556</v>
      </c>
      <c r="G4686" s="2" t="s">
        <v>9602</v>
      </c>
      <c r="H4686" s="4" t="n">
        <v>0</v>
      </c>
      <c r="I4686" s="2" t="s">
        <v>18</v>
      </c>
      <c r="J4686" s="2" t="s">
        <v>19</v>
      </c>
      <c r="K4686" s="2" t="n">
        <v>2</v>
      </c>
      <c r="L4686" s="2" t="n">
        <v>0</v>
      </c>
      <c r="M4686" s="2" t="n">
        <v>0</v>
      </c>
    </row>
    <row r="4687" customFormat="false" ht="15" hidden="false" customHeight="false" outlineLevel="0" collapsed="false">
      <c r="A4687" s="2" t="s">
        <v>9603</v>
      </c>
      <c r="B4687" s="2" t="s">
        <v>9604</v>
      </c>
      <c r="C4687" s="2" t="n">
        <v>5</v>
      </c>
      <c r="D4687" s="2" t="s">
        <v>222</v>
      </c>
      <c r="E4687" s="2" t="s">
        <v>8083</v>
      </c>
      <c r="F4687" s="3" t="n">
        <v>46113.1854166667</v>
      </c>
      <c r="G4687" s="2" t="s">
        <v>9602</v>
      </c>
      <c r="H4687" s="4" t="n">
        <v>0.9647</v>
      </c>
      <c r="I4687" s="2" t="s">
        <v>23</v>
      </c>
      <c r="J4687" s="2" t="s">
        <v>37</v>
      </c>
      <c r="K4687" s="2" t="n">
        <v>8</v>
      </c>
      <c r="L4687" s="2" t="n">
        <v>0</v>
      </c>
      <c r="M4687" s="2" t="n">
        <v>0</v>
      </c>
    </row>
    <row r="4688" customFormat="false" ht="15" hidden="false" customHeight="false" outlineLevel="0" collapsed="false">
      <c r="A4688" s="2" t="s">
        <v>9605</v>
      </c>
      <c r="B4688" s="2" t="s">
        <v>9606</v>
      </c>
      <c r="C4688" s="2" t="n">
        <v>3</v>
      </c>
      <c r="D4688" s="2" t="s">
        <v>4445</v>
      </c>
      <c r="E4688" s="2" t="s">
        <v>8083</v>
      </c>
      <c r="F4688" s="3" t="n">
        <v>46113.2041666667</v>
      </c>
      <c r="G4688" s="2" t="s">
        <v>9602</v>
      </c>
      <c r="H4688" s="4" t="n">
        <v>-0.1603</v>
      </c>
      <c r="I4688" s="2" t="s">
        <v>84</v>
      </c>
      <c r="J4688" s="2" t="s">
        <v>19</v>
      </c>
      <c r="K4688" s="2" t="n">
        <v>2</v>
      </c>
      <c r="L4688" s="2" t="n">
        <v>0</v>
      </c>
      <c r="M4688" s="2" t="n">
        <v>0</v>
      </c>
    </row>
    <row r="4689" customFormat="false" ht="15" hidden="false" customHeight="false" outlineLevel="0" collapsed="false">
      <c r="A4689" s="2" t="s">
        <v>9607</v>
      </c>
      <c r="B4689" s="2" t="s">
        <v>9608</v>
      </c>
      <c r="C4689" s="2" t="n">
        <v>5</v>
      </c>
      <c r="D4689" s="2" t="s">
        <v>555</v>
      </c>
      <c r="E4689" s="2" t="s">
        <v>8083</v>
      </c>
      <c r="F4689" s="3" t="n">
        <v>46113.2208333333</v>
      </c>
      <c r="G4689" s="2" t="s">
        <v>9602</v>
      </c>
      <c r="H4689" s="4" t="n">
        <v>0.8221</v>
      </c>
      <c r="I4689" s="2" t="s">
        <v>23</v>
      </c>
      <c r="J4689" s="2" t="s">
        <v>33</v>
      </c>
      <c r="K4689" s="2" t="n">
        <v>13</v>
      </c>
      <c r="L4689" s="2" t="n">
        <v>0</v>
      </c>
      <c r="M4689" s="2" t="n">
        <v>0</v>
      </c>
    </row>
    <row r="4690" customFormat="false" ht="15" hidden="false" customHeight="false" outlineLevel="0" collapsed="false">
      <c r="A4690" s="2" t="s">
        <v>9609</v>
      </c>
      <c r="B4690" s="2" t="s">
        <v>9610</v>
      </c>
      <c r="C4690" s="2" t="n">
        <v>5</v>
      </c>
      <c r="D4690" s="2" t="s">
        <v>251</v>
      </c>
      <c r="E4690" s="2" t="s">
        <v>8083</v>
      </c>
      <c r="F4690" s="3" t="n">
        <v>46113.3701388889</v>
      </c>
      <c r="G4690" s="2" t="s">
        <v>9602</v>
      </c>
      <c r="H4690" s="4" t="n">
        <v>0.8651</v>
      </c>
      <c r="I4690" s="2" t="s">
        <v>23</v>
      </c>
      <c r="J4690" s="2" t="s">
        <v>19</v>
      </c>
      <c r="K4690" s="2" t="n">
        <v>3</v>
      </c>
      <c r="L4690" s="2" t="n">
        <v>0</v>
      </c>
      <c r="M4690" s="2" t="n">
        <v>0</v>
      </c>
    </row>
    <row r="4691" customFormat="false" ht="15" hidden="false" customHeight="false" outlineLevel="0" collapsed="false">
      <c r="A4691" s="2" t="s">
        <v>9611</v>
      </c>
      <c r="B4691" s="2" t="s">
        <v>9612</v>
      </c>
      <c r="C4691" s="2" t="n">
        <v>5</v>
      </c>
      <c r="D4691" s="2" t="s">
        <v>52</v>
      </c>
      <c r="E4691" s="2" t="s">
        <v>8083</v>
      </c>
      <c r="F4691" s="3" t="n">
        <v>46113.4354166667</v>
      </c>
      <c r="G4691" s="2" t="s">
        <v>9602</v>
      </c>
      <c r="H4691" s="4" t="n">
        <v>0.6369</v>
      </c>
      <c r="I4691" s="2" t="s">
        <v>23</v>
      </c>
      <c r="J4691" s="2" t="s">
        <v>19</v>
      </c>
      <c r="K4691" s="2" t="n">
        <v>7</v>
      </c>
      <c r="L4691" s="2" t="n">
        <v>0</v>
      </c>
      <c r="M4691" s="2" t="n">
        <v>0</v>
      </c>
    </row>
    <row r="4692" customFormat="false" ht="15" hidden="false" customHeight="false" outlineLevel="0" collapsed="false">
      <c r="A4692" s="2" t="s">
        <v>9613</v>
      </c>
      <c r="B4692" s="2" t="s">
        <v>9614</v>
      </c>
      <c r="C4692" s="2" t="n">
        <v>3</v>
      </c>
      <c r="D4692" s="2" t="s">
        <v>36</v>
      </c>
      <c r="E4692" s="2" t="s">
        <v>8083</v>
      </c>
      <c r="F4692" s="3" t="n">
        <v>46113.4965277778</v>
      </c>
      <c r="G4692" s="2" t="s">
        <v>9602</v>
      </c>
      <c r="H4692" s="4" t="n">
        <v>0.4404</v>
      </c>
      <c r="I4692" s="2" t="s">
        <v>23</v>
      </c>
      <c r="J4692" s="2" t="s">
        <v>37</v>
      </c>
      <c r="K4692" s="2" t="n">
        <v>1</v>
      </c>
      <c r="L4692" s="2" t="n">
        <v>1</v>
      </c>
      <c r="M4692" s="2" t="n">
        <v>0</v>
      </c>
    </row>
    <row r="4693" customFormat="false" ht="15" hidden="false" customHeight="false" outlineLevel="0" collapsed="false">
      <c r="A4693" s="2" t="s">
        <v>9615</v>
      </c>
      <c r="B4693" s="2" t="s">
        <v>2045</v>
      </c>
      <c r="C4693" s="2" t="n">
        <v>4</v>
      </c>
      <c r="D4693" s="2" t="s">
        <v>2578</v>
      </c>
      <c r="E4693" s="2" t="s">
        <v>8083</v>
      </c>
      <c r="F4693" s="3" t="n">
        <v>46113.6826388889</v>
      </c>
      <c r="G4693" s="2" t="s">
        <v>9602</v>
      </c>
      <c r="H4693" s="4" t="n">
        <v>0.9626</v>
      </c>
      <c r="I4693" s="2" t="s">
        <v>23</v>
      </c>
      <c r="J4693" s="2" t="s">
        <v>37</v>
      </c>
      <c r="K4693" s="2" t="n">
        <v>0</v>
      </c>
      <c r="L4693" s="2" t="n">
        <v>0</v>
      </c>
      <c r="M4693" s="2" t="n">
        <v>0</v>
      </c>
    </row>
    <row r="4694" customFormat="false" ht="15" hidden="false" customHeight="false" outlineLevel="0" collapsed="false">
      <c r="A4694" s="2" t="s">
        <v>9616</v>
      </c>
      <c r="B4694" s="2" t="s">
        <v>9617</v>
      </c>
      <c r="C4694" s="2" t="n">
        <v>5</v>
      </c>
      <c r="D4694" s="2" t="s">
        <v>29</v>
      </c>
      <c r="E4694" s="2" t="s">
        <v>8083</v>
      </c>
      <c r="F4694" s="3" t="n">
        <v>46114.1201388889</v>
      </c>
      <c r="G4694" s="2" t="s">
        <v>9602</v>
      </c>
      <c r="H4694" s="4" t="n">
        <v>0.6369</v>
      </c>
      <c r="I4694" s="2" t="s">
        <v>23</v>
      </c>
      <c r="J4694" s="2" t="s">
        <v>19</v>
      </c>
      <c r="K4694" s="2" t="n">
        <v>6</v>
      </c>
      <c r="L4694" s="2" t="n">
        <v>0</v>
      </c>
      <c r="M4694" s="2" t="n">
        <v>0</v>
      </c>
    </row>
    <row r="4695" customFormat="false" ht="15" hidden="false" customHeight="false" outlineLevel="0" collapsed="false">
      <c r="A4695" s="2" t="s">
        <v>9618</v>
      </c>
      <c r="B4695" s="2" t="s">
        <v>9619</v>
      </c>
      <c r="C4695" s="2" t="n">
        <v>5</v>
      </c>
      <c r="D4695" s="2" t="s">
        <v>62</v>
      </c>
      <c r="E4695" s="2" t="s">
        <v>8083</v>
      </c>
      <c r="F4695" s="3" t="n">
        <v>46114.3215277778</v>
      </c>
      <c r="G4695" s="2" t="s">
        <v>9602</v>
      </c>
      <c r="H4695" s="4" t="n">
        <v>0.7088</v>
      </c>
      <c r="I4695" s="2" t="s">
        <v>23</v>
      </c>
      <c r="J4695" s="2" t="s">
        <v>19</v>
      </c>
      <c r="K4695" s="2" t="n">
        <v>10</v>
      </c>
      <c r="L4695" s="2" t="n">
        <v>0</v>
      </c>
      <c r="M4695" s="2" t="n">
        <v>0</v>
      </c>
    </row>
    <row r="4696" customFormat="false" ht="15" hidden="false" customHeight="false" outlineLevel="0" collapsed="false">
      <c r="A4696" s="2" t="s">
        <v>9620</v>
      </c>
      <c r="B4696" s="2" t="s">
        <v>9621</v>
      </c>
      <c r="C4696" s="2" t="n">
        <v>5</v>
      </c>
      <c r="D4696" s="2" t="s">
        <v>47</v>
      </c>
      <c r="E4696" s="2" t="s">
        <v>8083</v>
      </c>
      <c r="F4696" s="3" t="n">
        <v>46114.6041666667</v>
      </c>
      <c r="G4696" s="2" t="s">
        <v>9602</v>
      </c>
      <c r="H4696" s="4" t="n">
        <v>0.3089</v>
      </c>
      <c r="I4696" s="2" t="s">
        <v>23</v>
      </c>
      <c r="J4696" s="2" t="s">
        <v>19</v>
      </c>
      <c r="K4696" s="2" t="n">
        <v>10</v>
      </c>
      <c r="L4696" s="2" t="n">
        <v>0</v>
      </c>
      <c r="M4696" s="2" t="n">
        <v>0</v>
      </c>
    </row>
    <row r="4697" customFormat="false" ht="15" hidden="false" customHeight="false" outlineLevel="0" collapsed="false">
      <c r="A4697" s="2" t="s">
        <v>9622</v>
      </c>
      <c r="B4697" s="2" t="s">
        <v>9623</v>
      </c>
      <c r="C4697" s="2" t="n">
        <v>5</v>
      </c>
      <c r="D4697" s="2" t="s">
        <v>555</v>
      </c>
      <c r="E4697" s="2" t="s">
        <v>8083</v>
      </c>
      <c r="F4697" s="3" t="n">
        <v>46114.6923611111</v>
      </c>
      <c r="G4697" s="2" t="s">
        <v>9602</v>
      </c>
      <c r="H4697" s="4" t="n">
        <v>0.8221</v>
      </c>
      <c r="I4697" s="2" t="s">
        <v>23</v>
      </c>
      <c r="J4697" s="2" t="s">
        <v>33</v>
      </c>
      <c r="K4697" s="2" t="n">
        <v>1</v>
      </c>
      <c r="L4697" s="2" t="n">
        <v>0</v>
      </c>
      <c r="M4697" s="2" t="n">
        <v>0</v>
      </c>
    </row>
    <row r="4698" customFormat="false" ht="15" hidden="false" customHeight="false" outlineLevel="0" collapsed="false">
      <c r="A4698" s="2" t="s">
        <v>9624</v>
      </c>
      <c r="B4698" s="2" t="s">
        <v>9625</v>
      </c>
      <c r="C4698" s="2" t="n">
        <v>3</v>
      </c>
      <c r="D4698" s="2" t="s">
        <v>87</v>
      </c>
      <c r="E4698" s="2" t="s">
        <v>8083</v>
      </c>
      <c r="F4698" s="3" t="n">
        <v>46114.7173611111</v>
      </c>
      <c r="G4698" s="2" t="s">
        <v>9602</v>
      </c>
      <c r="H4698" s="4" t="n">
        <v>0</v>
      </c>
      <c r="I4698" s="2" t="s">
        <v>18</v>
      </c>
      <c r="J4698" s="2" t="s">
        <v>19</v>
      </c>
      <c r="K4698" s="2" t="n">
        <v>3</v>
      </c>
      <c r="L4698" s="2" t="n">
        <v>0</v>
      </c>
      <c r="M4698" s="2" t="n">
        <v>0</v>
      </c>
    </row>
    <row r="4699" customFormat="false" ht="15" hidden="false" customHeight="false" outlineLevel="0" collapsed="false">
      <c r="A4699" s="2" t="s">
        <v>9626</v>
      </c>
      <c r="B4699" s="2" t="s">
        <v>9627</v>
      </c>
      <c r="C4699" s="2" t="n">
        <v>5</v>
      </c>
      <c r="D4699" s="2" t="s">
        <v>47</v>
      </c>
      <c r="E4699" s="2" t="s">
        <v>8083</v>
      </c>
      <c r="F4699" s="3" t="n">
        <v>46114.85625</v>
      </c>
      <c r="G4699" s="2" t="s">
        <v>9602</v>
      </c>
      <c r="H4699" s="4" t="n">
        <v>0.3089</v>
      </c>
      <c r="I4699" s="2" t="s">
        <v>23</v>
      </c>
      <c r="J4699" s="2" t="s">
        <v>19</v>
      </c>
      <c r="K4699" s="2" t="n">
        <v>6</v>
      </c>
      <c r="L4699" s="2" t="n">
        <v>0</v>
      </c>
      <c r="M4699" s="2" t="n">
        <v>0</v>
      </c>
    </row>
    <row r="4700" customFormat="false" ht="15" hidden="false" customHeight="false" outlineLevel="0" collapsed="false">
      <c r="A4700" s="2" t="s">
        <v>9628</v>
      </c>
      <c r="B4700" s="2" t="s">
        <v>9629</v>
      </c>
      <c r="C4700" s="2" t="n">
        <v>4</v>
      </c>
      <c r="D4700" s="2" t="s">
        <v>1622</v>
      </c>
      <c r="E4700" s="2" t="s">
        <v>8083</v>
      </c>
      <c r="F4700" s="3" t="n">
        <v>46114.8798611111</v>
      </c>
      <c r="G4700" s="2" t="s">
        <v>9602</v>
      </c>
      <c r="H4700" s="4" t="n">
        <v>0.8555</v>
      </c>
      <c r="I4700" s="2" t="s">
        <v>23</v>
      </c>
      <c r="J4700" s="2" t="s">
        <v>19</v>
      </c>
      <c r="K4700" s="2" t="n">
        <v>2</v>
      </c>
      <c r="L4700" s="2" t="n">
        <v>0</v>
      </c>
      <c r="M4700" s="2" t="n">
        <v>0</v>
      </c>
    </row>
    <row r="4701" customFormat="false" ht="15" hidden="false" customHeight="false" outlineLevel="0" collapsed="false">
      <c r="A4701" s="2" t="s">
        <v>9630</v>
      </c>
      <c r="B4701" s="2" t="s">
        <v>9631</v>
      </c>
      <c r="C4701" s="2" t="n">
        <v>3</v>
      </c>
      <c r="D4701" s="2" t="s">
        <v>440</v>
      </c>
      <c r="E4701" s="2" t="s">
        <v>8083</v>
      </c>
      <c r="F4701" s="3" t="n">
        <v>46114.9631944444</v>
      </c>
      <c r="G4701" s="2" t="s">
        <v>9602</v>
      </c>
      <c r="H4701" s="4" t="n">
        <v>0.4109</v>
      </c>
      <c r="I4701" s="2" t="s">
        <v>23</v>
      </c>
      <c r="J4701" s="2" t="s">
        <v>19</v>
      </c>
      <c r="K4701" s="2" t="n">
        <v>1</v>
      </c>
      <c r="L4701" s="2" t="n">
        <v>0</v>
      </c>
      <c r="M4701" s="2" t="n">
        <v>0</v>
      </c>
    </row>
    <row r="4702" customFormat="false" ht="15" hidden="false" customHeight="false" outlineLevel="0" collapsed="false">
      <c r="A4702" s="2" t="s">
        <v>9632</v>
      </c>
      <c r="B4702" s="2" t="s">
        <v>9633</v>
      </c>
      <c r="C4702" s="2" t="n">
        <v>3</v>
      </c>
      <c r="D4702" s="2" t="s">
        <v>99</v>
      </c>
      <c r="E4702" s="2" t="s">
        <v>8083</v>
      </c>
      <c r="F4702" s="3" t="n">
        <v>46114.9722222222</v>
      </c>
      <c r="G4702" s="2" t="s">
        <v>9602</v>
      </c>
      <c r="H4702" s="4" t="n">
        <v>-0.3089</v>
      </c>
      <c r="I4702" s="2" t="s">
        <v>84</v>
      </c>
      <c r="J4702" s="2" t="s">
        <v>19</v>
      </c>
      <c r="K4702" s="2" t="n">
        <v>0</v>
      </c>
      <c r="L4702" s="2" t="n">
        <v>0</v>
      </c>
      <c r="M4702" s="2" t="n">
        <v>0</v>
      </c>
    </row>
    <row r="4703" customFormat="false" ht="15" hidden="false" customHeight="false" outlineLevel="0" collapsed="false">
      <c r="A4703" s="2" t="s">
        <v>9634</v>
      </c>
      <c r="B4703" s="2" t="s">
        <v>2892</v>
      </c>
      <c r="C4703" s="2" t="n">
        <v>3</v>
      </c>
      <c r="D4703" s="2" t="s">
        <v>133</v>
      </c>
      <c r="E4703" s="2" t="s">
        <v>8083</v>
      </c>
      <c r="F4703" s="3" t="n">
        <v>46114.9840277778</v>
      </c>
      <c r="G4703" s="2" t="s">
        <v>9602</v>
      </c>
      <c r="H4703" s="4" t="n">
        <v>-0.5719</v>
      </c>
      <c r="I4703" s="2" t="s">
        <v>84</v>
      </c>
      <c r="J4703" s="2" t="s">
        <v>33</v>
      </c>
      <c r="K4703" s="2" t="n">
        <v>7</v>
      </c>
      <c r="L4703" s="2" t="n">
        <v>0</v>
      </c>
      <c r="M4703" s="2" t="n">
        <v>0</v>
      </c>
    </row>
    <row r="4704" customFormat="false" ht="15" hidden="false" customHeight="false" outlineLevel="0" collapsed="false">
      <c r="A4704" s="2" t="s">
        <v>9635</v>
      </c>
      <c r="B4704" s="2" t="s">
        <v>9636</v>
      </c>
      <c r="C4704" s="2" t="n">
        <v>5</v>
      </c>
      <c r="D4704" s="2" t="s">
        <v>555</v>
      </c>
      <c r="E4704" s="2" t="s">
        <v>8083</v>
      </c>
      <c r="F4704" s="3" t="n">
        <v>46115.0166666667</v>
      </c>
      <c r="G4704" s="2" t="s">
        <v>9602</v>
      </c>
      <c r="H4704" s="4" t="n">
        <v>0.8221</v>
      </c>
      <c r="I4704" s="2" t="s">
        <v>23</v>
      </c>
      <c r="J4704" s="2" t="s">
        <v>33</v>
      </c>
      <c r="K4704" s="2" t="n">
        <v>1</v>
      </c>
      <c r="L4704" s="2" t="n">
        <v>0</v>
      </c>
      <c r="M4704" s="2" t="n">
        <v>0</v>
      </c>
    </row>
    <row r="4705" customFormat="false" ht="15" hidden="false" customHeight="false" outlineLevel="0" collapsed="false">
      <c r="A4705" s="2" t="s">
        <v>9637</v>
      </c>
      <c r="B4705" s="2" t="s">
        <v>9638</v>
      </c>
      <c r="C4705" s="2" t="n">
        <v>1</v>
      </c>
      <c r="D4705" s="2" t="s">
        <v>1942</v>
      </c>
      <c r="E4705" s="2" t="s">
        <v>8083</v>
      </c>
      <c r="F4705" s="3" t="n">
        <v>46115.1979166667</v>
      </c>
      <c r="G4705" s="2" t="s">
        <v>9602</v>
      </c>
      <c r="H4705" s="4" t="n">
        <v>0</v>
      </c>
      <c r="I4705" s="2" t="s">
        <v>18</v>
      </c>
      <c r="J4705" s="2" t="s">
        <v>165</v>
      </c>
      <c r="K4705" s="2" t="n">
        <v>8</v>
      </c>
      <c r="L4705" s="2" t="n">
        <v>0</v>
      </c>
      <c r="M4705" s="2" t="n">
        <v>0</v>
      </c>
    </row>
    <row r="4706" customFormat="false" ht="15" hidden="false" customHeight="false" outlineLevel="0" collapsed="false">
      <c r="A4706" s="2" t="s">
        <v>9639</v>
      </c>
      <c r="B4706" s="2" t="s">
        <v>9640</v>
      </c>
      <c r="C4706" s="2" t="n">
        <v>4</v>
      </c>
      <c r="D4706" s="2" t="s">
        <v>62</v>
      </c>
      <c r="E4706" s="2" t="s">
        <v>8083</v>
      </c>
      <c r="F4706" s="3" t="n">
        <v>46115.2194444445</v>
      </c>
      <c r="G4706" s="2" t="s">
        <v>9602</v>
      </c>
      <c r="H4706" s="4" t="n">
        <v>0.7088</v>
      </c>
      <c r="I4706" s="2" t="s">
        <v>23</v>
      </c>
      <c r="J4706" s="2" t="s">
        <v>19</v>
      </c>
      <c r="K4706" s="2" t="n">
        <v>3</v>
      </c>
      <c r="L4706" s="2" t="n">
        <v>0</v>
      </c>
      <c r="M4706" s="2" t="n">
        <v>0</v>
      </c>
    </row>
    <row r="4707" customFormat="false" ht="15" hidden="false" customHeight="false" outlineLevel="0" collapsed="false">
      <c r="A4707" s="2" t="s">
        <v>9641</v>
      </c>
      <c r="B4707" s="2" t="s">
        <v>9642</v>
      </c>
      <c r="C4707" s="2" t="n">
        <v>4</v>
      </c>
      <c r="D4707" s="2" t="s">
        <v>99</v>
      </c>
      <c r="E4707" s="2" t="s">
        <v>8083</v>
      </c>
      <c r="F4707" s="3" t="n">
        <v>46115.2451388889</v>
      </c>
      <c r="G4707" s="2" t="s">
        <v>9602</v>
      </c>
      <c r="H4707" s="4" t="n">
        <v>-0.3089</v>
      </c>
      <c r="I4707" s="2" t="s">
        <v>84</v>
      </c>
      <c r="J4707" s="2" t="s">
        <v>19</v>
      </c>
      <c r="K4707" s="2" t="n">
        <v>1</v>
      </c>
      <c r="L4707" s="2" t="n">
        <v>0</v>
      </c>
      <c r="M4707" s="2" t="n">
        <v>0</v>
      </c>
    </row>
    <row r="4708" customFormat="false" ht="15" hidden="false" customHeight="false" outlineLevel="0" collapsed="false">
      <c r="A4708" s="2" t="s">
        <v>9643</v>
      </c>
      <c r="B4708" s="2" t="s">
        <v>9644</v>
      </c>
      <c r="C4708" s="2" t="n">
        <v>5</v>
      </c>
      <c r="D4708" s="2" t="s">
        <v>15</v>
      </c>
      <c r="E4708" s="2" t="s">
        <v>8083</v>
      </c>
      <c r="F4708" s="3" t="n">
        <v>46115.4847222222</v>
      </c>
      <c r="G4708" s="2" t="s">
        <v>9602</v>
      </c>
      <c r="H4708" s="4" t="n">
        <v>0</v>
      </c>
      <c r="I4708" s="2" t="s">
        <v>18</v>
      </c>
      <c r="J4708" s="2" t="s">
        <v>19</v>
      </c>
      <c r="K4708" s="2" t="n">
        <v>0</v>
      </c>
      <c r="L4708" s="2" t="n">
        <v>0</v>
      </c>
      <c r="M4708" s="2" t="n">
        <v>0</v>
      </c>
    </row>
    <row r="4709" customFormat="false" ht="15" hidden="false" customHeight="false" outlineLevel="0" collapsed="false">
      <c r="A4709" s="2" t="s">
        <v>9645</v>
      </c>
      <c r="B4709" s="2" t="s">
        <v>9646</v>
      </c>
      <c r="C4709" s="2" t="n">
        <v>4</v>
      </c>
      <c r="D4709" s="2" t="s">
        <v>40</v>
      </c>
      <c r="E4709" s="2" t="s">
        <v>8083</v>
      </c>
      <c r="F4709" s="3" t="n">
        <v>46115.6430555556</v>
      </c>
      <c r="G4709" s="2" t="s">
        <v>9602</v>
      </c>
      <c r="H4709" s="4" t="n">
        <v>0.4019</v>
      </c>
      <c r="I4709" s="2" t="s">
        <v>23</v>
      </c>
      <c r="J4709" s="2" t="s">
        <v>33</v>
      </c>
      <c r="K4709" s="2" t="n">
        <v>2</v>
      </c>
      <c r="L4709" s="2" t="n">
        <v>0</v>
      </c>
      <c r="M4709" s="2" t="n">
        <v>0</v>
      </c>
    </row>
    <row r="4710" customFormat="false" ht="15" hidden="false" customHeight="false" outlineLevel="0" collapsed="false">
      <c r="A4710" s="2" t="s">
        <v>9647</v>
      </c>
      <c r="B4710" s="2" t="s">
        <v>9648</v>
      </c>
      <c r="C4710" s="2" t="n">
        <v>5</v>
      </c>
      <c r="D4710" s="2" t="s">
        <v>127</v>
      </c>
      <c r="E4710" s="2" t="s">
        <v>8083</v>
      </c>
      <c r="F4710" s="3" t="n">
        <v>46115.6645833333</v>
      </c>
      <c r="G4710" s="2" t="s">
        <v>9602</v>
      </c>
      <c r="H4710" s="4" t="n">
        <v>0.9359</v>
      </c>
      <c r="I4710" s="2" t="s">
        <v>23</v>
      </c>
      <c r="J4710" s="2" t="s">
        <v>37</v>
      </c>
      <c r="K4710" s="2" t="n">
        <v>7</v>
      </c>
      <c r="L4710" s="2" t="n">
        <v>0</v>
      </c>
      <c r="M4710" s="2" t="n">
        <v>0</v>
      </c>
    </row>
    <row r="4711" customFormat="false" ht="15" hidden="false" customHeight="false" outlineLevel="0" collapsed="false">
      <c r="A4711" s="2" t="s">
        <v>9649</v>
      </c>
      <c r="B4711" s="2" t="s">
        <v>9650</v>
      </c>
      <c r="C4711" s="2" t="n">
        <v>4</v>
      </c>
      <c r="D4711" s="2" t="s">
        <v>15</v>
      </c>
      <c r="E4711" s="2" t="s">
        <v>8083</v>
      </c>
      <c r="F4711" s="3" t="n">
        <v>46115.6881944445</v>
      </c>
      <c r="G4711" s="2" t="s">
        <v>9602</v>
      </c>
      <c r="H4711" s="4" t="n">
        <v>0</v>
      </c>
      <c r="I4711" s="2" t="s">
        <v>18</v>
      </c>
      <c r="J4711" s="2" t="s">
        <v>19</v>
      </c>
      <c r="K4711" s="2" t="n">
        <v>2</v>
      </c>
      <c r="L4711" s="2" t="n">
        <v>0</v>
      </c>
      <c r="M4711" s="2" t="n">
        <v>0</v>
      </c>
    </row>
    <row r="4712" customFormat="false" ht="15" hidden="false" customHeight="false" outlineLevel="0" collapsed="false">
      <c r="A4712" s="2" t="s">
        <v>9651</v>
      </c>
      <c r="B4712" s="2" t="s">
        <v>9652</v>
      </c>
      <c r="C4712" s="2" t="n">
        <v>5</v>
      </c>
      <c r="D4712" s="2" t="s">
        <v>96</v>
      </c>
      <c r="E4712" s="2" t="s">
        <v>8083</v>
      </c>
      <c r="F4712" s="3" t="n">
        <v>46115.7486111111</v>
      </c>
      <c r="G4712" s="2" t="s">
        <v>9602</v>
      </c>
      <c r="H4712" s="4" t="n">
        <v>0.6369</v>
      </c>
      <c r="I4712" s="2" t="s">
        <v>23</v>
      </c>
      <c r="J4712" s="2" t="s">
        <v>19</v>
      </c>
      <c r="K4712" s="2" t="n">
        <v>12</v>
      </c>
      <c r="L4712" s="2" t="n">
        <v>0</v>
      </c>
      <c r="M4712" s="2" t="n">
        <v>0</v>
      </c>
    </row>
    <row r="4713" customFormat="false" ht="15" hidden="false" customHeight="false" outlineLevel="0" collapsed="false">
      <c r="A4713" s="2" t="s">
        <v>9653</v>
      </c>
      <c r="B4713" s="2" t="s">
        <v>9654</v>
      </c>
      <c r="C4713" s="2" t="n">
        <v>1</v>
      </c>
      <c r="D4713" s="2" t="s">
        <v>498</v>
      </c>
      <c r="E4713" s="2" t="s">
        <v>8083</v>
      </c>
      <c r="F4713" s="3" t="n">
        <v>46115.7611111111</v>
      </c>
      <c r="G4713" s="2" t="s">
        <v>9602</v>
      </c>
      <c r="H4713" s="4" t="n">
        <v>0</v>
      </c>
      <c r="I4713" s="2" t="s">
        <v>18</v>
      </c>
      <c r="J4713" s="2" t="s">
        <v>165</v>
      </c>
      <c r="K4713" s="2" t="n">
        <v>1</v>
      </c>
      <c r="L4713" s="2" t="n">
        <v>1</v>
      </c>
      <c r="M4713" s="2" t="n">
        <v>0</v>
      </c>
    </row>
    <row r="4714" customFormat="false" ht="15" hidden="false" customHeight="false" outlineLevel="0" collapsed="false">
      <c r="A4714" s="2" t="s">
        <v>9655</v>
      </c>
      <c r="B4714" s="2" t="s">
        <v>9656</v>
      </c>
      <c r="C4714" s="2" t="n">
        <v>5</v>
      </c>
      <c r="D4714" s="2" t="s">
        <v>127</v>
      </c>
      <c r="E4714" s="2" t="s">
        <v>8083</v>
      </c>
      <c r="F4714" s="3" t="n">
        <v>46115.7854166667</v>
      </c>
      <c r="G4714" s="2" t="s">
        <v>9602</v>
      </c>
      <c r="H4714" s="4" t="n">
        <v>0.9359</v>
      </c>
      <c r="I4714" s="2" t="s">
        <v>23</v>
      </c>
      <c r="J4714" s="2" t="s">
        <v>37</v>
      </c>
      <c r="K4714" s="2" t="n">
        <v>6</v>
      </c>
      <c r="L4714" s="2" t="n">
        <v>0</v>
      </c>
      <c r="M4714" s="2" t="n">
        <v>0</v>
      </c>
    </row>
    <row r="4715" customFormat="false" ht="15" hidden="false" customHeight="false" outlineLevel="0" collapsed="false">
      <c r="A4715" s="2" t="s">
        <v>9657</v>
      </c>
      <c r="B4715" s="2" t="s">
        <v>9658</v>
      </c>
      <c r="C4715" s="2" t="n">
        <v>5</v>
      </c>
      <c r="D4715" s="2" t="s">
        <v>1363</v>
      </c>
      <c r="E4715" s="2" t="s">
        <v>8083</v>
      </c>
      <c r="F4715" s="3" t="n">
        <v>46115.8006944444</v>
      </c>
      <c r="G4715" s="2" t="s">
        <v>9602</v>
      </c>
      <c r="H4715" s="4" t="n">
        <v>0.6597</v>
      </c>
      <c r="I4715" s="2" t="s">
        <v>23</v>
      </c>
      <c r="J4715" s="2" t="s">
        <v>33</v>
      </c>
      <c r="K4715" s="2" t="n">
        <v>1</v>
      </c>
      <c r="L4715" s="2" t="n">
        <v>0</v>
      </c>
      <c r="M4715" s="2" t="n">
        <v>0</v>
      </c>
    </row>
    <row r="4716" customFormat="false" ht="15" hidden="false" customHeight="false" outlineLevel="0" collapsed="false">
      <c r="A4716" s="2" t="s">
        <v>9659</v>
      </c>
      <c r="B4716" s="2" t="s">
        <v>9660</v>
      </c>
      <c r="C4716" s="2" t="n">
        <v>4</v>
      </c>
      <c r="D4716" s="2" t="s">
        <v>22</v>
      </c>
      <c r="E4716" s="2" t="s">
        <v>8083</v>
      </c>
      <c r="F4716" s="3" t="n">
        <v>46115.8354166667</v>
      </c>
      <c r="G4716" s="2" t="s">
        <v>9602</v>
      </c>
      <c r="H4716" s="4" t="n">
        <v>0.2023</v>
      </c>
      <c r="I4716" s="2" t="s">
        <v>23</v>
      </c>
      <c r="J4716" s="2" t="s">
        <v>19</v>
      </c>
      <c r="K4716" s="2" t="n">
        <v>1</v>
      </c>
      <c r="L4716" s="2" t="n">
        <v>0</v>
      </c>
      <c r="M4716" s="2" t="n">
        <v>0</v>
      </c>
    </row>
    <row r="4717" customFormat="false" ht="15" hidden="false" customHeight="false" outlineLevel="0" collapsed="false">
      <c r="A4717" s="2" t="s">
        <v>9661</v>
      </c>
      <c r="B4717" s="2" t="s">
        <v>9662</v>
      </c>
      <c r="C4717" s="2" t="n">
        <v>3</v>
      </c>
      <c r="D4717" s="2" t="s">
        <v>22</v>
      </c>
      <c r="E4717" s="2" t="s">
        <v>8083</v>
      </c>
      <c r="F4717" s="3" t="n">
        <v>46115.9048611111</v>
      </c>
      <c r="G4717" s="2" t="s">
        <v>9602</v>
      </c>
      <c r="H4717" s="4" t="n">
        <v>0.2023</v>
      </c>
      <c r="I4717" s="2" t="s">
        <v>23</v>
      </c>
      <c r="J4717" s="2" t="s">
        <v>19</v>
      </c>
      <c r="K4717" s="2" t="n">
        <v>5</v>
      </c>
      <c r="L4717" s="2" t="n">
        <v>0</v>
      </c>
      <c r="M4717" s="2" t="n">
        <v>0</v>
      </c>
    </row>
    <row r="4718" customFormat="false" ht="15" hidden="false" customHeight="false" outlineLevel="0" collapsed="false">
      <c r="A4718" s="2" t="s">
        <v>9663</v>
      </c>
      <c r="B4718" s="2" t="s">
        <v>9664</v>
      </c>
      <c r="C4718" s="2" t="n">
        <v>5</v>
      </c>
      <c r="D4718" s="2" t="s">
        <v>127</v>
      </c>
      <c r="E4718" s="2" t="s">
        <v>8083</v>
      </c>
      <c r="F4718" s="3" t="n">
        <v>46115.9194444444</v>
      </c>
      <c r="G4718" s="2" t="s">
        <v>9602</v>
      </c>
      <c r="H4718" s="4" t="n">
        <v>0.9359</v>
      </c>
      <c r="I4718" s="2" t="s">
        <v>23</v>
      </c>
      <c r="J4718" s="2" t="s">
        <v>37</v>
      </c>
      <c r="K4718" s="2" t="n">
        <v>3</v>
      </c>
      <c r="L4718" s="2" t="n">
        <v>0</v>
      </c>
      <c r="M4718" s="2" t="n">
        <v>0</v>
      </c>
    </row>
    <row r="4719" customFormat="false" ht="15" hidden="false" customHeight="false" outlineLevel="0" collapsed="false">
      <c r="A4719" s="2" t="s">
        <v>9665</v>
      </c>
      <c r="B4719" s="2" t="s">
        <v>9666</v>
      </c>
      <c r="C4719" s="2" t="n">
        <v>5</v>
      </c>
      <c r="D4719" s="2" t="s">
        <v>40</v>
      </c>
      <c r="E4719" s="2" t="s">
        <v>8083</v>
      </c>
      <c r="F4719" s="3" t="n">
        <v>46115.9694444445</v>
      </c>
      <c r="G4719" s="2" t="s">
        <v>9602</v>
      </c>
      <c r="H4719" s="4" t="n">
        <v>0.4019</v>
      </c>
      <c r="I4719" s="2" t="s">
        <v>23</v>
      </c>
      <c r="J4719" s="2" t="s">
        <v>33</v>
      </c>
      <c r="K4719" s="2" t="n">
        <v>11</v>
      </c>
      <c r="L4719" s="2" t="n">
        <v>0</v>
      </c>
      <c r="M4719" s="2" t="n">
        <v>0</v>
      </c>
    </row>
    <row r="4720" customFormat="false" ht="15" hidden="false" customHeight="false" outlineLevel="0" collapsed="false">
      <c r="A4720" s="2" t="s">
        <v>9667</v>
      </c>
      <c r="B4720" s="2" t="s">
        <v>2502</v>
      </c>
      <c r="C4720" s="2" t="n">
        <v>4</v>
      </c>
      <c r="D4720" s="2" t="s">
        <v>40</v>
      </c>
      <c r="E4720" s="2" t="s">
        <v>8083</v>
      </c>
      <c r="F4720" s="3" t="n">
        <v>46116.0090277778</v>
      </c>
      <c r="G4720" s="2" t="s">
        <v>9602</v>
      </c>
      <c r="H4720" s="4" t="n">
        <v>0.4019</v>
      </c>
      <c r="I4720" s="2" t="s">
        <v>23</v>
      </c>
      <c r="J4720" s="2" t="s">
        <v>33</v>
      </c>
      <c r="K4720" s="2" t="n">
        <v>1</v>
      </c>
      <c r="L4720" s="2" t="n">
        <v>0</v>
      </c>
      <c r="M4720" s="2" t="n">
        <v>0</v>
      </c>
    </row>
    <row r="4721" customFormat="false" ht="15" hidden="false" customHeight="false" outlineLevel="0" collapsed="false">
      <c r="A4721" s="2" t="s">
        <v>9668</v>
      </c>
      <c r="B4721" s="2" t="s">
        <v>9669</v>
      </c>
      <c r="C4721" s="2" t="n">
        <v>4</v>
      </c>
      <c r="D4721" s="2" t="s">
        <v>127</v>
      </c>
      <c r="E4721" s="2" t="s">
        <v>8083</v>
      </c>
      <c r="F4721" s="3" t="n">
        <v>46116.0180555556</v>
      </c>
      <c r="G4721" s="2" t="s">
        <v>9602</v>
      </c>
      <c r="H4721" s="4" t="n">
        <v>0.9359</v>
      </c>
      <c r="I4721" s="2" t="s">
        <v>23</v>
      </c>
      <c r="J4721" s="2" t="s">
        <v>37</v>
      </c>
      <c r="K4721" s="2" t="n">
        <v>0</v>
      </c>
      <c r="L4721" s="2" t="n">
        <v>0</v>
      </c>
      <c r="M4721" s="2" t="n">
        <v>0</v>
      </c>
    </row>
    <row r="4722" customFormat="false" ht="15" hidden="false" customHeight="false" outlineLevel="0" collapsed="false">
      <c r="A4722" s="2" t="s">
        <v>9670</v>
      </c>
      <c r="B4722" s="2" t="s">
        <v>9671</v>
      </c>
      <c r="C4722" s="2" t="n">
        <v>5</v>
      </c>
      <c r="D4722" s="2" t="s">
        <v>15</v>
      </c>
      <c r="E4722" s="2" t="s">
        <v>8083</v>
      </c>
      <c r="F4722" s="3" t="n">
        <v>46116.1111111111</v>
      </c>
      <c r="G4722" s="2" t="s">
        <v>9602</v>
      </c>
      <c r="H4722" s="4" t="n">
        <v>0</v>
      </c>
      <c r="I4722" s="2" t="s">
        <v>18</v>
      </c>
      <c r="J4722" s="2" t="s">
        <v>19</v>
      </c>
      <c r="K4722" s="2" t="n">
        <v>3</v>
      </c>
      <c r="L4722" s="2" t="n">
        <v>0</v>
      </c>
      <c r="M4722" s="2" t="n">
        <v>0</v>
      </c>
    </row>
    <row r="4723" customFormat="false" ht="15" hidden="false" customHeight="false" outlineLevel="0" collapsed="false">
      <c r="A4723" s="2" t="s">
        <v>9672</v>
      </c>
      <c r="B4723" s="2" t="s">
        <v>9673</v>
      </c>
      <c r="C4723" s="2" t="n">
        <v>5</v>
      </c>
      <c r="D4723" s="2" t="s">
        <v>47</v>
      </c>
      <c r="E4723" s="2" t="s">
        <v>8083</v>
      </c>
      <c r="F4723" s="3" t="n">
        <v>46116.1381944444</v>
      </c>
      <c r="G4723" s="2" t="s">
        <v>9602</v>
      </c>
      <c r="H4723" s="4" t="n">
        <v>0.3089</v>
      </c>
      <c r="I4723" s="2" t="s">
        <v>23</v>
      </c>
      <c r="J4723" s="2" t="s">
        <v>19</v>
      </c>
      <c r="K4723" s="2" t="n">
        <v>5</v>
      </c>
      <c r="L4723" s="2" t="n">
        <v>0</v>
      </c>
      <c r="M4723" s="2" t="n">
        <v>0</v>
      </c>
    </row>
    <row r="4724" customFormat="false" ht="15" hidden="false" customHeight="false" outlineLevel="0" collapsed="false">
      <c r="A4724" s="2" t="s">
        <v>9674</v>
      </c>
      <c r="B4724" s="2" t="s">
        <v>9675</v>
      </c>
      <c r="C4724" s="2" t="n">
        <v>5</v>
      </c>
      <c r="D4724" s="2" t="s">
        <v>52</v>
      </c>
      <c r="E4724" s="2" t="s">
        <v>8083</v>
      </c>
      <c r="F4724" s="3" t="n">
        <v>46116.2125</v>
      </c>
      <c r="G4724" s="2" t="s">
        <v>9602</v>
      </c>
      <c r="H4724" s="4" t="n">
        <v>0.6369</v>
      </c>
      <c r="I4724" s="2" t="s">
        <v>23</v>
      </c>
      <c r="J4724" s="2" t="s">
        <v>19</v>
      </c>
      <c r="K4724" s="2" t="n">
        <v>2</v>
      </c>
      <c r="L4724" s="2" t="n">
        <v>1</v>
      </c>
      <c r="M4724" s="2" t="n">
        <v>0</v>
      </c>
    </row>
    <row r="4725" customFormat="false" ht="15" hidden="false" customHeight="false" outlineLevel="0" collapsed="false">
      <c r="A4725" s="2" t="s">
        <v>9676</v>
      </c>
      <c r="B4725" s="2" t="s">
        <v>9677</v>
      </c>
      <c r="C4725" s="2" t="n">
        <v>4</v>
      </c>
      <c r="D4725" s="2" t="s">
        <v>62</v>
      </c>
      <c r="E4725" s="2" t="s">
        <v>8083</v>
      </c>
      <c r="F4725" s="3" t="n">
        <v>46116.2604166667</v>
      </c>
      <c r="G4725" s="2" t="s">
        <v>9602</v>
      </c>
      <c r="H4725" s="4" t="n">
        <v>0.7088</v>
      </c>
      <c r="I4725" s="2" t="s">
        <v>23</v>
      </c>
      <c r="J4725" s="2" t="s">
        <v>19</v>
      </c>
      <c r="K4725" s="2" t="n">
        <v>2</v>
      </c>
      <c r="L4725" s="2" t="n">
        <v>0</v>
      </c>
      <c r="M4725" s="2" t="n">
        <v>0</v>
      </c>
    </row>
    <row r="4726" customFormat="false" ht="15" hidden="false" customHeight="false" outlineLevel="0" collapsed="false">
      <c r="A4726" s="2" t="s">
        <v>9678</v>
      </c>
      <c r="B4726" s="2" t="s">
        <v>9679</v>
      </c>
      <c r="C4726" s="2" t="n">
        <v>5</v>
      </c>
      <c r="D4726" s="2" t="s">
        <v>62</v>
      </c>
      <c r="E4726" s="2" t="s">
        <v>8083</v>
      </c>
      <c r="F4726" s="3" t="n">
        <v>46116.4444444445</v>
      </c>
      <c r="G4726" s="2" t="s">
        <v>9602</v>
      </c>
      <c r="H4726" s="4" t="n">
        <v>0.7088</v>
      </c>
      <c r="I4726" s="2" t="s">
        <v>23</v>
      </c>
      <c r="J4726" s="2" t="s">
        <v>19</v>
      </c>
      <c r="K4726" s="2" t="n">
        <v>1</v>
      </c>
      <c r="L4726" s="2" t="n">
        <v>0</v>
      </c>
      <c r="M4726" s="2" t="n">
        <v>0</v>
      </c>
    </row>
    <row r="4727" customFormat="false" ht="15" hidden="false" customHeight="false" outlineLevel="0" collapsed="false">
      <c r="A4727" s="2" t="s">
        <v>9680</v>
      </c>
      <c r="B4727" s="2" t="s">
        <v>9681</v>
      </c>
      <c r="C4727" s="2" t="n">
        <v>4</v>
      </c>
      <c r="D4727" s="2" t="s">
        <v>47</v>
      </c>
      <c r="E4727" s="2" t="s">
        <v>8083</v>
      </c>
      <c r="F4727" s="3" t="n">
        <v>46116.5493055556</v>
      </c>
      <c r="G4727" s="2" t="s">
        <v>9602</v>
      </c>
      <c r="H4727" s="4" t="n">
        <v>0.3089</v>
      </c>
      <c r="I4727" s="2" t="s">
        <v>23</v>
      </c>
      <c r="J4727" s="2" t="s">
        <v>19</v>
      </c>
      <c r="K4727" s="2" t="n">
        <v>5</v>
      </c>
      <c r="L4727" s="2" t="n">
        <v>0</v>
      </c>
      <c r="M4727" s="2" t="n">
        <v>0</v>
      </c>
    </row>
    <row r="4728" customFormat="false" ht="15" hidden="false" customHeight="false" outlineLevel="0" collapsed="false">
      <c r="A4728" s="2" t="s">
        <v>9682</v>
      </c>
      <c r="B4728" s="2" t="s">
        <v>9683</v>
      </c>
      <c r="C4728" s="2" t="n">
        <v>2</v>
      </c>
      <c r="D4728" s="2" t="s">
        <v>402</v>
      </c>
      <c r="E4728" s="2" t="s">
        <v>8083</v>
      </c>
      <c r="F4728" s="3" t="n">
        <v>46116.5847222222</v>
      </c>
      <c r="G4728" s="2" t="s">
        <v>9602</v>
      </c>
      <c r="H4728" s="4" t="n">
        <v>0</v>
      </c>
      <c r="I4728" s="2" t="s">
        <v>18</v>
      </c>
      <c r="J4728" s="2" t="s">
        <v>59</v>
      </c>
      <c r="K4728" s="2" t="n">
        <v>3</v>
      </c>
      <c r="L4728" s="2" t="n">
        <v>1</v>
      </c>
      <c r="M4728" s="2" t="n">
        <v>0</v>
      </c>
    </row>
    <row r="4729" customFormat="false" ht="15" hidden="false" customHeight="false" outlineLevel="0" collapsed="false">
      <c r="A4729" s="2" t="s">
        <v>9684</v>
      </c>
      <c r="B4729" s="2" t="s">
        <v>9685</v>
      </c>
      <c r="C4729" s="2" t="n">
        <v>5</v>
      </c>
      <c r="D4729" s="2" t="s">
        <v>269</v>
      </c>
      <c r="E4729" s="2" t="s">
        <v>8083</v>
      </c>
      <c r="F4729" s="3" t="n">
        <v>46116.6222222222</v>
      </c>
      <c r="G4729" s="2" t="s">
        <v>9602</v>
      </c>
      <c r="H4729" s="4" t="n">
        <v>0.8748</v>
      </c>
      <c r="I4729" s="2" t="s">
        <v>23</v>
      </c>
      <c r="J4729" s="2" t="s">
        <v>37</v>
      </c>
      <c r="K4729" s="2" t="n">
        <v>2</v>
      </c>
      <c r="L4729" s="2" t="n">
        <v>0</v>
      </c>
      <c r="M4729" s="2" t="n">
        <v>0</v>
      </c>
    </row>
    <row r="4730" customFormat="false" ht="15" hidden="false" customHeight="false" outlineLevel="0" collapsed="false">
      <c r="A4730" s="2" t="s">
        <v>9686</v>
      </c>
      <c r="B4730" s="2" t="s">
        <v>9687</v>
      </c>
      <c r="C4730" s="2" t="n">
        <v>1</v>
      </c>
      <c r="D4730" s="2" t="s">
        <v>721</v>
      </c>
      <c r="E4730" s="2" t="s">
        <v>8083</v>
      </c>
      <c r="F4730" s="3" t="n">
        <v>46116.6555555556</v>
      </c>
      <c r="G4730" s="2" t="s">
        <v>9602</v>
      </c>
      <c r="H4730" s="4" t="n">
        <v>-0.4588</v>
      </c>
      <c r="I4730" s="2" t="s">
        <v>84</v>
      </c>
      <c r="J4730" s="2" t="s">
        <v>37</v>
      </c>
      <c r="K4730" s="2" t="n">
        <v>3</v>
      </c>
      <c r="L4730" s="2" t="n">
        <v>1</v>
      </c>
      <c r="M4730" s="2" t="n">
        <v>0</v>
      </c>
    </row>
    <row r="4731" customFormat="false" ht="15" hidden="false" customHeight="false" outlineLevel="0" collapsed="false">
      <c r="A4731" s="2" t="s">
        <v>9688</v>
      </c>
      <c r="B4731" s="2" t="s">
        <v>9689</v>
      </c>
      <c r="C4731" s="2" t="n">
        <v>5</v>
      </c>
      <c r="D4731" s="2" t="s">
        <v>127</v>
      </c>
      <c r="E4731" s="2" t="s">
        <v>8083</v>
      </c>
      <c r="F4731" s="3" t="n">
        <v>46116.6569444445</v>
      </c>
      <c r="G4731" s="2" t="s">
        <v>9602</v>
      </c>
      <c r="H4731" s="4" t="n">
        <v>0.9359</v>
      </c>
      <c r="I4731" s="2" t="s">
        <v>23</v>
      </c>
      <c r="J4731" s="2" t="s">
        <v>37</v>
      </c>
      <c r="K4731" s="2" t="n">
        <v>4</v>
      </c>
      <c r="L4731" s="2" t="n">
        <v>0</v>
      </c>
      <c r="M4731" s="2" t="n">
        <v>0</v>
      </c>
    </row>
    <row r="4732" customFormat="false" ht="15" hidden="false" customHeight="false" outlineLevel="0" collapsed="false">
      <c r="A4732" s="2" t="s">
        <v>9690</v>
      </c>
      <c r="B4732" s="2" t="s">
        <v>9691</v>
      </c>
      <c r="C4732" s="2" t="n">
        <v>4</v>
      </c>
      <c r="D4732" s="2" t="s">
        <v>47</v>
      </c>
      <c r="E4732" s="2" t="s">
        <v>8083</v>
      </c>
      <c r="F4732" s="3" t="n">
        <v>46116.8104166667</v>
      </c>
      <c r="G4732" s="2" t="s">
        <v>9602</v>
      </c>
      <c r="H4732" s="4" t="n">
        <v>0.3089</v>
      </c>
      <c r="I4732" s="2" t="s">
        <v>23</v>
      </c>
      <c r="J4732" s="2" t="s">
        <v>19</v>
      </c>
      <c r="K4732" s="2" t="n">
        <v>2</v>
      </c>
      <c r="L4732" s="2" t="n">
        <v>0</v>
      </c>
      <c r="M4732" s="2" t="n">
        <v>0</v>
      </c>
    </row>
    <row r="4733" customFormat="false" ht="15" hidden="false" customHeight="false" outlineLevel="0" collapsed="false">
      <c r="A4733" s="2" t="s">
        <v>9692</v>
      </c>
      <c r="B4733" s="2" t="s">
        <v>9693</v>
      </c>
      <c r="C4733" s="2" t="n">
        <v>5</v>
      </c>
      <c r="D4733" s="2" t="s">
        <v>127</v>
      </c>
      <c r="E4733" s="2" t="s">
        <v>8083</v>
      </c>
      <c r="F4733" s="3" t="n">
        <v>46116.9701388889</v>
      </c>
      <c r="G4733" s="2" t="s">
        <v>9602</v>
      </c>
      <c r="H4733" s="4" t="n">
        <v>0.9359</v>
      </c>
      <c r="I4733" s="2" t="s">
        <v>23</v>
      </c>
      <c r="J4733" s="2" t="s">
        <v>37</v>
      </c>
      <c r="K4733" s="2" t="n">
        <v>7</v>
      </c>
      <c r="L4733" s="2" t="n">
        <v>0</v>
      </c>
      <c r="M4733" s="2" t="n">
        <v>0</v>
      </c>
    </row>
    <row r="4734" customFormat="false" ht="15" hidden="false" customHeight="false" outlineLevel="0" collapsed="false">
      <c r="A4734" s="2" t="s">
        <v>9694</v>
      </c>
      <c r="B4734" s="2" t="s">
        <v>2270</v>
      </c>
      <c r="C4734" s="2" t="n">
        <v>5</v>
      </c>
      <c r="D4734" s="2" t="s">
        <v>127</v>
      </c>
      <c r="E4734" s="2" t="s">
        <v>8083</v>
      </c>
      <c r="F4734" s="3" t="n">
        <v>46117.11875</v>
      </c>
      <c r="G4734" s="2" t="s">
        <v>9602</v>
      </c>
      <c r="H4734" s="4" t="n">
        <v>0.9359</v>
      </c>
      <c r="I4734" s="2" t="s">
        <v>23</v>
      </c>
      <c r="J4734" s="2" t="s">
        <v>37</v>
      </c>
      <c r="K4734" s="2" t="n">
        <v>2</v>
      </c>
      <c r="L4734" s="2" t="n">
        <v>0</v>
      </c>
      <c r="M4734" s="2" t="n">
        <v>0</v>
      </c>
    </row>
    <row r="4735" customFormat="false" ht="15" hidden="false" customHeight="false" outlineLevel="0" collapsed="false">
      <c r="A4735" s="2" t="s">
        <v>9695</v>
      </c>
      <c r="B4735" s="2" t="s">
        <v>9696</v>
      </c>
      <c r="C4735" s="2" t="n">
        <v>4</v>
      </c>
      <c r="D4735" s="2" t="s">
        <v>40</v>
      </c>
      <c r="E4735" s="2" t="s">
        <v>8083</v>
      </c>
      <c r="F4735" s="3" t="n">
        <v>46117.3854166667</v>
      </c>
      <c r="G4735" s="2" t="s">
        <v>9602</v>
      </c>
      <c r="H4735" s="4" t="n">
        <v>0.4019</v>
      </c>
      <c r="I4735" s="2" t="s">
        <v>23</v>
      </c>
      <c r="J4735" s="2" t="s">
        <v>33</v>
      </c>
      <c r="K4735" s="2" t="n">
        <v>0</v>
      </c>
      <c r="L4735" s="2" t="n">
        <v>0</v>
      </c>
      <c r="M4735" s="2" t="n">
        <v>0</v>
      </c>
    </row>
    <row r="4736" customFormat="false" ht="15" hidden="false" customHeight="false" outlineLevel="0" collapsed="false">
      <c r="A4736" s="2" t="s">
        <v>9697</v>
      </c>
      <c r="B4736" s="2" t="s">
        <v>9698</v>
      </c>
      <c r="C4736" s="2" t="n">
        <v>4</v>
      </c>
      <c r="D4736" s="2" t="s">
        <v>2109</v>
      </c>
      <c r="E4736" s="2" t="s">
        <v>8083</v>
      </c>
      <c r="F4736" s="3" t="n">
        <v>46117.5076388889</v>
      </c>
      <c r="G4736" s="2" t="s">
        <v>9602</v>
      </c>
      <c r="H4736" s="4" t="n">
        <v>0</v>
      </c>
      <c r="I4736" s="2" t="s">
        <v>18</v>
      </c>
      <c r="J4736" s="2" t="s">
        <v>19</v>
      </c>
      <c r="K4736" s="2" t="n">
        <v>0</v>
      </c>
      <c r="L4736" s="2" t="n">
        <v>0</v>
      </c>
      <c r="M4736" s="2" t="n">
        <v>0</v>
      </c>
    </row>
    <row r="4737" customFormat="false" ht="15" hidden="false" customHeight="false" outlineLevel="0" collapsed="false">
      <c r="A4737" s="2" t="s">
        <v>9699</v>
      </c>
      <c r="B4737" s="2" t="s">
        <v>9700</v>
      </c>
      <c r="C4737" s="2" t="n">
        <v>3</v>
      </c>
      <c r="D4737" s="2" t="s">
        <v>87</v>
      </c>
      <c r="E4737" s="2" t="s">
        <v>8083</v>
      </c>
      <c r="F4737" s="3" t="n">
        <v>46117.5520833333</v>
      </c>
      <c r="G4737" s="2" t="s">
        <v>9602</v>
      </c>
      <c r="H4737" s="4" t="n">
        <v>0</v>
      </c>
      <c r="I4737" s="2" t="s">
        <v>18</v>
      </c>
      <c r="J4737" s="2" t="s">
        <v>19</v>
      </c>
      <c r="K4737" s="2" t="n">
        <v>0</v>
      </c>
      <c r="L4737" s="2" t="n">
        <v>0</v>
      </c>
      <c r="M4737" s="2" t="n">
        <v>0</v>
      </c>
    </row>
    <row r="4738" customFormat="false" ht="15" hidden="false" customHeight="false" outlineLevel="0" collapsed="false">
      <c r="A4738" s="2" t="s">
        <v>9701</v>
      </c>
      <c r="B4738" s="2" t="s">
        <v>9702</v>
      </c>
      <c r="C4738" s="2" t="n">
        <v>2</v>
      </c>
      <c r="D4738" s="2" t="s">
        <v>997</v>
      </c>
      <c r="E4738" s="2" t="s">
        <v>8083</v>
      </c>
      <c r="F4738" s="3" t="n">
        <v>46117.8</v>
      </c>
      <c r="G4738" s="2" t="s">
        <v>9602</v>
      </c>
      <c r="H4738" s="4" t="n">
        <v>0.2263</v>
      </c>
      <c r="I4738" s="2" t="s">
        <v>23</v>
      </c>
      <c r="J4738" s="2" t="s">
        <v>37</v>
      </c>
      <c r="K4738" s="2" t="n">
        <v>2</v>
      </c>
      <c r="L4738" s="2" t="n">
        <v>0</v>
      </c>
      <c r="M4738" s="2" t="n">
        <v>0</v>
      </c>
    </row>
    <row r="4739" customFormat="false" ht="15" hidden="false" customHeight="false" outlineLevel="0" collapsed="false">
      <c r="A4739" s="2" t="s">
        <v>9703</v>
      </c>
      <c r="B4739" s="2" t="s">
        <v>9704</v>
      </c>
      <c r="C4739" s="2" t="n">
        <v>5</v>
      </c>
      <c r="D4739" s="2" t="s">
        <v>62</v>
      </c>
      <c r="E4739" s="2" t="s">
        <v>8083</v>
      </c>
      <c r="F4739" s="3" t="n">
        <v>46117.8041666667</v>
      </c>
      <c r="G4739" s="2" t="s">
        <v>9602</v>
      </c>
      <c r="H4739" s="4" t="n">
        <v>0.7088</v>
      </c>
      <c r="I4739" s="2" t="s">
        <v>23</v>
      </c>
      <c r="J4739" s="2" t="s">
        <v>19</v>
      </c>
      <c r="K4739" s="2" t="n">
        <v>3</v>
      </c>
      <c r="L4739" s="2" t="n">
        <v>0</v>
      </c>
      <c r="M4739" s="2" t="n">
        <v>0</v>
      </c>
    </row>
    <row r="4740" customFormat="false" ht="15" hidden="false" customHeight="false" outlineLevel="0" collapsed="false">
      <c r="A4740" s="2" t="s">
        <v>9705</v>
      </c>
      <c r="B4740" s="2" t="s">
        <v>9706</v>
      </c>
      <c r="C4740" s="2" t="n">
        <v>3</v>
      </c>
      <c r="D4740" s="2" t="s">
        <v>1605</v>
      </c>
      <c r="E4740" s="2" t="s">
        <v>8083</v>
      </c>
      <c r="F4740" s="3" t="n">
        <v>46117.8263888889</v>
      </c>
      <c r="G4740" s="2" t="s">
        <v>9602</v>
      </c>
      <c r="H4740" s="4" t="n">
        <v>-0.5448</v>
      </c>
      <c r="I4740" s="2" t="s">
        <v>84</v>
      </c>
      <c r="J4740" s="2" t="s">
        <v>19</v>
      </c>
      <c r="K4740" s="2" t="n">
        <v>4</v>
      </c>
      <c r="L4740" s="2" t="n">
        <v>0</v>
      </c>
      <c r="M4740" s="2" t="n">
        <v>0</v>
      </c>
    </row>
    <row r="4741" customFormat="false" ht="15" hidden="false" customHeight="false" outlineLevel="0" collapsed="false">
      <c r="A4741" s="2" t="s">
        <v>9707</v>
      </c>
      <c r="B4741" s="2" t="s">
        <v>665</v>
      </c>
      <c r="C4741" s="2" t="n">
        <v>1</v>
      </c>
      <c r="D4741" s="2" t="s">
        <v>402</v>
      </c>
      <c r="E4741" s="2" t="s">
        <v>8083</v>
      </c>
      <c r="F4741" s="3" t="n">
        <v>46117.8388888889</v>
      </c>
      <c r="G4741" s="2" t="s">
        <v>9602</v>
      </c>
      <c r="H4741" s="4" t="n">
        <v>0</v>
      </c>
      <c r="I4741" s="2" t="s">
        <v>18</v>
      </c>
      <c r="J4741" s="2" t="s">
        <v>59</v>
      </c>
      <c r="K4741" s="2" t="n">
        <v>0</v>
      </c>
      <c r="L4741" s="2" t="n">
        <v>1</v>
      </c>
      <c r="M4741" s="2" t="n">
        <v>0</v>
      </c>
    </row>
    <row r="4742" customFormat="false" ht="15" hidden="false" customHeight="false" outlineLevel="0" collapsed="false">
      <c r="A4742" s="2" t="s">
        <v>9708</v>
      </c>
      <c r="B4742" s="2" t="s">
        <v>9709</v>
      </c>
      <c r="C4742" s="2" t="n">
        <v>4</v>
      </c>
      <c r="D4742" s="2" t="s">
        <v>127</v>
      </c>
      <c r="E4742" s="2" t="s">
        <v>8083</v>
      </c>
      <c r="F4742" s="3" t="n">
        <v>46117.9972222222</v>
      </c>
      <c r="G4742" s="2" t="s">
        <v>9602</v>
      </c>
      <c r="H4742" s="4" t="n">
        <v>0.9359</v>
      </c>
      <c r="I4742" s="2" t="s">
        <v>23</v>
      </c>
      <c r="J4742" s="2" t="s">
        <v>37</v>
      </c>
      <c r="K4742" s="2" t="n">
        <v>6</v>
      </c>
      <c r="L4742" s="2" t="n">
        <v>0</v>
      </c>
      <c r="M4742" s="2" t="n">
        <v>0</v>
      </c>
    </row>
    <row r="4743" customFormat="false" ht="15" hidden="false" customHeight="false" outlineLevel="0" collapsed="false">
      <c r="A4743" s="2" t="s">
        <v>9710</v>
      </c>
      <c r="B4743" s="2" t="s">
        <v>9711</v>
      </c>
      <c r="C4743" s="2" t="n">
        <v>4</v>
      </c>
      <c r="D4743" s="2" t="s">
        <v>127</v>
      </c>
      <c r="E4743" s="2" t="s">
        <v>8083</v>
      </c>
      <c r="F4743" s="3" t="n">
        <v>46118.175</v>
      </c>
      <c r="G4743" s="2" t="s">
        <v>9602</v>
      </c>
      <c r="H4743" s="4" t="n">
        <v>0.9359</v>
      </c>
      <c r="I4743" s="2" t="s">
        <v>23</v>
      </c>
      <c r="J4743" s="2" t="s">
        <v>37</v>
      </c>
      <c r="K4743" s="2" t="n">
        <v>0</v>
      </c>
      <c r="L4743" s="2" t="n">
        <v>0</v>
      </c>
      <c r="M4743" s="2" t="n">
        <v>0</v>
      </c>
    </row>
    <row r="4744" customFormat="false" ht="15" hidden="false" customHeight="false" outlineLevel="0" collapsed="false">
      <c r="A4744" s="2" t="s">
        <v>9712</v>
      </c>
      <c r="B4744" s="2" t="s">
        <v>9713</v>
      </c>
      <c r="C4744" s="2" t="n">
        <v>5</v>
      </c>
      <c r="D4744" s="2" t="s">
        <v>127</v>
      </c>
      <c r="E4744" s="2" t="s">
        <v>8083</v>
      </c>
      <c r="F4744" s="3" t="n">
        <v>46118.1861111111</v>
      </c>
      <c r="G4744" s="2" t="s">
        <v>9602</v>
      </c>
      <c r="H4744" s="4" t="n">
        <v>0.9359</v>
      </c>
      <c r="I4744" s="2" t="s">
        <v>23</v>
      </c>
      <c r="J4744" s="2" t="s">
        <v>37</v>
      </c>
      <c r="K4744" s="2" t="n">
        <v>6</v>
      </c>
      <c r="L4744" s="2" t="n">
        <v>0</v>
      </c>
      <c r="M4744" s="2" t="n">
        <v>0</v>
      </c>
    </row>
    <row r="4745" customFormat="false" ht="15" hidden="false" customHeight="false" outlineLevel="0" collapsed="false">
      <c r="A4745" s="2" t="s">
        <v>9714</v>
      </c>
      <c r="B4745" s="2" t="s">
        <v>9715</v>
      </c>
      <c r="C4745" s="2" t="n">
        <v>3</v>
      </c>
      <c r="D4745" s="2" t="s">
        <v>36</v>
      </c>
      <c r="E4745" s="2" t="s">
        <v>8083</v>
      </c>
      <c r="F4745" s="3" t="n">
        <v>46118.1868055556</v>
      </c>
      <c r="G4745" s="2" t="s">
        <v>9602</v>
      </c>
      <c r="H4745" s="4" t="n">
        <v>0.4404</v>
      </c>
      <c r="I4745" s="2" t="s">
        <v>23</v>
      </c>
      <c r="J4745" s="2" t="s">
        <v>37</v>
      </c>
      <c r="K4745" s="2" t="n">
        <v>15</v>
      </c>
      <c r="L4745" s="2" t="n">
        <v>0</v>
      </c>
      <c r="M4745" s="2" t="n">
        <v>0</v>
      </c>
    </row>
    <row r="4746" customFormat="false" ht="15" hidden="false" customHeight="false" outlineLevel="0" collapsed="false">
      <c r="A4746" s="2" t="s">
        <v>9716</v>
      </c>
      <c r="B4746" s="2" t="s">
        <v>9717</v>
      </c>
      <c r="C4746" s="2" t="n">
        <v>3</v>
      </c>
      <c r="D4746" s="2" t="s">
        <v>99</v>
      </c>
      <c r="E4746" s="2" t="s">
        <v>8083</v>
      </c>
      <c r="F4746" s="3" t="n">
        <v>46118.3743055556</v>
      </c>
      <c r="G4746" s="2" t="s">
        <v>9602</v>
      </c>
      <c r="H4746" s="4" t="n">
        <v>-0.3089</v>
      </c>
      <c r="I4746" s="2" t="s">
        <v>84</v>
      </c>
      <c r="J4746" s="2" t="s">
        <v>19</v>
      </c>
      <c r="K4746" s="2" t="n">
        <v>4</v>
      </c>
      <c r="L4746" s="2" t="n">
        <v>1</v>
      </c>
      <c r="M4746" s="2" t="n">
        <v>0</v>
      </c>
    </row>
    <row r="4747" customFormat="false" ht="15" hidden="false" customHeight="false" outlineLevel="0" collapsed="false">
      <c r="A4747" s="2" t="s">
        <v>9718</v>
      </c>
      <c r="B4747" s="2" t="s">
        <v>9719</v>
      </c>
      <c r="C4747" s="2" t="n">
        <v>5</v>
      </c>
      <c r="D4747" s="2" t="s">
        <v>1052</v>
      </c>
      <c r="E4747" s="2" t="s">
        <v>8083</v>
      </c>
      <c r="F4747" s="3" t="n">
        <v>46118.4131944445</v>
      </c>
      <c r="G4747" s="2" t="s">
        <v>9602</v>
      </c>
      <c r="H4747" s="4" t="n">
        <v>0.7088</v>
      </c>
      <c r="I4747" s="2" t="s">
        <v>23</v>
      </c>
      <c r="J4747" s="2" t="s">
        <v>19</v>
      </c>
      <c r="K4747" s="2" t="n">
        <v>4</v>
      </c>
      <c r="L4747" s="2" t="n">
        <v>0</v>
      </c>
      <c r="M4747" s="2" t="n">
        <v>0</v>
      </c>
    </row>
    <row r="4748" customFormat="false" ht="15" hidden="false" customHeight="false" outlineLevel="0" collapsed="false">
      <c r="A4748" s="2" t="s">
        <v>9720</v>
      </c>
      <c r="B4748" s="2" t="s">
        <v>9721</v>
      </c>
      <c r="C4748" s="2" t="n">
        <v>1</v>
      </c>
      <c r="D4748" s="2" t="s">
        <v>591</v>
      </c>
      <c r="E4748" s="2" t="s">
        <v>8083</v>
      </c>
      <c r="F4748" s="3" t="n">
        <v>46118.5895833333</v>
      </c>
      <c r="G4748" s="2" t="s">
        <v>9602</v>
      </c>
      <c r="H4748" s="4" t="n">
        <v>0</v>
      </c>
      <c r="I4748" s="2" t="s">
        <v>18</v>
      </c>
      <c r="J4748" s="2" t="s">
        <v>37</v>
      </c>
      <c r="K4748" s="2" t="n">
        <v>3</v>
      </c>
      <c r="L4748" s="2" t="n">
        <v>0</v>
      </c>
      <c r="M4748" s="2" t="n">
        <v>0</v>
      </c>
    </row>
    <row r="4749" customFormat="false" ht="15" hidden="false" customHeight="false" outlineLevel="0" collapsed="false">
      <c r="A4749" s="2" t="s">
        <v>9722</v>
      </c>
      <c r="B4749" s="2" t="s">
        <v>8462</v>
      </c>
      <c r="C4749" s="2" t="n">
        <v>2</v>
      </c>
      <c r="D4749" s="2" t="s">
        <v>591</v>
      </c>
      <c r="E4749" s="2" t="s">
        <v>8083</v>
      </c>
      <c r="F4749" s="3" t="n">
        <v>46118.5895833333</v>
      </c>
      <c r="G4749" s="2" t="s">
        <v>9602</v>
      </c>
      <c r="H4749" s="4" t="n">
        <v>0</v>
      </c>
      <c r="I4749" s="2" t="s">
        <v>18</v>
      </c>
      <c r="J4749" s="2" t="s">
        <v>37</v>
      </c>
      <c r="K4749" s="2" t="n">
        <v>5</v>
      </c>
      <c r="L4749" s="2" t="n">
        <v>0</v>
      </c>
      <c r="M4749" s="2" t="n">
        <v>0</v>
      </c>
    </row>
    <row r="4750" customFormat="false" ht="15" hidden="false" customHeight="false" outlineLevel="0" collapsed="false">
      <c r="A4750" s="2" t="s">
        <v>9723</v>
      </c>
      <c r="B4750" s="2" t="s">
        <v>9724</v>
      </c>
      <c r="C4750" s="2" t="n">
        <v>4</v>
      </c>
      <c r="D4750" s="2" t="s">
        <v>127</v>
      </c>
      <c r="E4750" s="2" t="s">
        <v>8083</v>
      </c>
      <c r="F4750" s="3" t="n">
        <v>46118.7277777778</v>
      </c>
      <c r="G4750" s="2" t="s">
        <v>9602</v>
      </c>
      <c r="H4750" s="4" t="n">
        <v>0.9359</v>
      </c>
      <c r="I4750" s="2" t="s">
        <v>23</v>
      </c>
      <c r="J4750" s="2" t="s">
        <v>37</v>
      </c>
      <c r="K4750" s="2" t="n">
        <v>3</v>
      </c>
      <c r="L4750" s="2" t="n">
        <v>0</v>
      </c>
      <c r="M4750" s="2" t="n">
        <v>0</v>
      </c>
    </row>
    <row r="4751" customFormat="false" ht="15" hidden="false" customHeight="false" outlineLevel="0" collapsed="false">
      <c r="A4751" s="2" t="s">
        <v>9725</v>
      </c>
      <c r="B4751" s="2" t="s">
        <v>9726</v>
      </c>
      <c r="C4751" s="2" t="n">
        <v>4</v>
      </c>
      <c r="D4751" s="2" t="s">
        <v>807</v>
      </c>
      <c r="E4751" s="2" t="s">
        <v>8083</v>
      </c>
      <c r="F4751" s="3" t="n">
        <v>46118.7756944444</v>
      </c>
      <c r="G4751" s="2" t="s">
        <v>9602</v>
      </c>
      <c r="H4751" s="4" t="n">
        <v>0.6369</v>
      </c>
      <c r="I4751" s="2" t="s">
        <v>23</v>
      </c>
      <c r="J4751" s="2" t="s">
        <v>19</v>
      </c>
      <c r="K4751" s="2" t="n">
        <v>0</v>
      </c>
      <c r="L4751" s="2" t="n">
        <v>0</v>
      </c>
      <c r="M4751" s="2" t="n">
        <v>0</v>
      </c>
    </row>
    <row r="4752" customFormat="false" ht="15" hidden="false" customHeight="false" outlineLevel="0" collapsed="false">
      <c r="A4752" s="2" t="s">
        <v>9727</v>
      </c>
      <c r="B4752" s="2" t="s">
        <v>9728</v>
      </c>
      <c r="C4752" s="2" t="n">
        <v>5</v>
      </c>
      <c r="D4752" s="2" t="s">
        <v>40</v>
      </c>
      <c r="E4752" s="2" t="s">
        <v>8083</v>
      </c>
      <c r="F4752" s="3" t="n">
        <v>46118.8208333333</v>
      </c>
      <c r="G4752" s="2" t="s">
        <v>9602</v>
      </c>
      <c r="H4752" s="4" t="n">
        <v>0.4019</v>
      </c>
      <c r="I4752" s="2" t="s">
        <v>23</v>
      </c>
      <c r="J4752" s="2" t="s">
        <v>33</v>
      </c>
      <c r="K4752" s="2" t="n">
        <v>2</v>
      </c>
      <c r="L4752" s="2" t="n">
        <v>0</v>
      </c>
      <c r="M4752" s="2" t="n">
        <v>0</v>
      </c>
    </row>
    <row r="4753" customFormat="false" ht="15" hidden="false" customHeight="false" outlineLevel="0" collapsed="false">
      <c r="A4753" s="2" t="s">
        <v>9729</v>
      </c>
      <c r="B4753" s="2" t="s">
        <v>9730</v>
      </c>
      <c r="C4753" s="2" t="n">
        <v>5</v>
      </c>
      <c r="D4753" s="2" t="s">
        <v>127</v>
      </c>
      <c r="E4753" s="2" t="s">
        <v>8083</v>
      </c>
      <c r="F4753" s="3" t="n">
        <v>46118.8465277778</v>
      </c>
      <c r="G4753" s="2" t="s">
        <v>9602</v>
      </c>
      <c r="H4753" s="4" t="n">
        <v>0.9359</v>
      </c>
      <c r="I4753" s="2" t="s">
        <v>23</v>
      </c>
      <c r="J4753" s="2" t="s">
        <v>37</v>
      </c>
      <c r="K4753" s="2" t="n">
        <v>1</v>
      </c>
      <c r="L4753" s="2" t="n">
        <v>0</v>
      </c>
      <c r="M4753" s="2" t="n">
        <v>0</v>
      </c>
    </row>
    <row r="4754" customFormat="false" ht="15" hidden="false" customHeight="false" outlineLevel="0" collapsed="false">
      <c r="A4754" s="2" t="s">
        <v>9731</v>
      </c>
      <c r="B4754" s="2" t="s">
        <v>9732</v>
      </c>
      <c r="C4754" s="2" t="n">
        <v>2</v>
      </c>
      <c r="D4754" s="2" t="s">
        <v>946</v>
      </c>
      <c r="E4754" s="2" t="s">
        <v>8083</v>
      </c>
      <c r="F4754" s="3" t="n">
        <v>46118.8645833333</v>
      </c>
      <c r="G4754" s="2" t="s">
        <v>9602</v>
      </c>
      <c r="H4754" s="4" t="n">
        <v>-0.25</v>
      </c>
      <c r="I4754" s="2" t="s">
        <v>84</v>
      </c>
      <c r="J4754" s="2" t="s">
        <v>37</v>
      </c>
      <c r="K4754" s="2" t="n">
        <v>8</v>
      </c>
      <c r="L4754" s="2" t="n">
        <v>0</v>
      </c>
      <c r="M4754" s="2" t="n">
        <v>0</v>
      </c>
    </row>
    <row r="4755" customFormat="false" ht="15" hidden="false" customHeight="false" outlineLevel="0" collapsed="false">
      <c r="A4755" s="2" t="s">
        <v>9733</v>
      </c>
      <c r="B4755" s="2" t="s">
        <v>9734</v>
      </c>
      <c r="C4755" s="2" t="n">
        <v>5</v>
      </c>
      <c r="D4755" s="2" t="s">
        <v>127</v>
      </c>
      <c r="E4755" s="2" t="s">
        <v>8083</v>
      </c>
      <c r="F4755" s="3" t="n">
        <v>46119.0395833333</v>
      </c>
      <c r="G4755" s="2" t="s">
        <v>9602</v>
      </c>
      <c r="H4755" s="4" t="n">
        <v>0.9359</v>
      </c>
      <c r="I4755" s="2" t="s">
        <v>23</v>
      </c>
      <c r="J4755" s="2" t="s">
        <v>37</v>
      </c>
      <c r="K4755" s="2" t="n">
        <v>1</v>
      </c>
      <c r="L4755" s="2" t="n">
        <v>0</v>
      </c>
      <c r="M4755" s="2" t="n">
        <v>0</v>
      </c>
    </row>
    <row r="4756" customFormat="false" ht="15" hidden="false" customHeight="false" outlineLevel="0" collapsed="false">
      <c r="A4756" s="2" t="s">
        <v>9735</v>
      </c>
      <c r="B4756" s="2" t="s">
        <v>9736</v>
      </c>
      <c r="C4756" s="2" t="n">
        <v>5</v>
      </c>
      <c r="D4756" s="2" t="s">
        <v>15</v>
      </c>
      <c r="E4756" s="2" t="s">
        <v>8083</v>
      </c>
      <c r="F4756" s="3" t="n">
        <v>46119.1194444444</v>
      </c>
      <c r="G4756" s="2" t="s">
        <v>9602</v>
      </c>
      <c r="H4756" s="4" t="n">
        <v>0</v>
      </c>
      <c r="I4756" s="2" t="s">
        <v>18</v>
      </c>
      <c r="J4756" s="2" t="s">
        <v>19</v>
      </c>
      <c r="K4756" s="2" t="n">
        <v>3</v>
      </c>
      <c r="L4756" s="2" t="n">
        <v>0</v>
      </c>
      <c r="M4756" s="2" t="n">
        <v>0</v>
      </c>
    </row>
    <row r="4757" customFormat="false" ht="15" hidden="false" customHeight="false" outlineLevel="0" collapsed="false">
      <c r="A4757" s="2" t="s">
        <v>9737</v>
      </c>
      <c r="B4757" s="2" t="s">
        <v>9738</v>
      </c>
      <c r="C4757" s="2" t="n">
        <v>4</v>
      </c>
      <c r="D4757" s="2" t="s">
        <v>90</v>
      </c>
      <c r="E4757" s="2" t="s">
        <v>8083</v>
      </c>
      <c r="F4757" s="3" t="n">
        <v>46119.16875</v>
      </c>
      <c r="G4757" s="2" t="s">
        <v>9602</v>
      </c>
      <c r="H4757" s="4" t="n">
        <v>0.6249</v>
      </c>
      <c r="I4757" s="2" t="s">
        <v>23</v>
      </c>
      <c r="J4757" s="2" t="s">
        <v>37</v>
      </c>
      <c r="K4757" s="2" t="n">
        <v>1</v>
      </c>
      <c r="L4757" s="2" t="n">
        <v>0</v>
      </c>
      <c r="M4757" s="2" t="n">
        <v>0</v>
      </c>
    </row>
    <row r="4758" customFormat="false" ht="15" hidden="false" customHeight="false" outlineLevel="0" collapsed="false">
      <c r="A4758" s="2" t="s">
        <v>9739</v>
      </c>
      <c r="B4758" s="2" t="s">
        <v>9740</v>
      </c>
      <c r="C4758" s="2" t="n">
        <v>5</v>
      </c>
      <c r="D4758" s="2" t="s">
        <v>15</v>
      </c>
      <c r="E4758" s="2" t="s">
        <v>8083</v>
      </c>
      <c r="F4758" s="3" t="n">
        <v>46119.2354166667</v>
      </c>
      <c r="G4758" s="2" t="s">
        <v>9602</v>
      </c>
      <c r="H4758" s="4" t="n">
        <v>0</v>
      </c>
      <c r="I4758" s="2" t="s">
        <v>18</v>
      </c>
      <c r="J4758" s="2" t="s">
        <v>19</v>
      </c>
      <c r="K4758" s="2" t="n">
        <v>3</v>
      </c>
      <c r="L4758" s="2" t="n">
        <v>0</v>
      </c>
      <c r="M4758" s="2" t="n">
        <v>0</v>
      </c>
    </row>
    <row r="4759" customFormat="false" ht="15" hidden="false" customHeight="false" outlineLevel="0" collapsed="false">
      <c r="A4759" s="2" t="s">
        <v>9741</v>
      </c>
      <c r="B4759" s="2" t="s">
        <v>9742</v>
      </c>
      <c r="C4759" s="2" t="n">
        <v>5</v>
      </c>
      <c r="D4759" s="2" t="s">
        <v>1424</v>
      </c>
      <c r="E4759" s="2" t="s">
        <v>8083</v>
      </c>
      <c r="F4759" s="3" t="n">
        <v>46119.2465277778</v>
      </c>
      <c r="G4759" s="2" t="s">
        <v>9602</v>
      </c>
      <c r="H4759" s="4" t="n">
        <v>0.3089</v>
      </c>
      <c r="I4759" s="2" t="s">
        <v>23</v>
      </c>
      <c r="J4759" s="2" t="s">
        <v>19</v>
      </c>
      <c r="K4759" s="2" t="n">
        <v>7</v>
      </c>
      <c r="L4759" s="2" t="n">
        <v>0</v>
      </c>
      <c r="M4759" s="2" t="n">
        <v>0</v>
      </c>
    </row>
    <row r="4760" customFormat="false" ht="15" hidden="false" customHeight="false" outlineLevel="0" collapsed="false">
      <c r="A4760" s="2" t="s">
        <v>9743</v>
      </c>
      <c r="B4760" s="2" t="s">
        <v>9744</v>
      </c>
      <c r="C4760" s="2" t="n">
        <v>5</v>
      </c>
      <c r="D4760" s="2" t="s">
        <v>96</v>
      </c>
      <c r="E4760" s="2" t="s">
        <v>8083</v>
      </c>
      <c r="F4760" s="3" t="n">
        <v>46119.5208333333</v>
      </c>
      <c r="G4760" s="2" t="s">
        <v>9602</v>
      </c>
      <c r="H4760" s="4" t="n">
        <v>0.6369</v>
      </c>
      <c r="I4760" s="2" t="s">
        <v>23</v>
      </c>
      <c r="J4760" s="2" t="s">
        <v>19</v>
      </c>
      <c r="K4760" s="2" t="n">
        <v>5</v>
      </c>
      <c r="L4760" s="2" t="n">
        <v>0</v>
      </c>
      <c r="M4760" s="2" t="n">
        <v>0</v>
      </c>
    </row>
    <row r="4761" customFormat="false" ht="15" hidden="false" customHeight="false" outlineLevel="0" collapsed="false">
      <c r="A4761" s="2" t="s">
        <v>9745</v>
      </c>
      <c r="B4761" s="2" t="s">
        <v>9746</v>
      </c>
      <c r="C4761" s="2" t="n">
        <v>5</v>
      </c>
      <c r="D4761" s="2" t="s">
        <v>52</v>
      </c>
      <c r="E4761" s="2" t="s">
        <v>8083</v>
      </c>
      <c r="F4761" s="3" t="n">
        <v>46119.5784722222</v>
      </c>
      <c r="G4761" s="2" t="s">
        <v>9602</v>
      </c>
      <c r="H4761" s="4" t="n">
        <v>0.6369</v>
      </c>
      <c r="I4761" s="2" t="s">
        <v>23</v>
      </c>
      <c r="J4761" s="2" t="s">
        <v>19</v>
      </c>
      <c r="K4761" s="2" t="n">
        <v>5</v>
      </c>
      <c r="L4761" s="2" t="n">
        <v>0</v>
      </c>
      <c r="M4761" s="2" t="n">
        <v>0</v>
      </c>
    </row>
    <row r="4762" customFormat="false" ht="15" hidden="false" customHeight="false" outlineLevel="0" collapsed="false">
      <c r="A4762" s="2" t="s">
        <v>9747</v>
      </c>
      <c r="B4762" s="2" t="s">
        <v>9748</v>
      </c>
      <c r="C4762" s="2" t="n">
        <v>4</v>
      </c>
      <c r="D4762" s="2" t="s">
        <v>15</v>
      </c>
      <c r="E4762" s="2" t="s">
        <v>8083</v>
      </c>
      <c r="F4762" s="3" t="n">
        <v>46119.6243055556</v>
      </c>
      <c r="G4762" s="2" t="s">
        <v>9602</v>
      </c>
      <c r="H4762" s="4" t="n">
        <v>0</v>
      </c>
      <c r="I4762" s="2" t="s">
        <v>18</v>
      </c>
      <c r="J4762" s="2" t="s">
        <v>19</v>
      </c>
      <c r="K4762" s="2" t="n">
        <v>0</v>
      </c>
      <c r="L4762" s="2" t="n">
        <v>0</v>
      </c>
      <c r="M4762" s="2" t="n">
        <v>0</v>
      </c>
    </row>
    <row r="4763" customFormat="false" ht="15" hidden="false" customHeight="false" outlineLevel="0" collapsed="false">
      <c r="A4763" s="2" t="s">
        <v>9749</v>
      </c>
      <c r="B4763" s="2" t="s">
        <v>9750</v>
      </c>
      <c r="C4763" s="2" t="n">
        <v>5</v>
      </c>
      <c r="D4763" s="2" t="s">
        <v>15</v>
      </c>
      <c r="E4763" s="2" t="s">
        <v>8083</v>
      </c>
      <c r="F4763" s="3" t="n">
        <v>46119.6263888889</v>
      </c>
      <c r="G4763" s="2" t="s">
        <v>9602</v>
      </c>
      <c r="H4763" s="4" t="n">
        <v>0</v>
      </c>
      <c r="I4763" s="2" t="s">
        <v>18</v>
      </c>
      <c r="J4763" s="2" t="s">
        <v>19</v>
      </c>
      <c r="K4763" s="2" t="n">
        <v>0</v>
      </c>
      <c r="L4763" s="2" t="n">
        <v>0</v>
      </c>
      <c r="M4763" s="2" t="n">
        <v>0</v>
      </c>
    </row>
    <row r="4764" customFormat="false" ht="15" hidden="false" customHeight="false" outlineLevel="0" collapsed="false">
      <c r="A4764" s="2" t="s">
        <v>9751</v>
      </c>
      <c r="B4764" s="2" t="s">
        <v>9752</v>
      </c>
      <c r="C4764" s="2" t="n">
        <v>5</v>
      </c>
      <c r="D4764" s="2" t="s">
        <v>127</v>
      </c>
      <c r="E4764" s="2" t="s">
        <v>8083</v>
      </c>
      <c r="F4764" s="3" t="n">
        <v>46119.6805555556</v>
      </c>
      <c r="G4764" s="2" t="s">
        <v>9602</v>
      </c>
      <c r="H4764" s="4" t="n">
        <v>0.9359</v>
      </c>
      <c r="I4764" s="2" t="s">
        <v>23</v>
      </c>
      <c r="J4764" s="2" t="s">
        <v>37</v>
      </c>
      <c r="K4764" s="2" t="n">
        <v>5</v>
      </c>
      <c r="L4764" s="2" t="n">
        <v>0</v>
      </c>
      <c r="M4764" s="2" t="n">
        <v>0</v>
      </c>
    </row>
    <row r="4765" customFormat="false" ht="15" hidden="false" customHeight="false" outlineLevel="0" collapsed="false">
      <c r="A4765" s="2" t="s">
        <v>9753</v>
      </c>
      <c r="B4765" s="2" t="s">
        <v>9754</v>
      </c>
      <c r="C4765" s="2" t="n">
        <v>5</v>
      </c>
      <c r="D4765" s="2" t="s">
        <v>40</v>
      </c>
      <c r="E4765" s="2" t="s">
        <v>8083</v>
      </c>
      <c r="F4765" s="3" t="n">
        <v>46119.7118055556</v>
      </c>
      <c r="G4765" s="2" t="s">
        <v>9602</v>
      </c>
      <c r="H4765" s="4" t="n">
        <v>0.4019</v>
      </c>
      <c r="I4765" s="2" t="s">
        <v>23</v>
      </c>
      <c r="J4765" s="2" t="s">
        <v>33</v>
      </c>
      <c r="K4765" s="2" t="n">
        <v>11</v>
      </c>
      <c r="L4765" s="2" t="n">
        <v>0</v>
      </c>
      <c r="M4765" s="2" t="n">
        <v>0</v>
      </c>
    </row>
    <row r="4766" customFormat="false" ht="15" hidden="false" customHeight="false" outlineLevel="0" collapsed="false">
      <c r="A4766" s="2" t="s">
        <v>9755</v>
      </c>
      <c r="B4766" s="2" t="s">
        <v>9756</v>
      </c>
      <c r="C4766" s="2" t="n">
        <v>5</v>
      </c>
      <c r="D4766" s="2" t="s">
        <v>47</v>
      </c>
      <c r="E4766" s="2" t="s">
        <v>8083</v>
      </c>
      <c r="F4766" s="3" t="n">
        <v>46119.8</v>
      </c>
      <c r="G4766" s="2" t="s">
        <v>9602</v>
      </c>
      <c r="H4766" s="4" t="n">
        <v>0.3089</v>
      </c>
      <c r="I4766" s="2" t="s">
        <v>23</v>
      </c>
      <c r="J4766" s="2" t="s">
        <v>19</v>
      </c>
      <c r="K4766" s="2" t="n">
        <v>12</v>
      </c>
      <c r="L4766" s="2" t="n">
        <v>0</v>
      </c>
      <c r="M4766" s="2" t="n">
        <v>0</v>
      </c>
    </row>
    <row r="4767" customFormat="false" ht="15" hidden="false" customHeight="false" outlineLevel="0" collapsed="false">
      <c r="A4767" s="2" t="s">
        <v>9757</v>
      </c>
      <c r="B4767" s="2" t="s">
        <v>9758</v>
      </c>
      <c r="C4767" s="2" t="n">
        <v>5</v>
      </c>
      <c r="D4767" s="2" t="s">
        <v>1240</v>
      </c>
      <c r="E4767" s="2" t="s">
        <v>8083</v>
      </c>
      <c r="F4767" s="3" t="n">
        <v>46119.8069444444</v>
      </c>
      <c r="G4767" s="2" t="s">
        <v>9602</v>
      </c>
      <c r="H4767" s="4" t="n">
        <v>0.6369</v>
      </c>
      <c r="I4767" s="2" t="s">
        <v>23</v>
      </c>
      <c r="J4767" s="2" t="s">
        <v>19</v>
      </c>
      <c r="K4767" s="2" t="n">
        <v>3</v>
      </c>
      <c r="L4767" s="2" t="n">
        <v>0</v>
      </c>
      <c r="M4767" s="2" t="n">
        <v>0</v>
      </c>
    </row>
    <row r="4768" customFormat="false" ht="15" hidden="false" customHeight="false" outlineLevel="0" collapsed="false">
      <c r="A4768" s="2" t="s">
        <v>9759</v>
      </c>
      <c r="B4768" s="2" t="s">
        <v>9760</v>
      </c>
      <c r="C4768" s="2" t="n">
        <v>4</v>
      </c>
      <c r="D4768" s="2" t="s">
        <v>96</v>
      </c>
      <c r="E4768" s="2" t="s">
        <v>8083</v>
      </c>
      <c r="F4768" s="3" t="n">
        <v>46119.8986111111</v>
      </c>
      <c r="G4768" s="2" t="s">
        <v>9602</v>
      </c>
      <c r="H4768" s="4" t="n">
        <v>0.6369</v>
      </c>
      <c r="I4768" s="2" t="s">
        <v>23</v>
      </c>
      <c r="J4768" s="2" t="s">
        <v>19</v>
      </c>
      <c r="K4768" s="2" t="n">
        <v>4</v>
      </c>
      <c r="L4768" s="2" t="n">
        <v>0</v>
      </c>
      <c r="M4768" s="2" t="n">
        <v>0</v>
      </c>
    </row>
    <row r="4769" customFormat="false" ht="15" hidden="false" customHeight="false" outlineLevel="0" collapsed="false">
      <c r="A4769" s="2" t="s">
        <v>9761</v>
      </c>
      <c r="B4769" s="2" t="s">
        <v>9762</v>
      </c>
      <c r="C4769" s="2" t="n">
        <v>5</v>
      </c>
      <c r="D4769" s="2" t="s">
        <v>127</v>
      </c>
      <c r="E4769" s="2" t="s">
        <v>8083</v>
      </c>
      <c r="F4769" s="3" t="n">
        <v>46120.0770833333</v>
      </c>
      <c r="G4769" s="2" t="s">
        <v>9602</v>
      </c>
      <c r="H4769" s="4" t="n">
        <v>0.9359</v>
      </c>
      <c r="I4769" s="2" t="s">
        <v>23</v>
      </c>
      <c r="J4769" s="2" t="s">
        <v>37</v>
      </c>
      <c r="K4769" s="2" t="n">
        <v>8</v>
      </c>
      <c r="L4769" s="2" t="n">
        <v>0</v>
      </c>
      <c r="M4769" s="2" t="n">
        <v>0</v>
      </c>
    </row>
    <row r="4770" customFormat="false" ht="15" hidden="false" customHeight="false" outlineLevel="0" collapsed="false">
      <c r="A4770" s="2" t="s">
        <v>9763</v>
      </c>
      <c r="B4770" s="2" t="s">
        <v>9764</v>
      </c>
      <c r="C4770" s="2" t="n">
        <v>4</v>
      </c>
      <c r="D4770" s="2" t="s">
        <v>90</v>
      </c>
      <c r="E4770" s="2" t="s">
        <v>8083</v>
      </c>
      <c r="F4770" s="3" t="n">
        <v>46120.1152777778</v>
      </c>
      <c r="G4770" s="2" t="s">
        <v>9602</v>
      </c>
      <c r="H4770" s="4" t="n">
        <v>0.6249</v>
      </c>
      <c r="I4770" s="2" t="s">
        <v>23</v>
      </c>
      <c r="J4770" s="2" t="s">
        <v>37</v>
      </c>
      <c r="K4770" s="2" t="n">
        <v>5</v>
      </c>
      <c r="L4770" s="2" t="n">
        <v>0</v>
      </c>
      <c r="M4770" s="2" t="n">
        <v>0</v>
      </c>
    </row>
    <row r="4771" customFormat="false" ht="15" hidden="false" customHeight="false" outlineLevel="0" collapsed="false">
      <c r="A4771" s="2" t="s">
        <v>9765</v>
      </c>
      <c r="B4771" s="2" t="s">
        <v>9766</v>
      </c>
      <c r="C4771" s="2" t="n">
        <v>4</v>
      </c>
      <c r="D4771" s="2" t="s">
        <v>22</v>
      </c>
      <c r="E4771" s="2" t="s">
        <v>8083</v>
      </c>
      <c r="F4771" s="3" t="n">
        <v>46120.1618055556</v>
      </c>
      <c r="G4771" s="2" t="s">
        <v>9602</v>
      </c>
      <c r="H4771" s="4" t="n">
        <v>0.2023</v>
      </c>
      <c r="I4771" s="2" t="s">
        <v>23</v>
      </c>
      <c r="J4771" s="2" t="s">
        <v>19</v>
      </c>
      <c r="K4771" s="2" t="n">
        <v>1</v>
      </c>
      <c r="L4771" s="2" t="n">
        <v>0</v>
      </c>
      <c r="M4771" s="2" t="n">
        <v>0</v>
      </c>
    </row>
    <row r="4772" customFormat="false" ht="15" hidden="false" customHeight="false" outlineLevel="0" collapsed="false">
      <c r="A4772" s="2" t="s">
        <v>9767</v>
      </c>
      <c r="B4772" s="2" t="s">
        <v>9768</v>
      </c>
      <c r="C4772" s="2" t="n">
        <v>2</v>
      </c>
      <c r="D4772" s="2" t="s">
        <v>1274</v>
      </c>
      <c r="E4772" s="2" t="s">
        <v>8083</v>
      </c>
      <c r="F4772" s="3" t="n">
        <v>46120.16875</v>
      </c>
      <c r="G4772" s="2" t="s">
        <v>9602</v>
      </c>
      <c r="H4772" s="4" t="n">
        <v>-0.6171</v>
      </c>
      <c r="I4772" s="2" t="s">
        <v>84</v>
      </c>
      <c r="J4772" s="2" t="s">
        <v>37</v>
      </c>
      <c r="K4772" s="2" t="n">
        <v>5</v>
      </c>
      <c r="L4772" s="2" t="n">
        <v>1</v>
      </c>
      <c r="M4772" s="2" t="n">
        <v>0</v>
      </c>
    </row>
    <row r="4773" customFormat="false" ht="15" hidden="false" customHeight="false" outlineLevel="0" collapsed="false">
      <c r="A4773" s="2" t="s">
        <v>9769</v>
      </c>
      <c r="B4773" s="2" t="s">
        <v>9770</v>
      </c>
      <c r="C4773" s="2" t="n">
        <v>5</v>
      </c>
      <c r="D4773" s="2" t="s">
        <v>47</v>
      </c>
      <c r="E4773" s="2" t="s">
        <v>8083</v>
      </c>
      <c r="F4773" s="3" t="n">
        <v>46120.2590277778</v>
      </c>
      <c r="G4773" s="2" t="s">
        <v>9602</v>
      </c>
      <c r="H4773" s="4" t="n">
        <v>0.3089</v>
      </c>
      <c r="I4773" s="2" t="s">
        <v>23</v>
      </c>
      <c r="J4773" s="2" t="s">
        <v>19</v>
      </c>
      <c r="K4773" s="2" t="n">
        <v>7</v>
      </c>
      <c r="L4773" s="2" t="n">
        <v>0</v>
      </c>
      <c r="M4773" s="2" t="n">
        <v>0</v>
      </c>
    </row>
    <row r="4774" customFormat="false" ht="15" hidden="false" customHeight="false" outlineLevel="0" collapsed="false">
      <c r="A4774" s="2" t="s">
        <v>9771</v>
      </c>
      <c r="B4774" s="2" t="s">
        <v>9772</v>
      </c>
      <c r="C4774" s="2" t="n">
        <v>3</v>
      </c>
      <c r="D4774" s="2" t="s">
        <v>22</v>
      </c>
      <c r="E4774" s="2" t="s">
        <v>8083</v>
      </c>
      <c r="F4774" s="3" t="n">
        <v>46120.3458333333</v>
      </c>
      <c r="G4774" s="2" t="s">
        <v>9602</v>
      </c>
      <c r="H4774" s="4" t="n">
        <v>0.2023</v>
      </c>
      <c r="I4774" s="2" t="s">
        <v>23</v>
      </c>
      <c r="J4774" s="2" t="s">
        <v>19</v>
      </c>
      <c r="K4774" s="2" t="n">
        <v>5</v>
      </c>
      <c r="L4774" s="2" t="n">
        <v>0</v>
      </c>
      <c r="M4774" s="2" t="n">
        <v>0</v>
      </c>
    </row>
    <row r="4775" customFormat="false" ht="15" hidden="false" customHeight="false" outlineLevel="0" collapsed="false">
      <c r="A4775" s="2" t="s">
        <v>9773</v>
      </c>
      <c r="B4775" s="2" t="s">
        <v>9774</v>
      </c>
      <c r="C4775" s="2" t="n">
        <v>5</v>
      </c>
      <c r="D4775" s="2" t="s">
        <v>40</v>
      </c>
      <c r="E4775" s="2" t="s">
        <v>8083</v>
      </c>
      <c r="F4775" s="3" t="n">
        <v>46120.3944444444</v>
      </c>
      <c r="G4775" s="2" t="s">
        <v>9602</v>
      </c>
      <c r="H4775" s="4" t="n">
        <v>0.4019</v>
      </c>
      <c r="I4775" s="2" t="s">
        <v>23</v>
      </c>
      <c r="J4775" s="2" t="s">
        <v>33</v>
      </c>
      <c r="K4775" s="2" t="n">
        <v>0</v>
      </c>
      <c r="L4775" s="2" t="n">
        <v>0</v>
      </c>
      <c r="M4775" s="2" t="n">
        <v>0</v>
      </c>
    </row>
    <row r="4776" customFormat="false" ht="15" hidden="false" customHeight="false" outlineLevel="0" collapsed="false">
      <c r="A4776" s="2" t="s">
        <v>9775</v>
      </c>
      <c r="B4776" s="2" t="s">
        <v>9776</v>
      </c>
      <c r="C4776" s="2" t="n">
        <v>4</v>
      </c>
      <c r="D4776" s="2" t="s">
        <v>40</v>
      </c>
      <c r="E4776" s="2" t="s">
        <v>8083</v>
      </c>
      <c r="F4776" s="3" t="n">
        <v>46120.4756944445</v>
      </c>
      <c r="G4776" s="2" t="s">
        <v>9602</v>
      </c>
      <c r="H4776" s="4" t="n">
        <v>0.4019</v>
      </c>
      <c r="I4776" s="2" t="s">
        <v>23</v>
      </c>
      <c r="J4776" s="2" t="s">
        <v>33</v>
      </c>
      <c r="K4776" s="2" t="n">
        <v>2</v>
      </c>
      <c r="L4776" s="2" t="n">
        <v>0</v>
      </c>
      <c r="M4776" s="2" t="n">
        <v>0</v>
      </c>
    </row>
    <row r="4777" customFormat="false" ht="15" hidden="false" customHeight="false" outlineLevel="0" collapsed="false">
      <c r="A4777" s="2" t="s">
        <v>9777</v>
      </c>
      <c r="B4777" s="2" t="s">
        <v>9778</v>
      </c>
      <c r="C4777" s="2" t="n">
        <v>2</v>
      </c>
      <c r="D4777" s="2" t="s">
        <v>3562</v>
      </c>
      <c r="E4777" s="2" t="s">
        <v>8083</v>
      </c>
      <c r="F4777" s="3" t="n">
        <v>46120.8965277778</v>
      </c>
      <c r="G4777" s="2" t="s">
        <v>9602</v>
      </c>
      <c r="H4777" s="4" t="n">
        <v>-0.0258</v>
      </c>
      <c r="I4777" s="2" t="s">
        <v>18</v>
      </c>
      <c r="J4777" s="2" t="s">
        <v>37</v>
      </c>
      <c r="K4777" s="2" t="n">
        <v>0</v>
      </c>
      <c r="L4777" s="2" t="n">
        <v>0</v>
      </c>
      <c r="M4777" s="2" t="n">
        <v>0</v>
      </c>
    </row>
    <row r="4778" customFormat="false" ht="15" hidden="false" customHeight="false" outlineLevel="0" collapsed="false">
      <c r="A4778" s="2" t="s">
        <v>9779</v>
      </c>
      <c r="B4778" s="2" t="s">
        <v>9780</v>
      </c>
      <c r="C4778" s="2" t="n">
        <v>5</v>
      </c>
      <c r="D4778" s="2" t="s">
        <v>127</v>
      </c>
      <c r="E4778" s="2" t="s">
        <v>8083</v>
      </c>
      <c r="F4778" s="3" t="n">
        <v>46121.0131944444</v>
      </c>
      <c r="G4778" s="2" t="s">
        <v>9602</v>
      </c>
      <c r="H4778" s="4" t="n">
        <v>0.9359</v>
      </c>
      <c r="I4778" s="2" t="s">
        <v>23</v>
      </c>
      <c r="J4778" s="2" t="s">
        <v>37</v>
      </c>
      <c r="K4778" s="2" t="n">
        <v>1</v>
      </c>
      <c r="L4778" s="2" t="n">
        <v>0</v>
      </c>
      <c r="M4778" s="2" t="n">
        <v>0</v>
      </c>
    </row>
    <row r="4779" customFormat="false" ht="15" hidden="false" customHeight="false" outlineLevel="0" collapsed="false">
      <c r="A4779" s="2" t="s">
        <v>9781</v>
      </c>
      <c r="B4779" s="2" t="s">
        <v>9782</v>
      </c>
      <c r="C4779" s="2" t="n">
        <v>3</v>
      </c>
      <c r="D4779" s="2" t="s">
        <v>22</v>
      </c>
      <c r="E4779" s="2" t="s">
        <v>8083</v>
      </c>
      <c r="F4779" s="3" t="n">
        <v>46121.0215277778</v>
      </c>
      <c r="G4779" s="2" t="s">
        <v>9602</v>
      </c>
      <c r="H4779" s="4" t="n">
        <v>0.2023</v>
      </c>
      <c r="I4779" s="2" t="s">
        <v>23</v>
      </c>
      <c r="J4779" s="2" t="s">
        <v>19</v>
      </c>
      <c r="K4779" s="2" t="n">
        <v>1</v>
      </c>
      <c r="L4779" s="2" t="n">
        <v>0</v>
      </c>
      <c r="M4779" s="2" t="n">
        <v>0</v>
      </c>
    </row>
    <row r="4780" customFormat="false" ht="15" hidden="false" customHeight="false" outlineLevel="0" collapsed="false">
      <c r="A4780" s="2" t="s">
        <v>9783</v>
      </c>
      <c r="B4780" s="2" t="s">
        <v>5226</v>
      </c>
      <c r="C4780" s="2" t="n">
        <v>5</v>
      </c>
      <c r="D4780" s="2" t="s">
        <v>1004</v>
      </c>
      <c r="E4780" s="2" t="s">
        <v>8083</v>
      </c>
      <c r="F4780" s="3" t="n">
        <v>46121.1541666667</v>
      </c>
      <c r="G4780" s="2" t="s">
        <v>9602</v>
      </c>
      <c r="H4780" s="4" t="n">
        <v>0.6249</v>
      </c>
      <c r="I4780" s="2" t="s">
        <v>23</v>
      </c>
      <c r="J4780" s="2" t="s">
        <v>37</v>
      </c>
      <c r="K4780" s="2" t="n">
        <v>2</v>
      </c>
      <c r="L4780" s="2" t="n">
        <v>0</v>
      </c>
      <c r="M4780" s="2" t="n">
        <v>0</v>
      </c>
    </row>
    <row r="4781" customFormat="false" ht="15" hidden="false" customHeight="false" outlineLevel="0" collapsed="false">
      <c r="A4781" s="2" t="s">
        <v>9784</v>
      </c>
      <c r="B4781" s="2" t="s">
        <v>9785</v>
      </c>
      <c r="C4781" s="2" t="n">
        <v>5</v>
      </c>
      <c r="D4781" s="2" t="s">
        <v>1363</v>
      </c>
      <c r="E4781" s="2" t="s">
        <v>8083</v>
      </c>
      <c r="F4781" s="3" t="n">
        <v>46121.18125</v>
      </c>
      <c r="G4781" s="2" t="s">
        <v>9602</v>
      </c>
      <c r="H4781" s="4" t="n">
        <v>0.6597</v>
      </c>
      <c r="I4781" s="2" t="s">
        <v>23</v>
      </c>
      <c r="J4781" s="2" t="s">
        <v>33</v>
      </c>
      <c r="K4781" s="2" t="n">
        <v>0</v>
      </c>
      <c r="L4781" s="2" t="n">
        <v>0</v>
      </c>
      <c r="M4781" s="2" t="n">
        <v>0</v>
      </c>
    </row>
    <row r="4782" customFormat="false" ht="15" hidden="false" customHeight="false" outlineLevel="0" collapsed="false">
      <c r="A4782" s="2" t="s">
        <v>9786</v>
      </c>
      <c r="B4782" s="2" t="s">
        <v>9787</v>
      </c>
      <c r="C4782" s="2" t="n">
        <v>4</v>
      </c>
      <c r="D4782" s="2" t="s">
        <v>40</v>
      </c>
      <c r="E4782" s="2" t="s">
        <v>8083</v>
      </c>
      <c r="F4782" s="3" t="n">
        <v>46121.3472222222</v>
      </c>
      <c r="G4782" s="2" t="s">
        <v>9602</v>
      </c>
      <c r="H4782" s="4" t="n">
        <v>0.4019</v>
      </c>
      <c r="I4782" s="2" t="s">
        <v>23</v>
      </c>
      <c r="J4782" s="2" t="s">
        <v>33</v>
      </c>
      <c r="K4782" s="2" t="n">
        <v>6</v>
      </c>
      <c r="L4782" s="2" t="n">
        <v>0</v>
      </c>
      <c r="M4782" s="2" t="n">
        <v>0</v>
      </c>
    </row>
    <row r="4783" customFormat="false" ht="15" hidden="false" customHeight="false" outlineLevel="0" collapsed="false">
      <c r="A4783" s="2" t="s">
        <v>9788</v>
      </c>
      <c r="B4783" s="2" t="s">
        <v>9789</v>
      </c>
      <c r="C4783" s="2" t="n">
        <v>5</v>
      </c>
      <c r="D4783" s="2" t="s">
        <v>47</v>
      </c>
      <c r="E4783" s="2" t="s">
        <v>8083</v>
      </c>
      <c r="F4783" s="3" t="n">
        <v>46121.3506944445</v>
      </c>
      <c r="G4783" s="2" t="s">
        <v>9602</v>
      </c>
      <c r="H4783" s="4" t="n">
        <v>0.3089</v>
      </c>
      <c r="I4783" s="2" t="s">
        <v>23</v>
      </c>
      <c r="J4783" s="2" t="s">
        <v>19</v>
      </c>
      <c r="K4783" s="2" t="n">
        <v>0</v>
      </c>
      <c r="L4783" s="2" t="n">
        <v>0</v>
      </c>
      <c r="M4783" s="2" t="n">
        <v>0</v>
      </c>
    </row>
    <row r="4784" customFormat="false" ht="15" hidden="false" customHeight="false" outlineLevel="0" collapsed="false">
      <c r="A4784" s="2" t="s">
        <v>9790</v>
      </c>
      <c r="B4784" s="2" t="s">
        <v>9791</v>
      </c>
      <c r="C4784" s="2" t="n">
        <v>3</v>
      </c>
      <c r="D4784" s="2" t="s">
        <v>1674</v>
      </c>
      <c r="E4784" s="2" t="s">
        <v>8083</v>
      </c>
      <c r="F4784" s="3" t="n">
        <v>46121.44375</v>
      </c>
      <c r="G4784" s="2" t="s">
        <v>9602</v>
      </c>
      <c r="H4784" s="4" t="n">
        <v>-0.438</v>
      </c>
      <c r="I4784" s="2" t="s">
        <v>84</v>
      </c>
      <c r="J4784" s="2" t="s">
        <v>19</v>
      </c>
      <c r="K4784" s="2" t="n">
        <v>1</v>
      </c>
      <c r="L4784" s="2" t="n">
        <v>0</v>
      </c>
      <c r="M4784" s="2" t="n">
        <v>0</v>
      </c>
    </row>
    <row r="4785" customFormat="false" ht="15" hidden="false" customHeight="false" outlineLevel="0" collapsed="false">
      <c r="A4785" s="2" t="s">
        <v>9792</v>
      </c>
      <c r="B4785" s="2" t="s">
        <v>9793</v>
      </c>
      <c r="C4785" s="2" t="n">
        <v>4</v>
      </c>
      <c r="D4785" s="2" t="s">
        <v>3104</v>
      </c>
      <c r="E4785" s="2" t="s">
        <v>8083</v>
      </c>
      <c r="F4785" s="3" t="n">
        <v>46121.4840277778</v>
      </c>
      <c r="G4785" s="2" t="s">
        <v>9602</v>
      </c>
      <c r="H4785" s="4" t="n">
        <v>0.3089</v>
      </c>
      <c r="I4785" s="2" t="s">
        <v>23</v>
      </c>
      <c r="J4785" s="2" t="s">
        <v>19</v>
      </c>
      <c r="K4785" s="2" t="n">
        <v>0</v>
      </c>
      <c r="L4785" s="2" t="n">
        <v>0</v>
      </c>
      <c r="M4785" s="2" t="n">
        <v>0</v>
      </c>
    </row>
    <row r="4786" customFormat="false" ht="15" hidden="false" customHeight="false" outlineLevel="0" collapsed="false">
      <c r="A4786" s="2" t="s">
        <v>9794</v>
      </c>
      <c r="B4786" s="2" t="s">
        <v>9795</v>
      </c>
      <c r="C4786" s="2" t="n">
        <v>2</v>
      </c>
      <c r="D4786" s="2" t="s">
        <v>701</v>
      </c>
      <c r="E4786" s="2" t="s">
        <v>8083</v>
      </c>
      <c r="F4786" s="3" t="n">
        <v>46121.5166666667</v>
      </c>
      <c r="G4786" s="2" t="s">
        <v>9602</v>
      </c>
      <c r="H4786" s="4" t="n">
        <v>-0.7184</v>
      </c>
      <c r="I4786" s="2" t="s">
        <v>84</v>
      </c>
      <c r="J4786" s="2" t="s">
        <v>37</v>
      </c>
      <c r="K4786" s="2" t="n">
        <v>2</v>
      </c>
      <c r="L4786" s="2" t="n">
        <v>0</v>
      </c>
      <c r="M4786" s="2" t="n">
        <v>0</v>
      </c>
    </row>
    <row r="4787" customFormat="false" ht="15" hidden="false" customHeight="false" outlineLevel="0" collapsed="false">
      <c r="A4787" s="2" t="s">
        <v>9796</v>
      </c>
      <c r="B4787" s="2" t="s">
        <v>9797</v>
      </c>
      <c r="C4787" s="2" t="n">
        <v>5</v>
      </c>
      <c r="D4787" s="2" t="s">
        <v>90</v>
      </c>
      <c r="E4787" s="2" t="s">
        <v>8083</v>
      </c>
      <c r="F4787" s="3" t="n">
        <v>46121.7472222222</v>
      </c>
      <c r="G4787" s="2" t="s">
        <v>9602</v>
      </c>
      <c r="H4787" s="4" t="n">
        <v>0.6249</v>
      </c>
      <c r="I4787" s="2" t="s">
        <v>23</v>
      </c>
      <c r="J4787" s="2" t="s">
        <v>37</v>
      </c>
      <c r="K4787" s="2" t="n">
        <v>5</v>
      </c>
      <c r="L4787" s="2" t="n">
        <v>0</v>
      </c>
      <c r="M4787" s="2" t="n">
        <v>0</v>
      </c>
    </row>
    <row r="4788" customFormat="false" ht="15" hidden="false" customHeight="false" outlineLevel="0" collapsed="false">
      <c r="A4788" s="2" t="s">
        <v>9798</v>
      </c>
      <c r="B4788" s="2" t="s">
        <v>9799</v>
      </c>
      <c r="C4788" s="2" t="n">
        <v>5</v>
      </c>
      <c r="D4788" s="2" t="s">
        <v>1004</v>
      </c>
      <c r="E4788" s="2" t="s">
        <v>8083</v>
      </c>
      <c r="F4788" s="3" t="n">
        <v>46121.8020833333</v>
      </c>
      <c r="G4788" s="2" t="s">
        <v>9602</v>
      </c>
      <c r="H4788" s="4" t="n">
        <v>0.6249</v>
      </c>
      <c r="I4788" s="2" t="s">
        <v>23</v>
      </c>
      <c r="J4788" s="2" t="s">
        <v>37</v>
      </c>
      <c r="K4788" s="2" t="n">
        <v>1</v>
      </c>
      <c r="L4788" s="2" t="n">
        <v>0</v>
      </c>
      <c r="M4788" s="2" t="n">
        <v>0</v>
      </c>
    </row>
    <row r="4789" customFormat="false" ht="15" hidden="false" customHeight="false" outlineLevel="0" collapsed="false">
      <c r="A4789" s="2" t="s">
        <v>9800</v>
      </c>
      <c r="B4789" s="2" t="s">
        <v>9801</v>
      </c>
      <c r="C4789" s="2" t="n">
        <v>5</v>
      </c>
      <c r="D4789" s="2" t="s">
        <v>62</v>
      </c>
      <c r="E4789" s="2" t="s">
        <v>8083</v>
      </c>
      <c r="F4789" s="3" t="n">
        <v>46121.9166666667</v>
      </c>
      <c r="G4789" s="2" t="s">
        <v>9602</v>
      </c>
      <c r="H4789" s="4" t="n">
        <v>0.7088</v>
      </c>
      <c r="I4789" s="2" t="s">
        <v>23</v>
      </c>
      <c r="J4789" s="2" t="s">
        <v>19</v>
      </c>
      <c r="K4789" s="2" t="n">
        <v>3</v>
      </c>
      <c r="L4789" s="2" t="n">
        <v>0</v>
      </c>
      <c r="M4789" s="2" t="n">
        <v>0</v>
      </c>
    </row>
    <row r="4790" customFormat="false" ht="15" hidden="false" customHeight="false" outlineLevel="0" collapsed="false">
      <c r="A4790" s="2" t="s">
        <v>9802</v>
      </c>
      <c r="B4790" s="2" t="s">
        <v>9803</v>
      </c>
      <c r="C4790" s="2" t="n">
        <v>5</v>
      </c>
      <c r="D4790" s="2" t="s">
        <v>90</v>
      </c>
      <c r="E4790" s="2" t="s">
        <v>8083</v>
      </c>
      <c r="F4790" s="3" t="n">
        <v>46121.9416666667</v>
      </c>
      <c r="G4790" s="2" t="s">
        <v>9602</v>
      </c>
      <c r="H4790" s="4" t="n">
        <v>0.6249</v>
      </c>
      <c r="I4790" s="2" t="s">
        <v>23</v>
      </c>
      <c r="J4790" s="2" t="s">
        <v>37</v>
      </c>
      <c r="K4790" s="2" t="n">
        <v>5</v>
      </c>
      <c r="L4790" s="2" t="n">
        <v>0</v>
      </c>
      <c r="M4790" s="2" t="n">
        <v>0</v>
      </c>
    </row>
    <row r="4791" customFormat="false" ht="15" hidden="false" customHeight="false" outlineLevel="0" collapsed="false">
      <c r="A4791" s="2" t="s">
        <v>9804</v>
      </c>
      <c r="B4791" s="2" t="s">
        <v>9805</v>
      </c>
      <c r="C4791" s="2" t="n">
        <v>3</v>
      </c>
      <c r="D4791" s="2" t="s">
        <v>99</v>
      </c>
      <c r="E4791" s="2" t="s">
        <v>8083</v>
      </c>
      <c r="F4791" s="3" t="n">
        <v>46122.0055555556</v>
      </c>
      <c r="G4791" s="2" t="s">
        <v>9602</v>
      </c>
      <c r="H4791" s="4" t="n">
        <v>-0.3089</v>
      </c>
      <c r="I4791" s="2" t="s">
        <v>84</v>
      </c>
      <c r="J4791" s="2" t="s">
        <v>19</v>
      </c>
      <c r="K4791" s="2" t="n">
        <v>2</v>
      </c>
      <c r="L4791" s="2" t="n">
        <v>0</v>
      </c>
      <c r="M4791" s="2" t="n">
        <v>0</v>
      </c>
    </row>
    <row r="4792" customFormat="false" ht="15" hidden="false" customHeight="false" outlineLevel="0" collapsed="false">
      <c r="A4792" s="2" t="s">
        <v>9806</v>
      </c>
      <c r="B4792" s="2" t="s">
        <v>9807</v>
      </c>
      <c r="C4792" s="2" t="n">
        <v>3</v>
      </c>
      <c r="D4792" s="2" t="s">
        <v>301</v>
      </c>
      <c r="E4792" s="2" t="s">
        <v>8083</v>
      </c>
      <c r="F4792" s="3" t="n">
        <v>46122.0090277778</v>
      </c>
      <c r="G4792" s="2" t="s">
        <v>9602</v>
      </c>
      <c r="H4792" s="4" t="n">
        <v>0.2263</v>
      </c>
      <c r="I4792" s="2" t="s">
        <v>23</v>
      </c>
      <c r="J4792" s="2" t="s">
        <v>19</v>
      </c>
      <c r="K4792" s="2" t="n">
        <v>2</v>
      </c>
      <c r="L4792" s="2" t="n">
        <v>0</v>
      </c>
      <c r="M4792" s="2" t="n">
        <v>0</v>
      </c>
    </row>
    <row r="4793" customFormat="false" ht="15" hidden="false" customHeight="false" outlineLevel="0" collapsed="false">
      <c r="A4793" s="2" t="s">
        <v>9808</v>
      </c>
      <c r="B4793" s="2" t="s">
        <v>9809</v>
      </c>
      <c r="C4793" s="2" t="n">
        <v>5</v>
      </c>
      <c r="D4793" s="2" t="s">
        <v>40</v>
      </c>
      <c r="E4793" s="2" t="s">
        <v>8083</v>
      </c>
      <c r="F4793" s="3" t="n">
        <v>46122.2270833333</v>
      </c>
      <c r="G4793" s="2" t="s">
        <v>9602</v>
      </c>
      <c r="H4793" s="4" t="n">
        <v>0.4019</v>
      </c>
      <c r="I4793" s="2" t="s">
        <v>23</v>
      </c>
      <c r="J4793" s="2" t="s">
        <v>33</v>
      </c>
      <c r="K4793" s="2" t="n">
        <v>8</v>
      </c>
      <c r="L4793" s="2" t="n">
        <v>0</v>
      </c>
      <c r="M4793" s="2" t="n">
        <v>0</v>
      </c>
    </row>
    <row r="4794" customFormat="false" ht="15" hidden="false" customHeight="false" outlineLevel="0" collapsed="false">
      <c r="A4794" s="2" t="s">
        <v>9810</v>
      </c>
      <c r="B4794" s="2" t="s">
        <v>9811</v>
      </c>
      <c r="C4794" s="2" t="n">
        <v>3</v>
      </c>
      <c r="D4794" s="2" t="s">
        <v>863</v>
      </c>
      <c r="E4794" s="2" t="s">
        <v>8083</v>
      </c>
      <c r="F4794" s="3" t="n">
        <v>46122.3013888889</v>
      </c>
      <c r="G4794" s="2" t="s">
        <v>9602</v>
      </c>
      <c r="H4794" s="4" t="n">
        <v>-0.092</v>
      </c>
      <c r="I4794" s="2" t="s">
        <v>84</v>
      </c>
      <c r="J4794" s="2" t="s">
        <v>19</v>
      </c>
      <c r="K4794" s="2" t="n">
        <v>2</v>
      </c>
      <c r="L4794" s="2" t="n">
        <v>0</v>
      </c>
      <c r="M4794" s="2" t="n">
        <v>0</v>
      </c>
    </row>
    <row r="4795" customFormat="false" ht="15" hidden="false" customHeight="false" outlineLevel="0" collapsed="false">
      <c r="A4795" s="2" t="s">
        <v>9812</v>
      </c>
      <c r="B4795" s="2" t="s">
        <v>9813</v>
      </c>
      <c r="C4795" s="2" t="n">
        <v>4</v>
      </c>
      <c r="D4795" s="2" t="s">
        <v>127</v>
      </c>
      <c r="E4795" s="2" t="s">
        <v>8083</v>
      </c>
      <c r="F4795" s="3" t="n">
        <v>46122.3770833333</v>
      </c>
      <c r="G4795" s="2" t="s">
        <v>9602</v>
      </c>
      <c r="H4795" s="4" t="n">
        <v>0.9359</v>
      </c>
      <c r="I4795" s="2" t="s">
        <v>23</v>
      </c>
      <c r="J4795" s="2" t="s">
        <v>37</v>
      </c>
      <c r="K4795" s="2" t="n">
        <v>3</v>
      </c>
      <c r="L4795" s="2" t="n">
        <v>0</v>
      </c>
      <c r="M4795" s="2" t="n">
        <v>0</v>
      </c>
    </row>
    <row r="4796" customFormat="false" ht="15" hidden="false" customHeight="false" outlineLevel="0" collapsed="false">
      <c r="A4796" s="2" t="s">
        <v>9814</v>
      </c>
      <c r="B4796" s="2" t="s">
        <v>9815</v>
      </c>
      <c r="C4796" s="2" t="n">
        <v>4</v>
      </c>
      <c r="D4796" s="2" t="s">
        <v>325</v>
      </c>
      <c r="E4796" s="2" t="s">
        <v>8083</v>
      </c>
      <c r="F4796" s="3" t="n">
        <v>46122.5222222222</v>
      </c>
      <c r="G4796" s="2" t="s">
        <v>9602</v>
      </c>
      <c r="H4796" s="4" t="n">
        <v>0.9612</v>
      </c>
      <c r="I4796" s="2" t="s">
        <v>23</v>
      </c>
      <c r="J4796" s="2" t="s">
        <v>37</v>
      </c>
      <c r="K4796" s="2" t="n">
        <v>8</v>
      </c>
      <c r="L4796" s="2" t="n">
        <v>0</v>
      </c>
      <c r="M4796" s="2" t="n">
        <v>0</v>
      </c>
    </row>
    <row r="4797" customFormat="false" ht="15" hidden="false" customHeight="false" outlineLevel="0" collapsed="false">
      <c r="A4797" s="2" t="s">
        <v>9816</v>
      </c>
      <c r="B4797" s="2" t="s">
        <v>9817</v>
      </c>
      <c r="C4797" s="2" t="n">
        <v>4</v>
      </c>
      <c r="D4797" s="2" t="s">
        <v>52</v>
      </c>
      <c r="E4797" s="2" t="s">
        <v>8083</v>
      </c>
      <c r="F4797" s="3" t="n">
        <v>46122.5368055556</v>
      </c>
      <c r="G4797" s="2" t="s">
        <v>9602</v>
      </c>
      <c r="H4797" s="4" t="n">
        <v>0.6369</v>
      </c>
      <c r="I4797" s="2" t="s">
        <v>23</v>
      </c>
      <c r="J4797" s="2" t="s">
        <v>19</v>
      </c>
      <c r="K4797" s="2" t="n">
        <v>5</v>
      </c>
      <c r="L4797" s="2" t="n">
        <v>0</v>
      </c>
      <c r="M4797" s="2" t="n">
        <v>0</v>
      </c>
    </row>
    <row r="4798" customFormat="false" ht="15" hidden="false" customHeight="false" outlineLevel="0" collapsed="false">
      <c r="A4798" s="2" t="s">
        <v>9818</v>
      </c>
      <c r="B4798" s="2" t="s">
        <v>9819</v>
      </c>
      <c r="C4798" s="2" t="n">
        <v>4</v>
      </c>
      <c r="D4798" s="2" t="s">
        <v>62</v>
      </c>
      <c r="E4798" s="2" t="s">
        <v>8083</v>
      </c>
      <c r="F4798" s="3" t="n">
        <v>46122.5631944445</v>
      </c>
      <c r="G4798" s="2" t="s">
        <v>9602</v>
      </c>
      <c r="H4798" s="4" t="n">
        <v>0.7088</v>
      </c>
      <c r="I4798" s="2" t="s">
        <v>23</v>
      </c>
      <c r="J4798" s="2" t="s">
        <v>19</v>
      </c>
      <c r="K4798" s="2" t="n">
        <v>2</v>
      </c>
      <c r="L4798" s="2" t="n">
        <v>0</v>
      </c>
      <c r="M4798" s="2" t="n">
        <v>0</v>
      </c>
    </row>
    <row r="4799" customFormat="false" ht="15" hidden="false" customHeight="false" outlineLevel="0" collapsed="false">
      <c r="A4799" s="2" t="s">
        <v>9820</v>
      </c>
      <c r="B4799" s="2" t="s">
        <v>9821</v>
      </c>
      <c r="C4799" s="2" t="n">
        <v>5</v>
      </c>
      <c r="D4799" s="2" t="s">
        <v>787</v>
      </c>
      <c r="E4799" s="2" t="s">
        <v>8083</v>
      </c>
      <c r="F4799" s="3" t="n">
        <v>46122.5881944444</v>
      </c>
      <c r="G4799" s="2" t="s">
        <v>9602</v>
      </c>
      <c r="H4799" s="4" t="n">
        <v>0.7475</v>
      </c>
      <c r="I4799" s="2" t="s">
        <v>23</v>
      </c>
      <c r="J4799" s="2" t="s">
        <v>37</v>
      </c>
      <c r="K4799" s="2" t="n">
        <v>0</v>
      </c>
      <c r="L4799" s="2" t="n">
        <v>0</v>
      </c>
      <c r="M4799" s="2" t="n">
        <v>0</v>
      </c>
    </row>
    <row r="4800" customFormat="false" ht="15" hidden="false" customHeight="false" outlineLevel="0" collapsed="false">
      <c r="A4800" s="2" t="s">
        <v>9822</v>
      </c>
      <c r="B4800" s="2" t="s">
        <v>9823</v>
      </c>
      <c r="C4800" s="2" t="n">
        <v>5</v>
      </c>
      <c r="D4800" s="2" t="s">
        <v>407</v>
      </c>
      <c r="E4800" s="2" t="s">
        <v>8083</v>
      </c>
      <c r="F4800" s="3" t="n">
        <v>46122.6263888889</v>
      </c>
      <c r="G4800" s="2" t="s">
        <v>9602</v>
      </c>
      <c r="H4800" s="4" t="n">
        <v>0.7783</v>
      </c>
      <c r="I4800" s="2" t="s">
        <v>23</v>
      </c>
      <c r="J4800" s="2" t="s">
        <v>37</v>
      </c>
      <c r="K4800" s="2" t="n">
        <v>8</v>
      </c>
      <c r="L4800" s="2" t="n">
        <v>0</v>
      </c>
      <c r="M4800" s="2" t="n">
        <v>0</v>
      </c>
    </row>
    <row r="4801" customFormat="false" ht="15" hidden="false" customHeight="false" outlineLevel="0" collapsed="false">
      <c r="A4801" s="2" t="s">
        <v>9824</v>
      </c>
      <c r="B4801" s="2" t="s">
        <v>9825</v>
      </c>
      <c r="C4801" s="2" t="n">
        <v>3</v>
      </c>
      <c r="D4801" s="2" t="s">
        <v>4258</v>
      </c>
      <c r="E4801" s="2" t="s">
        <v>8083</v>
      </c>
      <c r="F4801" s="3" t="n">
        <v>46122.8701388889</v>
      </c>
      <c r="G4801" s="2" t="s">
        <v>9602</v>
      </c>
      <c r="H4801" s="4" t="n">
        <v>0.1635</v>
      </c>
      <c r="I4801" s="2" t="s">
        <v>23</v>
      </c>
      <c r="J4801" s="2" t="s">
        <v>37</v>
      </c>
      <c r="K4801" s="2" t="n">
        <v>2</v>
      </c>
      <c r="L4801" s="2" t="n">
        <v>0</v>
      </c>
      <c r="M4801" s="2" t="n">
        <v>0</v>
      </c>
    </row>
    <row r="4802" customFormat="false" ht="15" hidden="false" customHeight="false" outlineLevel="0" collapsed="false">
      <c r="A4802" s="2" t="s">
        <v>9826</v>
      </c>
      <c r="B4802" s="2" t="s">
        <v>9827</v>
      </c>
      <c r="C4802" s="2" t="n">
        <v>3</v>
      </c>
      <c r="D4802" s="2" t="s">
        <v>99</v>
      </c>
      <c r="E4802" s="2" t="s">
        <v>8083</v>
      </c>
      <c r="F4802" s="3" t="n">
        <v>46122.8805555556</v>
      </c>
      <c r="G4802" s="2" t="s">
        <v>9602</v>
      </c>
      <c r="H4802" s="4" t="n">
        <v>-0.3089</v>
      </c>
      <c r="I4802" s="2" t="s">
        <v>84</v>
      </c>
      <c r="J4802" s="2" t="s">
        <v>19</v>
      </c>
      <c r="K4802" s="2" t="n">
        <v>1</v>
      </c>
      <c r="L4802" s="2" t="n">
        <v>0</v>
      </c>
      <c r="M4802" s="2" t="n">
        <v>0</v>
      </c>
    </row>
    <row r="4803" customFormat="false" ht="15" hidden="false" customHeight="false" outlineLevel="0" collapsed="false">
      <c r="A4803" s="2" t="s">
        <v>9828</v>
      </c>
      <c r="B4803" s="2" t="s">
        <v>9829</v>
      </c>
      <c r="C4803" s="2" t="n">
        <v>4</v>
      </c>
      <c r="D4803" s="2" t="s">
        <v>36</v>
      </c>
      <c r="E4803" s="2" t="s">
        <v>8083</v>
      </c>
      <c r="F4803" s="3" t="n">
        <v>46122.9159722222</v>
      </c>
      <c r="G4803" s="2" t="s">
        <v>9602</v>
      </c>
      <c r="H4803" s="4" t="n">
        <v>0.4404</v>
      </c>
      <c r="I4803" s="2" t="s">
        <v>23</v>
      </c>
      <c r="J4803" s="2" t="s">
        <v>37</v>
      </c>
      <c r="K4803" s="2" t="n">
        <v>1</v>
      </c>
      <c r="L4803" s="2" t="n">
        <v>0</v>
      </c>
      <c r="M4803" s="2" t="n">
        <v>0</v>
      </c>
    </row>
    <row r="4804" customFormat="false" ht="15" hidden="false" customHeight="false" outlineLevel="0" collapsed="false">
      <c r="A4804" s="2" t="s">
        <v>9830</v>
      </c>
      <c r="B4804" s="2" t="s">
        <v>9831</v>
      </c>
      <c r="C4804" s="2" t="n">
        <v>4</v>
      </c>
      <c r="D4804" s="2" t="s">
        <v>325</v>
      </c>
      <c r="E4804" s="2" t="s">
        <v>8083</v>
      </c>
      <c r="F4804" s="3" t="n">
        <v>46123.0743055556</v>
      </c>
      <c r="G4804" s="2" t="s">
        <v>9602</v>
      </c>
      <c r="H4804" s="4" t="n">
        <v>0.9612</v>
      </c>
      <c r="I4804" s="2" t="s">
        <v>23</v>
      </c>
      <c r="J4804" s="2" t="s">
        <v>37</v>
      </c>
      <c r="K4804" s="2" t="n">
        <v>4</v>
      </c>
      <c r="L4804" s="2" t="n">
        <v>0</v>
      </c>
      <c r="M4804" s="2" t="n">
        <v>0</v>
      </c>
    </row>
    <row r="4805" customFormat="false" ht="15" hidden="false" customHeight="false" outlineLevel="0" collapsed="false">
      <c r="A4805" s="2" t="s">
        <v>9832</v>
      </c>
      <c r="B4805" s="2" t="s">
        <v>9833</v>
      </c>
      <c r="C4805" s="2" t="n">
        <v>1</v>
      </c>
      <c r="D4805" s="2" t="s">
        <v>231</v>
      </c>
      <c r="E4805" s="2" t="s">
        <v>8083</v>
      </c>
      <c r="F4805" s="3" t="n">
        <v>46123.31875</v>
      </c>
      <c r="G4805" s="2" t="s">
        <v>9602</v>
      </c>
      <c r="H4805" s="4" t="n">
        <v>-0.3593</v>
      </c>
      <c r="I4805" s="2" t="s">
        <v>84</v>
      </c>
      <c r="J4805" s="2" t="s">
        <v>33</v>
      </c>
      <c r="K4805" s="2" t="n">
        <v>7</v>
      </c>
      <c r="L4805" s="2" t="n">
        <v>1</v>
      </c>
      <c r="M4805" s="2" t="n">
        <v>0</v>
      </c>
    </row>
    <row r="4806" customFormat="false" ht="15" hidden="false" customHeight="false" outlineLevel="0" collapsed="false">
      <c r="A4806" s="2" t="s">
        <v>9834</v>
      </c>
      <c r="B4806" s="2" t="s">
        <v>7459</v>
      </c>
      <c r="C4806" s="2" t="n">
        <v>5</v>
      </c>
      <c r="D4806" s="2" t="s">
        <v>269</v>
      </c>
      <c r="E4806" s="2" t="s">
        <v>8083</v>
      </c>
      <c r="F4806" s="3" t="n">
        <v>46123.3444444445</v>
      </c>
      <c r="G4806" s="2" t="s">
        <v>9602</v>
      </c>
      <c r="H4806" s="4" t="n">
        <v>0.8748</v>
      </c>
      <c r="I4806" s="2" t="s">
        <v>23</v>
      </c>
      <c r="J4806" s="2" t="s">
        <v>37</v>
      </c>
      <c r="K4806" s="2" t="n">
        <v>0</v>
      </c>
      <c r="L4806" s="2" t="n">
        <v>0</v>
      </c>
      <c r="M4806" s="2" t="n">
        <v>0</v>
      </c>
    </row>
    <row r="4807" customFormat="false" ht="15" hidden="false" customHeight="false" outlineLevel="0" collapsed="false">
      <c r="A4807" s="2" t="s">
        <v>9835</v>
      </c>
      <c r="B4807" s="2" t="s">
        <v>9836</v>
      </c>
      <c r="C4807" s="2" t="n">
        <v>5</v>
      </c>
      <c r="D4807" s="2" t="s">
        <v>40</v>
      </c>
      <c r="E4807" s="2" t="s">
        <v>8083</v>
      </c>
      <c r="F4807" s="3" t="n">
        <v>46123.5409722222</v>
      </c>
      <c r="G4807" s="2" t="s">
        <v>9602</v>
      </c>
      <c r="H4807" s="4" t="n">
        <v>0.4019</v>
      </c>
      <c r="I4807" s="2" t="s">
        <v>23</v>
      </c>
      <c r="J4807" s="2" t="s">
        <v>33</v>
      </c>
      <c r="K4807" s="2" t="n">
        <v>3</v>
      </c>
      <c r="L4807" s="2" t="n">
        <v>0</v>
      </c>
      <c r="M4807" s="2" t="n">
        <v>0</v>
      </c>
    </row>
    <row r="4808" customFormat="false" ht="15" hidden="false" customHeight="false" outlineLevel="0" collapsed="false">
      <c r="A4808" s="2" t="s">
        <v>9837</v>
      </c>
      <c r="B4808" s="2" t="s">
        <v>9838</v>
      </c>
      <c r="C4808" s="2" t="n">
        <v>5</v>
      </c>
      <c r="D4808" s="2" t="s">
        <v>40</v>
      </c>
      <c r="E4808" s="2" t="s">
        <v>8083</v>
      </c>
      <c r="F4808" s="3" t="n">
        <v>46123.6</v>
      </c>
      <c r="G4808" s="2" t="s">
        <v>9602</v>
      </c>
      <c r="H4808" s="4" t="n">
        <v>0.4019</v>
      </c>
      <c r="I4808" s="2" t="s">
        <v>23</v>
      </c>
      <c r="J4808" s="2" t="s">
        <v>33</v>
      </c>
      <c r="K4808" s="2" t="n">
        <v>6</v>
      </c>
      <c r="L4808" s="2" t="n">
        <v>0</v>
      </c>
      <c r="M4808" s="2" t="n">
        <v>0</v>
      </c>
    </row>
    <row r="4809" customFormat="false" ht="15" hidden="false" customHeight="false" outlineLevel="0" collapsed="false">
      <c r="A4809" s="2" t="s">
        <v>9839</v>
      </c>
      <c r="B4809" s="2" t="s">
        <v>9840</v>
      </c>
      <c r="C4809" s="2" t="n">
        <v>5</v>
      </c>
      <c r="D4809" s="2" t="s">
        <v>90</v>
      </c>
      <c r="E4809" s="2" t="s">
        <v>8083</v>
      </c>
      <c r="F4809" s="3" t="n">
        <v>46123.6708333333</v>
      </c>
      <c r="G4809" s="2" t="s">
        <v>9602</v>
      </c>
      <c r="H4809" s="4" t="n">
        <v>0.6249</v>
      </c>
      <c r="I4809" s="2" t="s">
        <v>23</v>
      </c>
      <c r="J4809" s="2" t="s">
        <v>37</v>
      </c>
      <c r="K4809" s="2" t="n">
        <v>11</v>
      </c>
      <c r="L4809" s="2" t="n">
        <v>0</v>
      </c>
      <c r="M4809" s="2" t="n">
        <v>0</v>
      </c>
    </row>
    <row r="4810" customFormat="false" ht="15" hidden="false" customHeight="false" outlineLevel="0" collapsed="false">
      <c r="A4810" s="2" t="s">
        <v>9841</v>
      </c>
      <c r="B4810" s="2" t="s">
        <v>6622</v>
      </c>
      <c r="C4810" s="2" t="n">
        <v>5</v>
      </c>
      <c r="D4810" s="2" t="s">
        <v>15</v>
      </c>
      <c r="E4810" s="2" t="s">
        <v>8083</v>
      </c>
      <c r="F4810" s="3" t="n">
        <v>46123.7409722222</v>
      </c>
      <c r="G4810" s="2" t="s">
        <v>9602</v>
      </c>
      <c r="H4810" s="4" t="n">
        <v>0</v>
      </c>
      <c r="I4810" s="2" t="s">
        <v>18</v>
      </c>
      <c r="J4810" s="2" t="s">
        <v>19</v>
      </c>
      <c r="K4810" s="2" t="n">
        <v>1</v>
      </c>
      <c r="L4810" s="2" t="n">
        <v>0</v>
      </c>
      <c r="M4810" s="2" t="n">
        <v>0</v>
      </c>
    </row>
    <row r="4811" customFormat="false" ht="15" hidden="false" customHeight="false" outlineLevel="0" collapsed="false">
      <c r="A4811" s="2" t="s">
        <v>9842</v>
      </c>
      <c r="B4811" s="2" t="s">
        <v>9843</v>
      </c>
      <c r="C4811" s="2" t="n">
        <v>4</v>
      </c>
      <c r="D4811" s="2" t="s">
        <v>47</v>
      </c>
      <c r="E4811" s="2" t="s">
        <v>8083</v>
      </c>
      <c r="F4811" s="3" t="n">
        <v>46123.7847222222</v>
      </c>
      <c r="G4811" s="2" t="s">
        <v>9602</v>
      </c>
      <c r="H4811" s="4" t="n">
        <v>0.3089</v>
      </c>
      <c r="I4811" s="2" t="s">
        <v>23</v>
      </c>
      <c r="J4811" s="2" t="s">
        <v>19</v>
      </c>
      <c r="K4811" s="2" t="n">
        <v>1</v>
      </c>
      <c r="L4811" s="2" t="n">
        <v>0</v>
      </c>
      <c r="M4811" s="2" t="n">
        <v>0</v>
      </c>
    </row>
    <row r="4812" customFormat="false" ht="15" hidden="false" customHeight="false" outlineLevel="0" collapsed="false">
      <c r="A4812" s="2" t="s">
        <v>9844</v>
      </c>
      <c r="B4812" s="2" t="s">
        <v>9845</v>
      </c>
      <c r="C4812" s="2" t="n">
        <v>5</v>
      </c>
      <c r="D4812" s="2" t="s">
        <v>251</v>
      </c>
      <c r="E4812" s="2" t="s">
        <v>8083</v>
      </c>
      <c r="F4812" s="3" t="n">
        <v>46123.8270833333</v>
      </c>
      <c r="G4812" s="2" t="s">
        <v>9602</v>
      </c>
      <c r="H4812" s="4" t="n">
        <v>0.8651</v>
      </c>
      <c r="I4812" s="2" t="s">
        <v>23</v>
      </c>
      <c r="J4812" s="2" t="s">
        <v>19</v>
      </c>
      <c r="K4812" s="2" t="n">
        <v>5</v>
      </c>
      <c r="L4812" s="2" t="n">
        <v>0</v>
      </c>
      <c r="M4812" s="2" t="n">
        <v>0</v>
      </c>
    </row>
    <row r="4813" customFormat="false" ht="15" hidden="false" customHeight="false" outlineLevel="0" collapsed="false">
      <c r="A4813" s="2" t="s">
        <v>9846</v>
      </c>
      <c r="B4813" s="2" t="s">
        <v>9847</v>
      </c>
      <c r="C4813" s="2" t="n">
        <v>4</v>
      </c>
      <c r="D4813" s="2" t="s">
        <v>87</v>
      </c>
      <c r="E4813" s="2" t="s">
        <v>8083</v>
      </c>
      <c r="F4813" s="3" t="n">
        <v>46123.8284722222</v>
      </c>
      <c r="G4813" s="2" t="s">
        <v>9602</v>
      </c>
      <c r="H4813" s="4" t="n">
        <v>0</v>
      </c>
      <c r="I4813" s="2" t="s">
        <v>18</v>
      </c>
      <c r="J4813" s="2" t="s">
        <v>19</v>
      </c>
      <c r="K4813" s="2" t="n">
        <v>3</v>
      </c>
      <c r="L4813" s="2" t="n">
        <v>0</v>
      </c>
      <c r="M4813" s="2" t="n">
        <v>0</v>
      </c>
    </row>
    <row r="4814" customFormat="false" ht="15" hidden="false" customHeight="false" outlineLevel="0" collapsed="false">
      <c r="A4814" s="2" t="s">
        <v>9848</v>
      </c>
      <c r="B4814" s="2" t="s">
        <v>9849</v>
      </c>
      <c r="C4814" s="2" t="n">
        <v>4</v>
      </c>
      <c r="D4814" s="2" t="s">
        <v>62</v>
      </c>
      <c r="E4814" s="2" t="s">
        <v>8083</v>
      </c>
      <c r="F4814" s="3" t="n">
        <v>46124.0506944444</v>
      </c>
      <c r="G4814" s="2" t="s">
        <v>9602</v>
      </c>
      <c r="H4814" s="4" t="n">
        <v>0.7088</v>
      </c>
      <c r="I4814" s="2" t="s">
        <v>23</v>
      </c>
      <c r="J4814" s="2" t="s">
        <v>19</v>
      </c>
      <c r="K4814" s="2" t="n">
        <v>1</v>
      </c>
      <c r="L4814" s="2" t="n">
        <v>0</v>
      </c>
      <c r="M4814" s="2" t="n">
        <v>0</v>
      </c>
    </row>
    <row r="4815" customFormat="false" ht="15" hidden="false" customHeight="false" outlineLevel="0" collapsed="false">
      <c r="A4815" s="2" t="s">
        <v>9850</v>
      </c>
      <c r="B4815" s="2" t="s">
        <v>9851</v>
      </c>
      <c r="C4815" s="2" t="n">
        <v>5</v>
      </c>
      <c r="D4815" s="2" t="s">
        <v>52</v>
      </c>
      <c r="E4815" s="2" t="s">
        <v>8083</v>
      </c>
      <c r="F4815" s="3" t="n">
        <v>46124.0618055556</v>
      </c>
      <c r="G4815" s="2" t="s">
        <v>9602</v>
      </c>
      <c r="H4815" s="4" t="n">
        <v>0.6369</v>
      </c>
      <c r="I4815" s="2" t="s">
        <v>23</v>
      </c>
      <c r="J4815" s="2" t="s">
        <v>19</v>
      </c>
      <c r="K4815" s="2" t="n">
        <v>1</v>
      </c>
      <c r="L4815" s="2" t="n">
        <v>0</v>
      </c>
      <c r="M4815" s="2" t="n">
        <v>0</v>
      </c>
    </row>
    <row r="4816" customFormat="false" ht="15" hidden="false" customHeight="false" outlineLevel="0" collapsed="false">
      <c r="A4816" s="2" t="s">
        <v>9852</v>
      </c>
      <c r="B4816" s="2" t="s">
        <v>9853</v>
      </c>
      <c r="C4816" s="2" t="n">
        <v>4</v>
      </c>
      <c r="D4816" s="2" t="s">
        <v>9854</v>
      </c>
      <c r="E4816" s="2" t="s">
        <v>8083</v>
      </c>
      <c r="F4816" s="3" t="n">
        <v>46124.1208333333</v>
      </c>
      <c r="G4816" s="2" t="s">
        <v>9602</v>
      </c>
      <c r="H4816" s="4" t="n">
        <v>0.6319</v>
      </c>
      <c r="I4816" s="2" t="s">
        <v>23</v>
      </c>
      <c r="J4816" s="2" t="s">
        <v>37</v>
      </c>
      <c r="K4816" s="2" t="n">
        <v>0</v>
      </c>
      <c r="L4816" s="2" t="n">
        <v>0</v>
      </c>
      <c r="M4816" s="2" t="n">
        <v>0</v>
      </c>
    </row>
    <row r="4817" customFormat="false" ht="15" hidden="false" customHeight="false" outlineLevel="0" collapsed="false">
      <c r="A4817" s="2" t="s">
        <v>9855</v>
      </c>
      <c r="B4817" s="2" t="s">
        <v>9856</v>
      </c>
      <c r="C4817" s="2" t="n">
        <v>5</v>
      </c>
      <c r="D4817" s="2" t="s">
        <v>127</v>
      </c>
      <c r="E4817" s="2" t="s">
        <v>8083</v>
      </c>
      <c r="F4817" s="3" t="n">
        <v>46124.1930555556</v>
      </c>
      <c r="G4817" s="2" t="s">
        <v>9602</v>
      </c>
      <c r="H4817" s="4" t="n">
        <v>0.9359</v>
      </c>
      <c r="I4817" s="2" t="s">
        <v>23</v>
      </c>
      <c r="J4817" s="2" t="s">
        <v>37</v>
      </c>
      <c r="K4817" s="2" t="n">
        <v>0</v>
      </c>
      <c r="L4817" s="2" t="n">
        <v>0</v>
      </c>
      <c r="M4817" s="2" t="n">
        <v>0</v>
      </c>
    </row>
    <row r="4818" customFormat="false" ht="15" hidden="false" customHeight="false" outlineLevel="0" collapsed="false">
      <c r="A4818" s="2" t="s">
        <v>9857</v>
      </c>
      <c r="B4818" s="2" t="s">
        <v>1185</v>
      </c>
      <c r="C4818" s="2" t="n">
        <v>5</v>
      </c>
      <c r="D4818" s="2" t="s">
        <v>2587</v>
      </c>
      <c r="E4818" s="2" t="s">
        <v>8083</v>
      </c>
      <c r="F4818" s="3" t="n">
        <v>46124.2354166667</v>
      </c>
      <c r="G4818" s="2" t="s">
        <v>9602</v>
      </c>
      <c r="H4818" s="4" t="n">
        <v>0.9828</v>
      </c>
      <c r="I4818" s="2" t="s">
        <v>23</v>
      </c>
      <c r="J4818" s="2" t="s">
        <v>37</v>
      </c>
      <c r="K4818" s="2" t="n">
        <v>1</v>
      </c>
      <c r="L4818" s="2" t="n">
        <v>0</v>
      </c>
      <c r="M4818" s="2" t="n">
        <v>0</v>
      </c>
    </row>
    <row r="4819" customFormat="false" ht="15" hidden="false" customHeight="false" outlineLevel="0" collapsed="false">
      <c r="A4819" s="2" t="s">
        <v>9858</v>
      </c>
      <c r="B4819" s="2" t="s">
        <v>9859</v>
      </c>
      <c r="C4819" s="2" t="n">
        <v>5</v>
      </c>
      <c r="D4819" s="2" t="s">
        <v>1254</v>
      </c>
      <c r="E4819" s="2" t="s">
        <v>8083</v>
      </c>
      <c r="F4819" s="3" t="n">
        <v>46124.5229166667</v>
      </c>
      <c r="G4819" s="2" t="s">
        <v>9602</v>
      </c>
      <c r="H4819" s="4" t="n">
        <v>0</v>
      </c>
      <c r="I4819" s="2" t="s">
        <v>18</v>
      </c>
      <c r="J4819" s="2" t="s">
        <v>19</v>
      </c>
      <c r="K4819" s="2" t="n">
        <v>4</v>
      </c>
      <c r="L4819" s="2" t="n">
        <v>0</v>
      </c>
      <c r="M4819" s="2" t="n">
        <v>0</v>
      </c>
    </row>
    <row r="4820" customFormat="false" ht="15" hidden="false" customHeight="false" outlineLevel="0" collapsed="false">
      <c r="A4820" s="2" t="s">
        <v>9860</v>
      </c>
      <c r="B4820" s="2" t="s">
        <v>9861</v>
      </c>
      <c r="C4820" s="2" t="n">
        <v>5</v>
      </c>
      <c r="D4820" s="2" t="s">
        <v>127</v>
      </c>
      <c r="E4820" s="2" t="s">
        <v>8083</v>
      </c>
      <c r="F4820" s="3" t="n">
        <v>46124.7993055556</v>
      </c>
      <c r="G4820" s="2" t="s">
        <v>9602</v>
      </c>
      <c r="H4820" s="4" t="n">
        <v>0.9359</v>
      </c>
      <c r="I4820" s="2" t="s">
        <v>23</v>
      </c>
      <c r="J4820" s="2" t="s">
        <v>37</v>
      </c>
      <c r="K4820" s="2" t="n">
        <v>3</v>
      </c>
      <c r="L4820" s="2" t="n">
        <v>0</v>
      </c>
      <c r="M4820" s="2" t="n">
        <v>0</v>
      </c>
    </row>
    <row r="4821" customFormat="false" ht="15" hidden="false" customHeight="false" outlineLevel="0" collapsed="false">
      <c r="A4821" s="2" t="s">
        <v>9862</v>
      </c>
      <c r="B4821" s="2" t="s">
        <v>9863</v>
      </c>
      <c r="C4821" s="2" t="n">
        <v>5</v>
      </c>
      <c r="D4821" s="2" t="s">
        <v>40</v>
      </c>
      <c r="E4821" s="2" t="s">
        <v>8083</v>
      </c>
      <c r="F4821" s="3" t="n">
        <v>46124.9423611111</v>
      </c>
      <c r="G4821" s="2" t="s">
        <v>9602</v>
      </c>
      <c r="H4821" s="4" t="n">
        <v>0.4019</v>
      </c>
      <c r="I4821" s="2" t="s">
        <v>23</v>
      </c>
      <c r="J4821" s="2" t="s">
        <v>33</v>
      </c>
      <c r="K4821" s="2" t="n">
        <v>0</v>
      </c>
      <c r="L4821" s="2" t="n">
        <v>0</v>
      </c>
      <c r="M4821" s="2" t="n">
        <v>0</v>
      </c>
    </row>
    <row r="4822" customFormat="false" ht="15" hidden="false" customHeight="false" outlineLevel="0" collapsed="false">
      <c r="A4822" s="2" t="s">
        <v>9864</v>
      </c>
      <c r="B4822" s="2" t="s">
        <v>9865</v>
      </c>
      <c r="C4822" s="2" t="n">
        <v>1</v>
      </c>
      <c r="D4822" s="2" t="s">
        <v>1192</v>
      </c>
      <c r="E4822" s="2" t="s">
        <v>8083</v>
      </c>
      <c r="F4822" s="3" t="n">
        <v>46125.0277777778</v>
      </c>
      <c r="G4822" s="2" t="s">
        <v>9602</v>
      </c>
      <c r="H4822" s="4" t="n">
        <v>0</v>
      </c>
      <c r="I4822" s="2" t="s">
        <v>18</v>
      </c>
      <c r="J4822" s="2" t="s">
        <v>165</v>
      </c>
      <c r="K4822" s="2" t="n">
        <v>1</v>
      </c>
      <c r="L4822" s="2" t="n">
        <v>1</v>
      </c>
      <c r="M4822" s="2" t="n">
        <v>0</v>
      </c>
    </row>
    <row r="4823" customFormat="false" ht="15" hidden="false" customHeight="false" outlineLevel="0" collapsed="false">
      <c r="A4823" s="2" t="s">
        <v>9866</v>
      </c>
      <c r="B4823" s="2" t="s">
        <v>9867</v>
      </c>
      <c r="C4823" s="2" t="n">
        <v>5</v>
      </c>
      <c r="D4823" s="2" t="s">
        <v>40</v>
      </c>
      <c r="E4823" s="2" t="s">
        <v>8083</v>
      </c>
      <c r="F4823" s="3" t="n">
        <v>46125.1111111111</v>
      </c>
      <c r="G4823" s="2" t="s">
        <v>9602</v>
      </c>
      <c r="H4823" s="4" t="n">
        <v>0.4019</v>
      </c>
      <c r="I4823" s="2" t="s">
        <v>23</v>
      </c>
      <c r="J4823" s="2" t="s">
        <v>33</v>
      </c>
      <c r="K4823" s="2" t="n">
        <v>0</v>
      </c>
      <c r="L4823" s="2" t="n">
        <v>0</v>
      </c>
      <c r="M4823" s="2" t="n">
        <v>0</v>
      </c>
    </row>
    <row r="4824" customFormat="false" ht="15" hidden="false" customHeight="false" outlineLevel="0" collapsed="false">
      <c r="A4824" s="2" t="s">
        <v>9868</v>
      </c>
      <c r="B4824" s="2" t="s">
        <v>9869</v>
      </c>
      <c r="C4824" s="2" t="n">
        <v>1</v>
      </c>
      <c r="D4824" s="2" t="s">
        <v>2886</v>
      </c>
      <c r="E4824" s="2" t="s">
        <v>8083</v>
      </c>
      <c r="F4824" s="3" t="n">
        <v>46125.3111111111</v>
      </c>
      <c r="G4824" s="2" t="s">
        <v>9602</v>
      </c>
      <c r="H4824" s="4" t="n">
        <v>-0.4215</v>
      </c>
      <c r="I4824" s="2" t="s">
        <v>84</v>
      </c>
      <c r="J4824" s="2" t="s">
        <v>110</v>
      </c>
      <c r="K4824" s="2" t="n">
        <v>8</v>
      </c>
      <c r="L4824" s="2" t="n">
        <v>1</v>
      </c>
      <c r="M4824" s="2" t="n">
        <v>0</v>
      </c>
    </row>
    <row r="4825" customFormat="false" ht="15" hidden="false" customHeight="false" outlineLevel="0" collapsed="false">
      <c r="A4825" s="2" t="s">
        <v>9870</v>
      </c>
      <c r="B4825" s="2" t="s">
        <v>9871</v>
      </c>
      <c r="C4825" s="2" t="n">
        <v>3</v>
      </c>
      <c r="D4825" s="2" t="s">
        <v>301</v>
      </c>
      <c r="E4825" s="2" t="s">
        <v>8083</v>
      </c>
      <c r="F4825" s="3" t="n">
        <v>46125.4770833333</v>
      </c>
      <c r="G4825" s="2" t="s">
        <v>9602</v>
      </c>
      <c r="H4825" s="4" t="n">
        <v>0.2263</v>
      </c>
      <c r="I4825" s="2" t="s">
        <v>23</v>
      </c>
      <c r="J4825" s="2" t="s">
        <v>19</v>
      </c>
      <c r="K4825" s="2" t="n">
        <v>1</v>
      </c>
      <c r="L4825" s="2" t="n">
        <v>0</v>
      </c>
      <c r="M4825" s="2" t="n">
        <v>0</v>
      </c>
    </row>
    <row r="4826" customFormat="false" ht="15" hidden="false" customHeight="false" outlineLevel="0" collapsed="false">
      <c r="A4826" s="2" t="s">
        <v>9872</v>
      </c>
      <c r="B4826" s="2" t="s">
        <v>9873</v>
      </c>
      <c r="C4826" s="2" t="n">
        <v>3</v>
      </c>
      <c r="D4826" s="2" t="s">
        <v>113</v>
      </c>
      <c r="E4826" s="2" t="s">
        <v>8083</v>
      </c>
      <c r="F4826" s="3" t="n">
        <v>46125.5256944444</v>
      </c>
      <c r="G4826" s="2" t="s">
        <v>9602</v>
      </c>
      <c r="H4826" s="4" t="n">
        <v>-0.431</v>
      </c>
      <c r="I4826" s="2" t="s">
        <v>84</v>
      </c>
      <c r="J4826" s="2" t="s">
        <v>19</v>
      </c>
      <c r="K4826" s="2" t="n">
        <v>1</v>
      </c>
      <c r="L4826" s="2" t="n">
        <v>0</v>
      </c>
      <c r="M4826" s="2" t="n">
        <v>0</v>
      </c>
    </row>
    <row r="4827" customFormat="false" ht="15" hidden="false" customHeight="false" outlineLevel="0" collapsed="false">
      <c r="A4827" s="2" t="s">
        <v>9874</v>
      </c>
      <c r="B4827" s="2" t="s">
        <v>9875</v>
      </c>
      <c r="C4827" s="2" t="n">
        <v>4</v>
      </c>
      <c r="D4827" s="2" t="s">
        <v>15</v>
      </c>
      <c r="E4827" s="2" t="s">
        <v>8083</v>
      </c>
      <c r="F4827" s="3" t="n">
        <v>46125.5979166667</v>
      </c>
      <c r="G4827" s="2" t="s">
        <v>9602</v>
      </c>
      <c r="H4827" s="4" t="n">
        <v>0</v>
      </c>
      <c r="I4827" s="2" t="s">
        <v>18</v>
      </c>
      <c r="J4827" s="2" t="s">
        <v>19</v>
      </c>
      <c r="K4827" s="2" t="n">
        <v>5</v>
      </c>
      <c r="L4827" s="2" t="n">
        <v>0</v>
      </c>
      <c r="M4827" s="2" t="n">
        <v>0</v>
      </c>
    </row>
    <row r="4828" customFormat="false" ht="15" hidden="false" customHeight="false" outlineLevel="0" collapsed="false">
      <c r="A4828" s="2" t="s">
        <v>9876</v>
      </c>
      <c r="B4828" s="2" t="s">
        <v>9877</v>
      </c>
      <c r="C4828" s="2" t="n">
        <v>3</v>
      </c>
      <c r="D4828" s="2" t="s">
        <v>4258</v>
      </c>
      <c r="E4828" s="2" t="s">
        <v>8083</v>
      </c>
      <c r="F4828" s="3" t="n">
        <v>46125.6541666667</v>
      </c>
      <c r="G4828" s="2" t="s">
        <v>9602</v>
      </c>
      <c r="H4828" s="4" t="n">
        <v>0.1635</v>
      </c>
      <c r="I4828" s="2" t="s">
        <v>23</v>
      </c>
      <c r="J4828" s="2" t="s">
        <v>37</v>
      </c>
      <c r="K4828" s="2" t="n">
        <v>4</v>
      </c>
      <c r="L4828" s="2" t="n">
        <v>0</v>
      </c>
      <c r="M4828" s="2" t="n">
        <v>0</v>
      </c>
    </row>
    <row r="4829" customFormat="false" ht="15" hidden="false" customHeight="false" outlineLevel="0" collapsed="false">
      <c r="A4829" s="2" t="s">
        <v>9878</v>
      </c>
      <c r="B4829" s="2" t="s">
        <v>9879</v>
      </c>
      <c r="C4829" s="2" t="n">
        <v>1</v>
      </c>
      <c r="D4829" s="2" t="s">
        <v>498</v>
      </c>
      <c r="E4829" s="2" t="s">
        <v>8083</v>
      </c>
      <c r="F4829" s="3" t="n">
        <v>46125.6930555556</v>
      </c>
      <c r="G4829" s="2" t="s">
        <v>9602</v>
      </c>
      <c r="H4829" s="4" t="n">
        <v>0</v>
      </c>
      <c r="I4829" s="2" t="s">
        <v>18</v>
      </c>
      <c r="J4829" s="2" t="s">
        <v>165</v>
      </c>
      <c r="K4829" s="2" t="n">
        <v>2</v>
      </c>
      <c r="L4829" s="2" t="n">
        <v>1</v>
      </c>
      <c r="M4829" s="2" t="n">
        <v>0</v>
      </c>
    </row>
    <row r="4830" customFormat="false" ht="15" hidden="false" customHeight="false" outlineLevel="0" collapsed="false">
      <c r="A4830" s="2" t="s">
        <v>9880</v>
      </c>
      <c r="B4830" s="2" t="s">
        <v>9881</v>
      </c>
      <c r="C4830" s="2" t="n">
        <v>3</v>
      </c>
      <c r="D4830" s="2" t="s">
        <v>301</v>
      </c>
      <c r="E4830" s="2" t="s">
        <v>8083</v>
      </c>
      <c r="F4830" s="3" t="n">
        <v>46125.9055555556</v>
      </c>
      <c r="G4830" s="2" t="s">
        <v>9602</v>
      </c>
      <c r="H4830" s="4" t="n">
        <v>0.2263</v>
      </c>
      <c r="I4830" s="2" t="s">
        <v>23</v>
      </c>
      <c r="J4830" s="2" t="s">
        <v>19</v>
      </c>
      <c r="K4830" s="2" t="n">
        <v>2</v>
      </c>
      <c r="L4830" s="2" t="n">
        <v>0</v>
      </c>
      <c r="M4830" s="2" t="n">
        <v>0</v>
      </c>
    </row>
    <row r="4831" customFormat="false" ht="15" hidden="false" customHeight="false" outlineLevel="0" collapsed="false">
      <c r="A4831" s="2" t="s">
        <v>9882</v>
      </c>
      <c r="B4831" s="2" t="s">
        <v>9883</v>
      </c>
      <c r="C4831" s="2" t="n">
        <v>4</v>
      </c>
      <c r="D4831" s="2" t="s">
        <v>15</v>
      </c>
      <c r="E4831" s="2" t="s">
        <v>8083</v>
      </c>
      <c r="F4831" s="3" t="n">
        <v>46125.9645833333</v>
      </c>
      <c r="G4831" s="2" t="s">
        <v>9602</v>
      </c>
      <c r="H4831" s="4" t="n">
        <v>0</v>
      </c>
      <c r="I4831" s="2" t="s">
        <v>18</v>
      </c>
      <c r="J4831" s="2" t="s">
        <v>19</v>
      </c>
      <c r="K4831" s="2" t="n">
        <v>8</v>
      </c>
      <c r="L4831" s="2" t="n">
        <v>0</v>
      </c>
      <c r="M4831" s="2" t="n">
        <v>0</v>
      </c>
    </row>
    <row r="4832" customFormat="false" ht="15" hidden="false" customHeight="false" outlineLevel="0" collapsed="false">
      <c r="A4832" s="2" t="s">
        <v>9884</v>
      </c>
      <c r="B4832" s="2" t="s">
        <v>9885</v>
      </c>
      <c r="C4832" s="2" t="n">
        <v>4</v>
      </c>
      <c r="D4832" s="2" t="s">
        <v>4742</v>
      </c>
      <c r="E4832" s="2" t="s">
        <v>8083</v>
      </c>
      <c r="F4832" s="3" t="n">
        <v>46126.1375</v>
      </c>
      <c r="G4832" s="2" t="s">
        <v>9602</v>
      </c>
      <c r="H4832" s="4" t="n">
        <v>0.9441</v>
      </c>
      <c r="I4832" s="2" t="s">
        <v>23</v>
      </c>
      <c r="J4832" s="2" t="s">
        <v>37</v>
      </c>
      <c r="K4832" s="2" t="n">
        <v>1</v>
      </c>
      <c r="L4832" s="2" t="n">
        <v>0</v>
      </c>
      <c r="M4832" s="2" t="n">
        <v>0</v>
      </c>
    </row>
    <row r="4833" customFormat="false" ht="15" hidden="false" customHeight="false" outlineLevel="0" collapsed="false">
      <c r="A4833" s="2" t="s">
        <v>9886</v>
      </c>
      <c r="B4833" s="2" t="s">
        <v>9887</v>
      </c>
      <c r="C4833" s="2" t="n">
        <v>4</v>
      </c>
      <c r="D4833" s="2" t="s">
        <v>15</v>
      </c>
      <c r="E4833" s="2" t="s">
        <v>8083</v>
      </c>
      <c r="F4833" s="3" t="n">
        <v>46126.2513888889</v>
      </c>
      <c r="G4833" s="2" t="s">
        <v>9602</v>
      </c>
      <c r="H4833" s="4" t="n">
        <v>0</v>
      </c>
      <c r="I4833" s="2" t="s">
        <v>18</v>
      </c>
      <c r="J4833" s="2" t="s">
        <v>19</v>
      </c>
      <c r="K4833" s="2" t="n">
        <v>1</v>
      </c>
      <c r="L4833" s="2" t="n">
        <v>0</v>
      </c>
      <c r="M4833" s="2" t="n">
        <v>0</v>
      </c>
    </row>
    <row r="4834" customFormat="false" ht="15" hidden="false" customHeight="false" outlineLevel="0" collapsed="false">
      <c r="A4834" s="2" t="s">
        <v>9888</v>
      </c>
      <c r="B4834" s="2" t="s">
        <v>9889</v>
      </c>
      <c r="C4834" s="2" t="n">
        <v>5</v>
      </c>
      <c r="D4834" s="2" t="s">
        <v>186</v>
      </c>
      <c r="E4834" s="2" t="s">
        <v>8083</v>
      </c>
      <c r="F4834" s="3" t="n">
        <v>46126.2902777778</v>
      </c>
      <c r="G4834" s="2" t="s">
        <v>9602</v>
      </c>
      <c r="H4834" s="4" t="n">
        <v>0.8777</v>
      </c>
      <c r="I4834" s="2" t="s">
        <v>23</v>
      </c>
      <c r="J4834" s="2" t="s">
        <v>19</v>
      </c>
      <c r="K4834" s="2" t="n">
        <v>0</v>
      </c>
      <c r="L4834" s="2" t="n">
        <v>0</v>
      </c>
      <c r="M4834" s="2" t="n">
        <v>0</v>
      </c>
    </row>
    <row r="4835" customFormat="false" ht="15" hidden="false" customHeight="false" outlineLevel="0" collapsed="false">
      <c r="A4835" s="2" t="s">
        <v>9890</v>
      </c>
      <c r="B4835" s="2" t="s">
        <v>9891</v>
      </c>
      <c r="C4835" s="2" t="n">
        <v>4</v>
      </c>
      <c r="D4835" s="2" t="s">
        <v>2587</v>
      </c>
      <c r="E4835" s="2" t="s">
        <v>8083</v>
      </c>
      <c r="F4835" s="3" t="n">
        <v>46126.3638888889</v>
      </c>
      <c r="G4835" s="2" t="s">
        <v>9602</v>
      </c>
      <c r="H4835" s="4" t="n">
        <v>0.9828</v>
      </c>
      <c r="I4835" s="2" t="s">
        <v>23</v>
      </c>
      <c r="J4835" s="2" t="s">
        <v>37</v>
      </c>
      <c r="K4835" s="2" t="n">
        <v>0</v>
      </c>
      <c r="L4835" s="2" t="n">
        <v>0</v>
      </c>
      <c r="M4835" s="2" t="n">
        <v>0</v>
      </c>
    </row>
    <row r="4836" customFormat="false" ht="15" hidden="false" customHeight="false" outlineLevel="0" collapsed="false">
      <c r="A4836" s="2" t="s">
        <v>9892</v>
      </c>
      <c r="B4836" s="2" t="s">
        <v>9893</v>
      </c>
      <c r="C4836" s="2" t="n">
        <v>4</v>
      </c>
      <c r="D4836" s="2" t="s">
        <v>47</v>
      </c>
      <c r="E4836" s="2" t="s">
        <v>8083</v>
      </c>
      <c r="F4836" s="3" t="n">
        <v>46126.4256944444</v>
      </c>
      <c r="G4836" s="2" t="s">
        <v>9602</v>
      </c>
      <c r="H4836" s="4" t="n">
        <v>0.3089</v>
      </c>
      <c r="I4836" s="2" t="s">
        <v>23</v>
      </c>
      <c r="J4836" s="2" t="s">
        <v>19</v>
      </c>
      <c r="K4836" s="2" t="n">
        <v>4</v>
      </c>
      <c r="L4836" s="2" t="n">
        <v>0</v>
      </c>
      <c r="M4836" s="2" t="n">
        <v>0</v>
      </c>
    </row>
    <row r="4837" customFormat="false" ht="15" hidden="false" customHeight="false" outlineLevel="0" collapsed="false">
      <c r="A4837" s="2" t="s">
        <v>9894</v>
      </c>
      <c r="B4837" s="2" t="s">
        <v>9895</v>
      </c>
      <c r="C4837" s="2" t="n">
        <v>4</v>
      </c>
      <c r="D4837" s="2" t="s">
        <v>96</v>
      </c>
      <c r="E4837" s="2" t="s">
        <v>8083</v>
      </c>
      <c r="F4837" s="3" t="n">
        <v>46126.4305555556</v>
      </c>
      <c r="G4837" s="2" t="s">
        <v>9602</v>
      </c>
      <c r="H4837" s="4" t="n">
        <v>0.6369</v>
      </c>
      <c r="I4837" s="2" t="s">
        <v>23</v>
      </c>
      <c r="J4837" s="2" t="s">
        <v>19</v>
      </c>
      <c r="K4837" s="2" t="n">
        <v>1</v>
      </c>
      <c r="L4837" s="2" t="n">
        <v>0</v>
      </c>
      <c r="M4837" s="2" t="n">
        <v>0</v>
      </c>
    </row>
    <row r="4838" customFormat="false" ht="15" hidden="false" customHeight="false" outlineLevel="0" collapsed="false">
      <c r="A4838" s="2" t="s">
        <v>9896</v>
      </c>
      <c r="B4838" s="2" t="s">
        <v>9897</v>
      </c>
      <c r="C4838" s="2" t="n">
        <v>5</v>
      </c>
      <c r="D4838" s="2" t="s">
        <v>40</v>
      </c>
      <c r="E4838" s="2" t="s">
        <v>8083</v>
      </c>
      <c r="F4838" s="3" t="n">
        <v>46126.4805555556</v>
      </c>
      <c r="G4838" s="2" t="s">
        <v>9602</v>
      </c>
      <c r="H4838" s="4" t="n">
        <v>0.4019</v>
      </c>
      <c r="I4838" s="2" t="s">
        <v>23</v>
      </c>
      <c r="J4838" s="2" t="s">
        <v>33</v>
      </c>
      <c r="K4838" s="2" t="n">
        <v>11</v>
      </c>
      <c r="L4838" s="2" t="n">
        <v>0</v>
      </c>
      <c r="M4838" s="2" t="n">
        <v>0</v>
      </c>
    </row>
    <row r="4839" customFormat="false" ht="15" hidden="false" customHeight="false" outlineLevel="0" collapsed="false">
      <c r="A4839" s="2" t="s">
        <v>9898</v>
      </c>
      <c r="B4839" s="2" t="s">
        <v>9899</v>
      </c>
      <c r="C4839" s="2" t="n">
        <v>4</v>
      </c>
      <c r="D4839" s="2" t="s">
        <v>52</v>
      </c>
      <c r="E4839" s="2" t="s">
        <v>8083</v>
      </c>
      <c r="F4839" s="3" t="n">
        <v>46126.5284722222</v>
      </c>
      <c r="G4839" s="2" t="s">
        <v>9602</v>
      </c>
      <c r="H4839" s="4" t="n">
        <v>0.6369</v>
      </c>
      <c r="I4839" s="2" t="s">
        <v>23</v>
      </c>
      <c r="J4839" s="2" t="s">
        <v>19</v>
      </c>
      <c r="K4839" s="2" t="n">
        <v>1</v>
      </c>
      <c r="L4839" s="2" t="n">
        <v>0</v>
      </c>
      <c r="M4839" s="2" t="n">
        <v>0</v>
      </c>
    </row>
    <row r="4840" customFormat="false" ht="15" hidden="false" customHeight="false" outlineLevel="0" collapsed="false">
      <c r="A4840" s="2" t="s">
        <v>9900</v>
      </c>
      <c r="B4840" s="2" t="s">
        <v>9901</v>
      </c>
      <c r="C4840" s="2" t="n">
        <v>5</v>
      </c>
      <c r="D4840" s="2" t="s">
        <v>90</v>
      </c>
      <c r="E4840" s="2" t="s">
        <v>8083</v>
      </c>
      <c r="F4840" s="3" t="n">
        <v>46126.7048611111</v>
      </c>
      <c r="G4840" s="2" t="s">
        <v>9602</v>
      </c>
      <c r="H4840" s="4" t="n">
        <v>0.6249</v>
      </c>
      <c r="I4840" s="2" t="s">
        <v>23</v>
      </c>
      <c r="J4840" s="2" t="s">
        <v>37</v>
      </c>
      <c r="K4840" s="2" t="n">
        <v>1</v>
      </c>
      <c r="L4840" s="2" t="n">
        <v>0</v>
      </c>
      <c r="M4840" s="2" t="n">
        <v>0</v>
      </c>
    </row>
    <row r="4841" customFormat="false" ht="15" hidden="false" customHeight="false" outlineLevel="0" collapsed="false">
      <c r="A4841" s="2" t="s">
        <v>9902</v>
      </c>
      <c r="B4841" s="2" t="s">
        <v>9903</v>
      </c>
      <c r="C4841" s="2" t="n">
        <v>4</v>
      </c>
      <c r="D4841" s="2" t="s">
        <v>127</v>
      </c>
      <c r="E4841" s="2" t="s">
        <v>8083</v>
      </c>
      <c r="F4841" s="3" t="n">
        <v>46126.7055555556</v>
      </c>
      <c r="G4841" s="2" t="s">
        <v>9602</v>
      </c>
      <c r="H4841" s="4" t="n">
        <v>0.9359</v>
      </c>
      <c r="I4841" s="2" t="s">
        <v>23</v>
      </c>
      <c r="J4841" s="2" t="s">
        <v>37</v>
      </c>
      <c r="K4841" s="2" t="n">
        <v>1</v>
      </c>
      <c r="L4841" s="2" t="n">
        <v>0</v>
      </c>
      <c r="M4841" s="2" t="n">
        <v>0</v>
      </c>
    </row>
    <row r="4842" customFormat="false" ht="15" hidden="false" customHeight="false" outlineLevel="0" collapsed="false">
      <c r="A4842" s="2" t="s">
        <v>9904</v>
      </c>
      <c r="B4842" s="2" t="s">
        <v>9905</v>
      </c>
      <c r="C4842" s="2" t="n">
        <v>5</v>
      </c>
      <c r="D4842" s="2" t="s">
        <v>943</v>
      </c>
      <c r="E4842" s="2" t="s">
        <v>8083</v>
      </c>
      <c r="F4842" s="3" t="n">
        <v>46126.7402777778</v>
      </c>
      <c r="G4842" s="2" t="s">
        <v>9602</v>
      </c>
      <c r="H4842" s="4" t="n">
        <v>0.7549</v>
      </c>
      <c r="I4842" s="2" t="s">
        <v>23</v>
      </c>
      <c r="J4842" s="2" t="s">
        <v>19</v>
      </c>
      <c r="K4842" s="2" t="n">
        <v>2</v>
      </c>
      <c r="L4842" s="2" t="n">
        <v>0</v>
      </c>
      <c r="M4842" s="2" t="n">
        <v>0</v>
      </c>
    </row>
    <row r="4843" customFormat="false" ht="15" hidden="false" customHeight="false" outlineLevel="0" collapsed="false">
      <c r="A4843" s="2" t="s">
        <v>9906</v>
      </c>
      <c r="B4843" s="2" t="s">
        <v>9907</v>
      </c>
      <c r="C4843" s="2" t="n">
        <v>2</v>
      </c>
      <c r="D4843" s="2" t="s">
        <v>498</v>
      </c>
      <c r="E4843" s="2" t="s">
        <v>8083</v>
      </c>
      <c r="F4843" s="3" t="n">
        <v>46126.8451388889</v>
      </c>
      <c r="G4843" s="2" t="s">
        <v>9602</v>
      </c>
      <c r="H4843" s="4" t="n">
        <v>0</v>
      </c>
      <c r="I4843" s="2" t="s">
        <v>18</v>
      </c>
      <c r="J4843" s="2" t="s">
        <v>165</v>
      </c>
      <c r="K4843" s="2" t="n">
        <v>25</v>
      </c>
      <c r="L4843" s="2" t="n">
        <v>1</v>
      </c>
      <c r="M4843" s="2" t="n">
        <v>0</v>
      </c>
    </row>
    <row r="4844" customFormat="false" ht="15" hidden="false" customHeight="false" outlineLevel="0" collapsed="false">
      <c r="A4844" s="2" t="s">
        <v>9908</v>
      </c>
      <c r="B4844" s="2" t="s">
        <v>9909</v>
      </c>
      <c r="C4844" s="2" t="n">
        <v>4</v>
      </c>
      <c r="D4844" s="2" t="s">
        <v>90</v>
      </c>
      <c r="E4844" s="2" t="s">
        <v>8083</v>
      </c>
      <c r="F4844" s="3" t="n">
        <v>46126.9493055556</v>
      </c>
      <c r="G4844" s="2" t="s">
        <v>9602</v>
      </c>
      <c r="H4844" s="4" t="n">
        <v>0.6249</v>
      </c>
      <c r="I4844" s="2" t="s">
        <v>23</v>
      </c>
      <c r="J4844" s="2" t="s">
        <v>37</v>
      </c>
      <c r="K4844" s="2" t="n">
        <v>0</v>
      </c>
      <c r="L4844" s="2" t="n">
        <v>0</v>
      </c>
      <c r="M4844" s="2" t="n">
        <v>0</v>
      </c>
    </row>
    <row r="4845" customFormat="false" ht="15" hidden="false" customHeight="false" outlineLevel="0" collapsed="false">
      <c r="A4845" s="2" t="s">
        <v>9910</v>
      </c>
      <c r="B4845" s="2" t="s">
        <v>9911</v>
      </c>
      <c r="C4845" s="2" t="n">
        <v>5</v>
      </c>
      <c r="D4845" s="2" t="s">
        <v>2578</v>
      </c>
      <c r="E4845" s="2" t="s">
        <v>8083</v>
      </c>
      <c r="F4845" s="3" t="n">
        <v>46127.0458333333</v>
      </c>
      <c r="G4845" s="2" t="s">
        <v>9602</v>
      </c>
      <c r="H4845" s="4" t="n">
        <v>0.9626</v>
      </c>
      <c r="I4845" s="2" t="s">
        <v>23</v>
      </c>
      <c r="J4845" s="2" t="s">
        <v>37</v>
      </c>
      <c r="K4845" s="2" t="n">
        <v>0</v>
      </c>
      <c r="L4845" s="2" t="n">
        <v>0</v>
      </c>
      <c r="M4845" s="2" t="n">
        <v>0</v>
      </c>
    </row>
    <row r="4846" customFormat="false" ht="15" hidden="false" customHeight="false" outlineLevel="0" collapsed="false">
      <c r="A4846" s="2" t="s">
        <v>9912</v>
      </c>
      <c r="B4846" s="2" t="s">
        <v>9913</v>
      </c>
      <c r="C4846" s="2" t="n">
        <v>1</v>
      </c>
      <c r="D4846" s="2" t="s">
        <v>1116</v>
      </c>
      <c r="E4846" s="2" t="s">
        <v>8083</v>
      </c>
      <c r="F4846" s="3" t="n">
        <v>46127.0506944444</v>
      </c>
      <c r="G4846" s="2" t="s">
        <v>9602</v>
      </c>
      <c r="H4846" s="4" t="n">
        <v>-0.6249</v>
      </c>
      <c r="I4846" s="2" t="s">
        <v>84</v>
      </c>
      <c r="J4846" s="2" t="s">
        <v>37</v>
      </c>
      <c r="K4846" s="2" t="n">
        <v>1</v>
      </c>
      <c r="L4846" s="2" t="n">
        <v>1</v>
      </c>
      <c r="M4846" s="2" t="n">
        <v>0</v>
      </c>
    </row>
    <row r="4847" customFormat="false" ht="15" hidden="false" customHeight="false" outlineLevel="0" collapsed="false">
      <c r="A4847" s="2" t="s">
        <v>9914</v>
      </c>
      <c r="B4847" s="2" t="s">
        <v>9915</v>
      </c>
      <c r="C4847" s="2" t="n">
        <v>4</v>
      </c>
      <c r="D4847" s="2" t="s">
        <v>62</v>
      </c>
      <c r="E4847" s="2" t="s">
        <v>8083</v>
      </c>
      <c r="F4847" s="3" t="n">
        <v>46127.1131944444</v>
      </c>
      <c r="G4847" s="2" t="s">
        <v>9602</v>
      </c>
      <c r="H4847" s="4" t="n">
        <v>0.7088</v>
      </c>
      <c r="I4847" s="2" t="s">
        <v>23</v>
      </c>
      <c r="J4847" s="2" t="s">
        <v>19</v>
      </c>
      <c r="K4847" s="2" t="n">
        <v>6</v>
      </c>
      <c r="L4847" s="2" t="n">
        <v>0</v>
      </c>
      <c r="M4847" s="2" t="n">
        <v>0</v>
      </c>
    </row>
    <row r="4848" customFormat="false" ht="15" hidden="false" customHeight="false" outlineLevel="0" collapsed="false">
      <c r="A4848" s="2" t="s">
        <v>9916</v>
      </c>
      <c r="B4848" s="2" t="s">
        <v>9917</v>
      </c>
      <c r="C4848" s="2" t="n">
        <v>5</v>
      </c>
      <c r="D4848" s="2" t="s">
        <v>67</v>
      </c>
      <c r="E4848" s="2" t="s">
        <v>8083</v>
      </c>
      <c r="F4848" s="3" t="n">
        <v>46127.1375</v>
      </c>
      <c r="G4848" s="2" t="s">
        <v>9602</v>
      </c>
      <c r="H4848" s="4" t="n">
        <v>0.8953</v>
      </c>
      <c r="I4848" s="2" t="s">
        <v>23</v>
      </c>
      <c r="J4848" s="2" t="s">
        <v>19</v>
      </c>
      <c r="K4848" s="2" t="n">
        <v>3</v>
      </c>
      <c r="L4848" s="2" t="n">
        <v>0</v>
      </c>
      <c r="M4848" s="2" t="n">
        <v>0</v>
      </c>
    </row>
    <row r="4849" customFormat="false" ht="15" hidden="false" customHeight="false" outlineLevel="0" collapsed="false">
      <c r="A4849" s="2" t="s">
        <v>9918</v>
      </c>
      <c r="B4849" s="2" t="s">
        <v>9919</v>
      </c>
      <c r="C4849" s="2" t="n">
        <v>5</v>
      </c>
      <c r="D4849" s="2" t="s">
        <v>40</v>
      </c>
      <c r="E4849" s="2" t="s">
        <v>8083</v>
      </c>
      <c r="F4849" s="3" t="n">
        <v>46127.3722222222</v>
      </c>
      <c r="G4849" s="2" t="s">
        <v>9602</v>
      </c>
      <c r="H4849" s="4" t="n">
        <v>0.4019</v>
      </c>
      <c r="I4849" s="2" t="s">
        <v>23</v>
      </c>
      <c r="J4849" s="2" t="s">
        <v>33</v>
      </c>
      <c r="K4849" s="2" t="n">
        <v>9</v>
      </c>
      <c r="L4849" s="2" t="n">
        <v>0</v>
      </c>
      <c r="M4849" s="2" t="n">
        <v>0</v>
      </c>
    </row>
    <row r="4850" customFormat="false" ht="15" hidden="false" customHeight="false" outlineLevel="0" collapsed="false">
      <c r="A4850" s="2" t="s">
        <v>9920</v>
      </c>
      <c r="B4850" s="2" t="s">
        <v>9921</v>
      </c>
      <c r="C4850" s="2" t="n">
        <v>4</v>
      </c>
      <c r="D4850" s="2" t="s">
        <v>62</v>
      </c>
      <c r="E4850" s="2" t="s">
        <v>8083</v>
      </c>
      <c r="F4850" s="3" t="n">
        <v>46127.40625</v>
      </c>
      <c r="G4850" s="2" t="s">
        <v>9602</v>
      </c>
      <c r="H4850" s="4" t="n">
        <v>0.7088</v>
      </c>
      <c r="I4850" s="2" t="s">
        <v>23</v>
      </c>
      <c r="J4850" s="2" t="s">
        <v>19</v>
      </c>
      <c r="K4850" s="2" t="n">
        <v>13</v>
      </c>
      <c r="L4850" s="2" t="n">
        <v>0</v>
      </c>
      <c r="M4850" s="2" t="n">
        <v>0</v>
      </c>
    </row>
    <row r="4851" customFormat="false" ht="15" hidden="false" customHeight="false" outlineLevel="0" collapsed="false">
      <c r="A4851" s="2" t="s">
        <v>9922</v>
      </c>
      <c r="B4851" s="2" t="s">
        <v>8720</v>
      </c>
      <c r="C4851" s="2" t="n">
        <v>5</v>
      </c>
      <c r="D4851" s="2" t="s">
        <v>674</v>
      </c>
      <c r="E4851" s="2" t="s">
        <v>8083</v>
      </c>
      <c r="F4851" s="3" t="n">
        <v>46127.5201388889</v>
      </c>
      <c r="G4851" s="2" t="s">
        <v>9602</v>
      </c>
      <c r="H4851" s="4" t="n">
        <v>0.9481</v>
      </c>
      <c r="I4851" s="2" t="s">
        <v>23</v>
      </c>
      <c r="J4851" s="2" t="s">
        <v>37</v>
      </c>
      <c r="K4851" s="2" t="n">
        <v>1</v>
      </c>
      <c r="L4851" s="2" t="n">
        <v>0</v>
      </c>
      <c r="M4851" s="2" t="n">
        <v>0</v>
      </c>
    </row>
    <row r="4852" customFormat="false" ht="15" hidden="false" customHeight="false" outlineLevel="0" collapsed="false">
      <c r="A4852" s="2" t="s">
        <v>9923</v>
      </c>
      <c r="B4852" s="2" t="s">
        <v>9924</v>
      </c>
      <c r="C4852" s="2" t="n">
        <v>4</v>
      </c>
      <c r="D4852" s="2" t="s">
        <v>96</v>
      </c>
      <c r="E4852" s="2" t="s">
        <v>8083</v>
      </c>
      <c r="F4852" s="3" t="n">
        <v>46127.5395833333</v>
      </c>
      <c r="G4852" s="2" t="s">
        <v>9602</v>
      </c>
      <c r="H4852" s="4" t="n">
        <v>0.6369</v>
      </c>
      <c r="I4852" s="2" t="s">
        <v>23</v>
      </c>
      <c r="J4852" s="2" t="s">
        <v>19</v>
      </c>
      <c r="K4852" s="2" t="n">
        <v>1</v>
      </c>
      <c r="L4852" s="2" t="n">
        <v>0</v>
      </c>
      <c r="M4852" s="2" t="n">
        <v>0</v>
      </c>
    </row>
    <row r="4853" customFormat="false" ht="15" hidden="false" customHeight="false" outlineLevel="0" collapsed="false">
      <c r="A4853" s="2" t="s">
        <v>9925</v>
      </c>
      <c r="B4853" s="2" t="s">
        <v>9926</v>
      </c>
      <c r="C4853" s="2" t="n">
        <v>4</v>
      </c>
      <c r="D4853" s="2" t="s">
        <v>639</v>
      </c>
      <c r="E4853" s="2" t="s">
        <v>8083</v>
      </c>
      <c r="F4853" s="3" t="n">
        <v>46127.8611111111</v>
      </c>
      <c r="G4853" s="2" t="s">
        <v>9602</v>
      </c>
      <c r="H4853" s="4" t="n">
        <v>0.7088</v>
      </c>
      <c r="I4853" s="2" t="s">
        <v>23</v>
      </c>
      <c r="J4853" s="2" t="s">
        <v>19</v>
      </c>
      <c r="K4853" s="2" t="n">
        <v>1</v>
      </c>
      <c r="L4853" s="2" t="n">
        <v>0</v>
      </c>
      <c r="M4853" s="2" t="n">
        <v>0</v>
      </c>
    </row>
    <row r="4854" customFormat="false" ht="15" hidden="false" customHeight="false" outlineLevel="0" collapsed="false">
      <c r="A4854" s="2" t="s">
        <v>9927</v>
      </c>
      <c r="B4854" s="2" t="s">
        <v>9928</v>
      </c>
      <c r="C4854" s="2" t="n">
        <v>1</v>
      </c>
      <c r="D4854" s="2" t="s">
        <v>455</v>
      </c>
      <c r="E4854" s="2" t="s">
        <v>8083</v>
      </c>
      <c r="F4854" s="3" t="n">
        <v>46128.0284722222</v>
      </c>
      <c r="G4854" s="2" t="s">
        <v>9602</v>
      </c>
      <c r="H4854" s="4" t="n">
        <v>-0.2263</v>
      </c>
      <c r="I4854" s="2" t="s">
        <v>84</v>
      </c>
      <c r="J4854" s="2" t="s">
        <v>165</v>
      </c>
      <c r="K4854" s="2" t="n">
        <v>2</v>
      </c>
      <c r="L4854" s="2" t="n">
        <v>1</v>
      </c>
      <c r="M4854" s="2" t="n">
        <v>0</v>
      </c>
    </row>
    <row r="4855" customFormat="false" ht="15" hidden="false" customHeight="false" outlineLevel="0" collapsed="false">
      <c r="A4855" s="2" t="s">
        <v>9929</v>
      </c>
      <c r="B4855" s="2" t="s">
        <v>9930</v>
      </c>
      <c r="C4855" s="2" t="n">
        <v>5</v>
      </c>
      <c r="D4855" s="2" t="s">
        <v>127</v>
      </c>
      <c r="E4855" s="2" t="s">
        <v>8083</v>
      </c>
      <c r="F4855" s="3" t="n">
        <v>46128.03125</v>
      </c>
      <c r="G4855" s="2" t="s">
        <v>9602</v>
      </c>
      <c r="H4855" s="4" t="n">
        <v>0.9359</v>
      </c>
      <c r="I4855" s="2" t="s">
        <v>23</v>
      </c>
      <c r="J4855" s="2" t="s">
        <v>37</v>
      </c>
      <c r="K4855" s="2" t="n">
        <v>1</v>
      </c>
      <c r="L4855" s="2" t="n">
        <v>0</v>
      </c>
      <c r="M4855" s="2" t="n">
        <v>0</v>
      </c>
    </row>
    <row r="4856" customFormat="false" ht="15" hidden="false" customHeight="false" outlineLevel="0" collapsed="false">
      <c r="A4856" s="2" t="s">
        <v>9931</v>
      </c>
      <c r="B4856" s="2" t="s">
        <v>9932</v>
      </c>
      <c r="C4856" s="2" t="n">
        <v>5</v>
      </c>
      <c r="D4856" s="2" t="s">
        <v>90</v>
      </c>
      <c r="E4856" s="2" t="s">
        <v>8083</v>
      </c>
      <c r="F4856" s="3" t="n">
        <v>46128.1326388889</v>
      </c>
      <c r="G4856" s="2" t="s">
        <v>9602</v>
      </c>
      <c r="H4856" s="4" t="n">
        <v>0.6249</v>
      </c>
      <c r="I4856" s="2" t="s">
        <v>23</v>
      </c>
      <c r="J4856" s="2" t="s">
        <v>37</v>
      </c>
      <c r="K4856" s="2" t="n">
        <v>5</v>
      </c>
      <c r="L4856" s="2" t="n">
        <v>0</v>
      </c>
      <c r="M4856" s="2" t="n">
        <v>0</v>
      </c>
    </row>
    <row r="4857" customFormat="false" ht="15" hidden="false" customHeight="false" outlineLevel="0" collapsed="false">
      <c r="A4857" s="2" t="s">
        <v>9933</v>
      </c>
      <c r="B4857" s="2" t="s">
        <v>9934</v>
      </c>
      <c r="C4857" s="2" t="n">
        <v>2</v>
      </c>
      <c r="D4857" s="2" t="s">
        <v>2179</v>
      </c>
      <c r="E4857" s="2" t="s">
        <v>8083</v>
      </c>
      <c r="F4857" s="3" t="n">
        <v>46128.2152777778</v>
      </c>
      <c r="G4857" s="2" t="s">
        <v>9602</v>
      </c>
      <c r="H4857" s="4" t="n">
        <v>-0.3089</v>
      </c>
      <c r="I4857" s="2" t="s">
        <v>84</v>
      </c>
      <c r="J4857" s="2" t="s">
        <v>59</v>
      </c>
      <c r="K4857" s="2" t="n">
        <v>2</v>
      </c>
      <c r="L4857" s="2" t="n">
        <v>1</v>
      </c>
      <c r="M4857" s="2" t="n">
        <v>0</v>
      </c>
    </row>
    <row r="4858" customFormat="false" ht="15" hidden="false" customHeight="false" outlineLevel="0" collapsed="false">
      <c r="A4858" s="2" t="s">
        <v>9935</v>
      </c>
      <c r="B4858" s="2" t="s">
        <v>9936</v>
      </c>
      <c r="C4858" s="2" t="n">
        <v>3</v>
      </c>
      <c r="D4858" s="2" t="s">
        <v>99</v>
      </c>
      <c r="E4858" s="2" t="s">
        <v>8083</v>
      </c>
      <c r="F4858" s="3" t="n">
        <v>46128.2743055556</v>
      </c>
      <c r="G4858" s="2" t="s">
        <v>9602</v>
      </c>
      <c r="H4858" s="4" t="n">
        <v>-0.3089</v>
      </c>
      <c r="I4858" s="2" t="s">
        <v>84</v>
      </c>
      <c r="J4858" s="2" t="s">
        <v>19</v>
      </c>
      <c r="K4858" s="2" t="n">
        <v>4</v>
      </c>
      <c r="L4858" s="2" t="n">
        <v>0</v>
      </c>
      <c r="M4858" s="2" t="n">
        <v>0</v>
      </c>
    </row>
    <row r="4859" customFormat="false" ht="15" hidden="false" customHeight="false" outlineLevel="0" collapsed="false">
      <c r="A4859" s="2" t="s">
        <v>9937</v>
      </c>
      <c r="B4859" s="2" t="s">
        <v>9938</v>
      </c>
      <c r="C4859" s="2" t="n">
        <v>5</v>
      </c>
      <c r="D4859" s="2" t="s">
        <v>62</v>
      </c>
      <c r="E4859" s="2" t="s">
        <v>8083</v>
      </c>
      <c r="F4859" s="3" t="n">
        <v>46128.3868055556</v>
      </c>
      <c r="G4859" s="2" t="s">
        <v>9602</v>
      </c>
      <c r="H4859" s="4" t="n">
        <v>0.7088</v>
      </c>
      <c r="I4859" s="2" t="s">
        <v>23</v>
      </c>
      <c r="J4859" s="2" t="s">
        <v>19</v>
      </c>
      <c r="K4859" s="2" t="n">
        <v>2</v>
      </c>
      <c r="L4859" s="2" t="n">
        <v>0</v>
      </c>
      <c r="M4859" s="2" t="n">
        <v>0</v>
      </c>
    </row>
    <row r="4860" customFormat="false" ht="15" hidden="false" customHeight="false" outlineLevel="0" collapsed="false">
      <c r="A4860" s="2" t="s">
        <v>9939</v>
      </c>
      <c r="B4860" s="2" t="s">
        <v>9940</v>
      </c>
      <c r="C4860" s="2" t="n">
        <v>3</v>
      </c>
      <c r="D4860" s="2" t="s">
        <v>3517</v>
      </c>
      <c r="E4860" s="2" t="s">
        <v>8083</v>
      </c>
      <c r="F4860" s="3" t="n">
        <v>46128.4069444445</v>
      </c>
      <c r="G4860" s="2" t="s">
        <v>9602</v>
      </c>
      <c r="H4860" s="4" t="n">
        <v>0.5859</v>
      </c>
      <c r="I4860" s="2" t="s">
        <v>23</v>
      </c>
      <c r="J4860" s="2" t="s">
        <v>37</v>
      </c>
      <c r="K4860" s="2" t="n">
        <v>2</v>
      </c>
      <c r="L4860" s="2" t="n">
        <v>0</v>
      </c>
      <c r="M4860" s="2" t="n">
        <v>0</v>
      </c>
    </row>
    <row r="4861" customFormat="false" ht="15" hidden="false" customHeight="false" outlineLevel="0" collapsed="false">
      <c r="A4861" s="2" t="s">
        <v>9941</v>
      </c>
      <c r="B4861" s="2" t="s">
        <v>9942</v>
      </c>
      <c r="C4861" s="2" t="n">
        <v>1</v>
      </c>
      <c r="D4861" s="2" t="s">
        <v>9943</v>
      </c>
      <c r="E4861" s="2" t="s">
        <v>8083</v>
      </c>
      <c r="F4861" s="3" t="n">
        <v>46128.525</v>
      </c>
      <c r="G4861" s="2" t="s">
        <v>9602</v>
      </c>
      <c r="H4861" s="4" t="n">
        <v>0.2023</v>
      </c>
      <c r="I4861" s="2" t="s">
        <v>23</v>
      </c>
      <c r="J4861" s="2" t="s">
        <v>59</v>
      </c>
      <c r="K4861" s="2" t="n">
        <v>1</v>
      </c>
      <c r="L4861" s="2" t="n">
        <v>0</v>
      </c>
      <c r="M4861" s="2" t="n">
        <v>0</v>
      </c>
    </row>
    <row r="4862" customFormat="false" ht="15" hidden="false" customHeight="false" outlineLevel="0" collapsed="false">
      <c r="A4862" s="2" t="s">
        <v>9944</v>
      </c>
      <c r="B4862" s="2" t="s">
        <v>9945</v>
      </c>
      <c r="C4862" s="2" t="n">
        <v>5</v>
      </c>
      <c r="D4862" s="2" t="s">
        <v>47</v>
      </c>
      <c r="E4862" s="2" t="s">
        <v>8083</v>
      </c>
      <c r="F4862" s="3" t="n">
        <v>46128.6756944444</v>
      </c>
      <c r="G4862" s="2" t="s">
        <v>9602</v>
      </c>
      <c r="H4862" s="4" t="n">
        <v>0.3089</v>
      </c>
      <c r="I4862" s="2" t="s">
        <v>23</v>
      </c>
      <c r="J4862" s="2" t="s">
        <v>19</v>
      </c>
      <c r="K4862" s="2" t="n">
        <v>3</v>
      </c>
      <c r="L4862" s="2" t="n">
        <v>0</v>
      </c>
      <c r="M4862" s="2" t="n">
        <v>0</v>
      </c>
    </row>
    <row r="4863" customFormat="false" ht="15" hidden="false" customHeight="false" outlineLevel="0" collapsed="false">
      <c r="A4863" s="2" t="s">
        <v>9946</v>
      </c>
      <c r="B4863" s="2" t="s">
        <v>9947</v>
      </c>
      <c r="C4863" s="2" t="n">
        <v>3</v>
      </c>
      <c r="D4863" s="2" t="s">
        <v>87</v>
      </c>
      <c r="E4863" s="2" t="s">
        <v>8083</v>
      </c>
      <c r="F4863" s="3" t="n">
        <v>46128.8888888889</v>
      </c>
      <c r="G4863" s="2" t="s">
        <v>9602</v>
      </c>
      <c r="H4863" s="4" t="n">
        <v>0</v>
      </c>
      <c r="I4863" s="2" t="s">
        <v>18</v>
      </c>
      <c r="J4863" s="2" t="s">
        <v>19</v>
      </c>
      <c r="K4863" s="2" t="n">
        <v>0</v>
      </c>
      <c r="L4863" s="2" t="n">
        <v>0</v>
      </c>
      <c r="M4863" s="2" t="n">
        <v>0</v>
      </c>
    </row>
    <row r="4864" customFormat="false" ht="15" hidden="false" customHeight="false" outlineLevel="0" collapsed="false">
      <c r="A4864" s="2" t="s">
        <v>9948</v>
      </c>
      <c r="B4864" s="2" t="s">
        <v>9949</v>
      </c>
      <c r="C4864" s="2" t="n">
        <v>4</v>
      </c>
      <c r="D4864" s="2" t="s">
        <v>96</v>
      </c>
      <c r="E4864" s="2" t="s">
        <v>8083</v>
      </c>
      <c r="F4864" s="3" t="n">
        <v>46128.9027777778</v>
      </c>
      <c r="G4864" s="2" t="s">
        <v>9602</v>
      </c>
      <c r="H4864" s="4" t="n">
        <v>0.6369</v>
      </c>
      <c r="I4864" s="2" t="s">
        <v>23</v>
      </c>
      <c r="J4864" s="2" t="s">
        <v>19</v>
      </c>
      <c r="K4864" s="2" t="n">
        <v>1</v>
      </c>
      <c r="L4864" s="2" t="n">
        <v>0</v>
      </c>
      <c r="M4864" s="2" t="n">
        <v>0</v>
      </c>
    </row>
    <row r="4865" customFormat="false" ht="15" hidden="false" customHeight="false" outlineLevel="0" collapsed="false">
      <c r="A4865" s="2" t="s">
        <v>9950</v>
      </c>
      <c r="B4865" s="2" t="s">
        <v>9951</v>
      </c>
      <c r="C4865" s="2" t="n">
        <v>4</v>
      </c>
      <c r="D4865" s="2" t="s">
        <v>47</v>
      </c>
      <c r="E4865" s="2" t="s">
        <v>8083</v>
      </c>
      <c r="F4865" s="3" t="n">
        <v>46128.9638888889</v>
      </c>
      <c r="G4865" s="2" t="s">
        <v>9602</v>
      </c>
      <c r="H4865" s="4" t="n">
        <v>0.3089</v>
      </c>
      <c r="I4865" s="2" t="s">
        <v>23</v>
      </c>
      <c r="J4865" s="2" t="s">
        <v>19</v>
      </c>
      <c r="K4865" s="2" t="n">
        <v>6</v>
      </c>
      <c r="L4865" s="2" t="n">
        <v>0</v>
      </c>
      <c r="M4865" s="2" t="n">
        <v>0</v>
      </c>
    </row>
    <row r="4866" customFormat="false" ht="15" hidden="false" customHeight="false" outlineLevel="0" collapsed="false">
      <c r="A4866" s="2" t="s">
        <v>9952</v>
      </c>
      <c r="B4866" s="2" t="s">
        <v>9953</v>
      </c>
      <c r="C4866" s="2" t="n">
        <v>5</v>
      </c>
      <c r="D4866" s="2" t="s">
        <v>90</v>
      </c>
      <c r="E4866" s="2" t="s">
        <v>8083</v>
      </c>
      <c r="F4866" s="3" t="n">
        <v>46129.1680555556</v>
      </c>
      <c r="G4866" s="2" t="s">
        <v>9602</v>
      </c>
      <c r="H4866" s="4" t="n">
        <v>0.6249</v>
      </c>
      <c r="I4866" s="2" t="s">
        <v>23</v>
      </c>
      <c r="J4866" s="2" t="s">
        <v>37</v>
      </c>
      <c r="K4866" s="2" t="n">
        <v>0</v>
      </c>
      <c r="L4866" s="2" t="n">
        <v>0</v>
      </c>
      <c r="M4866" s="2" t="n">
        <v>0</v>
      </c>
    </row>
    <row r="4867" customFormat="false" ht="15" hidden="false" customHeight="false" outlineLevel="0" collapsed="false">
      <c r="A4867" s="2" t="s">
        <v>9954</v>
      </c>
      <c r="B4867" s="2" t="s">
        <v>9955</v>
      </c>
      <c r="C4867" s="2" t="n">
        <v>4</v>
      </c>
      <c r="D4867" s="2" t="s">
        <v>104</v>
      </c>
      <c r="E4867" s="2" t="s">
        <v>8083</v>
      </c>
      <c r="F4867" s="3" t="n">
        <v>46129.3895833333</v>
      </c>
      <c r="G4867" s="2" t="s">
        <v>9602</v>
      </c>
      <c r="H4867" s="4" t="n">
        <v>0.8481</v>
      </c>
      <c r="I4867" s="2" t="s">
        <v>23</v>
      </c>
      <c r="J4867" s="2" t="s">
        <v>37</v>
      </c>
      <c r="K4867" s="2" t="n">
        <v>1</v>
      </c>
      <c r="L4867" s="2" t="n">
        <v>0</v>
      </c>
      <c r="M4867" s="2" t="n">
        <v>0</v>
      </c>
    </row>
    <row r="4868" customFormat="false" ht="15" hidden="false" customHeight="false" outlineLevel="0" collapsed="false">
      <c r="A4868" s="2" t="s">
        <v>9956</v>
      </c>
      <c r="B4868" s="2" t="s">
        <v>9957</v>
      </c>
      <c r="C4868" s="2" t="n">
        <v>4</v>
      </c>
      <c r="D4868" s="2" t="s">
        <v>90</v>
      </c>
      <c r="E4868" s="2" t="s">
        <v>8083</v>
      </c>
      <c r="F4868" s="3" t="n">
        <v>46129.4284722222</v>
      </c>
      <c r="G4868" s="2" t="s">
        <v>9602</v>
      </c>
      <c r="H4868" s="4" t="n">
        <v>0.6249</v>
      </c>
      <c r="I4868" s="2" t="s">
        <v>23</v>
      </c>
      <c r="J4868" s="2" t="s">
        <v>37</v>
      </c>
      <c r="K4868" s="2" t="n">
        <v>0</v>
      </c>
      <c r="L4868" s="2" t="n">
        <v>0</v>
      </c>
      <c r="M4868" s="2" t="n">
        <v>0</v>
      </c>
    </row>
    <row r="4869" customFormat="false" ht="15" hidden="false" customHeight="false" outlineLevel="0" collapsed="false">
      <c r="A4869" s="2" t="s">
        <v>9958</v>
      </c>
      <c r="B4869" s="2" t="s">
        <v>9959</v>
      </c>
      <c r="C4869" s="2" t="n">
        <v>1</v>
      </c>
      <c r="D4869" s="2" t="s">
        <v>455</v>
      </c>
      <c r="E4869" s="2" t="s">
        <v>8083</v>
      </c>
      <c r="F4869" s="3" t="n">
        <v>46129.6055555556</v>
      </c>
      <c r="G4869" s="2" t="s">
        <v>9602</v>
      </c>
      <c r="H4869" s="4" t="n">
        <v>-0.2263</v>
      </c>
      <c r="I4869" s="2" t="s">
        <v>84</v>
      </c>
      <c r="J4869" s="2" t="s">
        <v>165</v>
      </c>
      <c r="K4869" s="2" t="n">
        <v>5</v>
      </c>
      <c r="L4869" s="2" t="n">
        <v>1</v>
      </c>
      <c r="M4869" s="2" t="n">
        <v>0</v>
      </c>
    </row>
    <row r="4870" customFormat="false" ht="15" hidden="false" customHeight="false" outlineLevel="0" collapsed="false">
      <c r="A4870" s="2" t="s">
        <v>9960</v>
      </c>
      <c r="B4870" s="2" t="s">
        <v>9961</v>
      </c>
      <c r="C4870" s="2" t="n">
        <v>3</v>
      </c>
      <c r="D4870" s="2" t="s">
        <v>3053</v>
      </c>
      <c r="E4870" s="2" t="s">
        <v>8083</v>
      </c>
      <c r="F4870" s="3" t="n">
        <v>46129.9923611111</v>
      </c>
      <c r="G4870" s="2" t="s">
        <v>9602</v>
      </c>
      <c r="H4870" s="4" t="n">
        <v>-0.4449</v>
      </c>
      <c r="I4870" s="2" t="s">
        <v>84</v>
      </c>
      <c r="J4870" s="2" t="s">
        <v>19</v>
      </c>
      <c r="K4870" s="2" t="n">
        <v>1</v>
      </c>
      <c r="L4870" s="2" t="n">
        <v>0</v>
      </c>
      <c r="M4870" s="2" t="n">
        <v>0</v>
      </c>
    </row>
    <row r="4871" customFormat="false" ht="15" hidden="false" customHeight="false" outlineLevel="0" collapsed="false">
      <c r="A4871" s="2" t="s">
        <v>9962</v>
      </c>
      <c r="B4871" s="2" t="s">
        <v>9963</v>
      </c>
      <c r="C4871" s="2" t="n">
        <v>2</v>
      </c>
      <c r="D4871" s="2" t="s">
        <v>965</v>
      </c>
      <c r="E4871" s="2" t="s">
        <v>8083</v>
      </c>
      <c r="F4871" s="3" t="n">
        <v>46130.0319444445</v>
      </c>
      <c r="G4871" s="2" t="s">
        <v>9602</v>
      </c>
      <c r="H4871" s="4" t="n">
        <v>0.2023</v>
      </c>
      <c r="I4871" s="2" t="s">
        <v>23</v>
      </c>
      <c r="J4871" s="2" t="s">
        <v>110</v>
      </c>
      <c r="K4871" s="2" t="n">
        <v>5</v>
      </c>
      <c r="L4871" s="2" t="n">
        <v>1</v>
      </c>
      <c r="M4871" s="2" t="n">
        <v>0</v>
      </c>
    </row>
    <row r="4872" customFormat="false" ht="15" hidden="false" customHeight="false" outlineLevel="0" collapsed="false">
      <c r="A4872" s="2" t="s">
        <v>9964</v>
      </c>
      <c r="B4872" s="2" t="s">
        <v>9965</v>
      </c>
      <c r="C4872" s="2" t="n">
        <v>5</v>
      </c>
      <c r="D4872" s="2" t="s">
        <v>943</v>
      </c>
      <c r="E4872" s="2" t="s">
        <v>8083</v>
      </c>
      <c r="F4872" s="3" t="n">
        <v>46130.0333333333</v>
      </c>
      <c r="G4872" s="2" t="s">
        <v>9602</v>
      </c>
      <c r="H4872" s="4" t="n">
        <v>0.7549</v>
      </c>
      <c r="I4872" s="2" t="s">
        <v>23</v>
      </c>
      <c r="J4872" s="2" t="s">
        <v>19</v>
      </c>
      <c r="K4872" s="2" t="n">
        <v>5</v>
      </c>
      <c r="L4872" s="2" t="n">
        <v>0</v>
      </c>
      <c r="M4872" s="2" t="n">
        <v>0</v>
      </c>
    </row>
    <row r="4873" customFormat="false" ht="15" hidden="false" customHeight="false" outlineLevel="0" collapsed="false">
      <c r="A4873" s="2" t="s">
        <v>9966</v>
      </c>
      <c r="B4873" s="2" t="s">
        <v>9967</v>
      </c>
      <c r="C4873" s="2" t="n">
        <v>4</v>
      </c>
      <c r="D4873" s="2" t="s">
        <v>15</v>
      </c>
      <c r="E4873" s="2" t="s">
        <v>8083</v>
      </c>
      <c r="F4873" s="3" t="n">
        <v>46130.1222222222</v>
      </c>
      <c r="G4873" s="2" t="s">
        <v>9602</v>
      </c>
      <c r="H4873" s="4" t="n">
        <v>0</v>
      </c>
      <c r="I4873" s="2" t="s">
        <v>18</v>
      </c>
      <c r="J4873" s="2" t="s">
        <v>19</v>
      </c>
      <c r="K4873" s="2" t="n">
        <v>4</v>
      </c>
      <c r="L4873" s="2" t="n">
        <v>0</v>
      </c>
      <c r="M4873" s="2" t="n">
        <v>0</v>
      </c>
    </row>
    <row r="4874" customFormat="false" ht="15" hidden="false" customHeight="false" outlineLevel="0" collapsed="false">
      <c r="A4874" s="2" t="s">
        <v>9968</v>
      </c>
      <c r="B4874" s="2" t="s">
        <v>9969</v>
      </c>
      <c r="C4874" s="2" t="n">
        <v>4</v>
      </c>
      <c r="D4874" s="2" t="s">
        <v>47</v>
      </c>
      <c r="E4874" s="2" t="s">
        <v>8083</v>
      </c>
      <c r="F4874" s="3" t="n">
        <v>46130.2083333333</v>
      </c>
      <c r="G4874" s="2" t="s">
        <v>9602</v>
      </c>
      <c r="H4874" s="4" t="n">
        <v>0.3089</v>
      </c>
      <c r="I4874" s="2" t="s">
        <v>23</v>
      </c>
      <c r="J4874" s="2" t="s">
        <v>19</v>
      </c>
      <c r="K4874" s="2" t="n">
        <v>6</v>
      </c>
      <c r="L4874" s="2" t="n">
        <v>0</v>
      </c>
      <c r="M4874" s="2" t="n">
        <v>0</v>
      </c>
    </row>
    <row r="4875" customFormat="false" ht="15" hidden="false" customHeight="false" outlineLevel="0" collapsed="false">
      <c r="A4875" s="2" t="s">
        <v>9970</v>
      </c>
      <c r="B4875" s="2" t="s">
        <v>1103</v>
      </c>
      <c r="C4875" s="2" t="n">
        <v>3</v>
      </c>
      <c r="D4875" s="2" t="s">
        <v>36</v>
      </c>
      <c r="E4875" s="2" t="s">
        <v>8083</v>
      </c>
      <c r="F4875" s="3" t="n">
        <v>46130.2958333333</v>
      </c>
      <c r="G4875" s="2" t="s">
        <v>9602</v>
      </c>
      <c r="H4875" s="4" t="n">
        <v>0.4404</v>
      </c>
      <c r="I4875" s="2" t="s">
        <v>23</v>
      </c>
      <c r="J4875" s="2" t="s">
        <v>37</v>
      </c>
      <c r="K4875" s="2" t="n">
        <v>3</v>
      </c>
      <c r="L4875" s="2" t="n">
        <v>0</v>
      </c>
      <c r="M4875" s="2" t="n">
        <v>0</v>
      </c>
    </row>
    <row r="4876" customFormat="false" ht="15" hidden="false" customHeight="false" outlineLevel="0" collapsed="false">
      <c r="A4876" s="2" t="s">
        <v>9971</v>
      </c>
      <c r="B4876" s="2" t="s">
        <v>9972</v>
      </c>
      <c r="C4876" s="2" t="n">
        <v>5</v>
      </c>
      <c r="D4876" s="2" t="s">
        <v>62</v>
      </c>
      <c r="E4876" s="2" t="s">
        <v>8083</v>
      </c>
      <c r="F4876" s="3" t="n">
        <v>46130.3479166667</v>
      </c>
      <c r="G4876" s="2" t="s">
        <v>9602</v>
      </c>
      <c r="H4876" s="4" t="n">
        <v>0.7088</v>
      </c>
      <c r="I4876" s="2" t="s">
        <v>23</v>
      </c>
      <c r="J4876" s="2" t="s">
        <v>19</v>
      </c>
      <c r="K4876" s="2" t="n">
        <v>6</v>
      </c>
      <c r="L4876" s="2" t="n">
        <v>0</v>
      </c>
      <c r="M4876" s="2" t="n">
        <v>0</v>
      </c>
    </row>
    <row r="4877" customFormat="false" ht="15" hidden="false" customHeight="false" outlineLevel="0" collapsed="false">
      <c r="A4877" s="2" t="s">
        <v>9973</v>
      </c>
      <c r="B4877" s="2" t="s">
        <v>9974</v>
      </c>
      <c r="C4877" s="2" t="n">
        <v>4</v>
      </c>
      <c r="D4877" s="2" t="s">
        <v>87</v>
      </c>
      <c r="E4877" s="2" t="s">
        <v>8083</v>
      </c>
      <c r="F4877" s="3" t="n">
        <v>46130.4215277778</v>
      </c>
      <c r="G4877" s="2" t="s">
        <v>9602</v>
      </c>
      <c r="H4877" s="4" t="n">
        <v>0</v>
      </c>
      <c r="I4877" s="2" t="s">
        <v>18</v>
      </c>
      <c r="J4877" s="2" t="s">
        <v>19</v>
      </c>
      <c r="K4877" s="2" t="n">
        <v>3</v>
      </c>
      <c r="L4877" s="2" t="n">
        <v>0</v>
      </c>
      <c r="M4877" s="2" t="n">
        <v>0</v>
      </c>
    </row>
    <row r="4878" customFormat="false" ht="15" hidden="false" customHeight="false" outlineLevel="0" collapsed="false">
      <c r="A4878" s="2" t="s">
        <v>9975</v>
      </c>
      <c r="B4878" s="2" t="s">
        <v>9976</v>
      </c>
      <c r="C4878" s="2" t="n">
        <v>5</v>
      </c>
      <c r="D4878" s="2" t="s">
        <v>3476</v>
      </c>
      <c r="E4878" s="2" t="s">
        <v>8083</v>
      </c>
      <c r="F4878" s="3" t="n">
        <v>46130.5986111111</v>
      </c>
      <c r="G4878" s="2" t="s">
        <v>9602</v>
      </c>
      <c r="H4878" s="4" t="n">
        <v>0.8777</v>
      </c>
      <c r="I4878" s="2" t="s">
        <v>23</v>
      </c>
      <c r="J4878" s="2" t="s">
        <v>19</v>
      </c>
      <c r="K4878" s="2" t="n">
        <v>6</v>
      </c>
      <c r="L4878" s="2" t="n">
        <v>0</v>
      </c>
      <c r="M4878" s="2" t="n">
        <v>0</v>
      </c>
    </row>
    <row r="4879" customFormat="false" ht="15" hidden="false" customHeight="false" outlineLevel="0" collapsed="false">
      <c r="A4879" s="2" t="s">
        <v>9977</v>
      </c>
      <c r="B4879" s="2" t="s">
        <v>9978</v>
      </c>
      <c r="C4879" s="2" t="n">
        <v>1</v>
      </c>
      <c r="D4879" s="2" t="s">
        <v>402</v>
      </c>
      <c r="E4879" s="2" t="s">
        <v>8083</v>
      </c>
      <c r="F4879" s="3" t="n">
        <v>46130.7513888889</v>
      </c>
      <c r="G4879" s="2" t="s">
        <v>9602</v>
      </c>
      <c r="H4879" s="4" t="n">
        <v>0</v>
      </c>
      <c r="I4879" s="2" t="s">
        <v>18</v>
      </c>
      <c r="J4879" s="2" t="s">
        <v>59</v>
      </c>
      <c r="K4879" s="2" t="n">
        <v>2</v>
      </c>
      <c r="L4879" s="2" t="n">
        <v>1</v>
      </c>
      <c r="M4879" s="2" t="n">
        <v>0</v>
      </c>
    </row>
    <row r="4880" customFormat="false" ht="15" hidden="false" customHeight="false" outlineLevel="0" collapsed="false">
      <c r="A4880" s="2" t="s">
        <v>9979</v>
      </c>
      <c r="B4880" s="2" t="s">
        <v>9980</v>
      </c>
      <c r="C4880" s="2" t="n">
        <v>5</v>
      </c>
      <c r="D4880" s="2" t="s">
        <v>47</v>
      </c>
      <c r="E4880" s="2" t="s">
        <v>8083</v>
      </c>
      <c r="F4880" s="3" t="n">
        <v>46130.7520833333</v>
      </c>
      <c r="G4880" s="2" t="s">
        <v>9602</v>
      </c>
      <c r="H4880" s="4" t="n">
        <v>0.3089</v>
      </c>
      <c r="I4880" s="2" t="s">
        <v>23</v>
      </c>
      <c r="J4880" s="2" t="s">
        <v>19</v>
      </c>
      <c r="K4880" s="2" t="n">
        <v>12</v>
      </c>
      <c r="L4880" s="2" t="n">
        <v>0</v>
      </c>
      <c r="M4880" s="2" t="n">
        <v>0</v>
      </c>
    </row>
    <row r="4881" customFormat="false" ht="15" hidden="false" customHeight="false" outlineLevel="0" collapsed="false">
      <c r="A4881" s="2" t="s">
        <v>9981</v>
      </c>
      <c r="B4881" s="2" t="s">
        <v>9982</v>
      </c>
      <c r="C4881" s="2" t="n">
        <v>5</v>
      </c>
      <c r="D4881" s="2" t="s">
        <v>96</v>
      </c>
      <c r="E4881" s="2" t="s">
        <v>8083</v>
      </c>
      <c r="F4881" s="3" t="n">
        <v>46130.9291666667</v>
      </c>
      <c r="G4881" s="2" t="s">
        <v>9602</v>
      </c>
      <c r="H4881" s="4" t="n">
        <v>0.6369</v>
      </c>
      <c r="I4881" s="2" t="s">
        <v>23</v>
      </c>
      <c r="J4881" s="2" t="s">
        <v>19</v>
      </c>
      <c r="K4881" s="2" t="n">
        <v>1</v>
      </c>
      <c r="L4881" s="2" t="n">
        <v>0</v>
      </c>
      <c r="M4881" s="2" t="n">
        <v>0</v>
      </c>
    </row>
    <row r="4882" customFormat="false" ht="15" hidden="false" customHeight="false" outlineLevel="0" collapsed="false">
      <c r="A4882" s="2" t="s">
        <v>9983</v>
      </c>
      <c r="B4882" s="2" t="s">
        <v>9984</v>
      </c>
      <c r="C4882" s="2" t="n">
        <v>5</v>
      </c>
      <c r="D4882" s="2" t="s">
        <v>40</v>
      </c>
      <c r="E4882" s="2" t="s">
        <v>8083</v>
      </c>
      <c r="F4882" s="3" t="n">
        <v>46130.9777777778</v>
      </c>
      <c r="G4882" s="2" t="s">
        <v>9602</v>
      </c>
      <c r="H4882" s="4" t="n">
        <v>0.4019</v>
      </c>
      <c r="I4882" s="2" t="s">
        <v>23</v>
      </c>
      <c r="J4882" s="2" t="s">
        <v>33</v>
      </c>
      <c r="K4882" s="2" t="n">
        <v>1</v>
      </c>
      <c r="L4882" s="2" t="n">
        <v>0</v>
      </c>
      <c r="M4882" s="2" t="n">
        <v>0</v>
      </c>
    </row>
    <row r="4883" customFormat="false" ht="15" hidden="false" customHeight="false" outlineLevel="0" collapsed="false">
      <c r="A4883" s="2" t="s">
        <v>9985</v>
      </c>
      <c r="B4883" s="2" t="s">
        <v>9986</v>
      </c>
      <c r="C4883" s="2" t="n">
        <v>4</v>
      </c>
      <c r="D4883" s="2" t="s">
        <v>36</v>
      </c>
      <c r="E4883" s="2" t="s">
        <v>8083</v>
      </c>
      <c r="F4883" s="3" t="n">
        <v>46131.0513888889</v>
      </c>
      <c r="G4883" s="2" t="s">
        <v>9602</v>
      </c>
      <c r="H4883" s="4" t="n">
        <v>0.4404</v>
      </c>
      <c r="I4883" s="2" t="s">
        <v>23</v>
      </c>
      <c r="J4883" s="2" t="s">
        <v>37</v>
      </c>
      <c r="K4883" s="2" t="n">
        <v>2</v>
      </c>
      <c r="L4883" s="2" t="n">
        <v>0</v>
      </c>
      <c r="M4883" s="2" t="n">
        <v>0</v>
      </c>
    </row>
    <row r="4884" customFormat="false" ht="15" hidden="false" customHeight="false" outlineLevel="0" collapsed="false">
      <c r="A4884" s="2" t="s">
        <v>9987</v>
      </c>
      <c r="B4884" s="2" t="s">
        <v>9988</v>
      </c>
      <c r="C4884" s="2" t="n">
        <v>3</v>
      </c>
      <c r="D4884" s="2" t="s">
        <v>301</v>
      </c>
      <c r="E4884" s="2" t="s">
        <v>8083</v>
      </c>
      <c r="F4884" s="3" t="n">
        <v>46131.1805555556</v>
      </c>
      <c r="G4884" s="2" t="s">
        <v>9602</v>
      </c>
      <c r="H4884" s="4" t="n">
        <v>0.2263</v>
      </c>
      <c r="I4884" s="2" t="s">
        <v>23</v>
      </c>
      <c r="J4884" s="2" t="s">
        <v>19</v>
      </c>
      <c r="K4884" s="2" t="n">
        <v>0</v>
      </c>
      <c r="L4884" s="2" t="n">
        <v>0</v>
      </c>
      <c r="M4884" s="2" t="n">
        <v>0</v>
      </c>
    </row>
    <row r="4885" customFormat="false" ht="15" hidden="false" customHeight="false" outlineLevel="0" collapsed="false">
      <c r="A4885" s="2" t="s">
        <v>9989</v>
      </c>
      <c r="B4885" s="2" t="s">
        <v>9990</v>
      </c>
      <c r="C4885" s="2" t="n">
        <v>4</v>
      </c>
      <c r="D4885" s="2" t="s">
        <v>807</v>
      </c>
      <c r="E4885" s="2" t="s">
        <v>8083</v>
      </c>
      <c r="F4885" s="3" t="n">
        <v>46131.2256944445</v>
      </c>
      <c r="G4885" s="2" t="s">
        <v>9602</v>
      </c>
      <c r="H4885" s="4" t="n">
        <v>0.6369</v>
      </c>
      <c r="I4885" s="2" t="s">
        <v>23</v>
      </c>
      <c r="J4885" s="2" t="s">
        <v>19</v>
      </c>
      <c r="K4885" s="2" t="n">
        <v>2</v>
      </c>
      <c r="L4885" s="2" t="n">
        <v>0</v>
      </c>
      <c r="M4885" s="2" t="n">
        <v>0</v>
      </c>
    </row>
    <row r="4886" customFormat="false" ht="15" hidden="false" customHeight="false" outlineLevel="0" collapsed="false">
      <c r="A4886" s="2" t="s">
        <v>9991</v>
      </c>
      <c r="B4886" s="2" t="s">
        <v>9992</v>
      </c>
      <c r="C4886" s="2" t="n">
        <v>3</v>
      </c>
      <c r="D4886" s="2" t="s">
        <v>22</v>
      </c>
      <c r="E4886" s="2" t="s">
        <v>8083</v>
      </c>
      <c r="F4886" s="3" t="n">
        <v>46131.3368055556</v>
      </c>
      <c r="G4886" s="2" t="s">
        <v>9602</v>
      </c>
      <c r="H4886" s="4" t="n">
        <v>0.2023</v>
      </c>
      <c r="I4886" s="2" t="s">
        <v>23</v>
      </c>
      <c r="J4886" s="2" t="s">
        <v>19</v>
      </c>
      <c r="K4886" s="2" t="n">
        <v>2</v>
      </c>
      <c r="L4886" s="2" t="n">
        <v>0</v>
      </c>
      <c r="M4886" s="2" t="n">
        <v>0</v>
      </c>
    </row>
    <row r="4887" customFormat="false" ht="15" hidden="false" customHeight="false" outlineLevel="0" collapsed="false">
      <c r="A4887" s="2" t="s">
        <v>9993</v>
      </c>
      <c r="B4887" s="2" t="s">
        <v>994</v>
      </c>
      <c r="C4887" s="2" t="n">
        <v>5</v>
      </c>
      <c r="D4887" s="2" t="s">
        <v>52</v>
      </c>
      <c r="E4887" s="2" t="s">
        <v>8083</v>
      </c>
      <c r="F4887" s="3" t="n">
        <v>46131.5166666667</v>
      </c>
      <c r="G4887" s="2" t="s">
        <v>9602</v>
      </c>
      <c r="H4887" s="4" t="n">
        <v>0.6369</v>
      </c>
      <c r="I4887" s="2" t="s">
        <v>23</v>
      </c>
      <c r="J4887" s="2" t="s">
        <v>19</v>
      </c>
      <c r="K4887" s="2" t="n">
        <v>1</v>
      </c>
      <c r="L4887" s="2" t="n">
        <v>0</v>
      </c>
      <c r="M4887" s="2" t="n">
        <v>0</v>
      </c>
    </row>
    <row r="4888" customFormat="false" ht="15" hidden="false" customHeight="false" outlineLevel="0" collapsed="false">
      <c r="A4888" s="2" t="s">
        <v>9994</v>
      </c>
      <c r="B4888" s="2" t="s">
        <v>9995</v>
      </c>
      <c r="C4888" s="2" t="n">
        <v>4</v>
      </c>
      <c r="D4888" s="2" t="s">
        <v>62</v>
      </c>
      <c r="E4888" s="2" t="s">
        <v>8083</v>
      </c>
      <c r="F4888" s="3" t="n">
        <v>46131.6270833333</v>
      </c>
      <c r="G4888" s="2" t="s">
        <v>9602</v>
      </c>
      <c r="H4888" s="4" t="n">
        <v>0.7088</v>
      </c>
      <c r="I4888" s="2" t="s">
        <v>23</v>
      </c>
      <c r="J4888" s="2" t="s">
        <v>19</v>
      </c>
      <c r="K4888" s="2" t="n">
        <v>0</v>
      </c>
      <c r="L4888" s="2" t="n">
        <v>0</v>
      </c>
      <c r="M4888" s="2" t="n">
        <v>0</v>
      </c>
    </row>
    <row r="4889" customFormat="false" ht="15" hidden="false" customHeight="false" outlineLevel="0" collapsed="false">
      <c r="A4889" s="2" t="s">
        <v>9996</v>
      </c>
      <c r="B4889" s="2" t="s">
        <v>9997</v>
      </c>
      <c r="C4889" s="2" t="n">
        <v>5</v>
      </c>
      <c r="D4889" s="2" t="s">
        <v>47</v>
      </c>
      <c r="E4889" s="2" t="s">
        <v>8083</v>
      </c>
      <c r="F4889" s="3" t="n">
        <v>46131.9895833333</v>
      </c>
      <c r="G4889" s="2" t="s">
        <v>9602</v>
      </c>
      <c r="H4889" s="4" t="n">
        <v>0.3089</v>
      </c>
      <c r="I4889" s="2" t="s">
        <v>23</v>
      </c>
      <c r="J4889" s="2" t="s">
        <v>19</v>
      </c>
      <c r="K4889" s="2" t="n">
        <v>3</v>
      </c>
      <c r="L4889" s="2" t="n">
        <v>0</v>
      </c>
      <c r="M4889" s="2" t="n">
        <v>0</v>
      </c>
    </row>
    <row r="4890" customFormat="false" ht="15" hidden="false" customHeight="false" outlineLevel="0" collapsed="false">
      <c r="A4890" s="2" t="s">
        <v>9998</v>
      </c>
      <c r="B4890" s="2" t="s">
        <v>9999</v>
      </c>
      <c r="C4890" s="2" t="n">
        <v>1</v>
      </c>
      <c r="D4890" s="2" t="s">
        <v>168</v>
      </c>
      <c r="E4890" s="2" t="s">
        <v>8083</v>
      </c>
      <c r="F4890" s="3" t="n">
        <v>46132.0611111111</v>
      </c>
      <c r="G4890" s="2" t="s">
        <v>9602</v>
      </c>
      <c r="H4890" s="4" t="n">
        <v>-0.1027</v>
      </c>
      <c r="I4890" s="2" t="s">
        <v>84</v>
      </c>
      <c r="J4890" s="2" t="s">
        <v>33</v>
      </c>
      <c r="K4890" s="2" t="n">
        <v>4</v>
      </c>
      <c r="L4890" s="2" t="n">
        <v>0</v>
      </c>
      <c r="M4890" s="2" t="n">
        <v>0</v>
      </c>
    </row>
    <row r="4891" customFormat="false" ht="15" hidden="false" customHeight="false" outlineLevel="0" collapsed="false">
      <c r="A4891" s="2" t="s">
        <v>10000</v>
      </c>
      <c r="B4891" s="2" t="s">
        <v>10001</v>
      </c>
      <c r="C4891" s="2" t="n">
        <v>4</v>
      </c>
      <c r="D4891" s="2" t="s">
        <v>96</v>
      </c>
      <c r="E4891" s="2" t="s">
        <v>8083</v>
      </c>
      <c r="F4891" s="3" t="n">
        <v>46132.1298611111</v>
      </c>
      <c r="G4891" s="2" t="s">
        <v>9602</v>
      </c>
      <c r="H4891" s="4" t="n">
        <v>0.6369</v>
      </c>
      <c r="I4891" s="2" t="s">
        <v>23</v>
      </c>
      <c r="J4891" s="2" t="s">
        <v>19</v>
      </c>
      <c r="K4891" s="2" t="n">
        <v>7</v>
      </c>
      <c r="L4891" s="2" t="n">
        <v>0</v>
      </c>
      <c r="M4891" s="2" t="n">
        <v>0</v>
      </c>
    </row>
    <row r="4892" customFormat="false" ht="15" hidden="false" customHeight="false" outlineLevel="0" collapsed="false">
      <c r="A4892" s="2" t="s">
        <v>10002</v>
      </c>
      <c r="B4892" s="2" t="s">
        <v>10003</v>
      </c>
      <c r="C4892" s="2" t="n">
        <v>3</v>
      </c>
      <c r="D4892" s="2" t="s">
        <v>298</v>
      </c>
      <c r="E4892" s="2" t="s">
        <v>8083</v>
      </c>
      <c r="F4892" s="3" t="n">
        <v>46132.2194444445</v>
      </c>
      <c r="G4892" s="2" t="s">
        <v>9602</v>
      </c>
      <c r="H4892" s="4" t="n">
        <v>0</v>
      </c>
      <c r="I4892" s="2" t="s">
        <v>18</v>
      </c>
      <c r="J4892" s="2" t="s">
        <v>19</v>
      </c>
      <c r="K4892" s="2" t="n">
        <v>2</v>
      </c>
      <c r="L4892" s="2" t="n">
        <v>0</v>
      </c>
      <c r="M4892" s="2" t="n">
        <v>0</v>
      </c>
    </row>
    <row r="4893" customFormat="false" ht="15" hidden="false" customHeight="false" outlineLevel="0" collapsed="false">
      <c r="A4893" s="2" t="s">
        <v>10004</v>
      </c>
      <c r="B4893" s="2" t="s">
        <v>10005</v>
      </c>
      <c r="C4893" s="2" t="n">
        <v>5</v>
      </c>
      <c r="D4893" s="2" t="s">
        <v>127</v>
      </c>
      <c r="E4893" s="2" t="s">
        <v>8083</v>
      </c>
      <c r="F4893" s="3" t="n">
        <v>46132.2270833333</v>
      </c>
      <c r="G4893" s="2" t="s">
        <v>9602</v>
      </c>
      <c r="H4893" s="4" t="n">
        <v>0.9359</v>
      </c>
      <c r="I4893" s="2" t="s">
        <v>23</v>
      </c>
      <c r="J4893" s="2" t="s">
        <v>37</v>
      </c>
      <c r="K4893" s="2" t="n">
        <v>4</v>
      </c>
      <c r="L4893" s="2" t="n">
        <v>0</v>
      </c>
      <c r="M4893" s="2" t="n">
        <v>0</v>
      </c>
    </row>
    <row r="4894" customFormat="false" ht="15" hidden="false" customHeight="false" outlineLevel="0" collapsed="false">
      <c r="A4894" s="2" t="s">
        <v>10006</v>
      </c>
      <c r="B4894" s="2" t="s">
        <v>10007</v>
      </c>
      <c r="C4894" s="2" t="n">
        <v>2</v>
      </c>
      <c r="D4894" s="2" t="s">
        <v>179</v>
      </c>
      <c r="E4894" s="2" t="s">
        <v>8083</v>
      </c>
      <c r="F4894" s="3" t="n">
        <v>46132.4229166667</v>
      </c>
      <c r="G4894" s="2" t="s">
        <v>9602</v>
      </c>
      <c r="H4894" s="4" t="n">
        <v>-0.0258</v>
      </c>
      <c r="I4894" s="2" t="s">
        <v>18</v>
      </c>
      <c r="J4894" s="2" t="s">
        <v>59</v>
      </c>
      <c r="K4894" s="2" t="n">
        <v>1</v>
      </c>
      <c r="L4894" s="2" t="n">
        <v>0</v>
      </c>
      <c r="M4894" s="2" t="n">
        <v>0</v>
      </c>
    </row>
    <row r="4895" customFormat="false" ht="15" hidden="false" customHeight="false" outlineLevel="0" collapsed="false">
      <c r="A4895" s="2" t="s">
        <v>10008</v>
      </c>
      <c r="B4895" s="2" t="s">
        <v>10009</v>
      </c>
      <c r="C4895" s="2" t="n">
        <v>4</v>
      </c>
      <c r="D4895" s="2" t="s">
        <v>22</v>
      </c>
      <c r="E4895" s="2" t="s">
        <v>8083</v>
      </c>
      <c r="F4895" s="3" t="n">
        <v>46132.4756944445</v>
      </c>
      <c r="G4895" s="2" t="s">
        <v>9602</v>
      </c>
      <c r="H4895" s="4" t="n">
        <v>0.2023</v>
      </c>
      <c r="I4895" s="2" t="s">
        <v>23</v>
      </c>
      <c r="J4895" s="2" t="s">
        <v>19</v>
      </c>
      <c r="K4895" s="2" t="n">
        <v>3</v>
      </c>
      <c r="L4895" s="2" t="n">
        <v>0</v>
      </c>
      <c r="M4895" s="2" t="n">
        <v>0</v>
      </c>
    </row>
    <row r="4896" customFormat="false" ht="15" hidden="false" customHeight="false" outlineLevel="0" collapsed="false">
      <c r="A4896" s="2" t="s">
        <v>10010</v>
      </c>
      <c r="B4896" s="2" t="s">
        <v>10011</v>
      </c>
      <c r="C4896" s="2" t="n">
        <v>4</v>
      </c>
      <c r="D4896" s="2" t="s">
        <v>47</v>
      </c>
      <c r="E4896" s="2" t="s">
        <v>8083</v>
      </c>
      <c r="F4896" s="3" t="n">
        <v>46132.5486111111</v>
      </c>
      <c r="G4896" s="2" t="s">
        <v>9602</v>
      </c>
      <c r="H4896" s="4" t="n">
        <v>0.3089</v>
      </c>
      <c r="I4896" s="2" t="s">
        <v>23</v>
      </c>
      <c r="J4896" s="2" t="s">
        <v>19</v>
      </c>
      <c r="K4896" s="2" t="n">
        <v>5</v>
      </c>
      <c r="L4896" s="2" t="n">
        <v>0</v>
      </c>
      <c r="M4896" s="2" t="n">
        <v>0</v>
      </c>
    </row>
    <row r="4897" customFormat="false" ht="15" hidden="false" customHeight="false" outlineLevel="0" collapsed="false">
      <c r="A4897" s="2" t="s">
        <v>10012</v>
      </c>
      <c r="B4897" s="2" t="s">
        <v>10013</v>
      </c>
      <c r="C4897" s="2" t="n">
        <v>1</v>
      </c>
      <c r="D4897" s="2" t="s">
        <v>2886</v>
      </c>
      <c r="E4897" s="2" t="s">
        <v>8083</v>
      </c>
      <c r="F4897" s="3" t="n">
        <v>46132.5722222222</v>
      </c>
      <c r="G4897" s="2" t="s">
        <v>9602</v>
      </c>
      <c r="H4897" s="4" t="n">
        <v>-0.4215</v>
      </c>
      <c r="I4897" s="2" t="s">
        <v>84</v>
      </c>
      <c r="J4897" s="2" t="s">
        <v>110</v>
      </c>
      <c r="K4897" s="2" t="n">
        <v>2</v>
      </c>
      <c r="L4897" s="2" t="n">
        <v>0</v>
      </c>
      <c r="M4897" s="2" t="n">
        <v>0</v>
      </c>
    </row>
    <row r="4898" customFormat="false" ht="15" hidden="false" customHeight="false" outlineLevel="0" collapsed="false">
      <c r="A4898" s="2" t="s">
        <v>10014</v>
      </c>
      <c r="B4898" s="2" t="s">
        <v>10015</v>
      </c>
      <c r="C4898" s="2" t="n">
        <v>4</v>
      </c>
      <c r="D4898" s="2" t="s">
        <v>96</v>
      </c>
      <c r="E4898" s="2" t="s">
        <v>8083</v>
      </c>
      <c r="F4898" s="3" t="n">
        <v>46133.05625</v>
      </c>
      <c r="G4898" s="2" t="s">
        <v>9602</v>
      </c>
      <c r="H4898" s="4" t="n">
        <v>0.6369</v>
      </c>
      <c r="I4898" s="2" t="s">
        <v>23</v>
      </c>
      <c r="J4898" s="2" t="s">
        <v>19</v>
      </c>
      <c r="K4898" s="2" t="n">
        <v>5</v>
      </c>
      <c r="L4898" s="2" t="n">
        <v>0</v>
      </c>
      <c r="M4898" s="2" t="n">
        <v>0</v>
      </c>
    </row>
    <row r="4899" customFormat="false" ht="15" hidden="false" customHeight="false" outlineLevel="0" collapsed="false">
      <c r="A4899" s="2" t="s">
        <v>10016</v>
      </c>
      <c r="B4899" s="2" t="s">
        <v>10017</v>
      </c>
      <c r="C4899" s="2" t="n">
        <v>2</v>
      </c>
      <c r="D4899" s="2" t="s">
        <v>2590</v>
      </c>
      <c r="E4899" s="2" t="s">
        <v>8083</v>
      </c>
      <c r="F4899" s="3" t="n">
        <v>46133.0972222222</v>
      </c>
      <c r="G4899" s="2" t="s">
        <v>9602</v>
      </c>
      <c r="H4899" s="4" t="n">
        <v>-0.3089</v>
      </c>
      <c r="I4899" s="2" t="s">
        <v>84</v>
      </c>
      <c r="J4899" s="2" t="s">
        <v>165</v>
      </c>
      <c r="K4899" s="2" t="n">
        <v>8</v>
      </c>
      <c r="L4899" s="2" t="n">
        <v>1</v>
      </c>
      <c r="M4899" s="2" t="n">
        <v>0</v>
      </c>
    </row>
    <row r="4900" customFormat="false" ht="15" hidden="false" customHeight="false" outlineLevel="0" collapsed="false">
      <c r="A4900" s="2" t="s">
        <v>10018</v>
      </c>
      <c r="B4900" s="2" t="s">
        <v>10019</v>
      </c>
      <c r="C4900" s="2" t="n">
        <v>5</v>
      </c>
      <c r="D4900" s="2" t="s">
        <v>127</v>
      </c>
      <c r="E4900" s="2" t="s">
        <v>8083</v>
      </c>
      <c r="F4900" s="3" t="n">
        <v>46133.1493055556</v>
      </c>
      <c r="G4900" s="2" t="s">
        <v>9602</v>
      </c>
      <c r="H4900" s="4" t="n">
        <v>0.9359</v>
      </c>
      <c r="I4900" s="2" t="s">
        <v>23</v>
      </c>
      <c r="J4900" s="2" t="s">
        <v>37</v>
      </c>
      <c r="K4900" s="2" t="n">
        <v>1</v>
      </c>
      <c r="L4900" s="2" t="n">
        <v>0</v>
      </c>
      <c r="M4900" s="2" t="n">
        <v>0</v>
      </c>
    </row>
    <row r="4901" customFormat="false" ht="15" hidden="false" customHeight="false" outlineLevel="0" collapsed="false">
      <c r="A4901" s="2" t="s">
        <v>10020</v>
      </c>
      <c r="B4901" s="2" t="s">
        <v>5964</v>
      </c>
      <c r="C4901" s="2" t="n">
        <v>5</v>
      </c>
      <c r="D4901" s="2" t="s">
        <v>62</v>
      </c>
      <c r="E4901" s="2" t="s">
        <v>8083</v>
      </c>
      <c r="F4901" s="3" t="n">
        <v>46133.1583333333</v>
      </c>
      <c r="G4901" s="2" t="s">
        <v>9602</v>
      </c>
      <c r="H4901" s="4" t="n">
        <v>0.7088</v>
      </c>
      <c r="I4901" s="2" t="s">
        <v>23</v>
      </c>
      <c r="J4901" s="2" t="s">
        <v>19</v>
      </c>
      <c r="K4901" s="2" t="n">
        <v>1</v>
      </c>
      <c r="L4901" s="2" t="n">
        <v>0</v>
      </c>
      <c r="M4901" s="2" t="n">
        <v>0</v>
      </c>
    </row>
    <row r="4902" customFormat="false" ht="15" hidden="false" customHeight="false" outlineLevel="0" collapsed="false">
      <c r="A4902" s="2" t="s">
        <v>10021</v>
      </c>
      <c r="B4902" s="2" t="s">
        <v>10022</v>
      </c>
      <c r="C4902" s="2" t="n">
        <v>4</v>
      </c>
      <c r="D4902" s="2" t="s">
        <v>47</v>
      </c>
      <c r="E4902" s="2" t="s">
        <v>8083</v>
      </c>
      <c r="F4902" s="3" t="n">
        <v>46133.2965277778</v>
      </c>
      <c r="G4902" s="2" t="s">
        <v>9602</v>
      </c>
      <c r="H4902" s="4" t="n">
        <v>0.3089</v>
      </c>
      <c r="I4902" s="2" t="s">
        <v>23</v>
      </c>
      <c r="J4902" s="2" t="s">
        <v>19</v>
      </c>
      <c r="K4902" s="2" t="n">
        <v>6</v>
      </c>
      <c r="L4902" s="2" t="n">
        <v>0</v>
      </c>
      <c r="M4902" s="2" t="n">
        <v>0</v>
      </c>
    </row>
    <row r="4903" customFormat="false" ht="15" hidden="false" customHeight="false" outlineLevel="0" collapsed="false">
      <c r="A4903" s="2" t="s">
        <v>10023</v>
      </c>
      <c r="B4903" s="2" t="s">
        <v>10024</v>
      </c>
      <c r="C4903" s="2" t="n">
        <v>4</v>
      </c>
      <c r="D4903" s="2" t="s">
        <v>15</v>
      </c>
      <c r="E4903" s="2" t="s">
        <v>8083</v>
      </c>
      <c r="F4903" s="3" t="n">
        <v>46133.3381944444</v>
      </c>
      <c r="G4903" s="2" t="s">
        <v>9602</v>
      </c>
      <c r="H4903" s="4" t="n">
        <v>0</v>
      </c>
      <c r="I4903" s="2" t="s">
        <v>18</v>
      </c>
      <c r="J4903" s="2" t="s">
        <v>19</v>
      </c>
      <c r="K4903" s="2" t="n">
        <v>1</v>
      </c>
      <c r="L4903" s="2" t="n">
        <v>0</v>
      </c>
      <c r="M4903" s="2" t="n">
        <v>0</v>
      </c>
    </row>
    <row r="4904" customFormat="false" ht="15" hidden="false" customHeight="false" outlineLevel="0" collapsed="false">
      <c r="A4904" s="2" t="s">
        <v>10025</v>
      </c>
      <c r="B4904" s="2" t="s">
        <v>10026</v>
      </c>
      <c r="C4904" s="2" t="n">
        <v>5</v>
      </c>
      <c r="D4904" s="2" t="s">
        <v>52</v>
      </c>
      <c r="E4904" s="2" t="s">
        <v>8083</v>
      </c>
      <c r="F4904" s="3" t="n">
        <v>46133.4069444445</v>
      </c>
      <c r="G4904" s="2" t="s">
        <v>9602</v>
      </c>
      <c r="H4904" s="4" t="n">
        <v>0.6369</v>
      </c>
      <c r="I4904" s="2" t="s">
        <v>23</v>
      </c>
      <c r="J4904" s="2" t="s">
        <v>19</v>
      </c>
      <c r="K4904" s="2" t="n">
        <v>0</v>
      </c>
      <c r="L4904" s="2" t="n">
        <v>1</v>
      </c>
      <c r="M4904" s="2" t="n">
        <v>0</v>
      </c>
    </row>
    <row r="4905" customFormat="false" ht="15" hidden="false" customHeight="false" outlineLevel="0" collapsed="false">
      <c r="A4905" s="2" t="s">
        <v>10027</v>
      </c>
      <c r="B4905" s="2" t="s">
        <v>10028</v>
      </c>
      <c r="C4905" s="2" t="n">
        <v>5</v>
      </c>
      <c r="D4905" s="2" t="s">
        <v>90</v>
      </c>
      <c r="E4905" s="2" t="s">
        <v>8083</v>
      </c>
      <c r="F4905" s="3" t="n">
        <v>46133.6243055556</v>
      </c>
      <c r="G4905" s="2" t="s">
        <v>9602</v>
      </c>
      <c r="H4905" s="4" t="n">
        <v>0.6249</v>
      </c>
      <c r="I4905" s="2" t="s">
        <v>23</v>
      </c>
      <c r="J4905" s="2" t="s">
        <v>37</v>
      </c>
      <c r="K4905" s="2" t="n">
        <v>1</v>
      </c>
      <c r="L4905" s="2" t="n">
        <v>0</v>
      </c>
      <c r="M4905" s="2" t="n">
        <v>0</v>
      </c>
    </row>
    <row r="4906" customFormat="false" ht="15" hidden="false" customHeight="false" outlineLevel="0" collapsed="false">
      <c r="A4906" s="2" t="s">
        <v>10029</v>
      </c>
      <c r="B4906" s="2" t="s">
        <v>10030</v>
      </c>
      <c r="C4906" s="2" t="n">
        <v>2</v>
      </c>
      <c r="D4906" s="2" t="s">
        <v>10031</v>
      </c>
      <c r="E4906" s="2" t="s">
        <v>8083</v>
      </c>
      <c r="F4906" s="3" t="n">
        <v>46133.7229166667</v>
      </c>
      <c r="G4906" s="2" t="s">
        <v>9602</v>
      </c>
      <c r="H4906" s="4" t="n">
        <v>-0.3089</v>
      </c>
      <c r="I4906" s="2" t="s">
        <v>84</v>
      </c>
      <c r="J4906" s="2" t="s">
        <v>110</v>
      </c>
      <c r="K4906" s="2" t="n">
        <v>1</v>
      </c>
      <c r="L4906" s="2" t="n">
        <v>0</v>
      </c>
      <c r="M4906" s="2" t="n">
        <v>0</v>
      </c>
    </row>
    <row r="4907" customFormat="false" ht="15" hidden="false" customHeight="false" outlineLevel="0" collapsed="false">
      <c r="A4907" s="2" t="s">
        <v>10032</v>
      </c>
      <c r="B4907" s="2" t="s">
        <v>1832</v>
      </c>
      <c r="C4907" s="2" t="n">
        <v>5</v>
      </c>
      <c r="D4907" s="2" t="s">
        <v>96</v>
      </c>
      <c r="E4907" s="2" t="s">
        <v>8083</v>
      </c>
      <c r="F4907" s="3" t="n">
        <v>46133.8465277778</v>
      </c>
      <c r="G4907" s="2" t="s">
        <v>9602</v>
      </c>
      <c r="H4907" s="4" t="n">
        <v>0.6369</v>
      </c>
      <c r="I4907" s="2" t="s">
        <v>23</v>
      </c>
      <c r="J4907" s="2" t="s">
        <v>19</v>
      </c>
      <c r="K4907" s="2" t="n">
        <v>3</v>
      </c>
      <c r="L4907" s="2" t="n">
        <v>0</v>
      </c>
      <c r="M4907" s="2" t="n">
        <v>0</v>
      </c>
    </row>
    <row r="4908" customFormat="false" ht="15" hidden="false" customHeight="false" outlineLevel="0" collapsed="false">
      <c r="A4908" s="2" t="s">
        <v>10033</v>
      </c>
      <c r="B4908" s="2" t="s">
        <v>687</v>
      </c>
      <c r="C4908" s="2" t="n">
        <v>5</v>
      </c>
      <c r="D4908" s="2" t="s">
        <v>52</v>
      </c>
      <c r="E4908" s="2" t="s">
        <v>8083</v>
      </c>
      <c r="F4908" s="3" t="n">
        <v>46133.9506944444</v>
      </c>
      <c r="G4908" s="2" t="s">
        <v>9602</v>
      </c>
      <c r="H4908" s="4" t="n">
        <v>0.6369</v>
      </c>
      <c r="I4908" s="2" t="s">
        <v>23</v>
      </c>
      <c r="J4908" s="2" t="s">
        <v>19</v>
      </c>
      <c r="K4908" s="2" t="n">
        <v>1</v>
      </c>
      <c r="L4908" s="2" t="n">
        <v>1</v>
      </c>
      <c r="M4908" s="2" t="n">
        <v>0</v>
      </c>
    </row>
    <row r="4909" customFormat="false" ht="15" hidden="false" customHeight="false" outlineLevel="0" collapsed="false">
      <c r="A4909" s="2" t="s">
        <v>10034</v>
      </c>
      <c r="B4909" s="2" t="s">
        <v>10035</v>
      </c>
      <c r="C4909" s="2" t="n">
        <v>5</v>
      </c>
      <c r="D4909" s="2" t="s">
        <v>15</v>
      </c>
      <c r="E4909" s="2" t="s">
        <v>8083</v>
      </c>
      <c r="F4909" s="3" t="n">
        <v>46133.9895833333</v>
      </c>
      <c r="G4909" s="2" t="s">
        <v>9602</v>
      </c>
      <c r="H4909" s="4" t="n">
        <v>0</v>
      </c>
      <c r="I4909" s="2" t="s">
        <v>18</v>
      </c>
      <c r="J4909" s="2" t="s">
        <v>19</v>
      </c>
      <c r="K4909" s="2" t="n">
        <v>3</v>
      </c>
      <c r="L4909" s="2" t="n">
        <v>0</v>
      </c>
      <c r="M4909" s="2" t="n">
        <v>0</v>
      </c>
    </row>
    <row r="4910" customFormat="false" ht="15" hidden="false" customHeight="false" outlineLevel="0" collapsed="false">
      <c r="A4910" s="2" t="s">
        <v>10036</v>
      </c>
      <c r="B4910" s="2" t="s">
        <v>10037</v>
      </c>
      <c r="C4910" s="2" t="n">
        <v>2</v>
      </c>
      <c r="D4910" s="2" t="s">
        <v>357</v>
      </c>
      <c r="E4910" s="2" t="s">
        <v>8083</v>
      </c>
      <c r="F4910" s="3" t="n">
        <v>46134.0451388889</v>
      </c>
      <c r="G4910" s="2" t="s">
        <v>9602</v>
      </c>
      <c r="H4910" s="4" t="n">
        <v>0</v>
      </c>
      <c r="I4910" s="2" t="s">
        <v>18</v>
      </c>
      <c r="J4910" s="2" t="s">
        <v>165</v>
      </c>
      <c r="K4910" s="2" t="n">
        <v>7</v>
      </c>
      <c r="L4910" s="2" t="n">
        <v>1</v>
      </c>
      <c r="M4910" s="2" t="n">
        <v>0</v>
      </c>
    </row>
    <row r="4911" customFormat="false" ht="15" hidden="false" customHeight="false" outlineLevel="0" collapsed="false">
      <c r="A4911" s="2" t="s">
        <v>10038</v>
      </c>
      <c r="B4911" s="2" t="s">
        <v>10039</v>
      </c>
      <c r="C4911" s="2" t="n">
        <v>5</v>
      </c>
      <c r="D4911" s="2" t="s">
        <v>828</v>
      </c>
      <c r="E4911" s="2" t="s">
        <v>8083</v>
      </c>
      <c r="F4911" s="3" t="n">
        <v>46134.0840277778</v>
      </c>
      <c r="G4911" s="2" t="s">
        <v>9602</v>
      </c>
      <c r="H4911" s="4" t="n">
        <v>0.8519</v>
      </c>
      <c r="I4911" s="2" t="s">
        <v>23</v>
      </c>
      <c r="J4911" s="2" t="s">
        <v>37</v>
      </c>
      <c r="K4911" s="2" t="n">
        <v>7</v>
      </c>
      <c r="L4911" s="2" t="n">
        <v>0</v>
      </c>
      <c r="M4911" s="2" t="n">
        <v>0</v>
      </c>
    </row>
    <row r="4912" customFormat="false" ht="15" hidden="false" customHeight="false" outlineLevel="0" collapsed="false">
      <c r="A4912" s="2" t="s">
        <v>10040</v>
      </c>
      <c r="B4912" s="2" t="s">
        <v>5970</v>
      </c>
      <c r="C4912" s="2" t="n">
        <v>5</v>
      </c>
      <c r="D4912" s="2" t="s">
        <v>40</v>
      </c>
      <c r="E4912" s="2" t="s">
        <v>8083</v>
      </c>
      <c r="F4912" s="3" t="n">
        <v>46134.2715277778</v>
      </c>
      <c r="G4912" s="2" t="s">
        <v>9602</v>
      </c>
      <c r="H4912" s="4" t="n">
        <v>0.4019</v>
      </c>
      <c r="I4912" s="2" t="s">
        <v>23</v>
      </c>
      <c r="J4912" s="2" t="s">
        <v>33</v>
      </c>
      <c r="K4912" s="2" t="n">
        <v>4</v>
      </c>
      <c r="L4912" s="2" t="n">
        <v>0</v>
      </c>
      <c r="M4912" s="2" t="n">
        <v>0</v>
      </c>
    </row>
    <row r="4913" customFormat="false" ht="15" hidden="false" customHeight="false" outlineLevel="0" collapsed="false">
      <c r="A4913" s="2" t="s">
        <v>10041</v>
      </c>
      <c r="B4913" s="2" t="s">
        <v>10042</v>
      </c>
      <c r="C4913" s="2" t="n">
        <v>4</v>
      </c>
      <c r="D4913" s="2" t="s">
        <v>40</v>
      </c>
      <c r="E4913" s="2" t="s">
        <v>8083</v>
      </c>
      <c r="F4913" s="3" t="n">
        <v>46134.3416666667</v>
      </c>
      <c r="G4913" s="2" t="s">
        <v>9602</v>
      </c>
      <c r="H4913" s="4" t="n">
        <v>0.4019</v>
      </c>
      <c r="I4913" s="2" t="s">
        <v>23</v>
      </c>
      <c r="J4913" s="2" t="s">
        <v>33</v>
      </c>
      <c r="K4913" s="2" t="n">
        <v>0</v>
      </c>
      <c r="L4913" s="2" t="n">
        <v>0</v>
      </c>
      <c r="M4913" s="2" t="n">
        <v>0</v>
      </c>
    </row>
    <row r="4914" customFormat="false" ht="15" hidden="false" customHeight="false" outlineLevel="0" collapsed="false">
      <c r="A4914" s="2" t="s">
        <v>10043</v>
      </c>
      <c r="B4914" s="2" t="s">
        <v>10044</v>
      </c>
      <c r="C4914" s="2" t="n">
        <v>4</v>
      </c>
      <c r="D4914" s="2" t="s">
        <v>40</v>
      </c>
      <c r="E4914" s="2" t="s">
        <v>8083</v>
      </c>
      <c r="F4914" s="3" t="n">
        <v>46134.4590277778</v>
      </c>
      <c r="G4914" s="2" t="s">
        <v>9602</v>
      </c>
      <c r="H4914" s="4" t="n">
        <v>0.4019</v>
      </c>
      <c r="I4914" s="2" t="s">
        <v>23</v>
      </c>
      <c r="J4914" s="2" t="s">
        <v>33</v>
      </c>
      <c r="K4914" s="2" t="n">
        <v>7</v>
      </c>
      <c r="L4914" s="2" t="n">
        <v>0</v>
      </c>
      <c r="M4914" s="2" t="n">
        <v>0</v>
      </c>
    </row>
    <row r="4915" customFormat="false" ht="15" hidden="false" customHeight="false" outlineLevel="0" collapsed="false">
      <c r="A4915" s="2" t="s">
        <v>10045</v>
      </c>
      <c r="B4915" s="2" t="s">
        <v>10046</v>
      </c>
      <c r="C4915" s="2" t="n">
        <v>5</v>
      </c>
      <c r="D4915" s="2" t="s">
        <v>67</v>
      </c>
      <c r="E4915" s="2" t="s">
        <v>8083</v>
      </c>
      <c r="F4915" s="3" t="n">
        <v>46134.4715277778</v>
      </c>
      <c r="G4915" s="2" t="s">
        <v>9602</v>
      </c>
      <c r="H4915" s="4" t="n">
        <v>0.8953</v>
      </c>
      <c r="I4915" s="2" t="s">
        <v>23</v>
      </c>
      <c r="J4915" s="2" t="s">
        <v>19</v>
      </c>
      <c r="K4915" s="2" t="n">
        <v>3</v>
      </c>
      <c r="L4915" s="2" t="n">
        <v>0</v>
      </c>
      <c r="M4915" s="2" t="n">
        <v>0</v>
      </c>
    </row>
    <row r="4916" customFormat="false" ht="15" hidden="false" customHeight="false" outlineLevel="0" collapsed="false">
      <c r="A4916" s="2" t="s">
        <v>10047</v>
      </c>
      <c r="B4916" s="2" t="s">
        <v>5725</v>
      </c>
      <c r="C4916" s="2" t="n">
        <v>5</v>
      </c>
      <c r="D4916" s="2" t="s">
        <v>47</v>
      </c>
      <c r="E4916" s="2" t="s">
        <v>8083</v>
      </c>
      <c r="F4916" s="3" t="n">
        <v>46134.4756944445</v>
      </c>
      <c r="G4916" s="2" t="s">
        <v>9602</v>
      </c>
      <c r="H4916" s="4" t="n">
        <v>0.3089</v>
      </c>
      <c r="I4916" s="2" t="s">
        <v>23</v>
      </c>
      <c r="J4916" s="2" t="s">
        <v>19</v>
      </c>
      <c r="K4916" s="2" t="n">
        <v>7</v>
      </c>
      <c r="L4916" s="2" t="n">
        <v>0</v>
      </c>
      <c r="M4916" s="2" t="n">
        <v>0</v>
      </c>
    </row>
    <row r="4917" customFormat="false" ht="15" hidden="false" customHeight="false" outlineLevel="0" collapsed="false">
      <c r="A4917" s="2" t="s">
        <v>10048</v>
      </c>
      <c r="B4917" s="2" t="s">
        <v>10049</v>
      </c>
      <c r="C4917" s="2" t="n">
        <v>4</v>
      </c>
      <c r="D4917" s="2" t="s">
        <v>1164</v>
      </c>
      <c r="E4917" s="2" t="s">
        <v>8083</v>
      </c>
      <c r="F4917" s="3" t="n">
        <v>46134.5270833333</v>
      </c>
      <c r="G4917" s="2" t="s">
        <v>9602</v>
      </c>
      <c r="H4917" s="4" t="n">
        <v>0.7096</v>
      </c>
      <c r="I4917" s="2" t="s">
        <v>23</v>
      </c>
      <c r="J4917" s="2" t="s">
        <v>37</v>
      </c>
      <c r="K4917" s="2" t="n">
        <v>5</v>
      </c>
      <c r="L4917" s="2" t="n">
        <v>0</v>
      </c>
      <c r="M4917" s="2" t="n">
        <v>0</v>
      </c>
    </row>
    <row r="4918" customFormat="false" ht="15" hidden="false" customHeight="false" outlineLevel="0" collapsed="false">
      <c r="A4918" s="2" t="s">
        <v>10050</v>
      </c>
      <c r="B4918" s="2" t="s">
        <v>6648</v>
      </c>
      <c r="C4918" s="2" t="n">
        <v>4</v>
      </c>
      <c r="D4918" s="2" t="s">
        <v>96</v>
      </c>
      <c r="E4918" s="2" t="s">
        <v>8083</v>
      </c>
      <c r="F4918" s="3" t="n">
        <v>46134.5618055556</v>
      </c>
      <c r="G4918" s="2" t="s">
        <v>9602</v>
      </c>
      <c r="H4918" s="4" t="n">
        <v>0.6369</v>
      </c>
      <c r="I4918" s="2" t="s">
        <v>23</v>
      </c>
      <c r="J4918" s="2" t="s">
        <v>19</v>
      </c>
      <c r="K4918" s="2" t="n">
        <v>2</v>
      </c>
      <c r="L4918" s="2" t="n">
        <v>0</v>
      </c>
      <c r="M4918" s="2" t="n">
        <v>0</v>
      </c>
    </row>
    <row r="4919" customFormat="false" ht="15" hidden="false" customHeight="false" outlineLevel="0" collapsed="false">
      <c r="A4919" s="2" t="s">
        <v>10051</v>
      </c>
      <c r="B4919" s="2" t="s">
        <v>10052</v>
      </c>
      <c r="C4919" s="2" t="n">
        <v>1</v>
      </c>
      <c r="D4919" s="2" t="s">
        <v>2162</v>
      </c>
      <c r="E4919" s="2" t="s">
        <v>8083</v>
      </c>
      <c r="F4919" s="3" t="n">
        <v>46134.6236111111</v>
      </c>
      <c r="G4919" s="2" t="s">
        <v>9602</v>
      </c>
      <c r="H4919" s="4" t="n">
        <v>-0.4533</v>
      </c>
      <c r="I4919" s="2" t="s">
        <v>84</v>
      </c>
      <c r="J4919" s="2" t="s">
        <v>59</v>
      </c>
      <c r="K4919" s="2" t="n">
        <v>3</v>
      </c>
      <c r="L4919" s="2" t="n">
        <v>0</v>
      </c>
      <c r="M4919" s="2" t="n">
        <v>0</v>
      </c>
    </row>
    <row r="4920" customFormat="false" ht="15" hidden="false" customHeight="false" outlineLevel="0" collapsed="false">
      <c r="A4920" s="2" t="s">
        <v>10053</v>
      </c>
      <c r="B4920" s="2" t="s">
        <v>10054</v>
      </c>
      <c r="C4920" s="2" t="n">
        <v>5</v>
      </c>
      <c r="D4920" s="2" t="s">
        <v>96</v>
      </c>
      <c r="E4920" s="2" t="s">
        <v>8083</v>
      </c>
      <c r="F4920" s="3" t="n">
        <v>46134.6298611111</v>
      </c>
      <c r="G4920" s="2" t="s">
        <v>9602</v>
      </c>
      <c r="H4920" s="4" t="n">
        <v>0.6369</v>
      </c>
      <c r="I4920" s="2" t="s">
        <v>23</v>
      </c>
      <c r="J4920" s="2" t="s">
        <v>19</v>
      </c>
      <c r="K4920" s="2" t="n">
        <v>1</v>
      </c>
      <c r="L4920" s="2" t="n">
        <v>0</v>
      </c>
      <c r="M4920" s="2" t="n">
        <v>0</v>
      </c>
    </row>
    <row r="4921" customFormat="false" ht="15" hidden="false" customHeight="false" outlineLevel="0" collapsed="false">
      <c r="A4921" s="2" t="s">
        <v>10055</v>
      </c>
      <c r="B4921" s="2" t="s">
        <v>10056</v>
      </c>
      <c r="C4921" s="2" t="n">
        <v>5</v>
      </c>
      <c r="D4921" s="2" t="s">
        <v>90</v>
      </c>
      <c r="E4921" s="2" t="s">
        <v>8083</v>
      </c>
      <c r="F4921" s="3" t="n">
        <v>46134.6520833333</v>
      </c>
      <c r="G4921" s="2" t="s">
        <v>9602</v>
      </c>
      <c r="H4921" s="4" t="n">
        <v>0.6249</v>
      </c>
      <c r="I4921" s="2" t="s">
        <v>23</v>
      </c>
      <c r="J4921" s="2" t="s">
        <v>37</v>
      </c>
      <c r="K4921" s="2" t="n">
        <v>3</v>
      </c>
      <c r="L4921" s="2" t="n">
        <v>0</v>
      </c>
      <c r="M4921" s="2" t="n">
        <v>0</v>
      </c>
    </row>
    <row r="4922" customFormat="false" ht="15" hidden="false" customHeight="false" outlineLevel="0" collapsed="false">
      <c r="A4922" s="2" t="s">
        <v>10057</v>
      </c>
      <c r="B4922" s="2" t="s">
        <v>5855</v>
      </c>
      <c r="C4922" s="2" t="n">
        <v>5</v>
      </c>
      <c r="D4922" s="2" t="s">
        <v>1279</v>
      </c>
      <c r="E4922" s="2" t="s">
        <v>8083</v>
      </c>
      <c r="F4922" s="3" t="n">
        <v>46134.68125</v>
      </c>
      <c r="G4922" s="2" t="s">
        <v>9602</v>
      </c>
      <c r="H4922" s="4" t="n">
        <v>0.7783</v>
      </c>
      <c r="I4922" s="2" t="s">
        <v>23</v>
      </c>
      <c r="J4922" s="2" t="s">
        <v>37</v>
      </c>
      <c r="K4922" s="2" t="n">
        <v>7</v>
      </c>
      <c r="L4922" s="2" t="n">
        <v>0</v>
      </c>
      <c r="M4922" s="2" t="n">
        <v>0</v>
      </c>
    </row>
    <row r="4923" customFormat="false" ht="15" hidden="false" customHeight="false" outlineLevel="0" collapsed="false">
      <c r="A4923" s="2" t="s">
        <v>10058</v>
      </c>
      <c r="B4923" s="2" t="s">
        <v>10059</v>
      </c>
      <c r="C4923" s="2" t="n">
        <v>5</v>
      </c>
      <c r="D4923" s="2" t="s">
        <v>62</v>
      </c>
      <c r="E4923" s="2" t="s">
        <v>8083</v>
      </c>
      <c r="F4923" s="3" t="n">
        <v>46134.6854166667</v>
      </c>
      <c r="G4923" s="2" t="s">
        <v>9602</v>
      </c>
      <c r="H4923" s="4" t="n">
        <v>0.7088</v>
      </c>
      <c r="I4923" s="2" t="s">
        <v>23</v>
      </c>
      <c r="J4923" s="2" t="s">
        <v>19</v>
      </c>
      <c r="K4923" s="2" t="n">
        <v>8</v>
      </c>
      <c r="L4923" s="2" t="n">
        <v>0</v>
      </c>
      <c r="M4923" s="2" t="n">
        <v>0</v>
      </c>
    </row>
    <row r="4924" customFormat="false" ht="15" hidden="false" customHeight="false" outlineLevel="0" collapsed="false">
      <c r="A4924" s="2" t="s">
        <v>10060</v>
      </c>
      <c r="B4924" s="2" t="s">
        <v>10061</v>
      </c>
      <c r="C4924" s="2" t="n">
        <v>5</v>
      </c>
      <c r="D4924" s="2" t="s">
        <v>62</v>
      </c>
      <c r="E4924" s="2" t="s">
        <v>8083</v>
      </c>
      <c r="F4924" s="3" t="n">
        <v>46134.7090277778</v>
      </c>
      <c r="G4924" s="2" t="s">
        <v>9602</v>
      </c>
      <c r="H4924" s="4" t="n">
        <v>0.7088</v>
      </c>
      <c r="I4924" s="2" t="s">
        <v>23</v>
      </c>
      <c r="J4924" s="2" t="s">
        <v>19</v>
      </c>
      <c r="K4924" s="2" t="n">
        <v>0</v>
      </c>
      <c r="L4924" s="2" t="n">
        <v>0</v>
      </c>
      <c r="M4924" s="2" t="n">
        <v>0</v>
      </c>
    </row>
    <row r="4925" customFormat="false" ht="15" hidden="false" customHeight="false" outlineLevel="0" collapsed="false">
      <c r="A4925" s="2" t="s">
        <v>10062</v>
      </c>
      <c r="B4925" s="2" t="s">
        <v>10063</v>
      </c>
      <c r="C4925" s="2" t="n">
        <v>5</v>
      </c>
      <c r="D4925" s="2" t="s">
        <v>40</v>
      </c>
      <c r="E4925" s="2" t="s">
        <v>8083</v>
      </c>
      <c r="F4925" s="3" t="n">
        <v>46134.7680555556</v>
      </c>
      <c r="G4925" s="2" t="s">
        <v>9602</v>
      </c>
      <c r="H4925" s="4" t="n">
        <v>0.4019</v>
      </c>
      <c r="I4925" s="2" t="s">
        <v>23</v>
      </c>
      <c r="J4925" s="2" t="s">
        <v>33</v>
      </c>
      <c r="K4925" s="2" t="n">
        <v>2</v>
      </c>
      <c r="L4925" s="2" t="n">
        <v>0</v>
      </c>
      <c r="M4925" s="2" t="n">
        <v>0</v>
      </c>
    </row>
    <row r="4926" customFormat="false" ht="15" hidden="false" customHeight="false" outlineLevel="0" collapsed="false">
      <c r="A4926" s="2" t="s">
        <v>10064</v>
      </c>
      <c r="B4926" s="2" t="s">
        <v>10065</v>
      </c>
      <c r="C4926" s="2" t="n">
        <v>5</v>
      </c>
      <c r="D4926" s="2" t="s">
        <v>652</v>
      </c>
      <c r="E4926" s="2" t="s">
        <v>8083</v>
      </c>
      <c r="F4926" s="3" t="n">
        <v>46134.8715277778</v>
      </c>
      <c r="G4926" s="2" t="s">
        <v>9602</v>
      </c>
      <c r="H4926" s="4" t="n">
        <v>0.8555</v>
      </c>
      <c r="I4926" s="2" t="s">
        <v>23</v>
      </c>
      <c r="J4926" s="2" t="s">
        <v>19</v>
      </c>
      <c r="K4926" s="2" t="n">
        <v>0</v>
      </c>
      <c r="L4926" s="2" t="n">
        <v>0</v>
      </c>
      <c r="M4926" s="2" t="n">
        <v>0</v>
      </c>
    </row>
    <row r="4927" customFormat="false" ht="15" hidden="false" customHeight="false" outlineLevel="0" collapsed="false">
      <c r="A4927" s="2" t="s">
        <v>10066</v>
      </c>
      <c r="B4927" s="2" t="s">
        <v>10067</v>
      </c>
      <c r="C4927" s="2" t="n">
        <v>3</v>
      </c>
      <c r="D4927" s="2" t="s">
        <v>87</v>
      </c>
      <c r="E4927" s="2" t="s">
        <v>8083</v>
      </c>
      <c r="F4927" s="3" t="n">
        <v>46134.9215277778</v>
      </c>
      <c r="G4927" s="2" t="s">
        <v>9602</v>
      </c>
      <c r="H4927" s="4" t="n">
        <v>0</v>
      </c>
      <c r="I4927" s="2" t="s">
        <v>18</v>
      </c>
      <c r="J4927" s="2" t="s">
        <v>19</v>
      </c>
      <c r="K4927" s="2" t="n">
        <v>6</v>
      </c>
      <c r="L4927" s="2" t="n">
        <v>0</v>
      </c>
      <c r="M4927" s="2" t="n">
        <v>0</v>
      </c>
    </row>
    <row r="4928" customFormat="false" ht="15" hidden="false" customHeight="false" outlineLevel="0" collapsed="false">
      <c r="A4928" s="2" t="s">
        <v>10068</v>
      </c>
      <c r="B4928" s="2" t="s">
        <v>10069</v>
      </c>
      <c r="C4928" s="2" t="n">
        <v>4</v>
      </c>
      <c r="D4928" s="2" t="s">
        <v>1013</v>
      </c>
      <c r="E4928" s="2" t="s">
        <v>8083</v>
      </c>
      <c r="F4928" s="3" t="n">
        <v>46135.1666666667</v>
      </c>
      <c r="G4928" s="2" t="s">
        <v>9602</v>
      </c>
      <c r="H4928" s="4" t="n">
        <v>0.9606</v>
      </c>
      <c r="I4928" s="2" t="s">
        <v>23</v>
      </c>
      <c r="J4928" s="2" t="s">
        <v>37</v>
      </c>
      <c r="K4928" s="2" t="n">
        <v>4</v>
      </c>
      <c r="L4928" s="2" t="n">
        <v>0</v>
      </c>
      <c r="M4928" s="2" t="n">
        <v>0</v>
      </c>
    </row>
    <row r="4929" customFormat="false" ht="15" hidden="false" customHeight="false" outlineLevel="0" collapsed="false">
      <c r="A4929" s="2" t="s">
        <v>10070</v>
      </c>
      <c r="B4929" s="2" t="s">
        <v>10071</v>
      </c>
      <c r="C4929" s="2" t="n">
        <v>5</v>
      </c>
      <c r="D4929" s="2" t="s">
        <v>52</v>
      </c>
      <c r="E4929" s="2" t="s">
        <v>8083</v>
      </c>
      <c r="F4929" s="3" t="n">
        <v>46135.2270833333</v>
      </c>
      <c r="G4929" s="2" t="s">
        <v>9602</v>
      </c>
      <c r="H4929" s="4" t="n">
        <v>0.6369</v>
      </c>
      <c r="I4929" s="2" t="s">
        <v>23</v>
      </c>
      <c r="J4929" s="2" t="s">
        <v>19</v>
      </c>
      <c r="K4929" s="2" t="n">
        <v>0</v>
      </c>
      <c r="L4929" s="2" t="n">
        <v>0</v>
      </c>
      <c r="M4929" s="2" t="n">
        <v>0</v>
      </c>
    </row>
    <row r="4930" customFormat="false" ht="15" hidden="false" customHeight="false" outlineLevel="0" collapsed="false">
      <c r="A4930" s="2" t="s">
        <v>10072</v>
      </c>
      <c r="B4930" s="2" t="s">
        <v>10073</v>
      </c>
      <c r="C4930" s="2" t="n">
        <v>4</v>
      </c>
      <c r="D4930" s="2" t="s">
        <v>26</v>
      </c>
      <c r="E4930" s="2" t="s">
        <v>8083</v>
      </c>
      <c r="F4930" s="3" t="n">
        <v>46135.3604166667</v>
      </c>
      <c r="G4930" s="2" t="s">
        <v>9602</v>
      </c>
      <c r="H4930" s="4" t="n">
        <v>0.8848</v>
      </c>
      <c r="I4930" s="2" t="s">
        <v>23</v>
      </c>
      <c r="J4930" s="2" t="s">
        <v>19</v>
      </c>
      <c r="K4930" s="2" t="n">
        <v>9</v>
      </c>
      <c r="L4930" s="2" t="n">
        <v>0</v>
      </c>
      <c r="M4930" s="2" t="n">
        <v>0</v>
      </c>
    </row>
    <row r="4931" customFormat="false" ht="15" hidden="false" customHeight="false" outlineLevel="0" collapsed="false">
      <c r="A4931" s="2" t="s">
        <v>10074</v>
      </c>
      <c r="B4931" s="2" t="s">
        <v>10075</v>
      </c>
      <c r="C4931" s="2" t="n">
        <v>3</v>
      </c>
      <c r="D4931" s="2" t="s">
        <v>36</v>
      </c>
      <c r="E4931" s="2" t="s">
        <v>8083</v>
      </c>
      <c r="F4931" s="3" t="n">
        <v>46135.3868055556</v>
      </c>
      <c r="G4931" s="2" t="s">
        <v>9602</v>
      </c>
      <c r="H4931" s="4" t="n">
        <v>0.4404</v>
      </c>
      <c r="I4931" s="2" t="s">
        <v>23</v>
      </c>
      <c r="J4931" s="2" t="s">
        <v>37</v>
      </c>
      <c r="K4931" s="2" t="n">
        <v>12</v>
      </c>
      <c r="L4931" s="2" t="n">
        <v>0</v>
      </c>
      <c r="M4931" s="2" t="n">
        <v>0</v>
      </c>
    </row>
    <row r="4932" customFormat="false" ht="15" hidden="false" customHeight="false" outlineLevel="0" collapsed="false">
      <c r="A4932" s="2" t="s">
        <v>10076</v>
      </c>
      <c r="B4932" s="2" t="s">
        <v>10077</v>
      </c>
      <c r="C4932" s="2" t="n">
        <v>5</v>
      </c>
      <c r="D4932" s="2" t="s">
        <v>76</v>
      </c>
      <c r="E4932" s="2" t="s">
        <v>8083</v>
      </c>
      <c r="F4932" s="3" t="n">
        <v>46135.5145833333</v>
      </c>
      <c r="G4932" s="2" t="s">
        <v>9602</v>
      </c>
      <c r="H4932" s="4" t="n">
        <v>0.607</v>
      </c>
      <c r="I4932" s="2" t="s">
        <v>23</v>
      </c>
      <c r="J4932" s="2" t="s">
        <v>33</v>
      </c>
      <c r="K4932" s="2" t="n">
        <v>9</v>
      </c>
      <c r="L4932" s="2" t="n">
        <v>0</v>
      </c>
      <c r="M4932" s="2" t="n">
        <v>0</v>
      </c>
    </row>
    <row r="4933" customFormat="false" ht="15" hidden="false" customHeight="false" outlineLevel="0" collapsed="false">
      <c r="A4933" s="2" t="s">
        <v>10078</v>
      </c>
      <c r="B4933" s="2" t="s">
        <v>10079</v>
      </c>
      <c r="C4933" s="2" t="n">
        <v>4</v>
      </c>
      <c r="D4933" s="2" t="s">
        <v>1279</v>
      </c>
      <c r="E4933" s="2" t="s">
        <v>8083</v>
      </c>
      <c r="F4933" s="3" t="n">
        <v>46135.7986111111</v>
      </c>
      <c r="G4933" s="2" t="s">
        <v>9602</v>
      </c>
      <c r="H4933" s="4" t="n">
        <v>0.7783</v>
      </c>
      <c r="I4933" s="2" t="s">
        <v>23</v>
      </c>
      <c r="J4933" s="2" t="s">
        <v>37</v>
      </c>
      <c r="K4933" s="2" t="n">
        <v>3</v>
      </c>
      <c r="L4933" s="2" t="n">
        <v>0</v>
      </c>
      <c r="M4933" s="2" t="n">
        <v>0</v>
      </c>
    </row>
    <row r="4934" customFormat="false" ht="15" hidden="false" customHeight="false" outlineLevel="0" collapsed="false">
      <c r="A4934" s="2" t="s">
        <v>10080</v>
      </c>
      <c r="B4934" s="2" t="s">
        <v>9640</v>
      </c>
      <c r="C4934" s="2" t="n">
        <v>5</v>
      </c>
      <c r="D4934" s="2" t="s">
        <v>127</v>
      </c>
      <c r="E4934" s="2" t="s">
        <v>8083</v>
      </c>
      <c r="F4934" s="3" t="n">
        <v>46135.8625</v>
      </c>
      <c r="G4934" s="2" t="s">
        <v>9602</v>
      </c>
      <c r="H4934" s="4" t="n">
        <v>0.9359</v>
      </c>
      <c r="I4934" s="2" t="s">
        <v>23</v>
      </c>
      <c r="J4934" s="2" t="s">
        <v>37</v>
      </c>
      <c r="K4934" s="2" t="n">
        <v>0</v>
      </c>
      <c r="L4934" s="2" t="n">
        <v>0</v>
      </c>
      <c r="M4934" s="2" t="n">
        <v>0</v>
      </c>
    </row>
    <row r="4935" customFormat="false" ht="15" hidden="false" customHeight="false" outlineLevel="0" collapsed="false">
      <c r="A4935" s="2" t="s">
        <v>10081</v>
      </c>
      <c r="B4935" s="2" t="s">
        <v>10082</v>
      </c>
      <c r="C4935" s="2" t="n">
        <v>5</v>
      </c>
      <c r="D4935" s="2" t="s">
        <v>282</v>
      </c>
      <c r="E4935" s="2" t="s">
        <v>8083</v>
      </c>
      <c r="F4935" s="3" t="n">
        <v>46135.9229166667</v>
      </c>
      <c r="G4935" s="2" t="s">
        <v>9602</v>
      </c>
      <c r="H4935" s="4" t="n">
        <v>0.7992</v>
      </c>
      <c r="I4935" s="2" t="s">
        <v>23</v>
      </c>
      <c r="J4935" s="2" t="s">
        <v>19</v>
      </c>
      <c r="K4935" s="2" t="n">
        <v>1</v>
      </c>
      <c r="L4935" s="2" t="n">
        <v>0</v>
      </c>
      <c r="M4935" s="2" t="n">
        <v>0</v>
      </c>
    </row>
    <row r="4936" customFormat="false" ht="15" hidden="false" customHeight="false" outlineLevel="0" collapsed="false">
      <c r="A4936" s="2" t="s">
        <v>10083</v>
      </c>
      <c r="B4936" s="2" t="s">
        <v>10084</v>
      </c>
      <c r="C4936" s="2" t="n">
        <v>4</v>
      </c>
      <c r="D4936" s="2" t="s">
        <v>40</v>
      </c>
      <c r="E4936" s="2" t="s">
        <v>8083</v>
      </c>
      <c r="F4936" s="3" t="n">
        <v>46136.0444444444</v>
      </c>
      <c r="G4936" s="2" t="s">
        <v>9602</v>
      </c>
      <c r="H4936" s="4" t="n">
        <v>0.4019</v>
      </c>
      <c r="I4936" s="2" t="s">
        <v>23</v>
      </c>
      <c r="J4936" s="2" t="s">
        <v>33</v>
      </c>
      <c r="K4936" s="2" t="n">
        <v>4</v>
      </c>
      <c r="L4936" s="2" t="n">
        <v>0</v>
      </c>
      <c r="M4936" s="2" t="n">
        <v>0</v>
      </c>
    </row>
    <row r="4937" customFormat="false" ht="15" hidden="false" customHeight="false" outlineLevel="0" collapsed="false">
      <c r="A4937" s="2" t="s">
        <v>10085</v>
      </c>
      <c r="B4937" s="2" t="s">
        <v>10086</v>
      </c>
      <c r="C4937" s="2" t="n">
        <v>5</v>
      </c>
      <c r="D4937" s="2" t="s">
        <v>96</v>
      </c>
      <c r="E4937" s="2" t="s">
        <v>8083</v>
      </c>
      <c r="F4937" s="3" t="n">
        <v>46136.09375</v>
      </c>
      <c r="G4937" s="2" t="s">
        <v>9602</v>
      </c>
      <c r="H4937" s="4" t="n">
        <v>0.6369</v>
      </c>
      <c r="I4937" s="2" t="s">
        <v>23</v>
      </c>
      <c r="J4937" s="2" t="s">
        <v>19</v>
      </c>
      <c r="K4937" s="2" t="n">
        <v>1</v>
      </c>
      <c r="L4937" s="2" t="n">
        <v>0</v>
      </c>
      <c r="M4937" s="2" t="n">
        <v>0</v>
      </c>
    </row>
    <row r="4938" customFormat="false" ht="15" hidden="false" customHeight="false" outlineLevel="0" collapsed="false">
      <c r="A4938" s="2" t="s">
        <v>10087</v>
      </c>
      <c r="B4938" s="2" t="s">
        <v>10088</v>
      </c>
      <c r="C4938" s="2" t="n">
        <v>5</v>
      </c>
      <c r="D4938" s="2" t="s">
        <v>62</v>
      </c>
      <c r="E4938" s="2" t="s">
        <v>8083</v>
      </c>
      <c r="F4938" s="3" t="n">
        <v>46136.2291666667</v>
      </c>
      <c r="G4938" s="2" t="s">
        <v>9602</v>
      </c>
      <c r="H4938" s="4" t="n">
        <v>0.7088</v>
      </c>
      <c r="I4938" s="2" t="s">
        <v>23</v>
      </c>
      <c r="J4938" s="2" t="s">
        <v>19</v>
      </c>
      <c r="K4938" s="2" t="n">
        <v>2</v>
      </c>
      <c r="L4938" s="2" t="n">
        <v>0</v>
      </c>
      <c r="M4938" s="2" t="n">
        <v>0</v>
      </c>
    </row>
    <row r="4939" customFormat="false" ht="15" hidden="false" customHeight="false" outlineLevel="0" collapsed="false">
      <c r="A4939" s="2" t="s">
        <v>10089</v>
      </c>
      <c r="B4939" s="2" t="s">
        <v>10090</v>
      </c>
      <c r="C4939" s="2" t="n">
        <v>5</v>
      </c>
      <c r="D4939" s="2" t="s">
        <v>96</v>
      </c>
      <c r="E4939" s="2" t="s">
        <v>8083</v>
      </c>
      <c r="F4939" s="3" t="n">
        <v>46136.2430555556</v>
      </c>
      <c r="G4939" s="2" t="s">
        <v>9602</v>
      </c>
      <c r="H4939" s="4" t="n">
        <v>0.6369</v>
      </c>
      <c r="I4939" s="2" t="s">
        <v>23</v>
      </c>
      <c r="J4939" s="2" t="s">
        <v>19</v>
      </c>
      <c r="K4939" s="2" t="n">
        <v>1</v>
      </c>
      <c r="L4939" s="2" t="n">
        <v>0</v>
      </c>
      <c r="M4939" s="2" t="n">
        <v>0</v>
      </c>
    </row>
    <row r="4940" customFormat="false" ht="15" hidden="false" customHeight="false" outlineLevel="0" collapsed="false">
      <c r="A4940" s="2" t="s">
        <v>10091</v>
      </c>
      <c r="B4940" s="2" t="s">
        <v>10092</v>
      </c>
      <c r="C4940" s="2" t="n">
        <v>5</v>
      </c>
      <c r="D4940" s="2" t="s">
        <v>52</v>
      </c>
      <c r="E4940" s="2" t="s">
        <v>8083</v>
      </c>
      <c r="F4940" s="3" t="n">
        <v>46136.2972222222</v>
      </c>
      <c r="G4940" s="2" t="s">
        <v>9602</v>
      </c>
      <c r="H4940" s="4" t="n">
        <v>0.6369</v>
      </c>
      <c r="I4940" s="2" t="s">
        <v>23</v>
      </c>
      <c r="J4940" s="2" t="s">
        <v>19</v>
      </c>
      <c r="K4940" s="2" t="n">
        <v>0</v>
      </c>
      <c r="L4940" s="2" t="n">
        <v>0</v>
      </c>
      <c r="M4940" s="2" t="n">
        <v>0</v>
      </c>
    </row>
    <row r="4941" customFormat="false" ht="15" hidden="false" customHeight="false" outlineLevel="0" collapsed="false">
      <c r="A4941" s="2" t="s">
        <v>10093</v>
      </c>
      <c r="B4941" s="2" t="s">
        <v>10094</v>
      </c>
      <c r="C4941" s="2" t="n">
        <v>5</v>
      </c>
      <c r="D4941" s="2" t="s">
        <v>96</v>
      </c>
      <c r="E4941" s="2" t="s">
        <v>8083</v>
      </c>
      <c r="F4941" s="3" t="n">
        <v>46136.3166666667</v>
      </c>
      <c r="G4941" s="2" t="s">
        <v>9602</v>
      </c>
      <c r="H4941" s="4" t="n">
        <v>0.6369</v>
      </c>
      <c r="I4941" s="2" t="s">
        <v>23</v>
      </c>
      <c r="J4941" s="2" t="s">
        <v>19</v>
      </c>
      <c r="K4941" s="2" t="n">
        <v>3</v>
      </c>
      <c r="L4941" s="2" t="n">
        <v>0</v>
      </c>
      <c r="M4941" s="2" t="n">
        <v>0</v>
      </c>
    </row>
    <row r="4942" customFormat="false" ht="15" hidden="false" customHeight="false" outlineLevel="0" collapsed="false">
      <c r="A4942" s="2" t="s">
        <v>10095</v>
      </c>
      <c r="B4942" s="2" t="s">
        <v>10096</v>
      </c>
      <c r="C4942" s="2" t="n">
        <v>3</v>
      </c>
      <c r="D4942" s="2" t="s">
        <v>2834</v>
      </c>
      <c r="E4942" s="2" t="s">
        <v>8083</v>
      </c>
      <c r="F4942" s="3" t="n">
        <v>46136.3298611111</v>
      </c>
      <c r="G4942" s="2" t="s">
        <v>9602</v>
      </c>
      <c r="H4942" s="4" t="n">
        <v>0.7003</v>
      </c>
      <c r="I4942" s="2" t="s">
        <v>23</v>
      </c>
      <c r="J4942" s="2" t="s">
        <v>37</v>
      </c>
      <c r="K4942" s="2" t="n">
        <v>3</v>
      </c>
      <c r="L4942" s="2" t="n">
        <v>0</v>
      </c>
      <c r="M4942" s="2" t="n">
        <v>0</v>
      </c>
    </row>
    <row r="4943" customFormat="false" ht="15" hidden="false" customHeight="false" outlineLevel="0" collapsed="false">
      <c r="A4943" s="2" t="s">
        <v>10097</v>
      </c>
      <c r="B4943" s="2" t="s">
        <v>10098</v>
      </c>
      <c r="C4943" s="2" t="n">
        <v>3</v>
      </c>
      <c r="D4943" s="2" t="s">
        <v>2743</v>
      </c>
      <c r="E4943" s="2" t="s">
        <v>8083</v>
      </c>
      <c r="F4943" s="3" t="n">
        <v>46136.8263888889</v>
      </c>
      <c r="G4943" s="2" t="s">
        <v>9602</v>
      </c>
      <c r="H4943" s="4" t="n">
        <v>0.3809</v>
      </c>
      <c r="I4943" s="2" t="s">
        <v>23</v>
      </c>
      <c r="J4943" s="2" t="s">
        <v>19</v>
      </c>
      <c r="K4943" s="2" t="n">
        <v>5</v>
      </c>
      <c r="L4943" s="2" t="n">
        <v>0</v>
      </c>
      <c r="M4943" s="2" t="n">
        <v>0</v>
      </c>
    </row>
    <row r="4944" customFormat="false" ht="15" hidden="false" customHeight="false" outlineLevel="0" collapsed="false">
      <c r="A4944" s="2" t="s">
        <v>10099</v>
      </c>
      <c r="B4944" s="2" t="s">
        <v>10100</v>
      </c>
      <c r="C4944" s="2" t="n">
        <v>4</v>
      </c>
      <c r="D4944" s="2" t="s">
        <v>4836</v>
      </c>
      <c r="E4944" s="2" t="s">
        <v>8083</v>
      </c>
      <c r="F4944" s="3" t="n">
        <v>46136.83125</v>
      </c>
      <c r="G4944" s="2" t="s">
        <v>9602</v>
      </c>
      <c r="H4944" s="4" t="n">
        <v>0.5423</v>
      </c>
      <c r="I4944" s="2" t="s">
        <v>23</v>
      </c>
      <c r="J4944" s="2" t="s">
        <v>33</v>
      </c>
      <c r="K4944" s="2" t="n">
        <v>0</v>
      </c>
      <c r="L4944" s="2" t="n">
        <v>0</v>
      </c>
      <c r="M4944" s="2" t="n">
        <v>0</v>
      </c>
    </row>
    <row r="4945" customFormat="false" ht="15" hidden="false" customHeight="false" outlineLevel="0" collapsed="false">
      <c r="A4945" s="2" t="s">
        <v>10101</v>
      </c>
      <c r="B4945" s="2" t="s">
        <v>10102</v>
      </c>
      <c r="C4945" s="2" t="n">
        <v>5</v>
      </c>
      <c r="D4945" s="2" t="s">
        <v>3104</v>
      </c>
      <c r="E4945" s="2" t="s">
        <v>8083</v>
      </c>
      <c r="F4945" s="3" t="n">
        <v>46136.9006944444</v>
      </c>
      <c r="G4945" s="2" t="s">
        <v>9602</v>
      </c>
      <c r="H4945" s="4" t="n">
        <v>0.3089</v>
      </c>
      <c r="I4945" s="2" t="s">
        <v>23</v>
      </c>
      <c r="J4945" s="2" t="s">
        <v>19</v>
      </c>
      <c r="K4945" s="2" t="n">
        <v>2</v>
      </c>
      <c r="L4945" s="2" t="n">
        <v>0</v>
      </c>
      <c r="M4945" s="2" t="n">
        <v>0</v>
      </c>
    </row>
    <row r="4946" customFormat="false" ht="15" hidden="false" customHeight="false" outlineLevel="0" collapsed="false">
      <c r="A4946" s="2" t="s">
        <v>10103</v>
      </c>
      <c r="B4946" s="2" t="s">
        <v>10104</v>
      </c>
      <c r="C4946" s="2" t="n">
        <v>5</v>
      </c>
      <c r="D4946" s="2" t="s">
        <v>47</v>
      </c>
      <c r="E4946" s="2" t="s">
        <v>8083</v>
      </c>
      <c r="F4946" s="3" t="n">
        <v>46136.9263888889</v>
      </c>
      <c r="G4946" s="2" t="s">
        <v>9602</v>
      </c>
      <c r="H4946" s="4" t="n">
        <v>0.3089</v>
      </c>
      <c r="I4946" s="2" t="s">
        <v>23</v>
      </c>
      <c r="J4946" s="2" t="s">
        <v>19</v>
      </c>
      <c r="K4946" s="2" t="n">
        <v>1</v>
      </c>
      <c r="L4946" s="2" t="n">
        <v>0</v>
      </c>
      <c r="M4946" s="2" t="n">
        <v>0</v>
      </c>
    </row>
    <row r="4947" customFormat="false" ht="15" hidden="false" customHeight="false" outlineLevel="0" collapsed="false">
      <c r="A4947" s="2" t="s">
        <v>10105</v>
      </c>
      <c r="B4947" s="2" t="s">
        <v>10106</v>
      </c>
      <c r="C4947" s="2" t="n">
        <v>5</v>
      </c>
      <c r="D4947" s="2" t="s">
        <v>15</v>
      </c>
      <c r="E4947" s="2" t="s">
        <v>8083</v>
      </c>
      <c r="F4947" s="3" t="n">
        <v>46136.9569444444</v>
      </c>
      <c r="G4947" s="2" t="s">
        <v>9602</v>
      </c>
      <c r="H4947" s="4" t="n">
        <v>0</v>
      </c>
      <c r="I4947" s="2" t="s">
        <v>18</v>
      </c>
      <c r="J4947" s="2" t="s">
        <v>19</v>
      </c>
      <c r="K4947" s="2" t="n">
        <v>2</v>
      </c>
      <c r="L4947" s="2" t="n">
        <v>0</v>
      </c>
      <c r="M4947" s="2" t="n">
        <v>0</v>
      </c>
    </row>
    <row r="4948" customFormat="false" ht="15" hidden="false" customHeight="false" outlineLevel="0" collapsed="false">
      <c r="A4948" s="2" t="s">
        <v>10107</v>
      </c>
      <c r="B4948" s="2" t="s">
        <v>10108</v>
      </c>
      <c r="C4948" s="2" t="n">
        <v>1</v>
      </c>
      <c r="D4948" s="2" t="s">
        <v>733</v>
      </c>
      <c r="E4948" s="2" t="s">
        <v>8083</v>
      </c>
      <c r="F4948" s="3" t="n">
        <v>46136.9618055556</v>
      </c>
      <c r="G4948" s="2" t="s">
        <v>9602</v>
      </c>
      <c r="H4948" s="4" t="n">
        <v>-0.2846</v>
      </c>
      <c r="I4948" s="2" t="s">
        <v>84</v>
      </c>
      <c r="J4948" s="2" t="s">
        <v>37</v>
      </c>
      <c r="K4948" s="2" t="n">
        <v>2</v>
      </c>
      <c r="L4948" s="2" t="n">
        <v>0</v>
      </c>
      <c r="M4948" s="2" t="n">
        <v>0</v>
      </c>
    </row>
    <row r="4949" customFormat="false" ht="15" hidden="false" customHeight="false" outlineLevel="0" collapsed="false">
      <c r="A4949" s="2" t="s">
        <v>10109</v>
      </c>
      <c r="B4949" s="2" t="s">
        <v>10110</v>
      </c>
      <c r="C4949" s="2" t="n">
        <v>2</v>
      </c>
      <c r="D4949" s="2" t="s">
        <v>234</v>
      </c>
      <c r="E4949" s="2" t="s">
        <v>8083</v>
      </c>
      <c r="F4949" s="3" t="n">
        <v>46137.0701388889</v>
      </c>
      <c r="G4949" s="2" t="s">
        <v>9602</v>
      </c>
      <c r="H4949" s="4" t="n">
        <v>0</v>
      </c>
      <c r="I4949" s="2" t="s">
        <v>18</v>
      </c>
      <c r="J4949" s="2" t="s">
        <v>165</v>
      </c>
      <c r="K4949" s="2" t="n">
        <v>2</v>
      </c>
      <c r="L4949" s="2" t="n">
        <v>0</v>
      </c>
      <c r="M4949" s="2" t="n">
        <v>0</v>
      </c>
    </row>
    <row r="4950" customFormat="false" ht="15" hidden="false" customHeight="false" outlineLevel="0" collapsed="false">
      <c r="A4950" s="2" t="s">
        <v>10111</v>
      </c>
      <c r="B4950" s="2" t="s">
        <v>10112</v>
      </c>
      <c r="C4950" s="2" t="n">
        <v>2</v>
      </c>
      <c r="D4950" s="2" t="s">
        <v>1942</v>
      </c>
      <c r="E4950" s="2" t="s">
        <v>8083</v>
      </c>
      <c r="F4950" s="3" t="n">
        <v>46137.1326388889</v>
      </c>
      <c r="G4950" s="2" t="s">
        <v>9602</v>
      </c>
      <c r="H4950" s="4" t="n">
        <v>0</v>
      </c>
      <c r="I4950" s="2" t="s">
        <v>18</v>
      </c>
      <c r="J4950" s="2" t="s">
        <v>165</v>
      </c>
      <c r="K4950" s="2" t="n">
        <v>3</v>
      </c>
      <c r="L4950" s="2" t="n">
        <v>0</v>
      </c>
      <c r="M4950" s="2" t="n">
        <v>0</v>
      </c>
    </row>
    <row r="4951" customFormat="false" ht="15" hidden="false" customHeight="false" outlineLevel="0" collapsed="false">
      <c r="A4951" s="2" t="s">
        <v>10113</v>
      </c>
      <c r="B4951" s="2" t="s">
        <v>5640</v>
      </c>
      <c r="C4951" s="2" t="n">
        <v>4</v>
      </c>
      <c r="D4951" s="2" t="s">
        <v>36</v>
      </c>
      <c r="E4951" s="2" t="s">
        <v>8083</v>
      </c>
      <c r="F4951" s="3" t="n">
        <v>46137.2861111111</v>
      </c>
      <c r="G4951" s="2" t="s">
        <v>9602</v>
      </c>
      <c r="H4951" s="4" t="n">
        <v>0.4404</v>
      </c>
      <c r="I4951" s="2" t="s">
        <v>23</v>
      </c>
      <c r="J4951" s="2" t="s">
        <v>37</v>
      </c>
      <c r="K4951" s="2" t="n">
        <v>14</v>
      </c>
      <c r="L4951" s="2" t="n">
        <v>0</v>
      </c>
      <c r="M4951" s="2" t="n">
        <v>0</v>
      </c>
    </row>
    <row r="4952" customFormat="false" ht="15" hidden="false" customHeight="false" outlineLevel="0" collapsed="false">
      <c r="A4952" s="2" t="s">
        <v>10114</v>
      </c>
      <c r="B4952" s="2" t="s">
        <v>10115</v>
      </c>
      <c r="C4952" s="2" t="n">
        <v>4</v>
      </c>
      <c r="D4952" s="2" t="s">
        <v>47</v>
      </c>
      <c r="E4952" s="2" t="s">
        <v>8083</v>
      </c>
      <c r="F4952" s="3" t="n">
        <v>46137.2923611111</v>
      </c>
      <c r="G4952" s="2" t="s">
        <v>9602</v>
      </c>
      <c r="H4952" s="4" t="n">
        <v>0.3089</v>
      </c>
      <c r="I4952" s="2" t="s">
        <v>23</v>
      </c>
      <c r="J4952" s="2" t="s">
        <v>19</v>
      </c>
      <c r="K4952" s="2" t="n">
        <v>3</v>
      </c>
      <c r="L4952" s="2" t="n">
        <v>0</v>
      </c>
      <c r="M4952" s="2" t="n">
        <v>0</v>
      </c>
    </row>
    <row r="4953" customFormat="false" ht="15" hidden="false" customHeight="false" outlineLevel="0" collapsed="false">
      <c r="A4953" s="2" t="s">
        <v>10116</v>
      </c>
      <c r="B4953" s="2" t="s">
        <v>10117</v>
      </c>
      <c r="C4953" s="2" t="n">
        <v>5</v>
      </c>
      <c r="D4953" s="2" t="s">
        <v>52</v>
      </c>
      <c r="E4953" s="2" t="s">
        <v>8083</v>
      </c>
      <c r="F4953" s="3" t="n">
        <v>46137.3576388889</v>
      </c>
      <c r="G4953" s="2" t="s">
        <v>9602</v>
      </c>
      <c r="H4953" s="4" t="n">
        <v>0.6369</v>
      </c>
      <c r="I4953" s="2" t="s">
        <v>23</v>
      </c>
      <c r="J4953" s="2" t="s">
        <v>19</v>
      </c>
      <c r="K4953" s="2" t="n">
        <v>3</v>
      </c>
      <c r="L4953" s="2" t="n">
        <v>0</v>
      </c>
      <c r="M4953" s="2" t="n">
        <v>0</v>
      </c>
    </row>
    <row r="4954" customFormat="false" ht="15" hidden="false" customHeight="false" outlineLevel="0" collapsed="false">
      <c r="A4954" s="2" t="s">
        <v>10118</v>
      </c>
      <c r="B4954" s="2" t="s">
        <v>10119</v>
      </c>
      <c r="C4954" s="2" t="n">
        <v>5</v>
      </c>
      <c r="D4954" s="2" t="s">
        <v>67</v>
      </c>
      <c r="E4954" s="2" t="s">
        <v>8083</v>
      </c>
      <c r="F4954" s="3" t="n">
        <v>46137.4729166667</v>
      </c>
      <c r="G4954" s="2" t="s">
        <v>9602</v>
      </c>
      <c r="H4954" s="4" t="n">
        <v>0.8953</v>
      </c>
      <c r="I4954" s="2" t="s">
        <v>23</v>
      </c>
      <c r="J4954" s="2" t="s">
        <v>19</v>
      </c>
      <c r="K4954" s="2" t="n">
        <v>3</v>
      </c>
      <c r="L4954" s="2" t="n">
        <v>0</v>
      </c>
      <c r="M4954" s="2" t="n">
        <v>0</v>
      </c>
    </row>
    <row r="4955" customFormat="false" ht="15" hidden="false" customHeight="false" outlineLevel="0" collapsed="false">
      <c r="A4955" s="2" t="s">
        <v>10120</v>
      </c>
      <c r="B4955" s="2" t="s">
        <v>10121</v>
      </c>
      <c r="C4955" s="2" t="n">
        <v>5</v>
      </c>
      <c r="D4955" s="2" t="s">
        <v>40</v>
      </c>
      <c r="E4955" s="2" t="s">
        <v>8083</v>
      </c>
      <c r="F4955" s="3" t="n">
        <v>46137.6013888889</v>
      </c>
      <c r="G4955" s="2" t="s">
        <v>9602</v>
      </c>
      <c r="H4955" s="4" t="n">
        <v>0.4019</v>
      </c>
      <c r="I4955" s="2" t="s">
        <v>23</v>
      </c>
      <c r="J4955" s="2" t="s">
        <v>33</v>
      </c>
      <c r="K4955" s="2" t="n">
        <v>0</v>
      </c>
      <c r="L4955" s="2" t="n">
        <v>0</v>
      </c>
      <c r="M4955" s="2" t="n">
        <v>0</v>
      </c>
    </row>
    <row r="4956" customFormat="false" ht="15" hidden="false" customHeight="false" outlineLevel="0" collapsed="false">
      <c r="A4956" s="2" t="s">
        <v>10122</v>
      </c>
      <c r="B4956" s="2" t="s">
        <v>10123</v>
      </c>
      <c r="C4956" s="2" t="n">
        <v>5</v>
      </c>
      <c r="D4956" s="2" t="s">
        <v>1698</v>
      </c>
      <c r="E4956" s="2" t="s">
        <v>8083</v>
      </c>
      <c r="F4956" s="3" t="n">
        <v>46137.6145833333</v>
      </c>
      <c r="G4956" s="2" t="s">
        <v>9602</v>
      </c>
      <c r="H4956" s="4" t="n">
        <v>0.7845</v>
      </c>
      <c r="I4956" s="2" t="s">
        <v>23</v>
      </c>
      <c r="J4956" s="2" t="s">
        <v>33</v>
      </c>
      <c r="K4956" s="2" t="n">
        <v>1</v>
      </c>
      <c r="L4956" s="2" t="n">
        <v>0</v>
      </c>
      <c r="M4956" s="2" t="n">
        <v>0</v>
      </c>
    </row>
    <row r="4957" customFormat="false" ht="15" hidden="false" customHeight="false" outlineLevel="0" collapsed="false">
      <c r="A4957" s="2" t="s">
        <v>10124</v>
      </c>
      <c r="B4957" s="2" t="s">
        <v>10125</v>
      </c>
      <c r="C4957" s="2" t="n">
        <v>5</v>
      </c>
      <c r="D4957" s="2" t="s">
        <v>127</v>
      </c>
      <c r="E4957" s="2" t="s">
        <v>8083</v>
      </c>
      <c r="F4957" s="3" t="n">
        <v>46137.9388888889</v>
      </c>
      <c r="G4957" s="2" t="s">
        <v>9602</v>
      </c>
      <c r="H4957" s="4" t="n">
        <v>0.9359</v>
      </c>
      <c r="I4957" s="2" t="s">
        <v>23</v>
      </c>
      <c r="J4957" s="2" t="s">
        <v>37</v>
      </c>
      <c r="K4957" s="2" t="n">
        <v>13</v>
      </c>
      <c r="L4957" s="2" t="n">
        <v>0</v>
      </c>
      <c r="M4957" s="2" t="n">
        <v>0</v>
      </c>
    </row>
    <row r="4958" customFormat="false" ht="15" hidden="false" customHeight="false" outlineLevel="0" collapsed="false">
      <c r="A4958" s="2" t="s">
        <v>10126</v>
      </c>
      <c r="B4958" s="2" t="s">
        <v>10127</v>
      </c>
      <c r="C4958" s="2" t="n">
        <v>1</v>
      </c>
      <c r="D4958" s="2" t="s">
        <v>2179</v>
      </c>
      <c r="E4958" s="2" t="s">
        <v>8083</v>
      </c>
      <c r="F4958" s="3" t="n">
        <v>46137.9513888889</v>
      </c>
      <c r="G4958" s="2" t="s">
        <v>9602</v>
      </c>
      <c r="H4958" s="4" t="n">
        <v>-0.3089</v>
      </c>
      <c r="I4958" s="2" t="s">
        <v>84</v>
      </c>
      <c r="J4958" s="2" t="s">
        <v>59</v>
      </c>
      <c r="K4958" s="2" t="n">
        <v>4</v>
      </c>
      <c r="L4958" s="2" t="n">
        <v>1</v>
      </c>
      <c r="M4958" s="2" t="n">
        <v>0</v>
      </c>
    </row>
    <row r="4959" customFormat="false" ht="15" hidden="false" customHeight="false" outlineLevel="0" collapsed="false">
      <c r="A4959" s="2" t="s">
        <v>10128</v>
      </c>
      <c r="B4959" s="2" t="s">
        <v>10129</v>
      </c>
      <c r="C4959" s="2" t="n">
        <v>5</v>
      </c>
      <c r="D4959" s="2" t="s">
        <v>127</v>
      </c>
      <c r="E4959" s="2" t="s">
        <v>8083</v>
      </c>
      <c r="F4959" s="3" t="n">
        <v>46137.9951388889</v>
      </c>
      <c r="G4959" s="2" t="s">
        <v>9602</v>
      </c>
      <c r="H4959" s="4" t="n">
        <v>0.9359</v>
      </c>
      <c r="I4959" s="2" t="s">
        <v>23</v>
      </c>
      <c r="J4959" s="2" t="s">
        <v>37</v>
      </c>
      <c r="K4959" s="2" t="n">
        <v>1</v>
      </c>
      <c r="L4959" s="2" t="n">
        <v>0</v>
      </c>
      <c r="M4959" s="2" t="n">
        <v>0</v>
      </c>
    </row>
    <row r="4960" customFormat="false" ht="15" hidden="false" customHeight="false" outlineLevel="0" collapsed="false">
      <c r="A4960" s="2" t="s">
        <v>10130</v>
      </c>
      <c r="B4960" s="2" t="s">
        <v>10131</v>
      </c>
      <c r="C4960" s="2" t="n">
        <v>5</v>
      </c>
      <c r="D4960" s="2" t="s">
        <v>47</v>
      </c>
      <c r="E4960" s="2" t="s">
        <v>8083</v>
      </c>
      <c r="F4960" s="3" t="n">
        <v>46138.1513888889</v>
      </c>
      <c r="G4960" s="2" t="s">
        <v>9602</v>
      </c>
      <c r="H4960" s="4" t="n">
        <v>0.3089</v>
      </c>
      <c r="I4960" s="2" t="s">
        <v>23</v>
      </c>
      <c r="J4960" s="2" t="s">
        <v>19</v>
      </c>
      <c r="K4960" s="2" t="n">
        <v>1</v>
      </c>
      <c r="L4960" s="2" t="n">
        <v>0</v>
      </c>
      <c r="M4960" s="2" t="n">
        <v>0</v>
      </c>
    </row>
    <row r="4961" customFormat="false" ht="15" hidden="false" customHeight="false" outlineLevel="0" collapsed="false">
      <c r="A4961" s="2" t="s">
        <v>10132</v>
      </c>
      <c r="B4961" s="2" t="s">
        <v>10133</v>
      </c>
      <c r="C4961" s="2" t="n">
        <v>4</v>
      </c>
      <c r="D4961" s="2" t="s">
        <v>374</v>
      </c>
      <c r="E4961" s="2" t="s">
        <v>8083</v>
      </c>
      <c r="F4961" s="3" t="n">
        <v>46138.1972222222</v>
      </c>
      <c r="G4961" s="2" t="s">
        <v>9602</v>
      </c>
      <c r="H4961" s="4" t="n">
        <v>0.6369</v>
      </c>
      <c r="I4961" s="2" t="s">
        <v>23</v>
      </c>
      <c r="J4961" s="2" t="s">
        <v>19</v>
      </c>
      <c r="K4961" s="2" t="n">
        <v>6</v>
      </c>
      <c r="L4961" s="2" t="n">
        <v>0</v>
      </c>
      <c r="M4961" s="2" t="n">
        <v>0</v>
      </c>
    </row>
    <row r="4962" customFormat="false" ht="15" hidden="false" customHeight="false" outlineLevel="0" collapsed="false">
      <c r="A4962" s="2" t="s">
        <v>10134</v>
      </c>
      <c r="B4962" s="2" t="s">
        <v>10135</v>
      </c>
      <c r="C4962" s="2" t="n">
        <v>5</v>
      </c>
      <c r="D4962" s="2" t="s">
        <v>1622</v>
      </c>
      <c r="E4962" s="2" t="s">
        <v>8083</v>
      </c>
      <c r="F4962" s="3" t="n">
        <v>46138.4083333333</v>
      </c>
      <c r="G4962" s="2" t="s">
        <v>9602</v>
      </c>
      <c r="H4962" s="4" t="n">
        <v>0.8555</v>
      </c>
      <c r="I4962" s="2" t="s">
        <v>23</v>
      </c>
      <c r="J4962" s="2" t="s">
        <v>19</v>
      </c>
      <c r="K4962" s="2" t="n">
        <v>9</v>
      </c>
      <c r="L4962" s="2" t="n">
        <v>0</v>
      </c>
      <c r="M4962" s="2" t="n">
        <v>0</v>
      </c>
    </row>
    <row r="4963" customFormat="false" ht="15" hidden="false" customHeight="false" outlineLevel="0" collapsed="false">
      <c r="A4963" s="2" t="s">
        <v>10136</v>
      </c>
      <c r="B4963" s="2" t="s">
        <v>10137</v>
      </c>
      <c r="C4963" s="2" t="n">
        <v>3</v>
      </c>
      <c r="D4963" s="2" t="s">
        <v>87</v>
      </c>
      <c r="E4963" s="2" t="s">
        <v>8083</v>
      </c>
      <c r="F4963" s="3" t="n">
        <v>46138.4111111111</v>
      </c>
      <c r="G4963" s="2" t="s">
        <v>9602</v>
      </c>
      <c r="H4963" s="4" t="n">
        <v>0</v>
      </c>
      <c r="I4963" s="2" t="s">
        <v>18</v>
      </c>
      <c r="J4963" s="2" t="s">
        <v>19</v>
      </c>
      <c r="K4963" s="2" t="n">
        <v>9</v>
      </c>
      <c r="L4963" s="2" t="n">
        <v>1</v>
      </c>
      <c r="M4963" s="2" t="n">
        <v>0</v>
      </c>
    </row>
    <row r="4964" customFormat="false" ht="15" hidden="false" customHeight="false" outlineLevel="0" collapsed="false">
      <c r="A4964" s="2" t="s">
        <v>10138</v>
      </c>
      <c r="B4964" s="2" t="s">
        <v>10139</v>
      </c>
      <c r="C4964" s="2" t="n">
        <v>5</v>
      </c>
      <c r="D4964" s="2" t="s">
        <v>1797</v>
      </c>
      <c r="E4964" s="2" t="s">
        <v>8083</v>
      </c>
      <c r="F4964" s="3" t="n">
        <v>46138.5819444444</v>
      </c>
      <c r="G4964" s="2" t="s">
        <v>9602</v>
      </c>
      <c r="H4964" s="4" t="n">
        <v>0.4019</v>
      </c>
      <c r="I4964" s="2" t="s">
        <v>23</v>
      </c>
      <c r="J4964" s="2" t="s">
        <v>33</v>
      </c>
      <c r="K4964" s="2" t="n">
        <v>3</v>
      </c>
      <c r="L4964" s="2" t="n">
        <v>0</v>
      </c>
      <c r="M4964" s="2" t="n">
        <v>0</v>
      </c>
    </row>
    <row r="4965" customFormat="false" ht="15" hidden="false" customHeight="false" outlineLevel="0" collapsed="false">
      <c r="A4965" s="2" t="s">
        <v>10140</v>
      </c>
      <c r="B4965" s="2" t="s">
        <v>10141</v>
      </c>
      <c r="C4965" s="2" t="n">
        <v>5</v>
      </c>
      <c r="D4965" s="2" t="s">
        <v>96</v>
      </c>
      <c r="E4965" s="2" t="s">
        <v>8083</v>
      </c>
      <c r="F4965" s="3" t="n">
        <v>46138.6270833333</v>
      </c>
      <c r="G4965" s="2" t="s">
        <v>9602</v>
      </c>
      <c r="H4965" s="4" t="n">
        <v>0.6369</v>
      </c>
      <c r="I4965" s="2" t="s">
        <v>23</v>
      </c>
      <c r="J4965" s="2" t="s">
        <v>19</v>
      </c>
      <c r="K4965" s="2" t="n">
        <v>3</v>
      </c>
      <c r="L4965" s="2" t="n">
        <v>0</v>
      </c>
      <c r="M4965" s="2" t="n">
        <v>0</v>
      </c>
    </row>
    <row r="4966" customFormat="false" ht="15" hidden="false" customHeight="false" outlineLevel="0" collapsed="false">
      <c r="A4966" s="2" t="s">
        <v>10142</v>
      </c>
      <c r="B4966" s="2" t="s">
        <v>10143</v>
      </c>
      <c r="C4966" s="2" t="n">
        <v>4</v>
      </c>
      <c r="D4966" s="2" t="s">
        <v>90</v>
      </c>
      <c r="E4966" s="2" t="s">
        <v>8083</v>
      </c>
      <c r="F4966" s="3" t="n">
        <v>46138.6993055556</v>
      </c>
      <c r="G4966" s="2" t="s">
        <v>9602</v>
      </c>
      <c r="H4966" s="4" t="n">
        <v>0.6249</v>
      </c>
      <c r="I4966" s="2" t="s">
        <v>23</v>
      </c>
      <c r="J4966" s="2" t="s">
        <v>37</v>
      </c>
      <c r="K4966" s="2" t="n">
        <v>1</v>
      </c>
      <c r="L4966" s="2" t="n">
        <v>0</v>
      </c>
      <c r="M4966" s="2" t="n">
        <v>0</v>
      </c>
    </row>
    <row r="4967" customFormat="false" ht="15" hidden="false" customHeight="false" outlineLevel="0" collapsed="false">
      <c r="A4967" s="2" t="s">
        <v>10144</v>
      </c>
      <c r="B4967" s="2" t="s">
        <v>10145</v>
      </c>
      <c r="C4967" s="2" t="n">
        <v>5</v>
      </c>
      <c r="D4967" s="2" t="s">
        <v>40</v>
      </c>
      <c r="E4967" s="2" t="s">
        <v>8083</v>
      </c>
      <c r="F4967" s="3" t="n">
        <v>46139.0083333333</v>
      </c>
      <c r="G4967" s="2" t="s">
        <v>9602</v>
      </c>
      <c r="H4967" s="4" t="n">
        <v>0.4019</v>
      </c>
      <c r="I4967" s="2" t="s">
        <v>23</v>
      </c>
      <c r="J4967" s="2" t="s">
        <v>33</v>
      </c>
      <c r="K4967" s="2" t="n">
        <v>3</v>
      </c>
      <c r="L4967" s="2" t="n">
        <v>0</v>
      </c>
      <c r="M4967" s="2" t="n">
        <v>0</v>
      </c>
    </row>
    <row r="4968" customFormat="false" ht="15" hidden="false" customHeight="false" outlineLevel="0" collapsed="false">
      <c r="A4968" s="2" t="s">
        <v>10146</v>
      </c>
      <c r="B4968" s="2" t="s">
        <v>2557</v>
      </c>
      <c r="C4968" s="2" t="n">
        <v>5</v>
      </c>
      <c r="D4968" s="2" t="s">
        <v>52</v>
      </c>
      <c r="E4968" s="2" t="s">
        <v>8083</v>
      </c>
      <c r="F4968" s="3" t="n">
        <v>46139.0256944444</v>
      </c>
      <c r="G4968" s="2" t="s">
        <v>9602</v>
      </c>
      <c r="H4968" s="4" t="n">
        <v>0.6369</v>
      </c>
      <c r="I4968" s="2" t="s">
        <v>23</v>
      </c>
      <c r="J4968" s="2" t="s">
        <v>19</v>
      </c>
      <c r="K4968" s="2" t="n">
        <v>1</v>
      </c>
      <c r="L4968" s="2" t="n">
        <v>0</v>
      </c>
      <c r="M4968" s="2" t="n">
        <v>0</v>
      </c>
    </row>
    <row r="4969" customFormat="false" ht="15" hidden="false" customHeight="false" outlineLevel="0" collapsed="false">
      <c r="A4969" s="2" t="s">
        <v>10147</v>
      </c>
      <c r="B4969" s="2" t="s">
        <v>10148</v>
      </c>
      <c r="C4969" s="2" t="n">
        <v>5</v>
      </c>
      <c r="D4969" s="2" t="s">
        <v>127</v>
      </c>
      <c r="E4969" s="2" t="s">
        <v>8083</v>
      </c>
      <c r="F4969" s="3" t="n">
        <v>46139.0291666667</v>
      </c>
      <c r="G4969" s="2" t="s">
        <v>9602</v>
      </c>
      <c r="H4969" s="4" t="n">
        <v>0.9359</v>
      </c>
      <c r="I4969" s="2" t="s">
        <v>23</v>
      </c>
      <c r="J4969" s="2" t="s">
        <v>37</v>
      </c>
      <c r="K4969" s="2" t="n">
        <v>7</v>
      </c>
      <c r="L4969" s="2" t="n">
        <v>0</v>
      </c>
      <c r="M4969" s="2" t="n">
        <v>0</v>
      </c>
    </row>
    <row r="4970" customFormat="false" ht="15" hidden="false" customHeight="false" outlineLevel="0" collapsed="false">
      <c r="A4970" s="2" t="s">
        <v>10149</v>
      </c>
      <c r="B4970" s="2" t="s">
        <v>10150</v>
      </c>
      <c r="C4970" s="2" t="n">
        <v>5</v>
      </c>
      <c r="D4970" s="2" t="s">
        <v>62</v>
      </c>
      <c r="E4970" s="2" t="s">
        <v>8083</v>
      </c>
      <c r="F4970" s="3" t="n">
        <v>46139.1298611111</v>
      </c>
      <c r="G4970" s="2" t="s">
        <v>9602</v>
      </c>
      <c r="H4970" s="4" t="n">
        <v>0.7088</v>
      </c>
      <c r="I4970" s="2" t="s">
        <v>23</v>
      </c>
      <c r="J4970" s="2" t="s">
        <v>19</v>
      </c>
      <c r="K4970" s="2" t="n">
        <v>0</v>
      </c>
      <c r="L4970" s="2" t="n">
        <v>0</v>
      </c>
      <c r="M4970" s="2" t="n">
        <v>0</v>
      </c>
    </row>
    <row r="4971" customFormat="false" ht="15" hidden="false" customHeight="false" outlineLevel="0" collapsed="false">
      <c r="A4971" s="2" t="s">
        <v>10151</v>
      </c>
      <c r="B4971" s="2" t="s">
        <v>10152</v>
      </c>
      <c r="C4971" s="2" t="n">
        <v>3</v>
      </c>
      <c r="D4971" s="2" t="s">
        <v>87</v>
      </c>
      <c r="E4971" s="2" t="s">
        <v>8083</v>
      </c>
      <c r="F4971" s="3" t="n">
        <v>46139.3430555556</v>
      </c>
      <c r="G4971" s="2" t="s">
        <v>9602</v>
      </c>
      <c r="H4971" s="4" t="n">
        <v>0</v>
      </c>
      <c r="I4971" s="2" t="s">
        <v>18</v>
      </c>
      <c r="J4971" s="2" t="s">
        <v>19</v>
      </c>
      <c r="K4971" s="2" t="n">
        <v>0</v>
      </c>
      <c r="L4971" s="2" t="n">
        <v>0</v>
      </c>
      <c r="M4971" s="2" t="n">
        <v>0</v>
      </c>
    </row>
    <row r="4972" customFormat="false" ht="15" hidden="false" customHeight="false" outlineLevel="0" collapsed="false">
      <c r="A4972" s="2" t="s">
        <v>10153</v>
      </c>
      <c r="B4972" s="2" t="s">
        <v>10154</v>
      </c>
      <c r="C4972" s="2" t="n">
        <v>4</v>
      </c>
      <c r="D4972" s="2" t="s">
        <v>738</v>
      </c>
      <c r="E4972" s="2" t="s">
        <v>8083</v>
      </c>
      <c r="F4972" s="3" t="n">
        <v>46139.4972222222</v>
      </c>
      <c r="G4972" s="2" t="s">
        <v>9602</v>
      </c>
      <c r="H4972" s="4" t="n">
        <v>0.9612</v>
      </c>
      <c r="I4972" s="2" t="s">
        <v>23</v>
      </c>
      <c r="J4972" s="2" t="s">
        <v>37</v>
      </c>
      <c r="K4972" s="2" t="n">
        <v>0</v>
      </c>
      <c r="L4972" s="2" t="n">
        <v>0</v>
      </c>
      <c r="M4972" s="2" t="n">
        <v>0</v>
      </c>
    </row>
    <row r="4973" customFormat="false" ht="15" hidden="false" customHeight="false" outlineLevel="0" collapsed="false">
      <c r="A4973" s="2" t="s">
        <v>10155</v>
      </c>
      <c r="B4973" s="2" t="s">
        <v>10156</v>
      </c>
      <c r="C4973" s="2" t="n">
        <v>5</v>
      </c>
      <c r="D4973" s="2" t="s">
        <v>15</v>
      </c>
      <c r="E4973" s="2" t="s">
        <v>8083</v>
      </c>
      <c r="F4973" s="3" t="n">
        <v>46139.6888888889</v>
      </c>
      <c r="G4973" s="2" t="s">
        <v>9602</v>
      </c>
      <c r="H4973" s="4" t="n">
        <v>0</v>
      </c>
      <c r="I4973" s="2" t="s">
        <v>18</v>
      </c>
      <c r="J4973" s="2" t="s">
        <v>19</v>
      </c>
      <c r="K4973" s="2" t="n">
        <v>8</v>
      </c>
      <c r="L4973" s="2" t="n">
        <v>0</v>
      </c>
      <c r="M4973" s="2" t="n">
        <v>0</v>
      </c>
    </row>
    <row r="4974" customFormat="false" ht="15" hidden="false" customHeight="false" outlineLevel="0" collapsed="false">
      <c r="A4974" s="2" t="s">
        <v>10157</v>
      </c>
      <c r="B4974" s="2" t="s">
        <v>10158</v>
      </c>
      <c r="C4974" s="2" t="n">
        <v>5</v>
      </c>
      <c r="D4974" s="2" t="s">
        <v>96</v>
      </c>
      <c r="E4974" s="2" t="s">
        <v>8083</v>
      </c>
      <c r="F4974" s="3" t="n">
        <v>46140.0041666667</v>
      </c>
      <c r="G4974" s="2" t="s">
        <v>9602</v>
      </c>
      <c r="H4974" s="4" t="n">
        <v>0.6369</v>
      </c>
      <c r="I4974" s="2" t="s">
        <v>23</v>
      </c>
      <c r="J4974" s="2" t="s">
        <v>19</v>
      </c>
      <c r="K4974" s="2" t="n">
        <v>3</v>
      </c>
      <c r="L4974" s="2" t="n">
        <v>0</v>
      </c>
      <c r="M4974" s="2" t="n">
        <v>0</v>
      </c>
    </row>
    <row r="4975" customFormat="false" ht="15" hidden="false" customHeight="false" outlineLevel="0" collapsed="false">
      <c r="A4975" s="2" t="s">
        <v>10159</v>
      </c>
      <c r="B4975" s="2" t="s">
        <v>2677</v>
      </c>
      <c r="C4975" s="2" t="n">
        <v>3</v>
      </c>
      <c r="D4975" s="2" t="s">
        <v>440</v>
      </c>
      <c r="E4975" s="2" t="s">
        <v>8083</v>
      </c>
      <c r="F4975" s="3" t="n">
        <v>46140.0340277778</v>
      </c>
      <c r="G4975" s="2" t="s">
        <v>9602</v>
      </c>
      <c r="H4975" s="4" t="n">
        <v>0.4109</v>
      </c>
      <c r="I4975" s="2" t="s">
        <v>23</v>
      </c>
      <c r="J4975" s="2" t="s">
        <v>19</v>
      </c>
      <c r="K4975" s="2" t="n">
        <v>4</v>
      </c>
      <c r="L4975" s="2" t="n">
        <v>0</v>
      </c>
      <c r="M4975" s="2" t="n">
        <v>0</v>
      </c>
    </row>
    <row r="4976" customFormat="false" ht="15" hidden="false" customHeight="false" outlineLevel="0" collapsed="false">
      <c r="A4976" s="2" t="s">
        <v>10160</v>
      </c>
      <c r="B4976" s="2" t="s">
        <v>10161</v>
      </c>
      <c r="C4976" s="2" t="n">
        <v>3</v>
      </c>
      <c r="D4976" s="2" t="s">
        <v>22</v>
      </c>
      <c r="E4976" s="2" t="s">
        <v>8083</v>
      </c>
      <c r="F4976" s="3" t="n">
        <v>46140.3604166667</v>
      </c>
      <c r="G4976" s="2" t="s">
        <v>9602</v>
      </c>
      <c r="H4976" s="4" t="n">
        <v>0.2023</v>
      </c>
      <c r="I4976" s="2" t="s">
        <v>23</v>
      </c>
      <c r="J4976" s="2" t="s">
        <v>19</v>
      </c>
      <c r="K4976" s="2" t="n">
        <v>8</v>
      </c>
      <c r="L4976" s="2" t="n">
        <v>0</v>
      </c>
      <c r="M4976" s="2" t="n">
        <v>0</v>
      </c>
    </row>
    <row r="4977" customFormat="false" ht="15" hidden="false" customHeight="false" outlineLevel="0" collapsed="false">
      <c r="A4977" s="2" t="s">
        <v>10162</v>
      </c>
      <c r="B4977" s="2" t="s">
        <v>10163</v>
      </c>
      <c r="C4977" s="2" t="n">
        <v>5</v>
      </c>
      <c r="D4977" s="2" t="s">
        <v>374</v>
      </c>
      <c r="E4977" s="2" t="s">
        <v>8083</v>
      </c>
      <c r="F4977" s="3" t="n">
        <v>46140.4048611111</v>
      </c>
      <c r="G4977" s="2" t="s">
        <v>9602</v>
      </c>
      <c r="H4977" s="4" t="n">
        <v>0.6369</v>
      </c>
      <c r="I4977" s="2" t="s">
        <v>23</v>
      </c>
      <c r="J4977" s="2" t="s">
        <v>19</v>
      </c>
      <c r="K4977" s="2" t="n">
        <v>4</v>
      </c>
      <c r="L4977" s="2" t="n">
        <v>0</v>
      </c>
      <c r="M4977" s="2" t="n">
        <v>0</v>
      </c>
    </row>
    <row r="4978" customFormat="false" ht="15" hidden="false" customHeight="false" outlineLevel="0" collapsed="false">
      <c r="A4978" s="2" t="s">
        <v>10164</v>
      </c>
      <c r="B4978" s="2" t="s">
        <v>10165</v>
      </c>
      <c r="C4978" s="2" t="n">
        <v>4</v>
      </c>
      <c r="D4978" s="2" t="s">
        <v>301</v>
      </c>
      <c r="E4978" s="2" t="s">
        <v>8083</v>
      </c>
      <c r="F4978" s="3" t="n">
        <v>46140.50625</v>
      </c>
      <c r="G4978" s="2" t="s">
        <v>9602</v>
      </c>
      <c r="H4978" s="4" t="n">
        <v>0.2263</v>
      </c>
      <c r="I4978" s="2" t="s">
        <v>23</v>
      </c>
      <c r="J4978" s="2" t="s">
        <v>19</v>
      </c>
      <c r="K4978" s="2" t="n">
        <v>6</v>
      </c>
      <c r="L4978" s="2" t="n">
        <v>0</v>
      </c>
      <c r="M4978" s="2" t="n">
        <v>0</v>
      </c>
    </row>
    <row r="4979" customFormat="false" ht="15" hidden="false" customHeight="false" outlineLevel="0" collapsed="false">
      <c r="A4979" s="2" t="s">
        <v>10166</v>
      </c>
      <c r="B4979" s="2" t="s">
        <v>344</v>
      </c>
      <c r="C4979" s="2" t="n">
        <v>3</v>
      </c>
      <c r="D4979" s="2" t="s">
        <v>3085</v>
      </c>
      <c r="E4979" s="2" t="s">
        <v>8083</v>
      </c>
      <c r="F4979" s="3" t="n">
        <v>46140.6756944444</v>
      </c>
      <c r="G4979" s="2" t="s">
        <v>9602</v>
      </c>
      <c r="H4979" s="4" t="n">
        <v>0.2023</v>
      </c>
      <c r="I4979" s="2" t="s">
        <v>23</v>
      </c>
      <c r="J4979" s="2" t="s">
        <v>59</v>
      </c>
      <c r="K4979" s="2" t="n">
        <v>5</v>
      </c>
      <c r="L4979" s="2" t="n">
        <v>0</v>
      </c>
      <c r="M4979" s="2" t="n">
        <v>0</v>
      </c>
    </row>
    <row r="4980" customFormat="false" ht="15" hidden="false" customHeight="false" outlineLevel="0" collapsed="false">
      <c r="A4980" s="2" t="s">
        <v>10167</v>
      </c>
      <c r="B4980" s="2" t="s">
        <v>3121</v>
      </c>
      <c r="C4980" s="2" t="n">
        <v>5</v>
      </c>
      <c r="D4980" s="2" t="s">
        <v>127</v>
      </c>
      <c r="E4980" s="2" t="s">
        <v>8083</v>
      </c>
      <c r="F4980" s="3" t="n">
        <v>46140.6763888889</v>
      </c>
      <c r="G4980" s="2" t="s">
        <v>9602</v>
      </c>
      <c r="H4980" s="4" t="n">
        <v>0.9359</v>
      </c>
      <c r="I4980" s="2" t="s">
        <v>23</v>
      </c>
      <c r="J4980" s="2" t="s">
        <v>37</v>
      </c>
      <c r="K4980" s="2" t="n">
        <v>9</v>
      </c>
      <c r="L4980" s="2" t="n">
        <v>0</v>
      </c>
      <c r="M4980" s="2" t="n">
        <v>0</v>
      </c>
    </row>
    <row r="4981" customFormat="false" ht="15" hidden="false" customHeight="false" outlineLevel="0" collapsed="false">
      <c r="A4981" s="2" t="s">
        <v>10168</v>
      </c>
      <c r="B4981" s="2" t="s">
        <v>10169</v>
      </c>
      <c r="C4981" s="2" t="n">
        <v>5</v>
      </c>
      <c r="D4981" s="2" t="s">
        <v>15</v>
      </c>
      <c r="E4981" s="2" t="s">
        <v>8083</v>
      </c>
      <c r="F4981" s="3" t="n">
        <v>46140.8006944444</v>
      </c>
      <c r="G4981" s="2" t="s">
        <v>9602</v>
      </c>
      <c r="H4981" s="4" t="n">
        <v>0</v>
      </c>
      <c r="I4981" s="2" t="s">
        <v>18</v>
      </c>
      <c r="J4981" s="2" t="s">
        <v>19</v>
      </c>
      <c r="K4981" s="2" t="n">
        <v>2</v>
      </c>
      <c r="L4981" s="2" t="n">
        <v>0</v>
      </c>
      <c r="M4981" s="2" t="n">
        <v>0</v>
      </c>
    </row>
    <row r="4982" customFormat="false" ht="15" hidden="false" customHeight="false" outlineLevel="0" collapsed="false">
      <c r="A4982" s="2" t="s">
        <v>10170</v>
      </c>
      <c r="B4982" s="2" t="s">
        <v>10171</v>
      </c>
      <c r="C4982" s="2" t="n">
        <v>4</v>
      </c>
      <c r="D4982" s="2" t="s">
        <v>52</v>
      </c>
      <c r="E4982" s="2" t="s">
        <v>8083</v>
      </c>
      <c r="F4982" s="3" t="n">
        <v>46140.88125</v>
      </c>
      <c r="G4982" s="2" t="s">
        <v>9602</v>
      </c>
      <c r="H4982" s="4" t="n">
        <v>0.6369</v>
      </c>
      <c r="I4982" s="2" t="s">
        <v>23</v>
      </c>
      <c r="J4982" s="2" t="s">
        <v>19</v>
      </c>
      <c r="K4982" s="2" t="n">
        <v>0</v>
      </c>
      <c r="L4982" s="2" t="n">
        <v>0</v>
      </c>
      <c r="M4982" s="2" t="n">
        <v>0</v>
      </c>
    </row>
    <row r="4983" customFormat="false" ht="15" hidden="false" customHeight="false" outlineLevel="0" collapsed="false">
      <c r="A4983" s="2" t="s">
        <v>10172</v>
      </c>
      <c r="B4983" s="2" t="s">
        <v>10173</v>
      </c>
      <c r="C4983" s="2" t="n">
        <v>5</v>
      </c>
      <c r="D4983" s="2" t="s">
        <v>52</v>
      </c>
      <c r="E4983" s="2" t="s">
        <v>8083</v>
      </c>
      <c r="F4983" s="3" t="n">
        <v>46140.9270833333</v>
      </c>
      <c r="G4983" s="2" t="s">
        <v>9602</v>
      </c>
      <c r="H4983" s="4" t="n">
        <v>0.6369</v>
      </c>
      <c r="I4983" s="2" t="s">
        <v>23</v>
      </c>
      <c r="J4983" s="2" t="s">
        <v>19</v>
      </c>
      <c r="K4983" s="2" t="n">
        <v>5</v>
      </c>
      <c r="L4983" s="2" t="n">
        <v>0</v>
      </c>
      <c r="M4983" s="2" t="n">
        <v>0</v>
      </c>
    </row>
    <row r="4984" customFormat="false" ht="15" hidden="false" customHeight="false" outlineLevel="0" collapsed="false">
      <c r="A4984" s="2" t="s">
        <v>10174</v>
      </c>
      <c r="B4984" s="2" t="s">
        <v>10175</v>
      </c>
      <c r="C4984" s="2" t="n">
        <v>4</v>
      </c>
      <c r="D4984" s="2" t="s">
        <v>15</v>
      </c>
      <c r="E4984" s="2" t="s">
        <v>8083</v>
      </c>
      <c r="F4984" s="3" t="n">
        <v>46141.00625</v>
      </c>
      <c r="G4984" s="2" t="s">
        <v>9602</v>
      </c>
      <c r="H4984" s="4" t="n">
        <v>0</v>
      </c>
      <c r="I4984" s="2" t="s">
        <v>18</v>
      </c>
      <c r="J4984" s="2" t="s">
        <v>19</v>
      </c>
      <c r="K4984" s="2" t="n">
        <v>9</v>
      </c>
      <c r="L4984" s="2" t="n">
        <v>0</v>
      </c>
      <c r="M4984" s="2" t="n">
        <v>0</v>
      </c>
    </row>
    <row r="4985" customFormat="false" ht="15" hidden="false" customHeight="false" outlineLevel="0" collapsed="false">
      <c r="A4985" s="2" t="s">
        <v>10176</v>
      </c>
      <c r="B4985" s="2" t="s">
        <v>10177</v>
      </c>
      <c r="C4985" s="2" t="n">
        <v>5</v>
      </c>
      <c r="D4985" s="2" t="s">
        <v>692</v>
      </c>
      <c r="E4985" s="2" t="s">
        <v>8083</v>
      </c>
      <c r="F4985" s="3" t="n">
        <v>46141.19375</v>
      </c>
      <c r="G4985" s="2" t="s">
        <v>9602</v>
      </c>
      <c r="H4985" s="4" t="n">
        <v>0.9516</v>
      </c>
      <c r="I4985" s="2" t="s">
        <v>23</v>
      </c>
      <c r="J4985" s="2" t="s">
        <v>37</v>
      </c>
      <c r="K4985" s="2" t="n">
        <v>3</v>
      </c>
      <c r="L4985" s="2" t="n">
        <v>0</v>
      </c>
      <c r="M4985" s="2" t="n">
        <v>0</v>
      </c>
    </row>
    <row r="4986" customFormat="false" ht="15" hidden="false" customHeight="false" outlineLevel="0" collapsed="false">
      <c r="A4986" s="2" t="s">
        <v>10178</v>
      </c>
      <c r="B4986" s="2" t="s">
        <v>10179</v>
      </c>
      <c r="C4986" s="2" t="n">
        <v>4</v>
      </c>
      <c r="D4986" s="2" t="s">
        <v>99</v>
      </c>
      <c r="E4986" s="2" t="s">
        <v>8083</v>
      </c>
      <c r="F4986" s="3" t="n">
        <v>46141.1965277778</v>
      </c>
      <c r="G4986" s="2" t="s">
        <v>9602</v>
      </c>
      <c r="H4986" s="4" t="n">
        <v>-0.3089</v>
      </c>
      <c r="I4986" s="2" t="s">
        <v>84</v>
      </c>
      <c r="J4986" s="2" t="s">
        <v>19</v>
      </c>
      <c r="K4986" s="2" t="n">
        <v>6</v>
      </c>
      <c r="L4986" s="2" t="n">
        <v>0</v>
      </c>
      <c r="M4986" s="2" t="n">
        <v>0</v>
      </c>
    </row>
    <row r="4987" customFormat="false" ht="15" hidden="false" customHeight="false" outlineLevel="0" collapsed="false">
      <c r="A4987" s="2" t="s">
        <v>10180</v>
      </c>
      <c r="B4987" s="2" t="s">
        <v>10181</v>
      </c>
      <c r="C4987" s="2" t="n">
        <v>4</v>
      </c>
      <c r="D4987" s="2" t="s">
        <v>186</v>
      </c>
      <c r="E4987" s="2" t="s">
        <v>8083</v>
      </c>
      <c r="F4987" s="3" t="n">
        <v>46141.2479166667</v>
      </c>
      <c r="G4987" s="2" t="s">
        <v>9602</v>
      </c>
      <c r="H4987" s="4" t="n">
        <v>0.8777</v>
      </c>
      <c r="I4987" s="2" t="s">
        <v>23</v>
      </c>
      <c r="J4987" s="2" t="s">
        <v>19</v>
      </c>
      <c r="K4987" s="2" t="n">
        <v>2</v>
      </c>
      <c r="L4987" s="2" t="n">
        <v>0</v>
      </c>
      <c r="M4987" s="2" t="n">
        <v>0</v>
      </c>
    </row>
    <row r="4988" customFormat="false" ht="15" hidden="false" customHeight="false" outlineLevel="0" collapsed="false">
      <c r="A4988" s="2" t="s">
        <v>10182</v>
      </c>
      <c r="B4988" s="2" t="s">
        <v>10183</v>
      </c>
      <c r="C4988" s="2" t="n">
        <v>5</v>
      </c>
      <c r="D4988" s="2" t="s">
        <v>90</v>
      </c>
      <c r="E4988" s="2" t="s">
        <v>8083</v>
      </c>
      <c r="F4988" s="3" t="n">
        <v>46141.3638888889</v>
      </c>
      <c r="G4988" s="2" t="s">
        <v>9602</v>
      </c>
      <c r="H4988" s="4" t="n">
        <v>0.6249</v>
      </c>
      <c r="I4988" s="2" t="s">
        <v>23</v>
      </c>
      <c r="J4988" s="2" t="s">
        <v>37</v>
      </c>
      <c r="K4988" s="2" t="n">
        <v>4</v>
      </c>
      <c r="L4988" s="2" t="n">
        <v>0</v>
      </c>
      <c r="M4988" s="2" t="n">
        <v>0</v>
      </c>
    </row>
    <row r="4989" customFormat="false" ht="15" hidden="false" customHeight="false" outlineLevel="0" collapsed="false">
      <c r="A4989" s="2" t="s">
        <v>10184</v>
      </c>
      <c r="B4989" s="2" t="s">
        <v>10185</v>
      </c>
      <c r="C4989" s="2" t="n">
        <v>1</v>
      </c>
      <c r="D4989" s="2" t="s">
        <v>1380</v>
      </c>
      <c r="E4989" s="2" t="s">
        <v>8083</v>
      </c>
      <c r="F4989" s="3" t="n">
        <v>46141.4493055556</v>
      </c>
      <c r="G4989" s="2" t="s">
        <v>9602</v>
      </c>
      <c r="H4989" s="4" t="n">
        <v>0</v>
      </c>
      <c r="I4989" s="2" t="s">
        <v>18</v>
      </c>
      <c r="J4989" s="2" t="s">
        <v>110</v>
      </c>
      <c r="K4989" s="2" t="n">
        <v>1</v>
      </c>
      <c r="L4989" s="2" t="n">
        <v>1</v>
      </c>
      <c r="M4989" s="2" t="n">
        <v>0</v>
      </c>
    </row>
    <row r="4990" customFormat="false" ht="15" hidden="false" customHeight="false" outlineLevel="0" collapsed="false">
      <c r="A4990" s="2" t="s">
        <v>10186</v>
      </c>
      <c r="B4990" s="2" t="s">
        <v>10187</v>
      </c>
      <c r="C4990" s="2" t="n">
        <v>5</v>
      </c>
      <c r="D4990" s="2" t="s">
        <v>555</v>
      </c>
      <c r="E4990" s="2" t="s">
        <v>8083</v>
      </c>
      <c r="F4990" s="3" t="n">
        <v>46141.475</v>
      </c>
      <c r="G4990" s="2" t="s">
        <v>9602</v>
      </c>
      <c r="H4990" s="4" t="n">
        <v>0.8221</v>
      </c>
      <c r="I4990" s="2" t="s">
        <v>23</v>
      </c>
      <c r="J4990" s="2" t="s">
        <v>33</v>
      </c>
      <c r="K4990" s="2" t="n">
        <v>1</v>
      </c>
      <c r="L4990" s="2" t="n">
        <v>0</v>
      </c>
      <c r="M4990" s="2" t="n">
        <v>0</v>
      </c>
    </row>
    <row r="4991" customFormat="false" ht="15" hidden="false" customHeight="false" outlineLevel="0" collapsed="false">
      <c r="A4991" s="2" t="s">
        <v>10188</v>
      </c>
      <c r="B4991" s="2" t="s">
        <v>10189</v>
      </c>
      <c r="C4991" s="2" t="n">
        <v>5</v>
      </c>
      <c r="D4991" s="2" t="s">
        <v>127</v>
      </c>
      <c r="E4991" s="2" t="s">
        <v>8083</v>
      </c>
      <c r="F4991" s="3" t="n">
        <v>46141.5465277778</v>
      </c>
      <c r="G4991" s="2" t="s">
        <v>9602</v>
      </c>
      <c r="H4991" s="4" t="n">
        <v>0.9359</v>
      </c>
      <c r="I4991" s="2" t="s">
        <v>23</v>
      </c>
      <c r="J4991" s="2" t="s">
        <v>37</v>
      </c>
      <c r="K4991" s="2" t="n">
        <v>0</v>
      </c>
      <c r="L4991" s="2" t="n">
        <v>0</v>
      </c>
      <c r="M4991" s="2" t="n">
        <v>0</v>
      </c>
    </row>
    <row r="4992" customFormat="false" ht="15" hidden="false" customHeight="false" outlineLevel="0" collapsed="false">
      <c r="A4992" s="2" t="s">
        <v>10190</v>
      </c>
      <c r="B4992" s="2" t="s">
        <v>10191</v>
      </c>
      <c r="C4992" s="2" t="n">
        <v>5</v>
      </c>
      <c r="D4992" s="2" t="s">
        <v>40</v>
      </c>
      <c r="E4992" s="2" t="s">
        <v>8083</v>
      </c>
      <c r="F4992" s="3" t="n">
        <v>46141.85</v>
      </c>
      <c r="G4992" s="2" t="s">
        <v>9602</v>
      </c>
      <c r="H4992" s="4" t="n">
        <v>0.4019</v>
      </c>
      <c r="I4992" s="2" t="s">
        <v>23</v>
      </c>
      <c r="J4992" s="2" t="s">
        <v>33</v>
      </c>
      <c r="K4992" s="2" t="n">
        <v>1</v>
      </c>
      <c r="L4992" s="2" t="n">
        <v>0</v>
      </c>
      <c r="M4992" s="2" t="n">
        <v>0</v>
      </c>
    </row>
    <row r="4993" customFormat="false" ht="15" hidden="false" customHeight="false" outlineLevel="0" collapsed="false">
      <c r="A4993" s="2" t="s">
        <v>10192</v>
      </c>
      <c r="B4993" s="2" t="s">
        <v>10193</v>
      </c>
      <c r="C4993" s="2" t="n">
        <v>5</v>
      </c>
      <c r="D4993" s="2" t="s">
        <v>96</v>
      </c>
      <c r="E4993" s="2" t="s">
        <v>8083</v>
      </c>
      <c r="F4993" s="3" t="n">
        <v>46141.9993055556</v>
      </c>
      <c r="G4993" s="2" t="s">
        <v>9602</v>
      </c>
      <c r="H4993" s="4" t="n">
        <v>0.6369</v>
      </c>
      <c r="I4993" s="2" t="s">
        <v>23</v>
      </c>
      <c r="J4993" s="2" t="s">
        <v>19</v>
      </c>
      <c r="K4993" s="2" t="n">
        <v>0</v>
      </c>
      <c r="L4993" s="2" t="n">
        <v>0</v>
      </c>
      <c r="M4993" s="2" t="n">
        <v>0</v>
      </c>
    </row>
    <row r="4994" customFormat="false" ht="15" hidden="false" customHeight="false" outlineLevel="0" collapsed="false">
      <c r="A4994" s="2" t="s">
        <v>10194</v>
      </c>
      <c r="B4994" s="2" t="s">
        <v>10195</v>
      </c>
      <c r="C4994" s="2" t="n">
        <v>5</v>
      </c>
      <c r="D4994" s="2" t="s">
        <v>1424</v>
      </c>
      <c r="E4994" s="2" t="s">
        <v>8083</v>
      </c>
      <c r="F4994" s="3" t="n">
        <v>46142.1444444444</v>
      </c>
      <c r="G4994" s="2" t="s">
        <v>9602</v>
      </c>
      <c r="H4994" s="4" t="n">
        <v>0.3089</v>
      </c>
      <c r="I4994" s="2" t="s">
        <v>23</v>
      </c>
      <c r="J4994" s="2" t="s">
        <v>19</v>
      </c>
      <c r="K4994" s="2" t="n">
        <v>8</v>
      </c>
      <c r="L4994" s="2" t="n">
        <v>0</v>
      </c>
      <c r="M4994" s="2" t="n">
        <v>0</v>
      </c>
    </row>
    <row r="4995" customFormat="false" ht="15" hidden="false" customHeight="false" outlineLevel="0" collapsed="false">
      <c r="A4995" s="2" t="s">
        <v>10196</v>
      </c>
      <c r="B4995" s="2" t="s">
        <v>10197</v>
      </c>
      <c r="C4995" s="2" t="n">
        <v>5</v>
      </c>
      <c r="D4995" s="2" t="s">
        <v>90</v>
      </c>
      <c r="E4995" s="2" t="s">
        <v>8083</v>
      </c>
      <c r="F4995" s="3" t="n">
        <v>46142.1451388889</v>
      </c>
      <c r="G4995" s="2" t="s">
        <v>9602</v>
      </c>
      <c r="H4995" s="4" t="n">
        <v>0.6249</v>
      </c>
      <c r="I4995" s="2" t="s">
        <v>23</v>
      </c>
      <c r="J4995" s="2" t="s">
        <v>37</v>
      </c>
      <c r="K4995" s="2" t="n">
        <v>0</v>
      </c>
      <c r="L4995" s="2" t="n">
        <v>0</v>
      </c>
      <c r="M4995" s="2" t="n">
        <v>0</v>
      </c>
    </row>
    <row r="4996" customFormat="false" ht="15" hidden="false" customHeight="false" outlineLevel="0" collapsed="false">
      <c r="A4996" s="2" t="s">
        <v>10198</v>
      </c>
      <c r="B4996" s="2" t="s">
        <v>10199</v>
      </c>
      <c r="C4996" s="2" t="n">
        <v>2</v>
      </c>
      <c r="D4996" s="2" t="s">
        <v>179</v>
      </c>
      <c r="E4996" s="2" t="s">
        <v>8083</v>
      </c>
      <c r="F4996" s="3" t="n">
        <v>46142.2006944444</v>
      </c>
      <c r="G4996" s="2" t="s">
        <v>9602</v>
      </c>
      <c r="H4996" s="4" t="n">
        <v>-0.0258</v>
      </c>
      <c r="I4996" s="2" t="s">
        <v>18</v>
      </c>
      <c r="J4996" s="2" t="s">
        <v>59</v>
      </c>
      <c r="K4996" s="2" t="n">
        <v>3</v>
      </c>
      <c r="L4996" s="2" t="n">
        <v>0</v>
      </c>
      <c r="M4996" s="2" t="n">
        <v>0</v>
      </c>
    </row>
    <row r="4997" customFormat="false" ht="15" hidden="false" customHeight="false" outlineLevel="0" collapsed="false">
      <c r="A4997" s="2" t="s">
        <v>10200</v>
      </c>
      <c r="B4997" s="2" t="s">
        <v>10201</v>
      </c>
      <c r="C4997" s="2" t="n">
        <v>4</v>
      </c>
      <c r="D4997" s="2" t="s">
        <v>40</v>
      </c>
      <c r="E4997" s="2" t="s">
        <v>8083</v>
      </c>
      <c r="F4997" s="3" t="n">
        <v>46142.2027777778</v>
      </c>
      <c r="G4997" s="2" t="s">
        <v>9602</v>
      </c>
      <c r="H4997" s="4" t="n">
        <v>0.4019</v>
      </c>
      <c r="I4997" s="2" t="s">
        <v>23</v>
      </c>
      <c r="J4997" s="2" t="s">
        <v>33</v>
      </c>
      <c r="K4997" s="2" t="n">
        <v>3</v>
      </c>
      <c r="L4997" s="2" t="n">
        <v>0</v>
      </c>
      <c r="M4997" s="2" t="n">
        <v>0</v>
      </c>
    </row>
    <row r="4998" customFormat="false" ht="15" hidden="false" customHeight="false" outlineLevel="0" collapsed="false">
      <c r="A4998" s="2" t="s">
        <v>10202</v>
      </c>
      <c r="B4998" s="2" t="s">
        <v>10203</v>
      </c>
      <c r="C4998" s="2" t="n">
        <v>5</v>
      </c>
      <c r="D4998" s="2" t="s">
        <v>1286</v>
      </c>
      <c r="E4998" s="2" t="s">
        <v>8083</v>
      </c>
      <c r="F4998" s="3" t="n">
        <v>46142.2055555556</v>
      </c>
      <c r="G4998" s="2" t="s">
        <v>9602</v>
      </c>
      <c r="H4998" s="4" t="n">
        <v>0.4019</v>
      </c>
      <c r="I4998" s="2" t="s">
        <v>23</v>
      </c>
      <c r="J4998" s="2" t="s">
        <v>33</v>
      </c>
      <c r="K4998" s="2" t="n">
        <v>8</v>
      </c>
      <c r="L4998" s="2" t="n">
        <v>0</v>
      </c>
      <c r="M4998" s="2" t="n">
        <v>0</v>
      </c>
    </row>
    <row r="4999" customFormat="false" ht="15" hidden="false" customHeight="false" outlineLevel="0" collapsed="false">
      <c r="A4999" s="2" t="s">
        <v>10204</v>
      </c>
      <c r="B4999" s="2" t="s">
        <v>10205</v>
      </c>
      <c r="C4999" s="2" t="n">
        <v>4</v>
      </c>
      <c r="D4999" s="2" t="s">
        <v>36</v>
      </c>
      <c r="E4999" s="2" t="s">
        <v>8083</v>
      </c>
      <c r="F4999" s="3" t="n">
        <v>46142.4347222222</v>
      </c>
      <c r="G4999" s="2" t="s">
        <v>9602</v>
      </c>
      <c r="H4999" s="4" t="n">
        <v>0.4404</v>
      </c>
      <c r="I4999" s="2" t="s">
        <v>23</v>
      </c>
      <c r="J4999" s="2" t="s">
        <v>37</v>
      </c>
      <c r="K4999" s="2" t="n">
        <v>0</v>
      </c>
      <c r="L4999" s="2" t="n">
        <v>0</v>
      </c>
      <c r="M4999" s="2" t="n">
        <v>0</v>
      </c>
    </row>
    <row r="5000" customFormat="false" ht="15" hidden="false" customHeight="false" outlineLevel="0" collapsed="false">
      <c r="A5000" s="2" t="s">
        <v>10206</v>
      </c>
      <c r="B5000" s="2" t="s">
        <v>10207</v>
      </c>
      <c r="C5000" s="2" t="n">
        <v>4</v>
      </c>
      <c r="D5000" s="2" t="s">
        <v>127</v>
      </c>
      <c r="E5000" s="2" t="s">
        <v>8083</v>
      </c>
      <c r="F5000" s="3" t="n">
        <v>46142.4715277778</v>
      </c>
      <c r="G5000" s="2" t="s">
        <v>9602</v>
      </c>
      <c r="H5000" s="4" t="n">
        <v>0.9359</v>
      </c>
      <c r="I5000" s="2" t="s">
        <v>23</v>
      </c>
      <c r="J5000" s="2" t="s">
        <v>37</v>
      </c>
      <c r="K5000" s="2" t="n">
        <v>4</v>
      </c>
      <c r="L5000" s="2" t="n">
        <v>0</v>
      </c>
      <c r="M5000" s="2" t="n">
        <v>0</v>
      </c>
    </row>
    <row r="5001" customFormat="false" ht="15" hidden="false" customHeight="false" outlineLevel="0" collapsed="false">
      <c r="A5001" s="2" t="s">
        <v>10208</v>
      </c>
      <c r="B5001" s="2" t="s">
        <v>10209</v>
      </c>
      <c r="C5001" s="2" t="n">
        <v>4</v>
      </c>
      <c r="D5001" s="2" t="s">
        <v>47</v>
      </c>
      <c r="E5001" s="2" t="s">
        <v>8083</v>
      </c>
      <c r="F5001" s="3" t="n">
        <v>46142.5527777778</v>
      </c>
      <c r="G5001" s="2" t="s">
        <v>9602</v>
      </c>
      <c r="H5001" s="4" t="n">
        <v>0.3089</v>
      </c>
      <c r="I5001" s="2" t="s">
        <v>23</v>
      </c>
      <c r="J5001" s="2" t="s">
        <v>19</v>
      </c>
      <c r="K5001" s="2" t="n">
        <v>17</v>
      </c>
      <c r="L5001" s="2" t="n">
        <v>0</v>
      </c>
      <c r="M5001" s="2" t="n">
        <v>0</v>
      </c>
    </row>
    <row r="5002" customFormat="false" ht="15" hidden="false" customHeight="false" outlineLevel="0" collapsed="false">
      <c r="A5002" s="2" t="s">
        <v>10210</v>
      </c>
      <c r="B5002" s="2" t="s">
        <v>10211</v>
      </c>
      <c r="C5002" s="2" t="n">
        <v>4</v>
      </c>
      <c r="D5002" s="2" t="s">
        <v>40</v>
      </c>
      <c r="E5002" s="2" t="s">
        <v>8083</v>
      </c>
      <c r="F5002" s="3" t="n">
        <v>46142.5861111111</v>
      </c>
      <c r="G5002" s="2" t="s">
        <v>9602</v>
      </c>
      <c r="H5002" s="4" t="n">
        <v>0.4019</v>
      </c>
      <c r="I5002" s="2" t="s">
        <v>23</v>
      </c>
      <c r="J5002" s="2" t="s">
        <v>33</v>
      </c>
      <c r="K5002" s="2" t="n">
        <v>2</v>
      </c>
      <c r="L5002" s="2" t="n">
        <v>0</v>
      </c>
      <c r="M5002" s="2" t="n">
        <v>0</v>
      </c>
    </row>
    <row r="5003" customFormat="false" ht="15" hidden="false" customHeight="false" outlineLevel="0" collapsed="false">
      <c r="A5003" s="2" t="s">
        <v>10212</v>
      </c>
      <c r="B5003" s="2" t="s">
        <v>10213</v>
      </c>
      <c r="C5003" s="2" t="n">
        <v>4</v>
      </c>
      <c r="D5003" s="2" t="s">
        <v>15</v>
      </c>
      <c r="E5003" s="2" t="s">
        <v>8083</v>
      </c>
      <c r="F5003" s="3" t="n">
        <v>46142.68125</v>
      </c>
      <c r="G5003" s="2" t="s">
        <v>9602</v>
      </c>
      <c r="H5003" s="4" t="n">
        <v>0</v>
      </c>
      <c r="I5003" s="2" t="s">
        <v>18</v>
      </c>
      <c r="J5003" s="2" t="s">
        <v>19</v>
      </c>
      <c r="K5003" s="2" t="n">
        <v>5</v>
      </c>
      <c r="L5003" s="2" t="n">
        <v>0</v>
      </c>
      <c r="M5003" s="2" t="n">
        <v>0</v>
      </c>
    </row>
    <row r="5004" customFormat="false" ht="15" hidden="false" customHeight="false" outlineLevel="0" collapsed="false">
      <c r="A5004" s="2" t="s">
        <v>10214</v>
      </c>
      <c r="B5004" s="2" t="s">
        <v>10215</v>
      </c>
      <c r="C5004" s="2" t="n">
        <v>4</v>
      </c>
      <c r="D5004" s="2" t="s">
        <v>40</v>
      </c>
      <c r="E5004" s="2" t="s">
        <v>8083</v>
      </c>
      <c r="F5004" s="3" t="n">
        <v>46142.7430555556</v>
      </c>
      <c r="G5004" s="2" t="s">
        <v>9602</v>
      </c>
      <c r="H5004" s="4" t="n">
        <v>0.4019</v>
      </c>
      <c r="I5004" s="2" t="s">
        <v>23</v>
      </c>
      <c r="J5004" s="2" t="s">
        <v>33</v>
      </c>
      <c r="K5004" s="2" t="n">
        <v>1</v>
      </c>
      <c r="L5004" s="2" t="n">
        <v>0</v>
      </c>
      <c r="M5004" s="2" t="n">
        <v>0</v>
      </c>
    </row>
    <row r="5005" customFormat="false" ht="15" hidden="false" customHeight="false" outlineLevel="0" collapsed="false">
      <c r="A5005" s="2" t="s">
        <v>10216</v>
      </c>
      <c r="B5005" s="2" t="s">
        <v>10217</v>
      </c>
      <c r="C5005" s="2" t="n">
        <v>4</v>
      </c>
      <c r="D5005" s="2" t="s">
        <v>325</v>
      </c>
      <c r="E5005" s="2" t="s">
        <v>8083</v>
      </c>
      <c r="F5005" s="3" t="n">
        <v>46142.9819444444</v>
      </c>
      <c r="G5005" s="2" t="s">
        <v>9602</v>
      </c>
      <c r="H5005" s="4" t="n">
        <v>0.9612</v>
      </c>
      <c r="I5005" s="2" t="s">
        <v>23</v>
      </c>
      <c r="J5005" s="2" t="s">
        <v>37</v>
      </c>
      <c r="K5005" s="2" t="n">
        <v>3</v>
      </c>
      <c r="L5005" s="2" t="n">
        <v>0</v>
      </c>
      <c r="M5005" s="2" t="n">
        <v>0</v>
      </c>
    </row>
    <row r="5006" customFormat="false" ht="15" hidden="false" customHeight="false" outlineLevel="0" collapsed="false">
      <c r="A5006" s="2" t="s">
        <v>10218</v>
      </c>
      <c r="B5006" s="2" t="s">
        <v>10219</v>
      </c>
      <c r="C5006" s="2" t="n">
        <v>5</v>
      </c>
      <c r="D5006" s="2" t="s">
        <v>62</v>
      </c>
      <c r="E5006" s="2" t="s">
        <v>8083</v>
      </c>
      <c r="F5006" s="3" t="n">
        <v>46143.0645833333</v>
      </c>
      <c r="G5006" s="2" t="s">
        <v>10220</v>
      </c>
      <c r="H5006" s="4" t="n">
        <v>0.7088</v>
      </c>
      <c r="I5006" s="2" t="s">
        <v>23</v>
      </c>
      <c r="J5006" s="2" t="s">
        <v>19</v>
      </c>
      <c r="K5006" s="2" t="n">
        <v>1</v>
      </c>
      <c r="L5006" s="2" t="n">
        <v>0</v>
      </c>
      <c r="M5006" s="2" t="n">
        <v>0</v>
      </c>
    </row>
    <row r="5007" customFormat="false" ht="15" hidden="false" customHeight="false" outlineLevel="0" collapsed="false">
      <c r="A5007" s="2" t="s">
        <v>10221</v>
      </c>
      <c r="B5007" s="2" t="s">
        <v>10222</v>
      </c>
      <c r="C5007" s="2" t="n">
        <v>5</v>
      </c>
      <c r="D5007" s="2" t="s">
        <v>1286</v>
      </c>
      <c r="E5007" s="2" t="s">
        <v>8083</v>
      </c>
      <c r="F5007" s="3" t="n">
        <v>46143.1583333333</v>
      </c>
      <c r="G5007" s="2" t="s">
        <v>10220</v>
      </c>
      <c r="H5007" s="4" t="n">
        <v>0.4019</v>
      </c>
      <c r="I5007" s="2" t="s">
        <v>23</v>
      </c>
      <c r="J5007" s="2" t="s">
        <v>33</v>
      </c>
      <c r="K5007" s="2" t="n">
        <v>4</v>
      </c>
      <c r="L5007" s="2" t="n">
        <v>0</v>
      </c>
      <c r="M5007" s="2" t="n">
        <v>0</v>
      </c>
    </row>
    <row r="5008" customFormat="false" ht="15" hidden="false" customHeight="false" outlineLevel="0" collapsed="false">
      <c r="A5008" s="2" t="s">
        <v>10223</v>
      </c>
      <c r="B5008" s="2" t="s">
        <v>10224</v>
      </c>
      <c r="C5008" s="2" t="n">
        <v>4</v>
      </c>
      <c r="D5008" s="2" t="s">
        <v>127</v>
      </c>
      <c r="E5008" s="2" t="s">
        <v>8083</v>
      </c>
      <c r="F5008" s="3" t="n">
        <v>46143.2729166667</v>
      </c>
      <c r="G5008" s="2" t="s">
        <v>10220</v>
      </c>
      <c r="H5008" s="4" t="n">
        <v>0.9359</v>
      </c>
      <c r="I5008" s="2" t="s">
        <v>23</v>
      </c>
      <c r="J5008" s="2" t="s">
        <v>37</v>
      </c>
      <c r="K5008" s="2" t="n">
        <v>1</v>
      </c>
      <c r="L5008" s="2" t="n">
        <v>0</v>
      </c>
      <c r="M5008" s="2" t="n">
        <v>0</v>
      </c>
    </row>
    <row r="5009" customFormat="false" ht="15" hidden="false" customHeight="false" outlineLevel="0" collapsed="false">
      <c r="A5009" s="2" t="s">
        <v>10225</v>
      </c>
      <c r="B5009" s="2" t="s">
        <v>10226</v>
      </c>
      <c r="C5009" s="2" t="n">
        <v>3</v>
      </c>
      <c r="D5009" s="2" t="s">
        <v>560</v>
      </c>
      <c r="E5009" s="2" t="s">
        <v>8083</v>
      </c>
      <c r="F5009" s="3" t="n">
        <v>46143.3645833333</v>
      </c>
      <c r="G5009" s="2" t="s">
        <v>10220</v>
      </c>
      <c r="H5009" s="4" t="n">
        <v>0</v>
      </c>
      <c r="I5009" s="2" t="s">
        <v>18</v>
      </c>
      <c r="J5009" s="2" t="s">
        <v>19</v>
      </c>
      <c r="K5009" s="2" t="n">
        <v>0</v>
      </c>
      <c r="L5009" s="2" t="n">
        <v>0</v>
      </c>
      <c r="M5009" s="2" t="n">
        <v>0</v>
      </c>
    </row>
    <row r="5010" customFormat="false" ht="15" hidden="false" customHeight="false" outlineLevel="0" collapsed="false">
      <c r="A5010" s="2" t="s">
        <v>10227</v>
      </c>
      <c r="B5010" s="2" t="s">
        <v>10228</v>
      </c>
      <c r="C5010" s="2" t="n">
        <v>5</v>
      </c>
      <c r="D5010" s="2" t="s">
        <v>1622</v>
      </c>
      <c r="E5010" s="2" t="s">
        <v>8083</v>
      </c>
      <c r="F5010" s="3" t="n">
        <v>46143.4451388889</v>
      </c>
      <c r="G5010" s="2" t="s">
        <v>10220</v>
      </c>
      <c r="H5010" s="4" t="n">
        <v>0.8555</v>
      </c>
      <c r="I5010" s="2" t="s">
        <v>23</v>
      </c>
      <c r="J5010" s="2" t="s">
        <v>19</v>
      </c>
      <c r="K5010" s="2" t="n">
        <v>9</v>
      </c>
      <c r="L5010" s="2" t="n">
        <v>0</v>
      </c>
      <c r="M5010" s="2" t="n">
        <v>0</v>
      </c>
    </row>
    <row r="5011" customFormat="false" ht="15" hidden="false" customHeight="false" outlineLevel="0" collapsed="false">
      <c r="A5011" s="2" t="s">
        <v>10229</v>
      </c>
      <c r="B5011" s="2" t="s">
        <v>10230</v>
      </c>
      <c r="C5011" s="2" t="n">
        <v>4</v>
      </c>
      <c r="D5011" s="2" t="s">
        <v>22</v>
      </c>
      <c r="E5011" s="2" t="s">
        <v>8083</v>
      </c>
      <c r="F5011" s="3" t="n">
        <v>46143.4965277778</v>
      </c>
      <c r="G5011" s="2" t="s">
        <v>10220</v>
      </c>
      <c r="H5011" s="4" t="n">
        <v>0.2023</v>
      </c>
      <c r="I5011" s="2" t="s">
        <v>23</v>
      </c>
      <c r="J5011" s="2" t="s">
        <v>19</v>
      </c>
      <c r="K5011" s="2" t="n">
        <v>0</v>
      </c>
      <c r="L5011" s="2" t="n">
        <v>0</v>
      </c>
      <c r="M5011" s="2" t="n">
        <v>0</v>
      </c>
    </row>
    <row r="5012" customFormat="false" ht="15" hidden="false" customHeight="false" outlineLevel="0" collapsed="false">
      <c r="A5012" s="2" t="s">
        <v>10231</v>
      </c>
      <c r="B5012" s="2" t="s">
        <v>10232</v>
      </c>
      <c r="C5012" s="2" t="n">
        <v>1</v>
      </c>
      <c r="D5012" s="2" t="s">
        <v>1942</v>
      </c>
      <c r="E5012" s="2" t="s">
        <v>8083</v>
      </c>
      <c r="F5012" s="3" t="n">
        <v>46143.5673611111</v>
      </c>
      <c r="G5012" s="2" t="s">
        <v>10220</v>
      </c>
      <c r="H5012" s="4" t="n">
        <v>0</v>
      </c>
      <c r="I5012" s="2" t="s">
        <v>18</v>
      </c>
      <c r="J5012" s="2" t="s">
        <v>165</v>
      </c>
      <c r="K5012" s="2" t="n">
        <v>5</v>
      </c>
      <c r="L5012" s="2" t="n">
        <v>0</v>
      </c>
      <c r="M5012" s="2" t="n">
        <v>0</v>
      </c>
    </row>
    <row r="5013" customFormat="false" ht="15" hidden="false" customHeight="false" outlineLevel="0" collapsed="false">
      <c r="A5013" s="2" t="s">
        <v>10233</v>
      </c>
      <c r="B5013" s="2" t="s">
        <v>10234</v>
      </c>
      <c r="C5013" s="2" t="n">
        <v>4</v>
      </c>
      <c r="D5013" s="2" t="s">
        <v>127</v>
      </c>
      <c r="E5013" s="2" t="s">
        <v>8083</v>
      </c>
      <c r="F5013" s="3" t="n">
        <v>46143.6111111111</v>
      </c>
      <c r="G5013" s="2" t="s">
        <v>10220</v>
      </c>
      <c r="H5013" s="4" t="n">
        <v>0.9359</v>
      </c>
      <c r="I5013" s="2" t="s">
        <v>23</v>
      </c>
      <c r="J5013" s="2" t="s">
        <v>37</v>
      </c>
      <c r="K5013" s="2" t="n">
        <v>3</v>
      </c>
      <c r="L5013" s="2" t="n">
        <v>0</v>
      </c>
      <c r="M5013" s="2" t="n">
        <v>0</v>
      </c>
    </row>
    <row r="5014" customFormat="false" ht="15" hidden="false" customHeight="false" outlineLevel="0" collapsed="false">
      <c r="A5014" s="2" t="s">
        <v>10235</v>
      </c>
      <c r="B5014" s="2" t="s">
        <v>10236</v>
      </c>
      <c r="C5014" s="2" t="n">
        <v>3</v>
      </c>
      <c r="D5014" s="2" t="s">
        <v>3400</v>
      </c>
      <c r="E5014" s="2" t="s">
        <v>8083</v>
      </c>
      <c r="F5014" s="3" t="n">
        <v>46143.6493055556</v>
      </c>
      <c r="G5014" s="2" t="s">
        <v>10220</v>
      </c>
      <c r="H5014" s="4" t="n">
        <v>-0.5667</v>
      </c>
      <c r="I5014" s="2" t="s">
        <v>84</v>
      </c>
      <c r="J5014" s="2" t="s">
        <v>37</v>
      </c>
      <c r="K5014" s="2" t="n">
        <v>1</v>
      </c>
      <c r="L5014" s="2" t="n">
        <v>0</v>
      </c>
      <c r="M5014" s="2" t="n">
        <v>0</v>
      </c>
    </row>
    <row r="5015" customFormat="false" ht="15" hidden="false" customHeight="false" outlineLevel="0" collapsed="false">
      <c r="A5015" s="2" t="s">
        <v>10237</v>
      </c>
      <c r="B5015" s="2" t="s">
        <v>10238</v>
      </c>
      <c r="C5015" s="2" t="n">
        <v>3</v>
      </c>
      <c r="D5015" s="2" t="s">
        <v>823</v>
      </c>
      <c r="E5015" s="2" t="s">
        <v>8083</v>
      </c>
      <c r="F5015" s="3" t="n">
        <v>46143.78125</v>
      </c>
      <c r="G5015" s="2" t="s">
        <v>10220</v>
      </c>
      <c r="H5015" s="4" t="n">
        <v>-0.6997</v>
      </c>
      <c r="I5015" s="2" t="s">
        <v>84</v>
      </c>
      <c r="J5015" s="2" t="s">
        <v>19</v>
      </c>
      <c r="K5015" s="2" t="n">
        <v>5</v>
      </c>
      <c r="L5015" s="2" t="n">
        <v>0</v>
      </c>
      <c r="M5015" s="2" t="n">
        <v>0</v>
      </c>
    </row>
    <row r="5016" customFormat="false" ht="15" hidden="false" customHeight="false" outlineLevel="0" collapsed="false">
      <c r="A5016" s="2" t="s">
        <v>10239</v>
      </c>
      <c r="B5016" s="2" t="s">
        <v>10240</v>
      </c>
      <c r="C5016" s="2" t="n">
        <v>5</v>
      </c>
      <c r="D5016" s="2" t="s">
        <v>47</v>
      </c>
      <c r="E5016" s="2" t="s">
        <v>8083</v>
      </c>
      <c r="F5016" s="3" t="n">
        <v>46143.7819444445</v>
      </c>
      <c r="G5016" s="2" t="s">
        <v>10220</v>
      </c>
      <c r="H5016" s="4" t="n">
        <v>0.3089</v>
      </c>
      <c r="I5016" s="2" t="s">
        <v>23</v>
      </c>
      <c r="J5016" s="2" t="s">
        <v>19</v>
      </c>
      <c r="K5016" s="2" t="n">
        <v>9</v>
      </c>
      <c r="L5016" s="2" t="n">
        <v>0</v>
      </c>
      <c r="M5016" s="2" t="n">
        <v>0</v>
      </c>
    </row>
    <row r="5017" customFormat="false" ht="15" hidden="false" customHeight="false" outlineLevel="0" collapsed="false">
      <c r="A5017" s="2" t="s">
        <v>10241</v>
      </c>
      <c r="B5017" s="2" t="s">
        <v>10242</v>
      </c>
      <c r="C5017" s="2" t="n">
        <v>5</v>
      </c>
      <c r="D5017" s="2" t="s">
        <v>807</v>
      </c>
      <c r="E5017" s="2" t="s">
        <v>8083</v>
      </c>
      <c r="F5017" s="3" t="n">
        <v>46144.0326388889</v>
      </c>
      <c r="G5017" s="2" t="s">
        <v>10220</v>
      </c>
      <c r="H5017" s="4" t="n">
        <v>0.6369</v>
      </c>
      <c r="I5017" s="2" t="s">
        <v>23</v>
      </c>
      <c r="J5017" s="2" t="s">
        <v>19</v>
      </c>
      <c r="K5017" s="2" t="n">
        <v>6</v>
      </c>
      <c r="L5017" s="2" t="n">
        <v>0</v>
      </c>
      <c r="M5017" s="2" t="n">
        <v>0</v>
      </c>
    </row>
    <row r="5018" customFormat="false" ht="15" hidden="false" customHeight="false" outlineLevel="0" collapsed="false">
      <c r="A5018" s="2" t="s">
        <v>10243</v>
      </c>
      <c r="B5018" s="2" t="s">
        <v>10244</v>
      </c>
      <c r="C5018" s="2" t="n">
        <v>5</v>
      </c>
      <c r="D5018" s="2" t="s">
        <v>90</v>
      </c>
      <c r="E5018" s="2" t="s">
        <v>8083</v>
      </c>
      <c r="F5018" s="3" t="n">
        <v>46144.0597222222</v>
      </c>
      <c r="G5018" s="2" t="s">
        <v>10220</v>
      </c>
      <c r="H5018" s="4" t="n">
        <v>0.6249</v>
      </c>
      <c r="I5018" s="2" t="s">
        <v>23</v>
      </c>
      <c r="J5018" s="2" t="s">
        <v>37</v>
      </c>
      <c r="K5018" s="2" t="n">
        <v>0</v>
      </c>
      <c r="L5018" s="2" t="n">
        <v>0</v>
      </c>
      <c r="M5018" s="2" t="n">
        <v>0</v>
      </c>
    </row>
    <row r="5019" customFormat="false" ht="15" hidden="false" customHeight="false" outlineLevel="0" collapsed="false">
      <c r="A5019" s="2" t="s">
        <v>10245</v>
      </c>
      <c r="B5019" s="2" t="s">
        <v>10246</v>
      </c>
      <c r="C5019" s="2" t="n">
        <v>5</v>
      </c>
      <c r="D5019" s="2" t="s">
        <v>407</v>
      </c>
      <c r="E5019" s="2" t="s">
        <v>8083</v>
      </c>
      <c r="F5019" s="3" t="n">
        <v>46144.0756944444</v>
      </c>
      <c r="G5019" s="2" t="s">
        <v>10220</v>
      </c>
      <c r="H5019" s="4" t="n">
        <v>0.7783</v>
      </c>
      <c r="I5019" s="2" t="s">
        <v>23</v>
      </c>
      <c r="J5019" s="2" t="s">
        <v>37</v>
      </c>
      <c r="K5019" s="2" t="n">
        <v>0</v>
      </c>
      <c r="L5019" s="2" t="n">
        <v>0</v>
      </c>
      <c r="M5019" s="2" t="n">
        <v>0</v>
      </c>
    </row>
    <row r="5020" customFormat="false" ht="15" hidden="false" customHeight="false" outlineLevel="0" collapsed="false">
      <c r="A5020" s="2" t="s">
        <v>10247</v>
      </c>
      <c r="B5020" s="2" t="s">
        <v>10248</v>
      </c>
      <c r="C5020" s="2" t="n">
        <v>3</v>
      </c>
      <c r="D5020" s="2" t="s">
        <v>36</v>
      </c>
      <c r="E5020" s="2" t="s">
        <v>8083</v>
      </c>
      <c r="F5020" s="3" t="n">
        <v>46144.0819444444</v>
      </c>
      <c r="G5020" s="2" t="s">
        <v>10220</v>
      </c>
      <c r="H5020" s="4" t="n">
        <v>0.4404</v>
      </c>
      <c r="I5020" s="2" t="s">
        <v>23</v>
      </c>
      <c r="J5020" s="2" t="s">
        <v>37</v>
      </c>
      <c r="K5020" s="2" t="n">
        <v>2</v>
      </c>
      <c r="L5020" s="2" t="n">
        <v>0</v>
      </c>
      <c r="M5020" s="2" t="n">
        <v>0</v>
      </c>
    </row>
    <row r="5021" customFormat="false" ht="15" hidden="false" customHeight="false" outlineLevel="0" collapsed="false">
      <c r="A5021" s="2" t="s">
        <v>10249</v>
      </c>
      <c r="B5021" s="2" t="s">
        <v>10250</v>
      </c>
      <c r="C5021" s="2" t="n">
        <v>5</v>
      </c>
      <c r="D5021" s="2" t="s">
        <v>1973</v>
      </c>
      <c r="E5021" s="2" t="s">
        <v>8083</v>
      </c>
      <c r="F5021" s="3" t="n">
        <v>46144.0923611111</v>
      </c>
      <c r="G5021" s="2" t="s">
        <v>10220</v>
      </c>
      <c r="H5021" s="4" t="n">
        <v>0.9612</v>
      </c>
      <c r="I5021" s="2" t="s">
        <v>23</v>
      </c>
      <c r="J5021" s="2" t="s">
        <v>37</v>
      </c>
      <c r="K5021" s="2" t="n">
        <v>0</v>
      </c>
      <c r="L5021" s="2" t="n">
        <v>0</v>
      </c>
      <c r="M5021" s="2" t="n">
        <v>0</v>
      </c>
    </row>
    <row r="5022" customFormat="false" ht="15" hidden="false" customHeight="false" outlineLevel="0" collapsed="false">
      <c r="A5022" s="2" t="s">
        <v>10251</v>
      </c>
      <c r="B5022" s="2" t="s">
        <v>10252</v>
      </c>
      <c r="C5022" s="2" t="n">
        <v>4</v>
      </c>
      <c r="D5022" s="2" t="s">
        <v>87</v>
      </c>
      <c r="E5022" s="2" t="s">
        <v>8083</v>
      </c>
      <c r="F5022" s="3" t="n">
        <v>46144.2520833333</v>
      </c>
      <c r="G5022" s="2" t="s">
        <v>10220</v>
      </c>
      <c r="H5022" s="4" t="n">
        <v>0</v>
      </c>
      <c r="I5022" s="2" t="s">
        <v>18</v>
      </c>
      <c r="J5022" s="2" t="s">
        <v>19</v>
      </c>
      <c r="K5022" s="2" t="n">
        <v>0</v>
      </c>
      <c r="L5022" s="2" t="n">
        <v>0</v>
      </c>
      <c r="M5022" s="2" t="n">
        <v>0</v>
      </c>
    </row>
    <row r="5023" customFormat="false" ht="15" hidden="false" customHeight="false" outlineLevel="0" collapsed="false">
      <c r="A5023" s="2" t="s">
        <v>10253</v>
      </c>
      <c r="B5023" s="2" t="s">
        <v>10254</v>
      </c>
      <c r="C5023" s="2" t="n">
        <v>4</v>
      </c>
      <c r="D5023" s="2" t="s">
        <v>62</v>
      </c>
      <c r="E5023" s="2" t="s">
        <v>8083</v>
      </c>
      <c r="F5023" s="3" t="n">
        <v>46144.2819444445</v>
      </c>
      <c r="G5023" s="2" t="s">
        <v>10220</v>
      </c>
      <c r="H5023" s="4" t="n">
        <v>0.7088</v>
      </c>
      <c r="I5023" s="2" t="s">
        <v>23</v>
      </c>
      <c r="J5023" s="2" t="s">
        <v>19</v>
      </c>
      <c r="K5023" s="2" t="n">
        <v>8</v>
      </c>
      <c r="L5023" s="2" t="n">
        <v>0</v>
      </c>
      <c r="M5023" s="2" t="n">
        <v>0</v>
      </c>
    </row>
    <row r="5024" customFormat="false" ht="15" hidden="false" customHeight="false" outlineLevel="0" collapsed="false">
      <c r="A5024" s="2" t="s">
        <v>10255</v>
      </c>
      <c r="B5024" s="2" t="s">
        <v>10256</v>
      </c>
      <c r="C5024" s="2" t="n">
        <v>5</v>
      </c>
      <c r="D5024" s="2" t="s">
        <v>47</v>
      </c>
      <c r="E5024" s="2" t="s">
        <v>8083</v>
      </c>
      <c r="F5024" s="3" t="n">
        <v>46144.4979166667</v>
      </c>
      <c r="G5024" s="2" t="s">
        <v>10220</v>
      </c>
      <c r="H5024" s="4" t="n">
        <v>0.3089</v>
      </c>
      <c r="I5024" s="2" t="s">
        <v>23</v>
      </c>
      <c r="J5024" s="2" t="s">
        <v>19</v>
      </c>
      <c r="K5024" s="2" t="n">
        <v>6</v>
      </c>
      <c r="L5024" s="2" t="n">
        <v>0</v>
      </c>
      <c r="M5024" s="2" t="n">
        <v>0</v>
      </c>
    </row>
    <row r="5025" customFormat="false" ht="15" hidden="false" customHeight="false" outlineLevel="0" collapsed="false">
      <c r="A5025" s="2" t="s">
        <v>10257</v>
      </c>
      <c r="B5025" s="2" t="s">
        <v>10258</v>
      </c>
      <c r="C5025" s="2" t="n">
        <v>5</v>
      </c>
      <c r="D5025" s="2" t="s">
        <v>96</v>
      </c>
      <c r="E5025" s="2" t="s">
        <v>8083</v>
      </c>
      <c r="F5025" s="3" t="n">
        <v>46144.5027777778</v>
      </c>
      <c r="G5025" s="2" t="s">
        <v>10220</v>
      </c>
      <c r="H5025" s="4" t="n">
        <v>0.6369</v>
      </c>
      <c r="I5025" s="2" t="s">
        <v>23</v>
      </c>
      <c r="J5025" s="2" t="s">
        <v>19</v>
      </c>
      <c r="K5025" s="2" t="n">
        <v>2</v>
      </c>
      <c r="L5025" s="2" t="n">
        <v>0</v>
      </c>
      <c r="M5025" s="2" t="n">
        <v>0</v>
      </c>
    </row>
    <row r="5026" customFormat="false" ht="15" hidden="false" customHeight="false" outlineLevel="0" collapsed="false">
      <c r="A5026" s="2" t="s">
        <v>10259</v>
      </c>
      <c r="B5026" s="2" t="s">
        <v>10260</v>
      </c>
      <c r="C5026" s="2" t="n">
        <v>4</v>
      </c>
      <c r="D5026" s="2" t="s">
        <v>99</v>
      </c>
      <c r="E5026" s="2" t="s">
        <v>8083</v>
      </c>
      <c r="F5026" s="3" t="n">
        <v>46144.7125</v>
      </c>
      <c r="G5026" s="2" t="s">
        <v>10220</v>
      </c>
      <c r="H5026" s="4" t="n">
        <v>-0.3089</v>
      </c>
      <c r="I5026" s="2" t="s">
        <v>84</v>
      </c>
      <c r="J5026" s="2" t="s">
        <v>19</v>
      </c>
      <c r="K5026" s="2" t="n">
        <v>3</v>
      </c>
      <c r="L5026" s="2" t="n">
        <v>0</v>
      </c>
      <c r="M5026" s="2" t="n">
        <v>0</v>
      </c>
    </row>
    <row r="5027" customFormat="false" ht="15" hidden="false" customHeight="false" outlineLevel="0" collapsed="false">
      <c r="A5027" s="2" t="s">
        <v>10261</v>
      </c>
      <c r="B5027" s="2" t="s">
        <v>10262</v>
      </c>
      <c r="C5027" s="2" t="n">
        <v>5</v>
      </c>
      <c r="D5027" s="2" t="s">
        <v>96</v>
      </c>
      <c r="E5027" s="2" t="s">
        <v>8083</v>
      </c>
      <c r="F5027" s="3" t="n">
        <v>46144.7777777778</v>
      </c>
      <c r="G5027" s="2" t="s">
        <v>10220</v>
      </c>
      <c r="H5027" s="4" t="n">
        <v>0.6369</v>
      </c>
      <c r="I5027" s="2" t="s">
        <v>23</v>
      </c>
      <c r="J5027" s="2" t="s">
        <v>19</v>
      </c>
      <c r="K5027" s="2" t="n">
        <v>1</v>
      </c>
      <c r="L5027" s="2" t="n">
        <v>0</v>
      </c>
      <c r="M5027" s="2" t="n">
        <v>0</v>
      </c>
    </row>
    <row r="5028" customFormat="false" ht="15" hidden="false" customHeight="false" outlineLevel="0" collapsed="false">
      <c r="A5028" s="2" t="s">
        <v>10263</v>
      </c>
      <c r="B5028" s="2" t="s">
        <v>10264</v>
      </c>
      <c r="C5028" s="2" t="n">
        <v>5</v>
      </c>
      <c r="D5028" s="2" t="s">
        <v>127</v>
      </c>
      <c r="E5028" s="2" t="s">
        <v>8083</v>
      </c>
      <c r="F5028" s="3" t="n">
        <v>46144.8090277778</v>
      </c>
      <c r="G5028" s="2" t="s">
        <v>10220</v>
      </c>
      <c r="H5028" s="4" t="n">
        <v>0.9359</v>
      </c>
      <c r="I5028" s="2" t="s">
        <v>23</v>
      </c>
      <c r="J5028" s="2" t="s">
        <v>37</v>
      </c>
      <c r="K5028" s="2" t="n">
        <v>6</v>
      </c>
      <c r="L5028" s="2" t="n">
        <v>0</v>
      </c>
      <c r="M5028" s="2" t="n">
        <v>0</v>
      </c>
    </row>
    <row r="5029" customFormat="false" ht="15" hidden="false" customHeight="false" outlineLevel="0" collapsed="false">
      <c r="A5029" s="2" t="s">
        <v>10265</v>
      </c>
      <c r="B5029" s="2" t="s">
        <v>10266</v>
      </c>
      <c r="C5029" s="2" t="n">
        <v>1</v>
      </c>
      <c r="D5029" s="2" t="s">
        <v>7010</v>
      </c>
      <c r="E5029" s="2" t="s">
        <v>8083</v>
      </c>
      <c r="F5029" s="3" t="n">
        <v>46144.9625</v>
      </c>
      <c r="G5029" s="2" t="s">
        <v>10220</v>
      </c>
      <c r="H5029" s="4" t="n">
        <v>0.1027</v>
      </c>
      <c r="I5029" s="2" t="s">
        <v>23</v>
      </c>
      <c r="J5029" s="2" t="s">
        <v>33</v>
      </c>
      <c r="K5029" s="2" t="n">
        <v>0</v>
      </c>
      <c r="L5029" s="2" t="n">
        <v>1</v>
      </c>
      <c r="M5029" s="2" t="n">
        <v>0</v>
      </c>
    </row>
    <row r="5030" customFormat="false" ht="15" hidden="false" customHeight="false" outlineLevel="0" collapsed="false">
      <c r="A5030" s="2" t="s">
        <v>10267</v>
      </c>
      <c r="B5030" s="2" t="s">
        <v>10268</v>
      </c>
      <c r="C5030" s="2" t="n">
        <v>3</v>
      </c>
      <c r="D5030" s="2" t="s">
        <v>22</v>
      </c>
      <c r="E5030" s="2" t="s">
        <v>8083</v>
      </c>
      <c r="F5030" s="3" t="n">
        <v>46144.9638888889</v>
      </c>
      <c r="G5030" s="2" t="s">
        <v>10220</v>
      </c>
      <c r="H5030" s="4" t="n">
        <v>0.2023</v>
      </c>
      <c r="I5030" s="2" t="s">
        <v>23</v>
      </c>
      <c r="J5030" s="2" t="s">
        <v>19</v>
      </c>
      <c r="K5030" s="2" t="n">
        <v>1</v>
      </c>
      <c r="L5030" s="2" t="n">
        <v>0</v>
      </c>
      <c r="M5030" s="2" t="n">
        <v>0</v>
      </c>
    </row>
    <row r="5031" customFormat="false" ht="15" hidden="false" customHeight="false" outlineLevel="0" collapsed="false">
      <c r="A5031" s="2" t="s">
        <v>10269</v>
      </c>
      <c r="B5031" s="2" t="s">
        <v>10270</v>
      </c>
      <c r="C5031" s="2" t="n">
        <v>5</v>
      </c>
      <c r="D5031" s="2" t="s">
        <v>40</v>
      </c>
      <c r="E5031" s="2" t="s">
        <v>8083</v>
      </c>
      <c r="F5031" s="3" t="n">
        <v>46144.9777777778</v>
      </c>
      <c r="G5031" s="2" t="s">
        <v>10220</v>
      </c>
      <c r="H5031" s="4" t="n">
        <v>0.4019</v>
      </c>
      <c r="I5031" s="2" t="s">
        <v>23</v>
      </c>
      <c r="J5031" s="2" t="s">
        <v>33</v>
      </c>
      <c r="K5031" s="2" t="n">
        <v>0</v>
      </c>
      <c r="L5031" s="2" t="n">
        <v>0</v>
      </c>
      <c r="M5031" s="2" t="n">
        <v>0</v>
      </c>
    </row>
    <row r="5032" customFormat="false" ht="15" hidden="false" customHeight="false" outlineLevel="0" collapsed="false">
      <c r="A5032" s="2" t="s">
        <v>10271</v>
      </c>
      <c r="B5032" s="2" t="s">
        <v>10272</v>
      </c>
      <c r="C5032" s="2" t="n">
        <v>4</v>
      </c>
      <c r="D5032" s="2" t="s">
        <v>301</v>
      </c>
      <c r="E5032" s="2" t="s">
        <v>8083</v>
      </c>
      <c r="F5032" s="3" t="n">
        <v>46144.9791666667</v>
      </c>
      <c r="G5032" s="2" t="s">
        <v>10220</v>
      </c>
      <c r="H5032" s="4" t="n">
        <v>0.2263</v>
      </c>
      <c r="I5032" s="2" t="s">
        <v>23</v>
      </c>
      <c r="J5032" s="2" t="s">
        <v>19</v>
      </c>
      <c r="K5032" s="2" t="n">
        <v>1</v>
      </c>
      <c r="L5032" s="2" t="n">
        <v>0</v>
      </c>
      <c r="M5032" s="2" t="n">
        <v>0</v>
      </c>
    </row>
    <row r="5033" customFormat="false" ht="15" hidden="false" customHeight="false" outlineLevel="0" collapsed="false">
      <c r="A5033" s="2" t="s">
        <v>10273</v>
      </c>
      <c r="B5033" s="2" t="s">
        <v>10274</v>
      </c>
      <c r="C5033" s="2" t="n">
        <v>1</v>
      </c>
      <c r="D5033" s="2" t="s">
        <v>823</v>
      </c>
      <c r="E5033" s="2" t="s">
        <v>8083</v>
      </c>
      <c r="F5033" s="3" t="n">
        <v>46145.2340277778</v>
      </c>
      <c r="G5033" s="2" t="s">
        <v>10220</v>
      </c>
      <c r="H5033" s="4" t="n">
        <v>-0.6997</v>
      </c>
      <c r="I5033" s="2" t="s">
        <v>84</v>
      </c>
      <c r="J5033" s="2" t="s">
        <v>19</v>
      </c>
      <c r="K5033" s="2" t="n">
        <v>1</v>
      </c>
      <c r="L5033" s="2" t="n">
        <v>1</v>
      </c>
      <c r="M5033" s="2" t="n">
        <v>0</v>
      </c>
    </row>
    <row r="5034" customFormat="false" ht="15" hidden="false" customHeight="false" outlineLevel="0" collapsed="false">
      <c r="A5034" s="2" t="s">
        <v>10275</v>
      </c>
      <c r="B5034" s="2" t="s">
        <v>10276</v>
      </c>
      <c r="C5034" s="2" t="n">
        <v>5</v>
      </c>
      <c r="D5034" s="2" t="s">
        <v>304</v>
      </c>
      <c r="E5034" s="2" t="s">
        <v>8083</v>
      </c>
      <c r="F5034" s="3" t="n">
        <v>46145.3208333333</v>
      </c>
      <c r="G5034" s="2" t="s">
        <v>10220</v>
      </c>
      <c r="H5034" s="4" t="n">
        <v>0.6249</v>
      </c>
      <c r="I5034" s="2" t="s">
        <v>23</v>
      </c>
      <c r="J5034" s="2" t="s">
        <v>37</v>
      </c>
      <c r="K5034" s="2" t="n">
        <v>5</v>
      </c>
      <c r="L5034" s="2" t="n">
        <v>0</v>
      </c>
      <c r="M5034" s="2" t="n">
        <v>0</v>
      </c>
    </row>
    <row r="5035" customFormat="false" ht="15" hidden="false" customHeight="false" outlineLevel="0" collapsed="false">
      <c r="A5035" s="2" t="s">
        <v>10277</v>
      </c>
      <c r="B5035" s="2" t="s">
        <v>10278</v>
      </c>
      <c r="C5035" s="2" t="n">
        <v>5</v>
      </c>
      <c r="D5035" s="2" t="s">
        <v>389</v>
      </c>
      <c r="E5035" s="2" t="s">
        <v>8083</v>
      </c>
      <c r="F5035" s="3" t="n">
        <v>46145.4048611111</v>
      </c>
      <c r="G5035" s="2" t="s">
        <v>10220</v>
      </c>
      <c r="H5035" s="4" t="n">
        <v>0.8519</v>
      </c>
      <c r="I5035" s="2" t="s">
        <v>23</v>
      </c>
      <c r="J5035" s="2" t="s">
        <v>37</v>
      </c>
      <c r="K5035" s="2" t="n">
        <v>4</v>
      </c>
      <c r="L5035" s="2" t="n">
        <v>0</v>
      </c>
      <c r="M5035" s="2" t="n">
        <v>0</v>
      </c>
    </row>
    <row r="5036" customFormat="false" ht="15" hidden="false" customHeight="false" outlineLevel="0" collapsed="false">
      <c r="A5036" s="2" t="s">
        <v>10279</v>
      </c>
      <c r="B5036" s="2" t="s">
        <v>10280</v>
      </c>
      <c r="C5036" s="2" t="n">
        <v>2</v>
      </c>
      <c r="D5036" s="2" t="s">
        <v>721</v>
      </c>
      <c r="E5036" s="2" t="s">
        <v>8083</v>
      </c>
      <c r="F5036" s="3" t="n">
        <v>46145.4645833333</v>
      </c>
      <c r="G5036" s="2" t="s">
        <v>10220</v>
      </c>
      <c r="H5036" s="4" t="n">
        <v>-0.4588</v>
      </c>
      <c r="I5036" s="2" t="s">
        <v>84</v>
      </c>
      <c r="J5036" s="2" t="s">
        <v>37</v>
      </c>
      <c r="K5036" s="2" t="n">
        <v>1</v>
      </c>
      <c r="L5036" s="2" t="n">
        <v>0</v>
      </c>
      <c r="M5036" s="2" t="n">
        <v>0</v>
      </c>
    </row>
    <row r="5037" customFormat="false" ht="15" hidden="false" customHeight="false" outlineLevel="0" collapsed="false">
      <c r="A5037" s="2" t="s">
        <v>10281</v>
      </c>
      <c r="B5037" s="2" t="s">
        <v>10282</v>
      </c>
      <c r="C5037" s="2" t="n">
        <v>4</v>
      </c>
      <c r="D5037" s="2" t="s">
        <v>96</v>
      </c>
      <c r="E5037" s="2" t="s">
        <v>8083</v>
      </c>
      <c r="F5037" s="3" t="n">
        <v>46145.5694444445</v>
      </c>
      <c r="G5037" s="2" t="s">
        <v>10220</v>
      </c>
      <c r="H5037" s="4" t="n">
        <v>0.6369</v>
      </c>
      <c r="I5037" s="2" t="s">
        <v>23</v>
      </c>
      <c r="J5037" s="2" t="s">
        <v>19</v>
      </c>
      <c r="K5037" s="2" t="n">
        <v>6</v>
      </c>
      <c r="L5037" s="2" t="n">
        <v>0</v>
      </c>
      <c r="M5037" s="2" t="n">
        <v>0</v>
      </c>
    </row>
    <row r="5038" customFormat="false" ht="15" hidden="false" customHeight="false" outlineLevel="0" collapsed="false">
      <c r="A5038" s="2" t="s">
        <v>10283</v>
      </c>
      <c r="B5038" s="2" t="s">
        <v>10284</v>
      </c>
      <c r="C5038" s="2" t="n">
        <v>4</v>
      </c>
      <c r="D5038" s="2" t="s">
        <v>52</v>
      </c>
      <c r="E5038" s="2" t="s">
        <v>8083</v>
      </c>
      <c r="F5038" s="3" t="n">
        <v>46145.7291666667</v>
      </c>
      <c r="G5038" s="2" t="s">
        <v>10220</v>
      </c>
      <c r="H5038" s="4" t="n">
        <v>0.6369</v>
      </c>
      <c r="I5038" s="2" t="s">
        <v>23</v>
      </c>
      <c r="J5038" s="2" t="s">
        <v>19</v>
      </c>
      <c r="K5038" s="2" t="n">
        <v>1</v>
      </c>
      <c r="L5038" s="2" t="n">
        <v>0</v>
      </c>
      <c r="M5038" s="2" t="n">
        <v>0</v>
      </c>
    </row>
    <row r="5039" customFormat="false" ht="15" hidden="false" customHeight="false" outlineLevel="0" collapsed="false">
      <c r="A5039" s="2" t="s">
        <v>10285</v>
      </c>
      <c r="B5039" s="2" t="s">
        <v>1545</v>
      </c>
      <c r="C5039" s="2" t="n">
        <v>4</v>
      </c>
      <c r="D5039" s="2" t="s">
        <v>47</v>
      </c>
      <c r="E5039" s="2" t="s">
        <v>8083</v>
      </c>
      <c r="F5039" s="3" t="n">
        <v>46145.7986111111</v>
      </c>
      <c r="G5039" s="2" t="s">
        <v>10220</v>
      </c>
      <c r="H5039" s="4" t="n">
        <v>0.3089</v>
      </c>
      <c r="I5039" s="2" t="s">
        <v>23</v>
      </c>
      <c r="J5039" s="2" t="s">
        <v>19</v>
      </c>
      <c r="K5039" s="2" t="n">
        <v>6</v>
      </c>
      <c r="L5039" s="2" t="n">
        <v>0</v>
      </c>
      <c r="M5039" s="2" t="n">
        <v>0</v>
      </c>
    </row>
    <row r="5040" customFormat="false" ht="15" hidden="false" customHeight="false" outlineLevel="0" collapsed="false">
      <c r="A5040" s="2" t="s">
        <v>10286</v>
      </c>
      <c r="B5040" s="2" t="s">
        <v>10287</v>
      </c>
      <c r="C5040" s="2" t="n">
        <v>5</v>
      </c>
      <c r="D5040" s="2" t="s">
        <v>15</v>
      </c>
      <c r="E5040" s="2" t="s">
        <v>8083</v>
      </c>
      <c r="F5040" s="3" t="n">
        <v>46145.9277777778</v>
      </c>
      <c r="G5040" s="2" t="s">
        <v>10220</v>
      </c>
      <c r="H5040" s="4" t="n">
        <v>0</v>
      </c>
      <c r="I5040" s="2" t="s">
        <v>18</v>
      </c>
      <c r="J5040" s="2" t="s">
        <v>19</v>
      </c>
      <c r="K5040" s="2" t="n">
        <v>4</v>
      </c>
      <c r="L5040" s="2" t="n">
        <v>0</v>
      </c>
      <c r="M5040" s="2" t="n">
        <v>0</v>
      </c>
    </row>
    <row r="5041" customFormat="false" ht="15" hidden="false" customHeight="false" outlineLevel="0" collapsed="false">
      <c r="A5041" s="2" t="s">
        <v>10288</v>
      </c>
      <c r="B5041" s="2" t="s">
        <v>10289</v>
      </c>
      <c r="C5041" s="2" t="n">
        <v>1</v>
      </c>
      <c r="D5041" s="2" t="s">
        <v>234</v>
      </c>
      <c r="E5041" s="2" t="s">
        <v>8083</v>
      </c>
      <c r="F5041" s="3" t="n">
        <v>46146.0576388889</v>
      </c>
      <c r="G5041" s="2" t="s">
        <v>10220</v>
      </c>
      <c r="H5041" s="4" t="n">
        <v>0</v>
      </c>
      <c r="I5041" s="2" t="s">
        <v>18</v>
      </c>
      <c r="J5041" s="2" t="s">
        <v>165</v>
      </c>
      <c r="K5041" s="2" t="n">
        <v>0</v>
      </c>
      <c r="L5041" s="2" t="n">
        <v>1</v>
      </c>
      <c r="M5041" s="2" t="n">
        <v>0</v>
      </c>
    </row>
    <row r="5042" customFormat="false" ht="15" hidden="false" customHeight="false" outlineLevel="0" collapsed="false">
      <c r="A5042" s="2" t="s">
        <v>10290</v>
      </c>
      <c r="B5042" s="2" t="s">
        <v>10291</v>
      </c>
      <c r="C5042" s="2" t="n">
        <v>3</v>
      </c>
      <c r="D5042" s="2" t="s">
        <v>36</v>
      </c>
      <c r="E5042" s="2" t="s">
        <v>8083</v>
      </c>
      <c r="F5042" s="3" t="n">
        <v>46146.1430555556</v>
      </c>
      <c r="G5042" s="2" t="s">
        <v>10220</v>
      </c>
      <c r="H5042" s="4" t="n">
        <v>0.4404</v>
      </c>
      <c r="I5042" s="2" t="s">
        <v>23</v>
      </c>
      <c r="J5042" s="2" t="s">
        <v>37</v>
      </c>
      <c r="K5042" s="2" t="n">
        <v>0</v>
      </c>
      <c r="L5042" s="2" t="n">
        <v>0</v>
      </c>
      <c r="M5042" s="2" t="n">
        <v>0</v>
      </c>
    </row>
    <row r="5043" customFormat="false" ht="15" hidden="false" customHeight="false" outlineLevel="0" collapsed="false">
      <c r="A5043" s="2" t="s">
        <v>10292</v>
      </c>
      <c r="B5043" s="2" t="s">
        <v>10293</v>
      </c>
      <c r="C5043" s="2" t="n">
        <v>1</v>
      </c>
      <c r="D5043" s="2" t="s">
        <v>701</v>
      </c>
      <c r="E5043" s="2" t="s">
        <v>8083</v>
      </c>
      <c r="F5043" s="3" t="n">
        <v>46146.1611111111</v>
      </c>
      <c r="G5043" s="2" t="s">
        <v>10220</v>
      </c>
      <c r="H5043" s="4" t="n">
        <v>-0.7184</v>
      </c>
      <c r="I5043" s="2" t="s">
        <v>84</v>
      </c>
      <c r="J5043" s="2" t="s">
        <v>37</v>
      </c>
      <c r="K5043" s="2" t="n">
        <v>17</v>
      </c>
      <c r="L5043" s="2" t="n">
        <v>0</v>
      </c>
      <c r="M5043" s="2" t="n">
        <v>0</v>
      </c>
    </row>
    <row r="5044" customFormat="false" ht="15" hidden="false" customHeight="false" outlineLevel="0" collapsed="false">
      <c r="A5044" s="2" t="s">
        <v>10294</v>
      </c>
      <c r="B5044" s="2" t="s">
        <v>10295</v>
      </c>
      <c r="C5044" s="2" t="n">
        <v>4</v>
      </c>
      <c r="D5044" s="2" t="s">
        <v>36</v>
      </c>
      <c r="E5044" s="2" t="s">
        <v>8083</v>
      </c>
      <c r="F5044" s="3" t="n">
        <v>46146.1784722222</v>
      </c>
      <c r="G5044" s="2" t="s">
        <v>10220</v>
      </c>
      <c r="H5044" s="4" t="n">
        <v>0.4404</v>
      </c>
      <c r="I5044" s="2" t="s">
        <v>23</v>
      </c>
      <c r="J5044" s="2" t="s">
        <v>37</v>
      </c>
      <c r="K5044" s="2" t="n">
        <v>0</v>
      </c>
      <c r="L5044" s="2" t="n">
        <v>0</v>
      </c>
      <c r="M5044" s="2" t="n">
        <v>0</v>
      </c>
    </row>
    <row r="5045" customFormat="false" ht="15" hidden="false" customHeight="false" outlineLevel="0" collapsed="false">
      <c r="A5045" s="2" t="s">
        <v>10296</v>
      </c>
      <c r="B5045" s="2" t="s">
        <v>10297</v>
      </c>
      <c r="C5045" s="2" t="n">
        <v>1</v>
      </c>
      <c r="D5045" s="2" t="s">
        <v>2816</v>
      </c>
      <c r="E5045" s="2" t="s">
        <v>8083</v>
      </c>
      <c r="F5045" s="3" t="n">
        <v>46146.3534722222</v>
      </c>
      <c r="G5045" s="2" t="s">
        <v>10220</v>
      </c>
      <c r="H5045" s="4" t="n">
        <v>0</v>
      </c>
      <c r="I5045" s="2" t="s">
        <v>18</v>
      </c>
      <c r="J5045" s="2" t="s">
        <v>110</v>
      </c>
      <c r="K5045" s="2" t="n">
        <v>2</v>
      </c>
      <c r="L5045" s="2" t="n">
        <v>0</v>
      </c>
      <c r="M5045" s="2" t="n">
        <v>0</v>
      </c>
    </row>
    <row r="5046" customFormat="false" ht="15" hidden="false" customHeight="false" outlineLevel="0" collapsed="false">
      <c r="A5046" s="2" t="s">
        <v>10298</v>
      </c>
      <c r="B5046" s="2" t="s">
        <v>10299</v>
      </c>
      <c r="C5046" s="2" t="n">
        <v>4</v>
      </c>
      <c r="D5046" s="2" t="s">
        <v>389</v>
      </c>
      <c r="E5046" s="2" t="s">
        <v>8083</v>
      </c>
      <c r="F5046" s="3" t="n">
        <v>46146.7729166667</v>
      </c>
      <c r="G5046" s="2" t="s">
        <v>10220</v>
      </c>
      <c r="H5046" s="4" t="n">
        <v>0.8519</v>
      </c>
      <c r="I5046" s="2" t="s">
        <v>23</v>
      </c>
      <c r="J5046" s="2" t="s">
        <v>37</v>
      </c>
      <c r="K5046" s="2" t="n">
        <v>0</v>
      </c>
      <c r="L5046" s="2" t="n">
        <v>0</v>
      </c>
      <c r="M5046" s="2" t="n">
        <v>0</v>
      </c>
    </row>
    <row r="5047" customFormat="false" ht="15" hidden="false" customHeight="false" outlineLevel="0" collapsed="false">
      <c r="A5047" s="2" t="s">
        <v>10300</v>
      </c>
      <c r="B5047" s="2" t="s">
        <v>10301</v>
      </c>
      <c r="C5047" s="2" t="n">
        <v>4</v>
      </c>
      <c r="D5047" s="2" t="s">
        <v>52</v>
      </c>
      <c r="E5047" s="2" t="s">
        <v>8083</v>
      </c>
      <c r="F5047" s="3" t="n">
        <v>46146.8708333333</v>
      </c>
      <c r="G5047" s="2" t="s">
        <v>10220</v>
      </c>
      <c r="H5047" s="4" t="n">
        <v>0.6369</v>
      </c>
      <c r="I5047" s="2" t="s">
        <v>23</v>
      </c>
      <c r="J5047" s="2" t="s">
        <v>19</v>
      </c>
      <c r="K5047" s="2" t="n">
        <v>10</v>
      </c>
      <c r="L5047" s="2" t="n">
        <v>0</v>
      </c>
      <c r="M5047" s="2" t="n">
        <v>0</v>
      </c>
    </row>
    <row r="5048" customFormat="false" ht="15" hidden="false" customHeight="false" outlineLevel="0" collapsed="false">
      <c r="A5048" s="2" t="s">
        <v>10302</v>
      </c>
      <c r="B5048" s="2" t="s">
        <v>10303</v>
      </c>
      <c r="C5048" s="2" t="n">
        <v>5</v>
      </c>
      <c r="D5048" s="2" t="s">
        <v>1622</v>
      </c>
      <c r="E5048" s="2" t="s">
        <v>8083</v>
      </c>
      <c r="F5048" s="3" t="n">
        <v>46146.9409722222</v>
      </c>
      <c r="G5048" s="2" t="s">
        <v>10220</v>
      </c>
      <c r="H5048" s="4" t="n">
        <v>0.8555</v>
      </c>
      <c r="I5048" s="2" t="s">
        <v>23</v>
      </c>
      <c r="J5048" s="2" t="s">
        <v>19</v>
      </c>
      <c r="K5048" s="2" t="n">
        <v>0</v>
      </c>
      <c r="L5048" s="2" t="n">
        <v>0</v>
      </c>
      <c r="M5048" s="2" t="n">
        <v>0</v>
      </c>
    </row>
    <row r="5049" customFormat="false" ht="15" hidden="false" customHeight="false" outlineLevel="0" collapsed="false">
      <c r="A5049" s="2" t="s">
        <v>10304</v>
      </c>
      <c r="B5049" s="2" t="s">
        <v>10305</v>
      </c>
      <c r="C5049" s="2" t="n">
        <v>4</v>
      </c>
      <c r="D5049" s="2" t="s">
        <v>15</v>
      </c>
      <c r="E5049" s="2" t="s">
        <v>8083</v>
      </c>
      <c r="F5049" s="3" t="n">
        <v>46147.0076388889</v>
      </c>
      <c r="G5049" s="2" t="s">
        <v>10220</v>
      </c>
      <c r="H5049" s="4" t="n">
        <v>0</v>
      </c>
      <c r="I5049" s="2" t="s">
        <v>18</v>
      </c>
      <c r="J5049" s="2" t="s">
        <v>19</v>
      </c>
      <c r="K5049" s="2" t="n">
        <v>4</v>
      </c>
      <c r="L5049" s="2" t="n">
        <v>0</v>
      </c>
      <c r="M5049" s="2" t="n">
        <v>0</v>
      </c>
    </row>
    <row r="5050" customFormat="false" ht="15" hidden="false" customHeight="false" outlineLevel="0" collapsed="false">
      <c r="A5050" s="2" t="s">
        <v>10306</v>
      </c>
      <c r="B5050" s="2" t="s">
        <v>10307</v>
      </c>
      <c r="C5050" s="2" t="n">
        <v>4</v>
      </c>
      <c r="D5050" s="2" t="s">
        <v>1797</v>
      </c>
      <c r="E5050" s="2" t="s">
        <v>8083</v>
      </c>
      <c r="F5050" s="3" t="n">
        <v>46147.0493055556</v>
      </c>
      <c r="G5050" s="2" t="s">
        <v>10220</v>
      </c>
      <c r="H5050" s="4" t="n">
        <v>0.4019</v>
      </c>
      <c r="I5050" s="2" t="s">
        <v>23</v>
      </c>
      <c r="J5050" s="2" t="s">
        <v>33</v>
      </c>
      <c r="K5050" s="2" t="n">
        <v>0</v>
      </c>
      <c r="L5050" s="2" t="n">
        <v>0</v>
      </c>
      <c r="M5050" s="2" t="n">
        <v>0</v>
      </c>
    </row>
    <row r="5051" customFormat="false" ht="15" hidden="false" customHeight="false" outlineLevel="0" collapsed="false">
      <c r="A5051" s="2" t="s">
        <v>10308</v>
      </c>
      <c r="B5051" s="2" t="s">
        <v>10309</v>
      </c>
      <c r="C5051" s="2" t="n">
        <v>5</v>
      </c>
      <c r="D5051" s="2" t="s">
        <v>121</v>
      </c>
      <c r="E5051" s="2" t="s">
        <v>8083</v>
      </c>
      <c r="F5051" s="3" t="n">
        <v>46147.1381944444</v>
      </c>
      <c r="G5051" s="2" t="s">
        <v>10220</v>
      </c>
      <c r="H5051" s="4" t="n">
        <v>0.607</v>
      </c>
      <c r="I5051" s="2" t="s">
        <v>23</v>
      </c>
      <c r="J5051" s="2" t="s">
        <v>33</v>
      </c>
      <c r="K5051" s="2" t="n">
        <v>2</v>
      </c>
      <c r="L5051" s="2" t="n">
        <v>0</v>
      </c>
      <c r="M5051" s="2" t="n">
        <v>0</v>
      </c>
    </row>
    <row r="5052" customFormat="false" ht="15" hidden="false" customHeight="false" outlineLevel="0" collapsed="false">
      <c r="A5052" s="2" t="s">
        <v>10310</v>
      </c>
      <c r="B5052" s="2" t="s">
        <v>10311</v>
      </c>
      <c r="C5052" s="2" t="n">
        <v>1</v>
      </c>
      <c r="D5052" s="2" t="s">
        <v>3968</v>
      </c>
      <c r="E5052" s="2" t="s">
        <v>8083</v>
      </c>
      <c r="F5052" s="3" t="n">
        <v>46147.2569444445</v>
      </c>
      <c r="G5052" s="2" t="s">
        <v>10220</v>
      </c>
      <c r="H5052" s="4" t="n">
        <v>0.4404</v>
      </c>
      <c r="I5052" s="2" t="s">
        <v>23</v>
      </c>
      <c r="J5052" s="2" t="s">
        <v>59</v>
      </c>
      <c r="K5052" s="2" t="n">
        <v>0</v>
      </c>
      <c r="L5052" s="2" t="n">
        <v>1</v>
      </c>
      <c r="M5052" s="2" t="n">
        <v>0</v>
      </c>
    </row>
    <row r="5053" customFormat="false" ht="15" hidden="false" customHeight="false" outlineLevel="0" collapsed="false">
      <c r="A5053" s="2" t="s">
        <v>10312</v>
      </c>
      <c r="B5053" s="2" t="s">
        <v>10313</v>
      </c>
      <c r="C5053" s="2" t="n">
        <v>4</v>
      </c>
      <c r="D5053" s="2" t="s">
        <v>15</v>
      </c>
      <c r="E5053" s="2" t="s">
        <v>8083</v>
      </c>
      <c r="F5053" s="3" t="n">
        <v>46147.3347222222</v>
      </c>
      <c r="G5053" s="2" t="s">
        <v>10220</v>
      </c>
      <c r="H5053" s="4" t="n">
        <v>0</v>
      </c>
      <c r="I5053" s="2" t="s">
        <v>18</v>
      </c>
      <c r="J5053" s="2" t="s">
        <v>19</v>
      </c>
      <c r="K5053" s="2" t="n">
        <v>1</v>
      </c>
      <c r="L5053" s="2" t="n">
        <v>0</v>
      </c>
      <c r="M5053" s="2" t="n">
        <v>0</v>
      </c>
    </row>
    <row r="5054" customFormat="false" ht="15" hidden="false" customHeight="false" outlineLevel="0" collapsed="false">
      <c r="A5054" s="2" t="s">
        <v>10314</v>
      </c>
      <c r="B5054" s="2" t="s">
        <v>7632</v>
      </c>
      <c r="C5054" s="2" t="n">
        <v>1</v>
      </c>
      <c r="D5054" s="2" t="s">
        <v>1034</v>
      </c>
      <c r="E5054" s="2" t="s">
        <v>8083</v>
      </c>
      <c r="F5054" s="3" t="n">
        <v>46147.4805555556</v>
      </c>
      <c r="G5054" s="2" t="s">
        <v>10220</v>
      </c>
      <c r="H5054" s="4" t="n">
        <v>0</v>
      </c>
      <c r="I5054" s="2" t="s">
        <v>18</v>
      </c>
      <c r="J5054" s="2" t="s">
        <v>110</v>
      </c>
      <c r="K5054" s="2" t="n">
        <v>0</v>
      </c>
      <c r="L5054" s="2" t="n">
        <v>1</v>
      </c>
      <c r="M5054" s="2" t="n">
        <v>0</v>
      </c>
    </row>
    <row r="5055" customFormat="false" ht="15" hidden="false" customHeight="false" outlineLevel="0" collapsed="false">
      <c r="A5055" s="2" t="s">
        <v>10315</v>
      </c>
      <c r="B5055" s="2" t="s">
        <v>10316</v>
      </c>
      <c r="C5055" s="2" t="n">
        <v>4</v>
      </c>
      <c r="D5055" s="2" t="s">
        <v>2109</v>
      </c>
      <c r="E5055" s="2" t="s">
        <v>8083</v>
      </c>
      <c r="F5055" s="3" t="n">
        <v>46147.5368055556</v>
      </c>
      <c r="G5055" s="2" t="s">
        <v>10220</v>
      </c>
      <c r="H5055" s="4" t="n">
        <v>0</v>
      </c>
      <c r="I5055" s="2" t="s">
        <v>18</v>
      </c>
      <c r="J5055" s="2" t="s">
        <v>19</v>
      </c>
      <c r="K5055" s="2" t="n">
        <v>3</v>
      </c>
      <c r="L5055" s="2" t="n">
        <v>0</v>
      </c>
      <c r="M5055" s="2" t="n">
        <v>0</v>
      </c>
    </row>
    <row r="5056" customFormat="false" ht="15" hidden="false" customHeight="false" outlineLevel="0" collapsed="false">
      <c r="A5056" s="2" t="s">
        <v>10317</v>
      </c>
      <c r="B5056" s="2" t="s">
        <v>10318</v>
      </c>
      <c r="C5056" s="2" t="n">
        <v>5</v>
      </c>
      <c r="D5056" s="2" t="s">
        <v>40</v>
      </c>
      <c r="E5056" s="2" t="s">
        <v>8083</v>
      </c>
      <c r="F5056" s="3" t="n">
        <v>46147.5722222222</v>
      </c>
      <c r="G5056" s="2" t="s">
        <v>10220</v>
      </c>
      <c r="H5056" s="4" t="n">
        <v>0.4019</v>
      </c>
      <c r="I5056" s="2" t="s">
        <v>23</v>
      </c>
      <c r="J5056" s="2" t="s">
        <v>33</v>
      </c>
      <c r="K5056" s="2" t="n">
        <v>4</v>
      </c>
      <c r="L5056" s="2" t="n">
        <v>0</v>
      </c>
      <c r="M5056" s="2" t="n">
        <v>0</v>
      </c>
    </row>
    <row r="5057" customFormat="false" ht="15" hidden="false" customHeight="false" outlineLevel="0" collapsed="false">
      <c r="A5057" s="2" t="s">
        <v>10319</v>
      </c>
      <c r="B5057" s="2" t="s">
        <v>10320</v>
      </c>
      <c r="C5057" s="2" t="n">
        <v>4</v>
      </c>
      <c r="D5057" s="2" t="s">
        <v>301</v>
      </c>
      <c r="E5057" s="2" t="s">
        <v>8083</v>
      </c>
      <c r="F5057" s="3" t="n">
        <v>46147.6986111111</v>
      </c>
      <c r="G5057" s="2" t="s">
        <v>10220</v>
      </c>
      <c r="H5057" s="4" t="n">
        <v>0.2263</v>
      </c>
      <c r="I5057" s="2" t="s">
        <v>23</v>
      </c>
      <c r="J5057" s="2" t="s">
        <v>19</v>
      </c>
      <c r="K5057" s="2" t="n">
        <v>1</v>
      </c>
      <c r="L5057" s="2" t="n">
        <v>0</v>
      </c>
      <c r="M5057" s="2" t="n">
        <v>0</v>
      </c>
    </row>
    <row r="5058" customFormat="false" ht="15" hidden="false" customHeight="false" outlineLevel="0" collapsed="false">
      <c r="A5058" s="2" t="s">
        <v>10321</v>
      </c>
      <c r="B5058" s="2" t="s">
        <v>10322</v>
      </c>
      <c r="C5058" s="2" t="n">
        <v>5</v>
      </c>
      <c r="D5058" s="2" t="s">
        <v>52</v>
      </c>
      <c r="E5058" s="2" t="s">
        <v>8083</v>
      </c>
      <c r="F5058" s="3" t="n">
        <v>46147.7152777778</v>
      </c>
      <c r="G5058" s="2" t="s">
        <v>10220</v>
      </c>
      <c r="H5058" s="4" t="n">
        <v>0.6369</v>
      </c>
      <c r="I5058" s="2" t="s">
        <v>23</v>
      </c>
      <c r="J5058" s="2" t="s">
        <v>19</v>
      </c>
      <c r="K5058" s="2" t="n">
        <v>4</v>
      </c>
      <c r="L5058" s="2" t="n">
        <v>0</v>
      </c>
      <c r="M5058" s="2" t="n">
        <v>0</v>
      </c>
    </row>
    <row r="5059" customFormat="false" ht="15" hidden="false" customHeight="false" outlineLevel="0" collapsed="false">
      <c r="A5059" s="2" t="s">
        <v>10323</v>
      </c>
      <c r="B5059" s="2" t="s">
        <v>10324</v>
      </c>
      <c r="C5059" s="2" t="n">
        <v>5</v>
      </c>
      <c r="D5059" s="2" t="s">
        <v>90</v>
      </c>
      <c r="E5059" s="2" t="s">
        <v>8083</v>
      </c>
      <c r="F5059" s="3" t="n">
        <v>46147.8173611111</v>
      </c>
      <c r="G5059" s="2" t="s">
        <v>10220</v>
      </c>
      <c r="H5059" s="4" t="n">
        <v>0.6249</v>
      </c>
      <c r="I5059" s="2" t="s">
        <v>23</v>
      </c>
      <c r="J5059" s="2" t="s">
        <v>37</v>
      </c>
      <c r="K5059" s="2" t="n">
        <v>6</v>
      </c>
      <c r="L5059" s="2" t="n">
        <v>0</v>
      </c>
      <c r="M5059" s="2" t="n">
        <v>0</v>
      </c>
    </row>
    <row r="5060" customFormat="false" ht="15" hidden="false" customHeight="false" outlineLevel="0" collapsed="false">
      <c r="A5060" s="2" t="s">
        <v>10325</v>
      </c>
      <c r="B5060" s="2" t="s">
        <v>10326</v>
      </c>
      <c r="C5060" s="2" t="n">
        <v>3</v>
      </c>
      <c r="D5060" s="2" t="s">
        <v>87</v>
      </c>
      <c r="E5060" s="2" t="s">
        <v>8083</v>
      </c>
      <c r="F5060" s="3" t="n">
        <v>46147.8784722222</v>
      </c>
      <c r="G5060" s="2" t="s">
        <v>10220</v>
      </c>
      <c r="H5060" s="4" t="n">
        <v>0</v>
      </c>
      <c r="I5060" s="2" t="s">
        <v>18</v>
      </c>
      <c r="J5060" s="2" t="s">
        <v>19</v>
      </c>
      <c r="K5060" s="2" t="n">
        <v>4</v>
      </c>
      <c r="L5060" s="2" t="n">
        <v>0</v>
      </c>
      <c r="M5060" s="2" t="n">
        <v>0</v>
      </c>
    </row>
    <row r="5061" customFormat="false" ht="15" hidden="false" customHeight="false" outlineLevel="0" collapsed="false">
      <c r="A5061" s="2" t="s">
        <v>10327</v>
      </c>
      <c r="B5061" s="2" t="s">
        <v>10328</v>
      </c>
      <c r="C5061" s="2" t="n">
        <v>1</v>
      </c>
      <c r="D5061" s="2" t="s">
        <v>10329</v>
      </c>
      <c r="E5061" s="2" t="s">
        <v>8083</v>
      </c>
      <c r="F5061" s="3" t="n">
        <v>46148.2055555556</v>
      </c>
      <c r="G5061" s="2" t="s">
        <v>10220</v>
      </c>
      <c r="H5061" s="4" t="n">
        <v>0</v>
      </c>
      <c r="I5061" s="2" t="s">
        <v>18</v>
      </c>
      <c r="J5061" s="2" t="s">
        <v>59</v>
      </c>
      <c r="K5061" s="2" t="n">
        <v>18</v>
      </c>
      <c r="L5061" s="2" t="n">
        <v>0</v>
      </c>
      <c r="M5061" s="2" t="n">
        <v>0</v>
      </c>
    </row>
    <row r="5062" customFormat="false" ht="15" hidden="false" customHeight="false" outlineLevel="0" collapsed="false">
      <c r="A5062" s="2" t="s">
        <v>10330</v>
      </c>
      <c r="B5062" s="2" t="s">
        <v>3180</v>
      </c>
      <c r="C5062" s="2" t="n">
        <v>1</v>
      </c>
      <c r="D5062" s="2" t="s">
        <v>168</v>
      </c>
      <c r="E5062" s="2" t="s">
        <v>8083</v>
      </c>
      <c r="F5062" s="3" t="n">
        <v>46148.2104166667</v>
      </c>
      <c r="G5062" s="2" t="s">
        <v>10220</v>
      </c>
      <c r="H5062" s="4" t="n">
        <v>-0.1027</v>
      </c>
      <c r="I5062" s="2" t="s">
        <v>84</v>
      </c>
      <c r="J5062" s="2" t="s">
        <v>33</v>
      </c>
      <c r="K5062" s="2" t="n">
        <v>5</v>
      </c>
      <c r="L5062" s="2" t="n">
        <v>1</v>
      </c>
      <c r="M5062" s="2" t="n">
        <v>0</v>
      </c>
    </row>
    <row r="5063" customFormat="false" ht="15" hidden="false" customHeight="false" outlineLevel="0" collapsed="false">
      <c r="A5063" s="2" t="s">
        <v>10331</v>
      </c>
      <c r="B5063" s="2" t="s">
        <v>10332</v>
      </c>
      <c r="C5063" s="2" t="n">
        <v>5</v>
      </c>
      <c r="D5063" s="2" t="s">
        <v>213</v>
      </c>
      <c r="E5063" s="2" t="s">
        <v>8083</v>
      </c>
      <c r="F5063" s="3" t="n">
        <v>46148.2972222222</v>
      </c>
      <c r="G5063" s="2" t="s">
        <v>10220</v>
      </c>
      <c r="H5063" s="4" t="n">
        <v>0.8651</v>
      </c>
      <c r="I5063" s="2" t="s">
        <v>23</v>
      </c>
      <c r="J5063" s="2" t="s">
        <v>19</v>
      </c>
      <c r="K5063" s="2" t="n">
        <v>0</v>
      </c>
      <c r="L5063" s="2" t="n">
        <v>0</v>
      </c>
      <c r="M5063" s="2" t="n">
        <v>0</v>
      </c>
    </row>
    <row r="5064" customFormat="false" ht="15" hidden="false" customHeight="false" outlineLevel="0" collapsed="false">
      <c r="A5064" s="2" t="s">
        <v>10333</v>
      </c>
      <c r="B5064" s="2" t="s">
        <v>10334</v>
      </c>
      <c r="C5064" s="2" t="n">
        <v>4</v>
      </c>
      <c r="D5064" s="2" t="s">
        <v>10335</v>
      </c>
      <c r="E5064" s="2" t="s">
        <v>8083</v>
      </c>
      <c r="F5064" s="3" t="n">
        <v>46148.3604166667</v>
      </c>
      <c r="G5064" s="2" t="s">
        <v>10220</v>
      </c>
      <c r="H5064" s="4" t="n">
        <v>0.9626</v>
      </c>
      <c r="I5064" s="2" t="s">
        <v>23</v>
      </c>
      <c r="J5064" s="2" t="s">
        <v>37</v>
      </c>
      <c r="K5064" s="2" t="n">
        <v>3</v>
      </c>
      <c r="L5064" s="2" t="n">
        <v>0</v>
      </c>
      <c r="M5064" s="2" t="n">
        <v>0</v>
      </c>
    </row>
    <row r="5065" customFormat="false" ht="15" hidden="false" customHeight="false" outlineLevel="0" collapsed="false">
      <c r="A5065" s="2" t="s">
        <v>10336</v>
      </c>
      <c r="B5065" s="2" t="s">
        <v>10337</v>
      </c>
      <c r="C5065" s="2" t="n">
        <v>5</v>
      </c>
      <c r="D5065" s="2" t="s">
        <v>62</v>
      </c>
      <c r="E5065" s="2" t="s">
        <v>8083</v>
      </c>
      <c r="F5065" s="3" t="n">
        <v>46148.5826388889</v>
      </c>
      <c r="G5065" s="2" t="s">
        <v>10220</v>
      </c>
      <c r="H5065" s="4" t="n">
        <v>0.7088</v>
      </c>
      <c r="I5065" s="2" t="s">
        <v>23</v>
      </c>
      <c r="J5065" s="2" t="s">
        <v>19</v>
      </c>
      <c r="K5065" s="2" t="n">
        <v>1</v>
      </c>
      <c r="L5065" s="2" t="n">
        <v>0</v>
      </c>
      <c r="M5065" s="2" t="n">
        <v>0</v>
      </c>
    </row>
    <row r="5066" customFormat="false" ht="15" hidden="false" customHeight="false" outlineLevel="0" collapsed="false">
      <c r="A5066" s="2" t="s">
        <v>10338</v>
      </c>
      <c r="B5066" s="2" t="s">
        <v>10339</v>
      </c>
      <c r="C5066" s="2" t="n">
        <v>1</v>
      </c>
      <c r="D5066" s="2" t="s">
        <v>58</v>
      </c>
      <c r="E5066" s="2" t="s">
        <v>8083</v>
      </c>
      <c r="F5066" s="3" t="n">
        <v>46148.5847222222</v>
      </c>
      <c r="G5066" s="2" t="s">
        <v>10220</v>
      </c>
      <c r="H5066" s="4" t="n">
        <v>0</v>
      </c>
      <c r="I5066" s="2" t="s">
        <v>18</v>
      </c>
      <c r="J5066" s="2" t="s">
        <v>59</v>
      </c>
      <c r="K5066" s="2" t="n">
        <v>7</v>
      </c>
      <c r="L5066" s="2" t="n">
        <v>1</v>
      </c>
      <c r="M5066" s="2" t="n">
        <v>0</v>
      </c>
    </row>
    <row r="5067" customFormat="false" ht="15" hidden="false" customHeight="false" outlineLevel="0" collapsed="false">
      <c r="A5067" s="2" t="s">
        <v>10340</v>
      </c>
      <c r="B5067" s="2" t="s">
        <v>10341</v>
      </c>
      <c r="C5067" s="2" t="n">
        <v>3</v>
      </c>
      <c r="D5067" s="2" t="s">
        <v>397</v>
      </c>
      <c r="E5067" s="2" t="s">
        <v>8083</v>
      </c>
      <c r="F5067" s="3" t="n">
        <v>46148.6326388889</v>
      </c>
      <c r="G5067" s="2" t="s">
        <v>10220</v>
      </c>
      <c r="H5067" s="4" t="n">
        <v>0</v>
      </c>
      <c r="I5067" s="2" t="s">
        <v>18</v>
      </c>
      <c r="J5067" s="2" t="s">
        <v>110</v>
      </c>
      <c r="K5067" s="2" t="n">
        <v>2</v>
      </c>
      <c r="L5067" s="2" t="n">
        <v>0</v>
      </c>
      <c r="M5067" s="2" t="n">
        <v>0</v>
      </c>
    </row>
    <row r="5068" customFormat="false" ht="15" hidden="false" customHeight="false" outlineLevel="0" collapsed="false">
      <c r="A5068" s="2" t="s">
        <v>10342</v>
      </c>
      <c r="B5068" s="2" t="s">
        <v>10343</v>
      </c>
      <c r="C5068" s="2" t="n">
        <v>5</v>
      </c>
      <c r="D5068" s="2" t="s">
        <v>127</v>
      </c>
      <c r="E5068" s="2" t="s">
        <v>8083</v>
      </c>
      <c r="F5068" s="3" t="n">
        <v>46148.6972222222</v>
      </c>
      <c r="G5068" s="2" t="s">
        <v>10220</v>
      </c>
      <c r="H5068" s="4" t="n">
        <v>0.9359</v>
      </c>
      <c r="I5068" s="2" t="s">
        <v>23</v>
      </c>
      <c r="J5068" s="2" t="s">
        <v>37</v>
      </c>
      <c r="K5068" s="2" t="n">
        <v>0</v>
      </c>
      <c r="L5068" s="2" t="n">
        <v>0</v>
      </c>
      <c r="M5068" s="2" t="n">
        <v>0</v>
      </c>
    </row>
    <row r="5069" customFormat="false" ht="15" hidden="false" customHeight="false" outlineLevel="0" collapsed="false">
      <c r="A5069" s="2" t="s">
        <v>10344</v>
      </c>
      <c r="B5069" s="2" t="s">
        <v>10345</v>
      </c>
      <c r="C5069" s="2" t="n">
        <v>5</v>
      </c>
      <c r="D5069" s="2" t="s">
        <v>62</v>
      </c>
      <c r="E5069" s="2" t="s">
        <v>8083</v>
      </c>
      <c r="F5069" s="3" t="n">
        <v>46149.0805555556</v>
      </c>
      <c r="G5069" s="2" t="s">
        <v>10220</v>
      </c>
      <c r="H5069" s="4" t="n">
        <v>0.7088</v>
      </c>
      <c r="I5069" s="2" t="s">
        <v>23</v>
      </c>
      <c r="J5069" s="2" t="s">
        <v>19</v>
      </c>
      <c r="K5069" s="2" t="n">
        <v>2</v>
      </c>
      <c r="L5069" s="2" t="n">
        <v>0</v>
      </c>
      <c r="M5069" s="2" t="n">
        <v>0</v>
      </c>
    </row>
    <row r="5070" customFormat="false" ht="15" hidden="false" customHeight="false" outlineLevel="0" collapsed="false">
      <c r="A5070" s="2" t="s">
        <v>10346</v>
      </c>
      <c r="B5070" s="2" t="s">
        <v>10347</v>
      </c>
      <c r="C5070" s="2" t="n">
        <v>1</v>
      </c>
      <c r="D5070" s="2" t="s">
        <v>946</v>
      </c>
      <c r="E5070" s="2" t="s">
        <v>8083</v>
      </c>
      <c r="F5070" s="3" t="n">
        <v>46149.1152777778</v>
      </c>
      <c r="G5070" s="2" t="s">
        <v>10220</v>
      </c>
      <c r="H5070" s="4" t="n">
        <v>-0.25</v>
      </c>
      <c r="I5070" s="2" t="s">
        <v>84</v>
      </c>
      <c r="J5070" s="2" t="s">
        <v>37</v>
      </c>
      <c r="K5070" s="2" t="n">
        <v>4</v>
      </c>
      <c r="L5070" s="2" t="n">
        <v>1</v>
      </c>
      <c r="M5070" s="2" t="n">
        <v>0</v>
      </c>
    </row>
    <row r="5071" customFormat="false" ht="15" hidden="false" customHeight="false" outlineLevel="0" collapsed="false">
      <c r="A5071" s="2" t="s">
        <v>10348</v>
      </c>
      <c r="B5071" s="2" t="s">
        <v>10349</v>
      </c>
      <c r="C5071" s="2" t="n">
        <v>2</v>
      </c>
      <c r="D5071" s="2" t="s">
        <v>133</v>
      </c>
      <c r="E5071" s="2" t="s">
        <v>8083</v>
      </c>
      <c r="F5071" s="3" t="n">
        <v>46149.1354166667</v>
      </c>
      <c r="G5071" s="2" t="s">
        <v>10220</v>
      </c>
      <c r="H5071" s="4" t="n">
        <v>-0.5719</v>
      </c>
      <c r="I5071" s="2" t="s">
        <v>84</v>
      </c>
      <c r="J5071" s="2" t="s">
        <v>33</v>
      </c>
      <c r="K5071" s="2" t="n">
        <v>9</v>
      </c>
      <c r="L5071" s="2" t="n">
        <v>0</v>
      </c>
      <c r="M5071" s="2" t="n">
        <v>0</v>
      </c>
    </row>
    <row r="5072" customFormat="false" ht="15" hidden="false" customHeight="false" outlineLevel="0" collapsed="false">
      <c r="A5072" s="2" t="s">
        <v>10350</v>
      </c>
      <c r="B5072" s="2" t="s">
        <v>10351</v>
      </c>
      <c r="C5072" s="2" t="n">
        <v>5</v>
      </c>
      <c r="D5072" s="2" t="s">
        <v>47</v>
      </c>
      <c r="E5072" s="2" t="s">
        <v>8083</v>
      </c>
      <c r="F5072" s="3" t="n">
        <v>46149.1402777778</v>
      </c>
      <c r="G5072" s="2" t="s">
        <v>10220</v>
      </c>
      <c r="H5072" s="4" t="n">
        <v>0.3089</v>
      </c>
      <c r="I5072" s="2" t="s">
        <v>23</v>
      </c>
      <c r="J5072" s="2" t="s">
        <v>19</v>
      </c>
      <c r="K5072" s="2" t="n">
        <v>12</v>
      </c>
      <c r="L5072" s="2" t="n">
        <v>0</v>
      </c>
      <c r="M5072" s="2" t="n">
        <v>0</v>
      </c>
    </row>
    <row r="5073" customFormat="false" ht="15" hidden="false" customHeight="false" outlineLevel="0" collapsed="false">
      <c r="A5073" s="2" t="s">
        <v>10352</v>
      </c>
      <c r="B5073" s="2" t="s">
        <v>10353</v>
      </c>
      <c r="C5073" s="2" t="n">
        <v>5</v>
      </c>
      <c r="D5073" s="2" t="s">
        <v>40</v>
      </c>
      <c r="E5073" s="2" t="s">
        <v>8083</v>
      </c>
      <c r="F5073" s="3" t="n">
        <v>46149.1868055556</v>
      </c>
      <c r="G5073" s="2" t="s">
        <v>10220</v>
      </c>
      <c r="H5073" s="4" t="n">
        <v>0.4019</v>
      </c>
      <c r="I5073" s="2" t="s">
        <v>23</v>
      </c>
      <c r="J5073" s="2" t="s">
        <v>33</v>
      </c>
      <c r="K5073" s="2" t="n">
        <v>1</v>
      </c>
      <c r="L5073" s="2" t="n">
        <v>0</v>
      </c>
      <c r="M5073" s="2" t="n">
        <v>0</v>
      </c>
    </row>
    <row r="5074" customFormat="false" ht="15" hidden="false" customHeight="false" outlineLevel="0" collapsed="false">
      <c r="A5074" s="2" t="s">
        <v>10354</v>
      </c>
      <c r="B5074" s="2" t="s">
        <v>10355</v>
      </c>
      <c r="C5074" s="2" t="n">
        <v>4</v>
      </c>
      <c r="D5074" s="2" t="s">
        <v>22</v>
      </c>
      <c r="E5074" s="2" t="s">
        <v>8083</v>
      </c>
      <c r="F5074" s="3" t="n">
        <v>46149.3347222222</v>
      </c>
      <c r="G5074" s="2" t="s">
        <v>10220</v>
      </c>
      <c r="H5074" s="4" t="n">
        <v>0.2023</v>
      </c>
      <c r="I5074" s="2" t="s">
        <v>23</v>
      </c>
      <c r="J5074" s="2" t="s">
        <v>19</v>
      </c>
      <c r="K5074" s="2" t="n">
        <v>0</v>
      </c>
      <c r="L5074" s="2" t="n">
        <v>0</v>
      </c>
      <c r="M5074" s="2" t="n">
        <v>0</v>
      </c>
    </row>
    <row r="5075" customFormat="false" ht="15" hidden="false" customHeight="false" outlineLevel="0" collapsed="false">
      <c r="A5075" s="2" t="s">
        <v>10356</v>
      </c>
      <c r="B5075" s="2" t="s">
        <v>10357</v>
      </c>
      <c r="C5075" s="2" t="n">
        <v>4</v>
      </c>
      <c r="D5075" s="2" t="s">
        <v>99</v>
      </c>
      <c r="E5075" s="2" t="s">
        <v>8083</v>
      </c>
      <c r="F5075" s="3" t="n">
        <v>46149.4048611111</v>
      </c>
      <c r="G5075" s="2" t="s">
        <v>10220</v>
      </c>
      <c r="H5075" s="4" t="n">
        <v>-0.3089</v>
      </c>
      <c r="I5075" s="2" t="s">
        <v>84</v>
      </c>
      <c r="J5075" s="2" t="s">
        <v>19</v>
      </c>
      <c r="K5075" s="2" t="n">
        <v>3</v>
      </c>
      <c r="L5075" s="2" t="n">
        <v>0</v>
      </c>
      <c r="M5075" s="2" t="n">
        <v>0</v>
      </c>
    </row>
    <row r="5076" customFormat="false" ht="15" hidden="false" customHeight="false" outlineLevel="0" collapsed="false">
      <c r="A5076" s="2" t="s">
        <v>10358</v>
      </c>
      <c r="B5076" s="2" t="s">
        <v>10359</v>
      </c>
      <c r="C5076" s="2" t="n">
        <v>1</v>
      </c>
      <c r="D5076" s="2" t="s">
        <v>2886</v>
      </c>
      <c r="E5076" s="2" t="s">
        <v>8083</v>
      </c>
      <c r="F5076" s="3" t="n">
        <v>46149.4479166667</v>
      </c>
      <c r="G5076" s="2" t="s">
        <v>10220</v>
      </c>
      <c r="H5076" s="4" t="n">
        <v>-0.4215</v>
      </c>
      <c r="I5076" s="2" t="s">
        <v>84</v>
      </c>
      <c r="J5076" s="2" t="s">
        <v>110</v>
      </c>
      <c r="K5076" s="2" t="n">
        <v>2</v>
      </c>
      <c r="L5076" s="2" t="n">
        <v>1</v>
      </c>
      <c r="M5076" s="2" t="n">
        <v>0</v>
      </c>
    </row>
    <row r="5077" customFormat="false" ht="15" hidden="false" customHeight="false" outlineLevel="0" collapsed="false">
      <c r="A5077" s="2" t="s">
        <v>10360</v>
      </c>
      <c r="B5077" s="2" t="s">
        <v>10361</v>
      </c>
      <c r="C5077" s="2" t="n">
        <v>5</v>
      </c>
      <c r="D5077" s="2" t="s">
        <v>47</v>
      </c>
      <c r="E5077" s="2" t="s">
        <v>8083</v>
      </c>
      <c r="F5077" s="3" t="n">
        <v>46149.4618055556</v>
      </c>
      <c r="G5077" s="2" t="s">
        <v>10220</v>
      </c>
      <c r="H5077" s="4" t="n">
        <v>0.3089</v>
      </c>
      <c r="I5077" s="2" t="s">
        <v>23</v>
      </c>
      <c r="J5077" s="2" t="s">
        <v>19</v>
      </c>
      <c r="K5077" s="2" t="n">
        <v>6</v>
      </c>
      <c r="L5077" s="2" t="n">
        <v>0</v>
      </c>
      <c r="M5077" s="2" t="n">
        <v>0</v>
      </c>
    </row>
    <row r="5078" customFormat="false" ht="15" hidden="false" customHeight="false" outlineLevel="0" collapsed="false">
      <c r="A5078" s="2" t="s">
        <v>10362</v>
      </c>
      <c r="B5078" s="2" t="s">
        <v>5970</v>
      </c>
      <c r="C5078" s="2" t="n">
        <v>5</v>
      </c>
      <c r="D5078" s="2" t="s">
        <v>374</v>
      </c>
      <c r="E5078" s="2" t="s">
        <v>8083</v>
      </c>
      <c r="F5078" s="3" t="n">
        <v>46149.4888888889</v>
      </c>
      <c r="G5078" s="2" t="s">
        <v>10220</v>
      </c>
      <c r="H5078" s="4" t="n">
        <v>0.6369</v>
      </c>
      <c r="I5078" s="2" t="s">
        <v>23</v>
      </c>
      <c r="J5078" s="2" t="s">
        <v>19</v>
      </c>
      <c r="K5078" s="2" t="n">
        <v>2</v>
      </c>
      <c r="L5078" s="2" t="n">
        <v>0</v>
      </c>
      <c r="M5078" s="2" t="n">
        <v>0</v>
      </c>
    </row>
    <row r="5079" customFormat="false" ht="15" hidden="false" customHeight="false" outlineLevel="0" collapsed="false">
      <c r="A5079" s="2" t="s">
        <v>10363</v>
      </c>
      <c r="B5079" s="2" t="s">
        <v>10364</v>
      </c>
      <c r="C5079" s="2" t="n">
        <v>4</v>
      </c>
      <c r="D5079" s="2" t="s">
        <v>96</v>
      </c>
      <c r="E5079" s="2" t="s">
        <v>8083</v>
      </c>
      <c r="F5079" s="3" t="n">
        <v>46149.6180555556</v>
      </c>
      <c r="G5079" s="2" t="s">
        <v>10220</v>
      </c>
      <c r="H5079" s="4" t="n">
        <v>0.6369</v>
      </c>
      <c r="I5079" s="2" t="s">
        <v>23</v>
      </c>
      <c r="J5079" s="2" t="s">
        <v>19</v>
      </c>
      <c r="K5079" s="2" t="n">
        <v>8</v>
      </c>
      <c r="L5079" s="2" t="n">
        <v>0</v>
      </c>
      <c r="M5079" s="2" t="n">
        <v>0</v>
      </c>
    </row>
    <row r="5080" customFormat="false" ht="15" hidden="false" customHeight="false" outlineLevel="0" collapsed="false">
      <c r="A5080" s="2" t="s">
        <v>10365</v>
      </c>
      <c r="B5080" s="2" t="s">
        <v>10366</v>
      </c>
      <c r="C5080" s="2" t="n">
        <v>4</v>
      </c>
      <c r="D5080" s="2" t="s">
        <v>40</v>
      </c>
      <c r="E5080" s="2" t="s">
        <v>8083</v>
      </c>
      <c r="F5080" s="3" t="n">
        <v>46149.7888888889</v>
      </c>
      <c r="G5080" s="2" t="s">
        <v>10220</v>
      </c>
      <c r="H5080" s="4" t="n">
        <v>0.4019</v>
      </c>
      <c r="I5080" s="2" t="s">
        <v>23</v>
      </c>
      <c r="J5080" s="2" t="s">
        <v>33</v>
      </c>
      <c r="K5080" s="2" t="n">
        <v>3</v>
      </c>
      <c r="L5080" s="2" t="n">
        <v>0</v>
      </c>
      <c r="M5080" s="2" t="n">
        <v>0</v>
      </c>
    </row>
    <row r="5081" customFormat="false" ht="15" hidden="false" customHeight="false" outlineLevel="0" collapsed="false">
      <c r="A5081" s="2" t="s">
        <v>10367</v>
      </c>
      <c r="B5081" s="2" t="s">
        <v>10368</v>
      </c>
      <c r="C5081" s="2" t="n">
        <v>2</v>
      </c>
      <c r="D5081" s="2" t="s">
        <v>231</v>
      </c>
      <c r="E5081" s="2" t="s">
        <v>8083</v>
      </c>
      <c r="F5081" s="3" t="n">
        <v>46150.5722222222</v>
      </c>
      <c r="G5081" s="2" t="s">
        <v>10220</v>
      </c>
      <c r="H5081" s="4" t="n">
        <v>-0.3593</v>
      </c>
      <c r="I5081" s="2" t="s">
        <v>84</v>
      </c>
      <c r="J5081" s="2" t="s">
        <v>33</v>
      </c>
      <c r="K5081" s="2" t="n">
        <v>8</v>
      </c>
      <c r="L5081" s="2" t="n">
        <v>0</v>
      </c>
      <c r="M5081" s="2" t="n">
        <v>0</v>
      </c>
    </row>
    <row r="5082" customFormat="false" ht="15" hidden="false" customHeight="false" outlineLevel="0" collapsed="false">
      <c r="A5082" s="2" t="s">
        <v>10369</v>
      </c>
      <c r="B5082" s="2" t="s">
        <v>10370</v>
      </c>
      <c r="C5082" s="2" t="n">
        <v>2</v>
      </c>
      <c r="D5082" s="2" t="s">
        <v>2625</v>
      </c>
      <c r="E5082" s="2" t="s">
        <v>8083</v>
      </c>
      <c r="F5082" s="3" t="n">
        <v>46150.6840277778</v>
      </c>
      <c r="G5082" s="2" t="s">
        <v>10220</v>
      </c>
      <c r="H5082" s="4" t="n">
        <v>0.4404</v>
      </c>
      <c r="I5082" s="2" t="s">
        <v>23</v>
      </c>
      <c r="J5082" s="2" t="s">
        <v>165</v>
      </c>
      <c r="K5082" s="2" t="n">
        <v>0</v>
      </c>
      <c r="L5082" s="2" t="n">
        <v>0</v>
      </c>
      <c r="M5082" s="2" t="n">
        <v>0</v>
      </c>
    </row>
    <row r="5083" customFormat="false" ht="15" hidden="false" customHeight="false" outlineLevel="0" collapsed="false">
      <c r="A5083" s="2" t="s">
        <v>10371</v>
      </c>
      <c r="B5083" s="2" t="s">
        <v>10372</v>
      </c>
      <c r="C5083" s="2" t="n">
        <v>2</v>
      </c>
      <c r="D5083" s="2" t="s">
        <v>9943</v>
      </c>
      <c r="E5083" s="2" t="s">
        <v>8083</v>
      </c>
      <c r="F5083" s="3" t="n">
        <v>46150.70625</v>
      </c>
      <c r="G5083" s="2" t="s">
        <v>10220</v>
      </c>
      <c r="H5083" s="4" t="n">
        <v>0.2023</v>
      </c>
      <c r="I5083" s="2" t="s">
        <v>23</v>
      </c>
      <c r="J5083" s="2" t="s">
        <v>59</v>
      </c>
      <c r="K5083" s="2" t="n">
        <v>7</v>
      </c>
      <c r="L5083" s="2" t="n">
        <v>1</v>
      </c>
      <c r="M5083" s="2" t="n">
        <v>0</v>
      </c>
    </row>
    <row r="5084" customFormat="false" ht="15" hidden="false" customHeight="false" outlineLevel="0" collapsed="false">
      <c r="A5084" s="2" t="s">
        <v>10373</v>
      </c>
      <c r="B5084" s="2" t="s">
        <v>10374</v>
      </c>
      <c r="C5084" s="2" t="n">
        <v>2</v>
      </c>
      <c r="D5084" s="2" t="s">
        <v>591</v>
      </c>
      <c r="E5084" s="2" t="s">
        <v>8083</v>
      </c>
      <c r="F5084" s="3" t="n">
        <v>46150.7208333333</v>
      </c>
      <c r="G5084" s="2" t="s">
        <v>10220</v>
      </c>
      <c r="H5084" s="4" t="n">
        <v>0</v>
      </c>
      <c r="I5084" s="2" t="s">
        <v>18</v>
      </c>
      <c r="J5084" s="2" t="s">
        <v>37</v>
      </c>
      <c r="K5084" s="2" t="n">
        <v>1</v>
      </c>
      <c r="L5084" s="2" t="n">
        <v>1</v>
      </c>
      <c r="M5084" s="2" t="n">
        <v>0</v>
      </c>
    </row>
    <row r="5085" customFormat="false" ht="15" hidden="false" customHeight="false" outlineLevel="0" collapsed="false">
      <c r="A5085" s="2" t="s">
        <v>10375</v>
      </c>
      <c r="B5085" s="2" t="s">
        <v>10376</v>
      </c>
      <c r="C5085" s="2" t="n">
        <v>4</v>
      </c>
      <c r="D5085" s="2" t="s">
        <v>36</v>
      </c>
      <c r="E5085" s="2" t="s">
        <v>8083</v>
      </c>
      <c r="F5085" s="3" t="n">
        <v>46150.8131944445</v>
      </c>
      <c r="G5085" s="2" t="s">
        <v>10220</v>
      </c>
      <c r="H5085" s="4" t="n">
        <v>0.4404</v>
      </c>
      <c r="I5085" s="2" t="s">
        <v>23</v>
      </c>
      <c r="J5085" s="2" t="s">
        <v>37</v>
      </c>
      <c r="K5085" s="2" t="n">
        <v>1</v>
      </c>
      <c r="L5085" s="2" t="n">
        <v>0</v>
      </c>
      <c r="M5085" s="2" t="n">
        <v>0</v>
      </c>
    </row>
    <row r="5086" customFormat="false" ht="15" hidden="false" customHeight="false" outlineLevel="0" collapsed="false">
      <c r="A5086" s="2" t="s">
        <v>10377</v>
      </c>
      <c r="B5086" s="2" t="s">
        <v>10378</v>
      </c>
      <c r="C5086" s="2" t="n">
        <v>5</v>
      </c>
      <c r="D5086" s="2" t="s">
        <v>96</v>
      </c>
      <c r="E5086" s="2" t="s">
        <v>8083</v>
      </c>
      <c r="F5086" s="3" t="n">
        <v>46150.9263888889</v>
      </c>
      <c r="G5086" s="2" t="s">
        <v>10220</v>
      </c>
      <c r="H5086" s="4" t="n">
        <v>0.6369</v>
      </c>
      <c r="I5086" s="2" t="s">
        <v>23</v>
      </c>
      <c r="J5086" s="2" t="s">
        <v>19</v>
      </c>
      <c r="K5086" s="2" t="n">
        <v>5</v>
      </c>
      <c r="L5086" s="2" t="n">
        <v>0</v>
      </c>
      <c r="M5086" s="2" t="n">
        <v>0</v>
      </c>
    </row>
    <row r="5087" customFormat="false" ht="15" hidden="false" customHeight="false" outlineLevel="0" collapsed="false">
      <c r="A5087" s="2" t="s">
        <v>10379</v>
      </c>
      <c r="B5087" s="2" t="s">
        <v>1311</v>
      </c>
      <c r="C5087" s="2" t="n">
        <v>1</v>
      </c>
      <c r="D5087" s="2" t="s">
        <v>32</v>
      </c>
      <c r="E5087" s="2" t="s">
        <v>8083</v>
      </c>
      <c r="F5087" s="3" t="n">
        <v>46151.0354166667</v>
      </c>
      <c r="G5087" s="2" t="s">
        <v>10220</v>
      </c>
      <c r="H5087" s="4" t="n">
        <v>0.2023</v>
      </c>
      <c r="I5087" s="2" t="s">
        <v>23</v>
      </c>
      <c r="J5087" s="2" t="s">
        <v>33</v>
      </c>
      <c r="K5087" s="2" t="n">
        <v>0</v>
      </c>
      <c r="L5087" s="2" t="n">
        <v>0</v>
      </c>
      <c r="M5087" s="2" t="n">
        <v>0</v>
      </c>
    </row>
    <row r="5088" customFormat="false" ht="15" hidden="false" customHeight="false" outlineLevel="0" collapsed="false">
      <c r="A5088" s="2" t="s">
        <v>10380</v>
      </c>
      <c r="B5088" s="2" t="s">
        <v>10381</v>
      </c>
      <c r="C5088" s="2" t="n">
        <v>4</v>
      </c>
      <c r="D5088" s="2" t="s">
        <v>820</v>
      </c>
      <c r="E5088" s="2" t="s">
        <v>8083</v>
      </c>
      <c r="F5088" s="3" t="n">
        <v>46151.1111111111</v>
      </c>
      <c r="G5088" s="2" t="s">
        <v>10220</v>
      </c>
      <c r="H5088" s="4" t="n">
        <v>0.6808</v>
      </c>
      <c r="I5088" s="2" t="s">
        <v>23</v>
      </c>
      <c r="J5088" s="2" t="s">
        <v>37</v>
      </c>
      <c r="K5088" s="2" t="n">
        <v>6</v>
      </c>
      <c r="L5088" s="2" t="n">
        <v>0</v>
      </c>
      <c r="M5088" s="2" t="n">
        <v>0</v>
      </c>
    </row>
    <row r="5089" customFormat="false" ht="15" hidden="false" customHeight="false" outlineLevel="0" collapsed="false">
      <c r="A5089" s="2" t="s">
        <v>10382</v>
      </c>
      <c r="B5089" s="2" t="s">
        <v>10383</v>
      </c>
      <c r="C5089" s="2" t="n">
        <v>4</v>
      </c>
      <c r="D5089" s="2" t="s">
        <v>62</v>
      </c>
      <c r="E5089" s="2" t="s">
        <v>8083</v>
      </c>
      <c r="F5089" s="3" t="n">
        <v>46151.2604166667</v>
      </c>
      <c r="G5089" s="2" t="s">
        <v>10220</v>
      </c>
      <c r="H5089" s="4" t="n">
        <v>0.7088</v>
      </c>
      <c r="I5089" s="2" t="s">
        <v>23</v>
      </c>
      <c r="J5089" s="2" t="s">
        <v>19</v>
      </c>
      <c r="K5089" s="2" t="n">
        <v>0</v>
      </c>
      <c r="L5089" s="2" t="n">
        <v>0</v>
      </c>
      <c r="M5089" s="2" t="n">
        <v>0</v>
      </c>
    </row>
    <row r="5090" customFormat="false" ht="15" hidden="false" customHeight="false" outlineLevel="0" collapsed="false">
      <c r="A5090" s="2" t="s">
        <v>10384</v>
      </c>
      <c r="B5090" s="2" t="s">
        <v>10385</v>
      </c>
      <c r="C5090" s="2" t="n">
        <v>5</v>
      </c>
      <c r="D5090" s="2" t="s">
        <v>2140</v>
      </c>
      <c r="E5090" s="2" t="s">
        <v>8083</v>
      </c>
      <c r="F5090" s="3" t="n">
        <v>46151.2743055556</v>
      </c>
      <c r="G5090" s="2" t="s">
        <v>10220</v>
      </c>
      <c r="H5090" s="4" t="n">
        <v>0.8777</v>
      </c>
      <c r="I5090" s="2" t="s">
        <v>23</v>
      </c>
      <c r="J5090" s="2" t="s">
        <v>19</v>
      </c>
      <c r="K5090" s="2" t="n">
        <v>3</v>
      </c>
      <c r="L5090" s="2" t="n">
        <v>0</v>
      </c>
      <c r="M5090" s="2" t="n">
        <v>0</v>
      </c>
    </row>
    <row r="5091" customFormat="false" ht="15" hidden="false" customHeight="false" outlineLevel="0" collapsed="false">
      <c r="A5091" s="2" t="s">
        <v>10386</v>
      </c>
      <c r="B5091" s="2" t="s">
        <v>10387</v>
      </c>
      <c r="C5091" s="2" t="n">
        <v>5</v>
      </c>
      <c r="D5091" s="2" t="s">
        <v>62</v>
      </c>
      <c r="E5091" s="2" t="s">
        <v>8083</v>
      </c>
      <c r="F5091" s="3" t="n">
        <v>46151.375</v>
      </c>
      <c r="G5091" s="2" t="s">
        <v>10220</v>
      </c>
      <c r="H5091" s="4" t="n">
        <v>0.7088</v>
      </c>
      <c r="I5091" s="2" t="s">
        <v>23</v>
      </c>
      <c r="J5091" s="2" t="s">
        <v>19</v>
      </c>
      <c r="K5091" s="2" t="n">
        <v>1</v>
      </c>
      <c r="L5091" s="2" t="n">
        <v>0</v>
      </c>
      <c r="M5091" s="2" t="n">
        <v>0</v>
      </c>
    </row>
    <row r="5092" customFormat="false" ht="15" hidden="false" customHeight="false" outlineLevel="0" collapsed="false">
      <c r="A5092" s="2" t="s">
        <v>10388</v>
      </c>
      <c r="B5092" s="2" t="s">
        <v>10389</v>
      </c>
      <c r="C5092" s="2" t="n">
        <v>4</v>
      </c>
      <c r="D5092" s="2" t="s">
        <v>99</v>
      </c>
      <c r="E5092" s="2" t="s">
        <v>8083</v>
      </c>
      <c r="F5092" s="3" t="n">
        <v>46151.4083333333</v>
      </c>
      <c r="G5092" s="2" t="s">
        <v>10220</v>
      </c>
      <c r="H5092" s="4" t="n">
        <v>-0.3089</v>
      </c>
      <c r="I5092" s="2" t="s">
        <v>84</v>
      </c>
      <c r="J5092" s="2" t="s">
        <v>19</v>
      </c>
      <c r="K5092" s="2" t="n">
        <v>9</v>
      </c>
      <c r="L5092" s="2" t="n">
        <v>0</v>
      </c>
      <c r="M5092" s="2" t="n">
        <v>0</v>
      </c>
    </row>
    <row r="5093" customFormat="false" ht="15" hidden="false" customHeight="false" outlineLevel="0" collapsed="false">
      <c r="A5093" s="2" t="s">
        <v>10390</v>
      </c>
      <c r="B5093" s="2" t="s">
        <v>10391</v>
      </c>
      <c r="C5093" s="2" t="n">
        <v>5</v>
      </c>
      <c r="D5093" s="2" t="s">
        <v>47</v>
      </c>
      <c r="E5093" s="2" t="s">
        <v>8083</v>
      </c>
      <c r="F5093" s="3" t="n">
        <v>46151.4388888889</v>
      </c>
      <c r="G5093" s="2" t="s">
        <v>10220</v>
      </c>
      <c r="H5093" s="4" t="n">
        <v>0.3089</v>
      </c>
      <c r="I5093" s="2" t="s">
        <v>23</v>
      </c>
      <c r="J5093" s="2" t="s">
        <v>19</v>
      </c>
      <c r="K5093" s="2" t="n">
        <v>4</v>
      </c>
      <c r="L5093" s="2" t="n">
        <v>0</v>
      </c>
      <c r="M5093" s="2" t="n">
        <v>0</v>
      </c>
    </row>
    <row r="5094" customFormat="false" ht="15" hidden="false" customHeight="false" outlineLevel="0" collapsed="false">
      <c r="A5094" s="2" t="s">
        <v>10392</v>
      </c>
      <c r="B5094" s="2" t="s">
        <v>8177</v>
      </c>
      <c r="C5094" s="2" t="n">
        <v>4</v>
      </c>
      <c r="D5094" s="2" t="s">
        <v>22</v>
      </c>
      <c r="E5094" s="2" t="s">
        <v>8083</v>
      </c>
      <c r="F5094" s="3" t="n">
        <v>46151.4833333333</v>
      </c>
      <c r="G5094" s="2" t="s">
        <v>10220</v>
      </c>
      <c r="H5094" s="4" t="n">
        <v>0.2023</v>
      </c>
      <c r="I5094" s="2" t="s">
        <v>23</v>
      </c>
      <c r="J5094" s="2" t="s">
        <v>19</v>
      </c>
      <c r="K5094" s="2" t="n">
        <v>8</v>
      </c>
      <c r="L5094" s="2" t="n">
        <v>0</v>
      </c>
      <c r="M5094" s="2" t="n">
        <v>0</v>
      </c>
    </row>
    <row r="5095" customFormat="false" ht="15" hidden="false" customHeight="false" outlineLevel="0" collapsed="false">
      <c r="A5095" s="2" t="s">
        <v>10393</v>
      </c>
      <c r="B5095" s="2" t="s">
        <v>10394</v>
      </c>
      <c r="C5095" s="2" t="n">
        <v>1</v>
      </c>
      <c r="D5095" s="2" t="s">
        <v>733</v>
      </c>
      <c r="E5095" s="2" t="s">
        <v>8083</v>
      </c>
      <c r="F5095" s="3" t="n">
        <v>46151.6381944444</v>
      </c>
      <c r="G5095" s="2" t="s">
        <v>10220</v>
      </c>
      <c r="H5095" s="4" t="n">
        <v>-0.2846</v>
      </c>
      <c r="I5095" s="2" t="s">
        <v>84</v>
      </c>
      <c r="J5095" s="2" t="s">
        <v>37</v>
      </c>
      <c r="K5095" s="2" t="n">
        <v>5</v>
      </c>
      <c r="L5095" s="2" t="n">
        <v>1</v>
      </c>
      <c r="M5095" s="2" t="n">
        <v>0</v>
      </c>
    </row>
    <row r="5096" customFormat="false" ht="15" hidden="false" customHeight="false" outlineLevel="0" collapsed="false">
      <c r="A5096" s="2" t="s">
        <v>10395</v>
      </c>
      <c r="B5096" s="2" t="s">
        <v>4580</v>
      </c>
      <c r="C5096" s="2" t="n">
        <v>3</v>
      </c>
      <c r="D5096" s="2" t="s">
        <v>87</v>
      </c>
      <c r="E5096" s="2" t="s">
        <v>8083</v>
      </c>
      <c r="F5096" s="3" t="n">
        <v>46151.7881944445</v>
      </c>
      <c r="G5096" s="2" t="s">
        <v>10220</v>
      </c>
      <c r="H5096" s="4" t="n">
        <v>0</v>
      </c>
      <c r="I5096" s="2" t="s">
        <v>18</v>
      </c>
      <c r="J5096" s="2" t="s">
        <v>19</v>
      </c>
      <c r="K5096" s="2" t="n">
        <v>5</v>
      </c>
      <c r="L5096" s="2" t="n">
        <v>0</v>
      </c>
      <c r="M5096" s="2" t="n">
        <v>0</v>
      </c>
    </row>
    <row r="5097" customFormat="false" ht="15" hidden="false" customHeight="false" outlineLevel="0" collapsed="false">
      <c r="A5097" s="2" t="s">
        <v>10396</v>
      </c>
      <c r="B5097" s="2" t="s">
        <v>10397</v>
      </c>
      <c r="C5097" s="2" t="n">
        <v>5</v>
      </c>
      <c r="D5097" s="2" t="s">
        <v>1973</v>
      </c>
      <c r="E5097" s="2" t="s">
        <v>8083</v>
      </c>
      <c r="F5097" s="3" t="n">
        <v>46151.9222222222</v>
      </c>
      <c r="G5097" s="2" t="s">
        <v>10220</v>
      </c>
      <c r="H5097" s="4" t="n">
        <v>0.9612</v>
      </c>
      <c r="I5097" s="2" t="s">
        <v>23</v>
      </c>
      <c r="J5097" s="2" t="s">
        <v>37</v>
      </c>
      <c r="K5097" s="2" t="n">
        <v>2</v>
      </c>
      <c r="L5097" s="2" t="n">
        <v>0</v>
      </c>
      <c r="M5097" s="2" t="n">
        <v>0</v>
      </c>
    </row>
    <row r="5098" customFormat="false" ht="15" hidden="false" customHeight="false" outlineLevel="0" collapsed="false">
      <c r="A5098" s="2" t="s">
        <v>10398</v>
      </c>
      <c r="B5098" s="2" t="s">
        <v>5112</v>
      </c>
      <c r="C5098" s="2" t="n">
        <v>4</v>
      </c>
      <c r="D5098" s="2" t="s">
        <v>52</v>
      </c>
      <c r="E5098" s="2" t="s">
        <v>8083</v>
      </c>
      <c r="F5098" s="3" t="n">
        <v>46151.9236111111</v>
      </c>
      <c r="G5098" s="2" t="s">
        <v>10220</v>
      </c>
      <c r="H5098" s="4" t="n">
        <v>0.6369</v>
      </c>
      <c r="I5098" s="2" t="s">
        <v>23</v>
      </c>
      <c r="J5098" s="2" t="s">
        <v>19</v>
      </c>
      <c r="K5098" s="2" t="n">
        <v>0</v>
      </c>
      <c r="L5098" s="2" t="n">
        <v>0</v>
      </c>
      <c r="M5098" s="2" t="n">
        <v>0</v>
      </c>
    </row>
    <row r="5099" customFormat="false" ht="15" hidden="false" customHeight="false" outlineLevel="0" collapsed="false">
      <c r="A5099" s="2" t="s">
        <v>10399</v>
      </c>
      <c r="B5099" s="2" t="s">
        <v>10400</v>
      </c>
      <c r="C5099" s="2" t="n">
        <v>4</v>
      </c>
      <c r="D5099" s="2" t="s">
        <v>87</v>
      </c>
      <c r="E5099" s="2" t="s">
        <v>8083</v>
      </c>
      <c r="F5099" s="3" t="n">
        <v>46151.9715277778</v>
      </c>
      <c r="G5099" s="2" t="s">
        <v>10220</v>
      </c>
      <c r="H5099" s="4" t="n">
        <v>0</v>
      </c>
      <c r="I5099" s="2" t="s">
        <v>18</v>
      </c>
      <c r="J5099" s="2" t="s">
        <v>19</v>
      </c>
      <c r="K5099" s="2" t="n">
        <v>1</v>
      </c>
      <c r="L5099" s="2" t="n">
        <v>0</v>
      </c>
      <c r="M5099" s="2" t="n">
        <v>0</v>
      </c>
    </row>
    <row r="5100" customFormat="false" ht="15" hidden="false" customHeight="false" outlineLevel="0" collapsed="false">
      <c r="A5100" s="2" t="s">
        <v>10401</v>
      </c>
      <c r="B5100" s="2" t="s">
        <v>10402</v>
      </c>
      <c r="C5100" s="2" t="n">
        <v>5</v>
      </c>
      <c r="D5100" s="2" t="s">
        <v>565</v>
      </c>
      <c r="E5100" s="2" t="s">
        <v>8083</v>
      </c>
      <c r="F5100" s="3" t="n">
        <v>46151.9993055556</v>
      </c>
      <c r="G5100" s="2" t="s">
        <v>10220</v>
      </c>
      <c r="H5100" s="4" t="n">
        <v>0.7549</v>
      </c>
      <c r="I5100" s="2" t="s">
        <v>23</v>
      </c>
      <c r="J5100" s="2" t="s">
        <v>19</v>
      </c>
      <c r="K5100" s="2" t="n">
        <v>0</v>
      </c>
      <c r="L5100" s="2" t="n">
        <v>0</v>
      </c>
      <c r="M5100" s="2" t="n">
        <v>0</v>
      </c>
    </row>
    <row r="5101" customFormat="false" ht="15" hidden="false" customHeight="false" outlineLevel="0" collapsed="false">
      <c r="A5101" s="2" t="s">
        <v>10403</v>
      </c>
      <c r="B5101" s="2" t="s">
        <v>10404</v>
      </c>
      <c r="C5101" s="2" t="n">
        <v>3</v>
      </c>
      <c r="D5101" s="2" t="s">
        <v>301</v>
      </c>
      <c r="E5101" s="2" t="s">
        <v>8083</v>
      </c>
      <c r="F5101" s="3" t="n">
        <v>46152.0173611111</v>
      </c>
      <c r="G5101" s="2" t="s">
        <v>10220</v>
      </c>
      <c r="H5101" s="4" t="n">
        <v>0.2263</v>
      </c>
      <c r="I5101" s="2" t="s">
        <v>23</v>
      </c>
      <c r="J5101" s="2" t="s">
        <v>19</v>
      </c>
      <c r="K5101" s="2" t="n">
        <v>5</v>
      </c>
      <c r="L5101" s="2" t="n">
        <v>0</v>
      </c>
      <c r="M5101" s="2" t="n">
        <v>0</v>
      </c>
    </row>
    <row r="5102" customFormat="false" ht="15" hidden="false" customHeight="false" outlineLevel="0" collapsed="false">
      <c r="A5102" s="2" t="s">
        <v>10405</v>
      </c>
      <c r="B5102" s="2" t="s">
        <v>9698</v>
      </c>
      <c r="C5102" s="2" t="n">
        <v>4</v>
      </c>
      <c r="D5102" s="2" t="s">
        <v>1820</v>
      </c>
      <c r="E5102" s="2" t="s">
        <v>8083</v>
      </c>
      <c r="F5102" s="3" t="n">
        <v>46152.0291666667</v>
      </c>
      <c r="G5102" s="2" t="s">
        <v>10220</v>
      </c>
      <c r="H5102" s="4" t="n">
        <v>0.7269</v>
      </c>
      <c r="I5102" s="2" t="s">
        <v>23</v>
      </c>
      <c r="J5102" s="2" t="s">
        <v>19</v>
      </c>
      <c r="K5102" s="2" t="n">
        <v>4</v>
      </c>
      <c r="L5102" s="2" t="n">
        <v>0</v>
      </c>
      <c r="M5102" s="2" t="n">
        <v>0</v>
      </c>
    </row>
    <row r="5103" customFormat="false" ht="15" hidden="false" customHeight="false" outlineLevel="0" collapsed="false">
      <c r="A5103" s="2" t="s">
        <v>10406</v>
      </c>
      <c r="B5103" s="2" t="s">
        <v>10407</v>
      </c>
      <c r="C5103" s="2" t="n">
        <v>5</v>
      </c>
      <c r="D5103" s="2" t="s">
        <v>674</v>
      </c>
      <c r="E5103" s="2" t="s">
        <v>8083</v>
      </c>
      <c r="F5103" s="3" t="n">
        <v>46152.1798611111</v>
      </c>
      <c r="G5103" s="2" t="s">
        <v>10220</v>
      </c>
      <c r="H5103" s="4" t="n">
        <v>0.9481</v>
      </c>
      <c r="I5103" s="2" t="s">
        <v>23</v>
      </c>
      <c r="J5103" s="2" t="s">
        <v>37</v>
      </c>
      <c r="K5103" s="2" t="n">
        <v>1</v>
      </c>
      <c r="L5103" s="2" t="n">
        <v>0</v>
      </c>
      <c r="M5103" s="2" t="n">
        <v>0</v>
      </c>
    </row>
    <row r="5104" customFormat="false" ht="15" hidden="false" customHeight="false" outlineLevel="0" collapsed="false">
      <c r="A5104" s="2" t="s">
        <v>10408</v>
      </c>
      <c r="B5104" s="2" t="s">
        <v>10409</v>
      </c>
      <c r="C5104" s="2" t="n">
        <v>5</v>
      </c>
      <c r="D5104" s="2" t="s">
        <v>2727</v>
      </c>
      <c r="E5104" s="2" t="s">
        <v>8083</v>
      </c>
      <c r="F5104" s="3" t="n">
        <v>46152.2979166667</v>
      </c>
      <c r="G5104" s="2" t="s">
        <v>10220</v>
      </c>
      <c r="H5104" s="4" t="n">
        <v>0.4019</v>
      </c>
      <c r="I5104" s="2" t="s">
        <v>23</v>
      </c>
      <c r="J5104" s="2" t="s">
        <v>33</v>
      </c>
      <c r="K5104" s="2" t="n">
        <v>5</v>
      </c>
      <c r="L5104" s="2" t="n">
        <v>0</v>
      </c>
      <c r="M5104" s="2" t="n">
        <v>0</v>
      </c>
    </row>
    <row r="5105" customFormat="false" ht="15" hidden="false" customHeight="false" outlineLevel="0" collapsed="false">
      <c r="A5105" s="2" t="s">
        <v>10410</v>
      </c>
      <c r="B5105" s="2" t="s">
        <v>10411</v>
      </c>
      <c r="C5105" s="2" t="n">
        <v>1</v>
      </c>
      <c r="D5105" s="2" t="s">
        <v>133</v>
      </c>
      <c r="E5105" s="2" t="s">
        <v>8083</v>
      </c>
      <c r="F5105" s="3" t="n">
        <v>46152.3555555556</v>
      </c>
      <c r="G5105" s="2" t="s">
        <v>10220</v>
      </c>
      <c r="H5105" s="4" t="n">
        <v>-0.5719</v>
      </c>
      <c r="I5105" s="2" t="s">
        <v>84</v>
      </c>
      <c r="J5105" s="2" t="s">
        <v>33</v>
      </c>
      <c r="K5105" s="2" t="n">
        <v>2</v>
      </c>
      <c r="L5105" s="2" t="n">
        <v>0</v>
      </c>
      <c r="M5105" s="2" t="n">
        <v>0</v>
      </c>
    </row>
    <row r="5106" customFormat="false" ht="15" hidden="false" customHeight="false" outlineLevel="0" collapsed="false">
      <c r="A5106" s="2" t="s">
        <v>10412</v>
      </c>
      <c r="B5106" s="2" t="s">
        <v>10413</v>
      </c>
      <c r="C5106" s="2" t="n">
        <v>3</v>
      </c>
      <c r="D5106" s="2" t="s">
        <v>301</v>
      </c>
      <c r="E5106" s="2" t="s">
        <v>8083</v>
      </c>
      <c r="F5106" s="3" t="n">
        <v>46152.3618055556</v>
      </c>
      <c r="G5106" s="2" t="s">
        <v>10220</v>
      </c>
      <c r="H5106" s="4" t="n">
        <v>0.2263</v>
      </c>
      <c r="I5106" s="2" t="s">
        <v>23</v>
      </c>
      <c r="J5106" s="2" t="s">
        <v>19</v>
      </c>
      <c r="K5106" s="2" t="n">
        <v>0</v>
      </c>
      <c r="L5106" s="2" t="n">
        <v>0</v>
      </c>
      <c r="M5106" s="2" t="n">
        <v>0</v>
      </c>
    </row>
    <row r="5107" customFormat="false" ht="15" hidden="false" customHeight="false" outlineLevel="0" collapsed="false">
      <c r="A5107" s="2" t="s">
        <v>10414</v>
      </c>
      <c r="B5107" s="2" t="s">
        <v>10415</v>
      </c>
      <c r="C5107" s="2" t="n">
        <v>4</v>
      </c>
      <c r="D5107" s="2" t="s">
        <v>22</v>
      </c>
      <c r="E5107" s="2" t="s">
        <v>8083</v>
      </c>
      <c r="F5107" s="3" t="n">
        <v>46152.38125</v>
      </c>
      <c r="G5107" s="2" t="s">
        <v>10220</v>
      </c>
      <c r="H5107" s="4" t="n">
        <v>0.2023</v>
      </c>
      <c r="I5107" s="2" t="s">
        <v>23</v>
      </c>
      <c r="J5107" s="2" t="s">
        <v>19</v>
      </c>
      <c r="K5107" s="2" t="n">
        <v>0</v>
      </c>
      <c r="L5107" s="2" t="n">
        <v>0</v>
      </c>
      <c r="M5107" s="2" t="n">
        <v>0</v>
      </c>
    </row>
    <row r="5108" customFormat="false" ht="15" hidden="false" customHeight="false" outlineLevel="0" collapsed="false">
      <c r="A5108" s="2" t="s">
        <v>10416</v>
      </c>
      <c r="B5108" s="2" t="s">
        <v>10417</v>
      </c>
      <c r="C5108" s="2" t="n">
        <v>5</v>
      </c>
      <c r="D5108" s="2" t="s">
        <v>787</v>
      </c>
      <c r="E5108" s="2" t="s">
        <v>8083</v>
      </c>
      <c r="F5108" s="3" t="n">
        <v>46152.5034722222</v>
      </c>
      <c r="G5108" s="2" t="s">
        <v>10220</v>
      </c>
      <c r="H5108" s="4" t="n">
        <v>0.7475</v>
      </c>
      <c r="I5108" s="2" t="s">
        <v>23</v>
      </c>
      <c r="J5108" s="2" t="s">
        <v>37</v>
      </c>
      <c r="K5108" s="2" t="n">
        <v>2</v>
      </c>
      <c r="L5108" s="2" t="n">
        <v>0</v>
      </c>
      <c r="M5108" s="2" t="n">
        <v>0</v>
      </c>
    </row>
    <row r="5109" customFormat="false" ht="15" hidden="false" customHeight="false" outlineLevel="0" collapsed="false">
      <c r="A5109" s="2" t="s">
        <v>10418</v>
      </c>
      <c r="B5109" s="2" t="s">
        <v>10419</v>
      </c>
      <c r="C5109" s="2" t="n">
        <v>3</v>
      </c>
      <c r="D5109" s="2" t="s">
        <v>87</v>
      </c>
      <c r="E5109" s="2" t="s">
        <v>8083</v>
      </c>
      <c r="F5109" s="3" t="n">
        <v>46152.5701388889</v>
      </c>
      <c r="G5109" s="2" t="s">
        <v>10220</v>
      </c>
      <c r="H5109" s="4" t="n">
        <v>0</v>
      </c>
      <c r="I5109" s="2" t="s">
        <v>18</v>
      </c>
      <c r="J5109" s="2" t="s">
        <v>19</v>
      </c>
      <c r="K5109" s="2" t="n">
        <v>2</v>
      </c>
      <c r="L5109" s="2" t="n">
        <v>0</v>
      </c>
      <c r="M5109" s="2" t="n">
        <v>0</v>
      </c>
    </row>
    <row r="5110" customFormat="false" ht="15" hidden="false" customHeight="false" outlineLevel="0" collapsed="false">
      <c r="A5110" s="2" t="s">
        <v>10420</v>
      </c>
      <c r="B5110" s="2" t="s">
        <v>10421</v>
      </c>
      <c r="C5110" s="2" t="n">
        <v>5</v>
      </c>
      <c r="D5110" s="2" t="s">
        <v>62</v>
      </c>
      <c r="E5110" s="2" t="s">
        <v>8083</v>
      </c>
      <c r="F5110" s="3" t="n">
        <v>46152.6604166667</v>
      </c>
      <c r="G5110" s="2" t="s">
        <v>10220</v>
      </c>
      <c r="H5110" s="4" t="n">
        <v>0.7088</v>
      </c>
      <c r="I5110" s="2" t="s">
        <v>23</v>
      </c>
      <c r="J5110" s="2" t="s">
        <v>19</v>
      </c>
      <c r="K5110" s="2" t="n">
        <v>0</v>
      </c>
      <c r="L5110" s="2" t="n">
        <v>0</v>
      </c>
      <c r="M5110" s="2" t="n">
        <v>0</v>
      </c>
    </row>
    <row r="5111" customFormat="false" ht="15" hidden="false" customHeight="false" outlineLevel="0" collapsed="false">
      <c r="A5111" s="2" t="s">
        <v>10422</v>
      </c>
      <c r="B5111" s="2" t="s">
        <v>10423</v>
      </c>
      <c r="C5111" s="2" t="n">
        <v>4</v>
      </c>
      <c r="D5111" s="2" t="s">
        <v>15</v>
      </c>
      <c r="E5111" s="2" t="s">
        <v>8083</v>
      </c>
      <c r="F5111" s="3" t="n">
        <v>46152.6833333333</v>
      </c>
      <c r="G5111" s="2" t="s">
        <v>10220</v>
      </c>
      <c r="H5111" s="4" t="n">
        <v>0</v>
      </c>
      <c r="I5111" s="2" t="s">
        <v>18</v>
      </c>
      <c r="J5111" s="2" t="s">
        <v>19</v>
      </c>
      <c r="K5111" s="2" t="n">
        <v>3</v>
      </c>
      <c r="L5111" s="2" t="n">
        <v>0</v>
      </c>
      <c r="M5111" s="2" t="n">
        <v>0</v>
      </c>
    </row>
    <row r="5112" customFormat="false" ht="15" hidden="false" customHeight="false" outlineLevel="0" collapsed="false">
      <c r="A5112" s="2" t="s">
        <v>10424</v>
      </c>
      <c r="B5112" s="2" t="s">
        <v>10425</v>
      </c>
      <c r="C5112" s="2" t="n">
        <v>5</v>
      </c>
      <c r="D5112" s="2" t="s">
        <v>15</v>
      </c>
      <c r="E5112" s="2" t="s">
        <v>8083</v>
      </c>
      <c r="F5112" s="3" t="n">
        <v>46152.8854166667</v>
      </c>
      <c r="G5112" s="2" t="s">
        <v>10220</v>
      </c>
      <c r="H5112" s="4" t="n">
        <v>0</v>
      </c>
      <c r="I5112" s="2" t="s">
        <v>18</v>
      </c>
      <c r="J5112" s="2" t="s">
        <v>19</v>
      </c>
      <c r="K5112" s="2" t="n">
        <v>0</v>
      </c>
      <c r="L5112" s="2" t="n">
        <v>0</v>
      </c>
      <c r="M5112" s="2" t="n">
        <v>0</v>
      </c>
    </row>
    <row r="5113" customFormat="false" ht="15" hidden="false" customHeight="false" outlineLevel="0" collapsed="false">
      <c r="A5113" s="2" t="s">
        <v>10426</v>
      </c>
      <c r="B5113" s="2" t="s">
        <v>10427</v>
      </c>
      <c r="C5113" s="2" t="n">
        <v>5</v>
      </c>
      <c r="D5113" s="2" t="s">
        <v>15</v>
      </c>
      <c r="E5113" s="2" t="s">
        <v>8083</v>
      </c>
      <c r="F5113" s="3" t="n">
        <v>46152.9381944445</v>
      </c>
      <c r="G5113" s="2" t="s">
        <v>10220</v>
      </c>
      <c r="H5113" s="4" t="n">
        <v>0</v>
      </c>
      <c r="I5113" s="2" t="s">
        <v>18</v>
      </c>
      <c r="J5113" s="2" t="s">
        <v>19</v>
      </c>
      <c r="K5113" s="2" t="n">
        <v>3</v>
      </c>
      <c r="L5113" s="2" t="n">
        <v>0</v>
      </c>
      <c r="M5113" s="2" t="n">
        <v>0</v>
      </c>
    </row>
    <row r="5114" customFormat="false" ht="15" hidden="false" customHeight="false" outlineLevel="0" collapsed="false">
      <c r="A5114" s="2" t="s">
        <v>10428</v>
      </c>
      <c r="B5114" s="2" t="s">
        <v>10429</v>
      </c>
      <c r="C5114" s="2" t="n">
        <v>4</v>
      </c>
      <c r="D5114" s="2" t="s">
        <v>828</v>
      </c>
      <c r="E5114" s="2" t="s">
        <v>8083</v>
      </c>
      <c r="F5114" s="3" t="n">
        <v>46152.9583333333</v>
      </c>
      <c r="G5114" s="2" t="s">
        <v>10220</v>
      </c>
      <c r="H5114" s="4" t="n">
        <v>0.8519</v>
      </c>
      <c r="I5114" s="2" t="s">
        <v>23</v>
      </c>
      <c r="J5114" s="2" t="s">
        <v>37</v>
      </c>
      <c r="K5114" s="2" t="n">
        <v>5</v>
      </c>
      <c r="L5114" s="2" t="n">
        <v>0</v>
      </c>
      <c r="M5114" s="2" t="n">
        <v>0</v>
      </c>
    </row>
    <row r="5115" customFormat="false" ht="15" hidden="false" customHeight="false" outlineLevel="0" collapsed="false">
      <c r="A5115" s="2" t="s">
        <v>10430</v>
      </c>
      <c r="B5115" s="2" t="s">
        <v>10431</v>
      </c>
      <c r="C5115" s="2" t="n">
        <v>4</v>
      </c>
      <c r="D5115" s="2" t="s">
        <v>52</v>
      </c>
      <c r="E5115" s="2" t="s">
        <v>8083</v>
      </c>
      <c r="F5115" s="3" t="n">
        <v>46153.0430555556</v>
      </c>
      <c r="G5115" s="2" t="s">
        <v>10220</v>
      </c>
      <c r="H5115" s="4" t="n">
        <v>0.6369</v>
      </c>
      <c r="I5115" s="2" t="s">
        <v>23</v>
      </c>
      <c r="J5115" s="2" t="s">
        <v>19</v>
      </c>
      <c r="K5115" s="2" t="n">
        <v>1</v>
      </c>
      <c r="L5115" s="2" t="n">
        <v>0</v>
      </c>
      <c r="M5115" s="2" t="n">
        <v>0</v>
      </c>
    </row>
    <row r="5116" customFormat="false" ht="15" hidden="false" customHeight="false" outlineLevel="0" collapsed="false">
      <c r="A5116" s="2" t="s">
        <v>10432</v>
      </c>
      <c r="B5116" s="2" t="s">
        <v>10433</v>
      </c>
      <c r="C5116" s="2" t="n">
        <v>5</v>
      </c>
      <c r="D5116" s="2" t="s">
        <v>251</v>
      </c>
      <c r="E5116" s="2" t="s">
        <v>8083</v>
      </c>
      <c r="F5116" s="3" t="n">
        <v>46153.0986111111</v>
      </c>
      <c r="G5116" s="2" t="s">
        <v>10220</v>
      </c>
      <c r="H5116" s="4" t="n">
        <v>0.8651</v>
      </c>
      <c r="I5116" s="2" t="s">
        <v>23</v>
      </c>
      <c r="J5116" s="2" t="s">
        <v>19</v>
      </c>
      <c r="K5116" s="2" t="n">
        <v>7</v>
      </c>
      <c r="L5116" s="2" t="n">
        <v>0</v>
      </c>
      <c r="M5116" s="2" t="n">
        <v>0</v>
      </c>
    </row>
    <row r="5117" customFormat="false" ht="15" hidden="false" customHeight="false" outlineLevel="0" collapsed="false">
      <c r="A5117" s="2" t="s">
        <v>10434</v>
      </c>
      <c r="B5117" s="2" t="s">
        <v>10435</v>
      </c>
      <c r="C5117" s="2" t="n">
        <v>5</v>
      </c>
      <c r="D5117" s="2" t="s">
        <v>90</v>
      </c>
      <c r="E5117" s="2" t="s">
        <v>8083</v>
      </c>
      <c r="F5117" s="3" t="n">
        <v>46153.2513888889</v>
      </c>
      <c r="G5117" s="2" t="s">
        <v>10220</v>
      </c>
      <c r="H5117" s="4" t="n">
        <v>0.6249</v>
      </c>
      <c r="I5117" s="2" t="s">
        <v>23</v>
      </c>
      <c r="J5117" s="2" t="s">
        <v>37</v>
      </c>
      <c r="K5117" s="2" t="n">
        <v>1</v>
      </c>
      <c r="L5117" s="2" t="n">
        <v>0</v>
      </c>
      <c r="M5117" s="2" t="n">
        <v>0</v>
      </c>
    </row>
    <row r="5118" customFormat="false" ht="15" hidden="false" customHeight="false" outlineLevel="0" collapsed="false">
      <c r="A5118" s="2" t="s">
        <v>10436</v>
      </c>
      <c r="B5118" s="2" t="s">
        <v>3266</v>
      </c>
      <c r="C5118" s="2" t="n">
        <v>2</v>
      </c>
      <c r="D5118" s="2" t="s">
        <v>482</v>
      </c>
      <c r="E5118" s="2" t="s">
        <v>8083</v>
      </c>
      <c r="F5118" s="3" t="n">
        <v>46153.2541666667</v>
      </c>
      <c r="G5118" s="2" t="s">
        <v>10220</v>
      </c>
      <c r="H5118" s="4" t="n">
        <v>-0.6808</v>
      </c>
      <c r="I5118" s="2" t="s">
        <v>84</v>
      </c>
      <c r="J5118" s="2" t="s">
        <v>110</v>
      </c>
      <c r="K5118" s="2" t="n">
        <v>3</v>
      </c>
      <c r="L5118" s="2" t="n">
        <v>1</v>
      </c>
      <c r="M5118" s="2" t="n">
        <v>0</v>
      </c>
    </row>
    <row r="5119" customFormat="false" ht="15" hidden="false" customHeight="false" outlineLevel="0" collapsed="false">
      <c r="A5119" s="2" t="s">
        <v>10437</v>
      </c>
      <c r="B5119" s="2" t="s">
        <v>10438</v>
      </c>
      <c r="C5119" s="2" t="n">
        <v>5</v>
      </c>
      <c r="D5119" s="2" t="s">
        <v>2140</v>
      </c>
      <c r="E5119" s="2" t="s">
        <v>8083</v>
      </c>
      <c r="F5119" s="3" t="n">
        <v>46153.3763888889</v>
      </c>
      <c r="G5119" s="2" t="s">
        <v>10220</v>
      </c>
      <c r="H5119" s="4" t="n">
        <v>0.8777</v>
      </c>
      <c r="I5119" s="2" t="s">
        <v>23</v>
      </c>
      <c r="J5119" s="2" t="s">
        <v>19</v>
      </c>
      <c r="K5119" s="2" t="n">
        <v>0</v>
      </c>
      <c r="L5119" s="2" t="n">
        <v>0</v>
      </c>
      <c r="M5119" s="2" t="n">
        <v>0</v>
      </c>
    </row>
    <row r="5120" customFormat="false" ht="15" hidden="false" customHeight="false" outlineLevel="0" collapsed="false">
      <c r="A5120" s="2" t="s">
        <v>10439</v>
      </c>
      <c r="B5120" s="2" t="s">
        <v>10440</v>
      </c>
      <c r="C5120" s="2" t="n">
        <v>5</v>
      </c>
      <c r="D5120" s="2" t="s">
        <v>40</v>
      </c>
      <c r="E5120" s="2" t="s">
        <v>8083</v>
      </c>
      <c r="F5120" s="3" t="n">
        <v>46153.4263888889</v>
      </c>
      <c r="G5120" s="2" t="s">
        <v>10220</v>
      </c>
      <c r="H5120" s="4" t="n">
        <v>0.4019</v>
      </c>
      <c r="I5120" s="2" t="s">
        <v>23</v>
      </c>
      <c r="J5120" s="2" t="s">
        <v>33</v>
      </c>
      <c r="K5120" s="2" t="n">
        <v>3</v>
      </c>
      <c r="L5120" s="2" t="n">
        <v>0</v>
      </c>
      <c r="M5120" s="2" t="n">
        <v>0</v>
      </c>
    </row>
    <row r="5121" customFormat="false" ht="15" hidden="false" customHeight="false" outlineLevel="0" collapsed="false">
      <c r="A5121" s="2" t="s">
        <v>10441</v>
      </c>
      <c r="B5121" s="2" t="s">
        <v>10442</v>
      </c>
      <c r="C5121" s="2" t="n">
        <v>1</v>
      </c>
      <c r="D5121" s="2" t="s">
        <v>1942</v>
      </c>
      <c r="E5121" s="2" t="s">
        <v>8083</v>
      </c>
      <c r="F5121" s="3" t="n">
        <v>46153.6604166667</v>
      </c>
      <c r="G5121" s="2" t="s">
        <v>10220</v>
      </c>
      <c r="H5121" s="4" t="n">
        <v>0</v>
      </c>
      <c r="I5121" s="2" t="s">
        <v>18</v>
      </c>
      <c r="J5121" s="2" t="s">
        <v>165</v>
      </c>
      <c r="K5121" s="2" t="n">
        <v>12</v>
      </c>
      <c r="L5121" s="2" t="n">
        <v>0</v>
      </c>
      <c r="M5121" s="2" t="n">
        <v>0</v>
      </c>
    </row>
    <row r="5122" customFormat="false" ht="15" hidden="false" customHeight="false" outlineLevel="0" collapsed="false">
      <c r="A5122" s="2" t="s">
        <v>10443</v>
      </c>
      <c r="B5122" s="2" t="s">
        <v>10444</v>
      </c>
      <c r="C5122" s="2" t="n">
        <v>5</v>
      </c>
      <c r="D5122" s="2" t="s">
        <v>47</v>
      </c>
      <c r="E5122" s="2" t="s">
        <v>8083</v>
      </c>
      <c r="F5122" s="3" t="n">
        <v>46153.8659722222</v>
      </c>
      <c r="G5122" s="2" t="s">
        <v>10220</v>
      </c>
      <c r="H5122" s="4" t="n">
        <v>0.3089</v>
      </c>
      <c r="I5122" s="2" t="s">
        <v>23</v>
      </c>
      <c r="J5122" s="2" t="s">
        <v>19</v>
      </c>
      <c r="K5122" s="2" t="n">
        <v>9</v>
      </c>
      <c r="L5122" s="2" t="n">
        <v>0</v>
      </c>
      <c r="M5122" s="2" t="n">
        <v>0</v>
      </c>
    </row>
    <row r="5123" customFormat="false" ht="15" hidden="false" customHeight="false" outlineLevel="0" collapsed="false">
      <c r="A5123" s="2" t="s">
        <v>10445</v>
      </c>
      <c r="B5123" s="2" t="s">
        <v>10446</v>
      </c>
      <c r="C5123" s="2" t="n">
        <v>5</v>
      </c>
      <c r="D5123" s="2" t="s">
        <v>52</v>
      </c>
      <c r="E5123" s="2" t="s">
        <v>8083</v>
      </c>
      <c r="F5123" s="3" t="n">
        <v>46153.8847222222</v>
      </c>
      <c r="G5123" s="2" t="s">
        <v>10220</v>
      </c>
      <c r="H5123" s="4" t="n">
        <v>0.6369</v>
      </c>
      <c r="I5123" s="2" t="s">
        <v>23</v>
      </c>
      <c r="J5123" s="2" t="s">
        <v>19</v>
      </c>
      <c r="K5123" s="2" t="n">
        <v>5</v>
      </c>
      <c r="L5123" s="2" t="n">
        <v>0</v>
      </c>
      <c r="M5123" s="2" t="n">
        <v>0</v>
      </c>
    </row>
    <row r="5124" customFormat="false" ht="15" hidden="false" customHeight="false" outlineLevel="0" collapsed="false">
      <c r="A5124" s="2" t="s">
        <v>10447</v>
      </c>
      <c r="B5124" s="2" t="s">
        <v>10448</v>
      </c>
      <c r="C5124" s="2" t="n">
        <v>1</v>
      </c>
      <c r="D5124" s="2" t="s">
        <v>32</v>
      </c>
      <c r="E5124" s="2" t="s">
        <v>8083</v>
      </c>
      <c r="F5124" s="3" t="n">
        <v>46153.8868055556</v>
      </c>
      <c r="G5124" s="2" t="s">
        <v>10220</v>
      </c>
      <c r="H5124" s="4" t="n">
        <v>0.2023</v>
      </c>
      <c r="I5124" s="2" t="s">
        <v>23</v>
      </c>
      <c r="J5124" s="2" t="s">
        <v>33</v>
      </c>
      <c r="K5124" s="2" t="n">
        <v>0</v>
      </c>
      <c r="L5124" s="2" t="n">
        <v>0</v>
      </c>
      <c r="M5124" s="2" t="n">
        <v>0</v>
      </c>
    </row>
    <row r="5125" customFormat="false" ht="15" hidden="false" customHeight="false" outlineLevel="0" collapsed="false">
      <c r="A5125" s="2" t="s">
        <v>10449</v>
      </c>
      <c r="B5125" s="2" t="s">
        <v>10450</v>
      </c>
      <c r="C5125" s="2" t="n">
        <v>1</v>
      </c>
      <c r="D5125" s="2" t="s">
        <v>455</v>
      </c>
      <c r="E5125" s="2" t="s">
        <v>8083</v>
      </c>
      <c r="F5125" s="3" t="n">
        <v>46154.03125</v>
      </c>
      <c r="G5125" s="2" t="s">
        <v>10220</v>
      </c>
      <c r="H5125" s="4" t="n">
        <v>-0.2263</v>
      </c>
      <c r="I5125" s="2" t="s">
        <v>84</v>
      </c>
      <c r="J5125" s="2" t="s">
        <v>165</v>
      </c>
      <c r="K5125" s="2" t="n">
        <v>1</v>
      </c>
      <c r="L5125" s="2" t="n">
        <v>1</v>
      </c>
      <c r="M5125" s="2" t="n">
        <v>0</v>
      </c>
    </row>
    <row r="5126" customFormat="false" ht="15" hidden="false" customHeight="false" outlineLevel="0" collapsed="false">
      <c r="A5126" s="2" t="s">
        <v>10451</v>
      </c>
      <c r="B5126" s="2" t="s">
        <v>10452</v>
      </c>
      <c r="C5126" s="2" t="n">
        <v>5</v>
      </c>
      <c r="D5126" s="2" t="s">
        <v>96</v>
      </c>
      <c r="E5126" s="2" t="s">
        <v>8083</v>
      </c>
      <c r="F5126" s="3" t="n">
        <v>46154.2</v>
      </c>
      <c r="G5126" s="2" t="s">
        <v>10220</v>
      </c>
      <c r="H5126" s="4" t="n">
        <v>0.6369</v>
      </c>
      <c r="I5126" s="2" t="s">
        <v>23</v>
      </c>
      <c r="J5126" s="2" t="s">
        <v>19</v>
      </c>
      <c r="K5126" s="2" t="n">
        <v>0</v>
      </c>
      <c r="L5126" s="2" t="n">
        <v>0</v>
      </c>
      <c r="M5126" s="2" t="n">
        <v>0</v>
      </c>
    </row>
    <row r="5127" customFormat="false" ht="15" hidden="false" customHeight="false" outlineLevel="0" collapsed="false">
      <c r="A5127" s="2" t="s">
        <v>10453</v>
      </c>
      <c r="B5127" s="2" t="s">
        <v>10454</v>
      </c>
      <c r="C5127" s="2" t="n">
        <v>5</v>
      </c>
      <c r="D5127" s="2" t="s">
        <v>47</v>
      </c>
      <c r="E5127" s="2" t="s">
        <v>8083</v>
      </c>
      <c r="F5127" s="3" t="n">
        <v>46154.24375</v>
      </c>
      <c r="G5127" s="2" t="s">
        <v>10220</v>
      </c>
      <c r="H5127" s="4" t="n">
        <v>0.3089</v>
      </c>
      <c r="I5127" s="2" t="s">
        <v>23</v>
      </c>
      <c r="J5127" s="2" t="s">
        <v>19</v>
      </c>
      <c r="K5127" s="2" t="n">
        <v>8</v>
      </c>
      <c r="L5127" s="2" t="n">
        <v>0</v>
      </c>
      <c r="M5127" s="2" t="n">
        <v>0</v>
      </c>
    </row>
    <row r="5128" customFormat="false" ht="15" hidden="false" customHeight="false" outlineLevel="0" collapsed="false">
      <c r="A5128" s="2" t="s">
        <v>10455</v>
      </c>
      <c r="B5128" s="2" t="s">
        <v>10456</v>
      </c>
      <c r="C5128" s="2" t="n">
        <v>5</v>
      </c>
      <c r="D5128" s="2" t="s">
        <v>127</v>
      </c>
      <c r="E5128" s="2" t="s">
        <v>8083</v>
      </c>
      <c r="F5128" s="3" t="n">
        <v>46154.2666666667</v>
      </c>
      <c r="G5128" s="2" t="s">
        <v>10220</v>
      </c>
      <c r="H5128" s="4" t="n">
        <v>0.9359</v>
      </c>
      <c r="I5128" s="2" t="s">
        <v>23</v>
      </c>
      <c r="J5128" s="2" t="s">
        <v>37</v>
      </c>
      <c r="K5128" s="2" t="n">
        <v>1</v>
      </c>
      <c r="L5128" s="2" t="n">
        <v>0</v>
      </c>
      <c r="M5128" s="2" t="n">
        <v>0</v>
      </c>
    </row>
    <row r="5129" customFormat="false" ht="15" hidden="false" customHeight="false" outlineLevel="0" collapsed="false">
      <c r="A5129" s="2" t="s">
        <v>10457</v>
      </c>
      <c r="B5129" s="2" t="s">
        <v>10458</v>
      </c>
      <c r="C5129" s="2" t="n">
        <v>2</v>
      </c>
      <c r="D5129" s="2" t="s">
        <v>624</v>
      </c>
      <c r="E5129" s="2" t="s">
        <v>8083</v>
      </c>
      <c r="F5129" s="3" t="n">
        <v>46154.2722222222</v>
      </c>
      <c r="G5129" s="2" t="s">
        <v>10220</v>
      </c>
      <c r="H5129" s="4" t="n">
        <v>-0.25</v>
      </c>
      <c r="I5129" s="2" t="s">
        <v>84</v>
      </c>
      <c r="J5129" s="2" t="s">
        <v>37</v>
      </c>
      <c r="K5129" s="2" t="n">
        <v>2</v>
      </c>
      <c r="L5129" s="2" t="n">
        <v>1</v>
      </c>
      <c r="M5129" s="2" t="n">
        <v>0</v>
      </c>
    </row>
    <row r="5130" customFormat="false" ht="15" hidden="false" customHeight="false" outlineLevel="0" collapsed="false">
      <c r="A5130" s="2" t="s">
        <v>10459</v>
      </c>
      <c r="B5130" s="2" t="s">
        <v>10460</v>
      </c>
      <c r="C5130" s="2" t="n">
        <v>3</v>
      </c>
      <c r="D5130" s="2" t="s">
        <v>5916</v>
      </c>
      <c r="E5130" s="2" t="s">
        <v>8083</v>
      </c>
      <c r="F5130" s="3" t="n">
        <v>46154.3166666667</v>
      </c>
      <c r="G5130" s="2" t="s">
        <v>10220</v>
      </c>
      <c r="H5130" s="4" t="n">
        <v>0.2263</v>
      </c>
      <c r="I5130" s="2" t="s">
        <v>23</v>
      </c>
      <c r="J5130" s="2" t="s">
        <v>59</v>
      </c>
      <c r="K5130" s="2" t="n">
        <v>2</v>
      </c>
      <c r="L5130" s="2" t="n">
        <v>0</v>
      </c>
      <c r="M5130" s="2" t="n">
        <v>0</v>
      </c>
    </row>
    <row r="5131" customFormat="false" ht="15" hidden="false" customHeight="false" outlineLevel="0" collapsed="false">
      <c r="A5131" s="2" t="s">
        <v>10461</v>
      </c>
      <c r="B5131" s="2" t="s">
        <v>10462</v>
      </c>
      <c r="C5131" s="2" t="n">
        <v>5</v>
      </c>
      <c r="D5131" s="2" t="s">
        <v>40</v>
      </c>
      <c r="E5131" s="2" t="s">
        <v>8083</v>
      </c>
      <c r="F5131" s="3" t="n">
        <v>46154.3284722222</v>
      </c>
      <c r="G5131" s="2" t="s">
        <v>10220</v>
      </c>
      <c r="H5131" s="4" t="n">
        <v>0.4019</v>
      </c>
      <c r="I5131" s="2" t="s">
        <v>23</v>
      </c>
      <c r="J5131" s="2" t="s">
        <v>33</v>
      </c>
      <c r="K5131" s="2" t="n">
        <v>2</v>
      </c>
      <c r="L5131" s="2" t="n">
        <v>0</v>
      </c>
      <c r="M5131" s="2" t="n">
        <v>0</v>
      </c>
    </row>
    <row r="5132" customFormat="false" ht="15" hidden="false" customHeight="false" outlineLevel="0" collapsed="false">
      <c r="A5132" s="2" t="s">
        <v>10463</v>
      </c>
      <c r="B5132" s="2" t="s">
        <v>10464</v>
      </c>
      <c r="C5132" s="2" t="n">
        <v>5</v>
      </c>
      <c r="D5132" s="2" t="s">
        <v>52</v>
      </c>
      <c r="E5132" s="2" t="s">
        <v>8083</v>
      </c>
      <c r="F5132" s="3" t="n">
        <v>46154.3847222222</v>
      </c>
      <c r="G5132" s="2" t="s">
        <v>10220</v>
      </c>
      <c r="H5132" s="4" t="n">
        <v>0.6369</v>
      </c>
      <c r="I5132" s="2" t="s">
        <v>23</v>
      </c>
      <c r="J5132" s="2" t="s">
        <v>19</v>
      </c>
      <c r="K5132" s="2" t="n">
        <v>1</v>
      </c>
      <c r="L5132" s="2" t="n">
        <v>0</v>
      </c>
      <c r="M5132" s="2" t="n">
        <v>0</v>
      </c>
    </row>
    <row r="5133" customFormat="false" ht="15" hidden="false" customHeight="false" outlineLevel="0" collapsed="false">
      <c r="A5133" s="2" t="s">
        <v>10465</v>
      </c>
      <c r="B5133" s="2" t="s">
        <v>10466</v>
      </c>
      <c r="C5133" s="2" t="n">
        <v>5</v>
      </c>
      <c r="D5133" s="2" t="s">
        <v>555</v>
      </c>
      <c r="E5133" s="2" t="s">
        <v>8083</v>
      </c>
      <c r="F5133" s="3" t="n">
        <v>46154.4173611111</v>
      </c>
      <c r="G5133" s="2" t="s">
        <v>10220</v>
      </c>
      <c r="H5133" s="4" t="n">
        <v>0.8221</v>
      </c>
      <c r="I5133" s="2" t="s">
        <v>23</v>
      </c>
      <c r="J5133" s="2" t="s">
        <v>33</v>
      </c>
      <c r="K5133" s="2" t="n">
        <v>7</v>
      </c>
      <c r="L5133" s="2" t="n">
        <v>0</v>
      </c>
      <c r="M5133" s="2" t="n">
        <v>0</v>
      </c>
    </row>
    <row r="5134" customFormat="false" ht="15" hidden="false" customHeight="false" outlineLevel="0" collapsed="false">
      <c r="A5134" s="2" t="s">
        <v>10467</v>
      </c>
      <c r="B5134" s="2" t="s">
        <v>10468</v>
      </c>
      <c r="C5134" s="2" t="n">
        <v>5</v>
      </c>
      <c r="D5134" s="2" t="s">
        <v>15</v>
      </c>
      <c r="E5134" s="2" t="s">
        <v>8083</v>
      </c>
      <c r="F5134" s="3" t="n">
        <v>46154.4340277778</v>
      </c>
      <c r="G5134" s="2" t="s">
        <v>10220</v>
      </c>
      <c r="H5134" s="4" t="n">
        <v>0</v>
      </c>
      <c r="I5134" s="2" t="s">
        <v>18</v>
      </c>
      <c r="J5134" s="2" t="s">
        <v>19</v>
      </c>
      <c r="K5134" s="2" t="n">
        <v>2</v>
      </c>
      <c r="L5134" s="2" t="n">
        <v>0</v>
      </c>
      <c r="M5134" s="2" t="n">
        <v>0</v>
      </c>
    </row>
    <row r="5135" customFormat="false" ht="15" hidden="false" customHeight="false" outlineLevel="0" collapsed="false">
      <c r="A5135" s="2" t="s">
        <v>10469</v>
      </c>
      <c r="B5135" s="2" t="s">
        <v>10470</v>
      </c>
      <c r="C5135" s="2" t="n">
        <v>4</v>
      </c>
      <c r="D5135" s="2" t="s">
        <v>22</v>
      </c>
      <c r="E5135" s="2" t="s">
        <v>8083</v>
      </c>
      <c r="F5135" s="3" t="n">
        <v>46154.4826388889</v>
      </c>
      <c r="G5135" s="2" t="s">
        <v>10220</v>
      </c>
      <c r="H5135" s="4" t="n">
        <v>0.2023</v>
      </c>
      <c r="I5135" s="2" t="s">
        <v>23</v>
      </c>
      <c r="J5135" s="2" t="s">
        <v>19</v>
      </c>
      <c r="K5135" s="2" t="n">
        <v>4</v>
      </c>
      <c r="L5135" s="2" t="n">
        <v>0</v>
      </c>
      <c r="M5135" s="2" t="n">
        <v>0</v>
      </c>
    </row>
    <row r="5136" customFormat="false" ht="15" hidden="false" customHeight="false" outlineLevel="0" collapsed="false">
      <c r="A5136" s="2" t="s">
        <v>10471</v>
      </c>
      <c r="B5136" s="2" t="s">
        <v>10472</v>
      </c>
      <c r="C5136" s="2" t="n">
        <v>5</v>
      </c>
      <c r="D5136" s="2" t="s">
        <v>1878</v>
      </c>
      <c r="E5136" s="2" t="s">
        <v>8083</v>
      </c>
      <c r="F5136" s="3" t="n">
        <v>46154.5111111111</v>
      </c>
      <c r="G5136" s="2" t="s">
        <v>10220</v>
      </c>
      <c r="H5136" s="4" t="n">
        <v>0.9516</v>
      </c>
      <c r="I5136" s="2" t="s">
        <v>23</v>
      </c>
      <c r="J5136" s="2" t="s">
        <v>37</v>
      </c>
      <c r="K5136" s="2" t="n">
        <v>6</v>
      </c>
      <c r="L5136" s="2" t="n">
        <v>0</v>
      </c>
      <c r="M5136" s="2" t="n">
        <v>0</v>
      </c>
    </row>
    <row r="5137" customFormat="false" ht="15" hidden="false" customHeight="false" outlineLevel="0" collapsed="false">
      <c r="A5137" s="2" t="s">
        <v>10473</v>
      </c>
      <c r="B5137" s="2" t="s">
        <v>10474</v>
      </c>
      <c r="C5137" s="2" t="n">
        <v>3</v>
      </c>
      <c r="D5137" s="2" t="s">
        <v>87</v>
      </c>
      <c r="E5137" s="2" t="s">
        <v>8083</v>
      </c>
      <c r="F5137" s="3" t="n">
        <v>46154.5305555556</v>
      </c>
      <c r="G5137" s="2" t="s">
        <v>10220</v>
      </c>
      <c r="H5137" s="4" t="n">
        <v>0</v>
      </c>
      <c r="I5137" s="2" t="s">
        <v>18</v>
      </c>
      <c r="J5137" s="2" t="s">
        <v>19</v>
      </c>
      <c r="K5137" s="2" t="n">
        <v>2</v>
      </c>
      <c r="L5137" s="2" t="n">
        <v>0</v>
      </c>
      <c r="M5137" s="2" t="n">
        <v>0</v>
      </c>
    </row>
    <row r="5138" customFormat="false" ht="15" hidden="false" customHeight="false" outlineLevel="0" collapsed="false">
      <c r="A5138" s="2" t="s">
        <v>10475</v>
      </c>
      <c r="B5138" s="2" t="s">
        <v>10476</v>
      </c>
      <c r="C5138" s="2" t="n">
        <v>3</v>
      </c>
      <c r="D5138" s="2" t="s">
        <v>3517</v>
      </c>
      <c r="E5138" s="2" t="s">
        <v>8083</v>
      </c>
      <c r="F5138" s="3" t="n">
        <v>46154.5833333333</v>
      </c>
      <c r="G5138" s="2" t="s">
        <v>10220</v>
      </c>
      <c r="H5138" s="4" t="n">
        <v>0.5859</v>
      </c>
      <c r="I5138" s="2" t="s">
        <v>23</v>
      </c>
      <c r="J5138" s="2" t="s">
        <v>37</v>
      </c>
      <c r="K5138" s="2" t="n">
        <v>5</v>
      </c>
      <c r="L5138" s="2" t="n">
        <v>0</v>
      </c>
      <c r="M5138" s="2" t="n">
        <v>0</v>
      </c>
    </row>
    <row r="5139" customFormat="false" ht="15" hidden="false" customHeight="false" outlineLevel="0" collapsed="false">
      <c r="A5139" s="2" t="s">
        <v>10477</v>
      </c>
      <c r="B5139" s="2" t="s">
        <v>10478</v>
      </c>
      <c r="C5139" s="2" t="n">
        <v>5</v>
      </c>
      <c r="D5139" s="2" t="s">
        <v>1212</v>
      </c>
      <c r="E5139" s="2" t="s">
        <v>8083</v>
      </c>
      <c r="F5139" s="3" t="n">
        <v>46154.7347222222</v>
      </c>
      <c r="G5139" s="2" t="s">
        <v>10220</v>
      </c>
      <c r="H5139" s="4" t="n">
        <v>0.8777</v>
      </c>
      <c r="I5139" s="2" t="s">
        <v>23</v>
      </c>
      <c r="J5139" s="2" t="s">
        <v>19</v>
      </c>
      <c r="K5139" s="2" t="n">
        <v>16</v>
      </c>
      <c r="L5139" s="2" t="n">
        <v>0</v>
      </c>
      <c r="M5139" s="2" t="n">
        <v>0</v>
      </c>
    </row>
    <row r="5140" customFormat="false" ht="15" hidden="false" customHeight="false" outlineLevel="0" collapsed="false">
      <c r="A5140" s="2" t="s">
        <v>10479</v>
      </c>
      <c r="B5140" s="2" t="s">
        <v>10480</v>
      </c>
      <c r="C5140" s="2" t="n">
        <v>5</v>
      </c>
      <c r="D5140" s="2" t="s">
        <v>127</v>
      </c>
      <c r="E5140" s="2" t="s">
        <v>8083</v>
      </c>
      <c r="F5140" s="3" t="n">
        <v>46154.8305555556</v>
      </c>
      <c r="G5140" s="2" t="s">
        <v>10220</v>
      </c>
      <c r="H5140" s="4" t="n">
        <v>0.9359</v>
      </c>
      <c r="I5140" s="2" t="s">
        <v>23</v>
      </c>
      <c r="J5140" s="2" t="s">
        <v>37</v>
      </c>
      <c r="K5140" s="2" t="n">
        <v>4</v>
      </c>
      <c r="L5140" s="2" t="n">
        <v>0</v>
      </c>
      <c r="M5140" s="2" t="n">
        <v>0</v>
      </c>
    </row>
    <row r="5141" customFormat="false" ht="15" hidden="false" customHeight="false" outlineLevel="0" collapsed="false">
      <c r="A5141" s="2" t="s">
        <v>10481</v>
      </c>
      <c r="B5141" s="2" t="s">
        <v>10482</v>
      </c>
      <c r="C5141" s="2" t="n">
        <v>5</v>
      </c>
      <c r="D5141" s="2" t="s">
        <v>96</v>
      </c>
      <c r="E5141" s="2" t="s">
        <v>8083</v>
      </c>
      <c r="F5141" s="3" t="n">
        <v>46154.90625</v>
      </c>
      <c r="G5141" s="2" t="s">
        <v>10220</v>
      </c>
      <c r="H5141" s="4" t="n">
        <v>0.6369</v>
      </c>
      <c r="I5141" s="2" t="s">
        <v>23</v>
      </c>
      <c r="J5141" s="2" t="s">
        <v>19</v>
      </c>
      <c r="K5141" s="2" t="n">
        <v>3</v>
      </c>
      <c r="L5141" s="2" t="n">
        <v>0</v>
      </c>
      <c r="M5141" s="2" t="n">
        <v>0</v>
      </c>
    </row>
    <row r="5142" customFormat="false" ht="15" hidden="false" customHeight="false" outlineLevel="0" collapsed="false">
      <c r="A5142" s="2" t="s">
        <v>10483</v>
      </c>
      <c r="B5142" s="2" t="s">
        <v>10484</v>
      </c>
      <c r="C5142" s="2" t="n">
        <v>5</v>
      </c>
      <c r="D5142" s="2" t="s">
        <v>15</v>
      </c>
      <c r="E5142" s="2" t="s">
        <v>8083</v>
      </c>
      <c r="F5142" s="3" t="n">
        <v>46154.925</v>
      </c>
      <c r="G5142" s="2" t="s">
        <v>10220</v>
      </c>
      <c r="H5142" s="4" t="n">
        <v>0</v>
      </c>
      <c r="I5142" s="2" t="s">
        <v>18</v>
      </c>
      <c r="J5142" s="2" t="s">
        <v>19</v>
      </c>
      <c r="K5142" s="2" t="n">
        <v>14</v>
      </c>
      <c r="L5142" s="2" t="n">
        <v>0</v>
      </c>
      <c r="M5142" s="2" t="n">
        <v>0</v>
      </c>
    </row>
    <row r="5143" customFormat="false" ht="15" hidden="false" customHeight="false" outlineLevel="0" collapsed="false">
      <c r="A5143" s="2" t="s">
        <v>10485</v>
      </c>
      <c r="B5143" s="2" t="s">
        <v>10486</v>
      </c>
      <c r="C5143" s="2" t="n">
        <v>3</v>
      </c>
      <c r="D5143" s="2" t="s">
        <v>32</v>
      </c>
      <c r="E5143" s="2" t="s">
        <v>8083</v>
      </c>
      <c r="F5143" s="3" t="n">
        <v>46154.9284722222</v>
      </c>
      <c r="G5143" s="2" t="s">
        <v>10220</v>
      </c>
      <c r="H5143" s="4" t="n">
        <v>0.2023</v>
      </c>
      <c r="I5143" s="2" t="s">
        <v>23</v>
      </c>
      <c r="J5143" s="2" t="s">
        <v>33</v>
      </c>
      <c r="K5143" s="2" t="n">
        <v>0</v>
      </c>
      <c r="L5143" s="2" t="n">
        <v>0</v>
      </c>
      <c r="M5143" s="2" t="n">
        <v>0</v>
      </c>
    </row>
    <row r="5144" customFormat="false" ht="15" hidden="false" customHeight="false" outlineLevel="0" collapsed="false">
      <c r="A5144" s="2" t="s">
        <v>10487</v>
      </c>
      <c r="B5144" s="2" t="s">
        <v>10488</v>
      </c>
      <c r="C5144" s="2" t="n">
        <v>4</v>
      </c>
      <c r="D5144" s="2" t="s">
        <v>301</v>
      </c>
      <c r="E5144" s="2" t="s">
        <v>8083</v>
      </c>
      <c r="F5144" s="3" t="n">
        <v>46155.1111111111</v>
      </c>
      <c r="G5144" s="2" t="s">
        <v>10220</v>
      </c>
      <c r="H5144" s="4" t="n">
        <v>0.2263</v>
      </c>
      <c r="I5144" s="2" t="s">
        <v>23</v>
      </c>
      <c r="J5144" s="2" t="s">
        <v>19</v>
      </c>
      <c r="K5144" s="2" t="n">
        <v>1</v>
      </c>
      <c r="L5144" s="2" t="n">
        <v>0</v>
      </c>
      <c r="M5144" s="2" t="n">
        <v>0</v>
      </c>
    </row>
    <row r="5145" customFormat="false" ht="15" hidden="false" customHeight="false" outlineLevel="0" collapsed="false">
      <c r="A5145" s="2" t="s">
        <v>10489</v>
      </c>
      <c r="B5145" s="2" t="s">
        <v>10490</v>
      </c>
      <c r="C5145" s="2" t="n">
        <v>5</v>
      </c>
      <c r="D5145" s="2" t="s">
        <v>93</v>
      </c>
      <c r="E5145" s="2" t="s">
        <v>8083</v>
      </c>
      <c r="F5145" s="3" t="n">
        <v>46155.29375</v>
      </c>
      <c r="G5145" s="2" t="s">
        <v>10220</v>
      </c>
      <c r="H5145" s="4" t="n">
        <v>0.8008</v>
      </c>
      <c r="I5145" s="2" t="s">
        <v>23</v>
      </c>
      <c r="J5145" s="2" t="s">
        <v>33</v>
      </c>
      <c r="K5145" s="2" t="n">
        <v>1</v>
      </c>
      <c r="L5145" s="2" t="n">
        <v>0</v>
      </c>
      <c r="M5145" s="2" t="n">
        <v>0</v>
      </c>
    </row>
    <row r="5146" customFormat="false" ht="15" hidden="false" customHeight="false" outlineLevel="0" collapsed="false">
      <c r="A5146" s="2" t="s">
        <v>10491</v>
      </c>
      <c r="B5146" s="2" t="s">
        <v>10492</v>
      </c>
      <c r="C5146" s="2" t="n">
        <v>4</v>
      </c>
      <c r="D5146" s="2" t="s">
        <v>22</v>
      </c>
      <c r="E5146" s="2" t="s">
        <v>8083</v>
      </c>
      <c r="F5146" s="3" t="n">
        <v>46155.6104166667</v>
      </c>
      <c r="G5146" s="2" t="s">
        <v>10220</v>
      </c>
      <c r="H5146" s="4" t="n">
        <v>0.2023</v>
      </c>
      <c r="I5146" s="2" t="s">
        <v>23</v>
      </c>
      <c r="J5146" s="2" t="s">
        <v>19</v>
      </c>
      <c r="K5146" s="2" t="n">
        <v>0</v>
      </c>
      <c r="L5146" s="2" t="n">
        <v>0</v>
      </c>
      <c r="M5146" s="2" t="n">
        <v>0</v>
      </c>
    </row>
    <row r="5147" customFormat="false" ht="15" hidden="false" customHeight="false" outlineLevel="0" collapsed="false">
      <c r="A5147" s="2" t="s">
        <v>10493</v>
      </c>
      <c r="B5147" s="2" t="s">
        <v>3281</v>
      </c>
      <c r="C5147" s="2" t="n">
        <v>5</v>
      </c>
      <c r="D5147" s="2" t="s">
        <v>96</v>
      </c>
      <c r="E5147" s="2" t="s">
        <v>8083</v>
      </c>
      <c r="F5147" s="3" t="n">
        <v>46155.6840277778</v>
      </c>
      <c r="G5147" s="2" t="s">
        <v>10220</v>
      </c>
      <c r="H5147" s="4" t="n">
        <v>0.6369</v>
      </c>
      <c r="I5147" s="2" t="s">
        <v>23</v>
      </c>
      <c r="J5147" s="2" t="s">
        <v>19</v>
      </c>
      <c r="K5147" s="2" t="n">
        <v>3</v>
      </c>
      <c r="L5147" s="2" t="n">
        <v>0</v>
      </c>
      <c r="M5147" s="2" t="n">
        <v>0</v>
      </c>
    </row>
    <row r="5148" customFormat="false" ht="15" hidden="false" customHeight="false" outlineLevel="0" collapsed="false">
      <c r="A5148" s="2" t="s">
        <v>10494</v>
      </c>
      <c r="B5148" s="2" t="s">
        <v>10495</v>
      </c>
      <c r="C5148" s="2" t="n">
        <v>1</v>
      </c>
      <c r="D5148" s="2" t="s">
        <v>109</v>
      </c>
      <c r="E5148" s="2" t="s">
        <v>8083</v>
      </c>
      <c r="F5148" s="3" t="n">
        <v>46155.8125</v>
      </c>
      <c r="G5148" s="2" t="s">
        <v>10220</v>
      </c>
      <c r="H5148" s="4" t="n">
        <v>0</v>
      </c>
      <c r="I5148" s="2" t="s">
        <v>18</v>
      </c>
      <c r="J5148" s="2" t="s">
        <v>110</v>
      </c>
      <c r="K5148" s="2" t="n">
        <v>2</v>
      </c>
      <c r="L5148" s="2" t="n">
        <v>1</v>
      </c>
      <c r="M5148" s="2" t="n">
        <v>0</v>
      </c>
    </row>
    <row r="5149" customFormat="false" ht="15" hidden="false" customHeight="false" outlineLevel="0" collapsed="false">
      <c r="A5149" s="2" t="s">
        <v>10496</v>
      </c>
      <c r="B5149" s="2" t="s">
        <v>10497</v>
      </c>
      <c r="C5149" s="2" t="n">
        <v>3</v>
      </c>
      <c r="D5149" s="2" t="s">
        <v>301</v>
      </c>
      <c r="E5149" s="2" t="s">
        <v>8083</v>
      </c>
      <c r="F5149" s="3" t="n">
        <v>46156.2291666667</v>
      </c>
      <c r="G5149" s="2" t="s">
        <v>10220</v>
      </c>
      <c r="H5149" s="4" t="n">
        <v>0.2263</v>
      </c>
      <c r="I5149" s="2" t="s">
        <v>23</v>
      </c>
      <c r="J5149" s="2" t="s">
        <v>19</v>
      </c>
      <c r="K5149" s="2" t="n">
        <v>1</v>
      </c>
      <c r="L5149" s="2" t="n">
        <v>0</v>
      </c>
      <c r="M5149" s="2" t="n">
        <v>0</v>
      </c>
    </row>
    <row r="5150" customFormat="false" ht="15" hidden="false" customHeight="false" outlineLevel="0" collapsed="false">
      <c r="A5150" s="2" t="s">
        <v>10498</v>
      </c>
      <c r="B5150" s="2" t="s">
        <v>10499</v>
      </c>
      <c r="C5150" s="2" t="n">
        <v>5</v>
      </c>
      <c r="D5150" s="2" t="s">
        <v>834</v>
      </c>
      <c r="E5150" s="2" t="s">
        <v>8083</v>
      </c>
      <c r="F5150" s="3" t="n">
        <v>46156.2395833333</v>
      </c>
      <c r="G5150" s="2" t="s">
        <v>10220</v>
      </c>
      <c r="H5150" s="4" t="n">
        <v>0.9481</v>
      </c>
      <c r="I5150" s="2" t="s">
        <v>23</v>
      </c>
      <c r="J5150" s="2" t="s">
        <v>37</v>
      </c>
      <c r="K5150" s="2" t="n">
        <v>3</v>
      </c>
      <c r="L5150" s="2" t="n">
        <v>0</v>
      </c>
      <c r="M5150" s="2" t="n">
        <v>0</v>
      </c>
    </row>
    <row r="5151" customFormat="false" ht="15" hidden="false" customHeight="false" outlineLevel="0" collapsed="false">
      <c r="A5151" s="2" t="s">
        <v>10500</v>
      </c>
      <c r="B5151" s="2" t="s">
        <v>10501</v>
      </c>
      <c r="C5151" s="2" t="n">
        <v>5</v>
      </c>
      <c r="D5151" s="2" t="s">
        <v>47</v>
      </c>
      <c r="E5151" s="2" t="s">
        <v>8083</v>
      </c>
      <c r="F5151" s="3" t="n">
        <v>46156.4763888889</v>
      </c>
      <c r="G5151" s="2" t="s">
        <v>10220</v>
      </c>
      <c r="H5151" s="4" t="n">
        <v>0.3089</v>
      </c>
      <c r="I5151" s="2" t="s">
        <v>23</v>
      </c>
      <c r="J5151" s="2" t="s">
        <v>19</v>
      </c>
      <c r="K5151" s="2" t="n">
        <v>4</v>
      </c>
      <c r="L5151" s="2" t="n">
        <v>0</v>
      </c>
      <c r="M5151" s="2" t="n">
        <v>0</v>
      </c>
    </row>
    <row r="5152" customFormat="false" ht="15" hidden="false" customHeight="false" outlineLevel="0" collapsed="false">
      <c r="A5152" s="2" t="s">
        <v>10502</v>
      </c>
      <c r="B5152" s="2" t="s">
        <v>10503</v>
      </c>
      <c r="C5152" s="2" t="n">
        <v>5</v>
      </c>
      <c r="D5152" s="2" t="s">
        <v>47</v>
      </c>
      <c r="E5152" s="2" t="s">
        <v>8083</v>
      </c>
      <c r="F5152" s="3" t="n">
        <v>46156.5263888889</v>
      </c>
      <c r="G5152" s="2" t="s">
        <v>10220</v>
      </c>
      <c r="H5152" s="4" t="n">
        <v>0.3089</v>
      </c>
      <c r="I5152" s="2" t="s">
        <v>23</v>
      </c>
      <c r="J5152" s="2" t="s">
        <v>19</v>
      </c>
      <c r="K5152" s="2" t="n">
        <v>3</v>
      </c>
      <c r="L5152" s="2" t="n">
        <v>0</v>
      </c>
      <c r="M5152" s="2" t="n">
        <v>0</v>
      </c>
    </row>
    <row r="5153" customFormat="false" ht="15" hidden="false" customHeight="false" outlineLevel="0" collapsed="false">
      <c r="A5153" s="2" t="s">
        <v>10504</v>
      </c>
      <c r="B5153" s="2" t="s">
        <v>10505</v>
      </c>
      <c r="C5153" s="2" t="n">
        <v>1</v>
      </c>
      <c r="D5153" s="2" t="s">
        <v>823</v>
      </c>
      <c r="E5153" s="2" t="s">
        <v>8083</v>
      </c>
      <c r="F5153" s="3" t="n">
        <v>46156.6416666667</v>
      </c>
      <c r="G5153" s="2" t="s">
        <v>10220</v>
      </c>
      <c r="H5153" s="4" t="n">
        <v>-0.6997</v>
      </c>
      <c r="I5153" s="2" t="s">
        <v>84</v>
      </c>
      <c r="J5153" s="2" t="s">
        <v>19</v>
      </c>
      <c r="K5153" s="2" t="n">
        <v>0</v>
      </c>
      <c r="L5153" s="2" t="n">
        <v>1</v>
      </c>
      <c r="M5153" s="2" t="n">
        <v>0</v>
      </c>
    </row>
    <row r="5154" customFormat="false" ht="15" hidden="false" customHeight="false" outlineLevel="0" collapsed="false">
      <c r="A5154" s="2" t="s">
        <v>10506</v>
      </c>
      <c r="B5154" s="2" t="s">
        <v>10507</v>
      </c>
      <c r="C5154" s="2" t="n">
        <v>5</v>
      </c>
      <c r="D5154" s="2" t="s">
        <v>62</v>
      </c>
      <c r="E5154" s="2" t="s">
        <v>8083</v>
      </c>
      <c r="F5154" s="3" t="n">
        <v>46156.6666666667</v>
      </c>
      <c r="G5154" s="2" t="s">
        <v>10220</v>
      </c>
      <c r="H5154" s="4" t="n">
        <v>0.7088</v>
      </c>
      <c r="I5154" s="2" t="s">
        <v>23</v>
      </c>
      <c r="J5154" s="2" t="s">
        <v>19</v>
      </c>
      <c r="K5154" s="2" t="n">
        <v>2</v>
      </c>
      <c r="L5154" s="2" t="n">
        <v>0</v>
      </c>
      <c r="M5154" s="2" t="n">
        <v>0</v>
      </c>
    </row>
    <row r="5155" customFormat="false" ht="15" hidden="false" customHeight="false" outlineLevel="0" collapsed="false">
      <c r="A5155" s="2" t="s">
        <v>10508</v>
      </c>
      <c r="B5155" s="2" t="s">
        <v>10509</v>
      </c>
      <c r="C5155" s="2" t="n">
        <v>5</v>
      </c>
      <c r="D5155" s="2" t="s">
        <v>565</v>
      </c>
      <c r="E5155" s="2" t="s">
        <v>8083</v>
      </c>
      <c r="F5155" s="3" t="n">
        <v>46156.7833333333</v>
      </c>
      <c r="G5155" s="2" t="s">
        <v>10220</v>
      </c>
      <c r="H5155" s="4" t="n">
        <v>0.7549</v>
      </c>
      <c r="I5155" s="2" t="s">
        <v>23</v>
      </c>
      <c r="J5155" s="2" t="s">
        <v>19</v>
      </c>
      <c r="K5155" s="2" t="n">
        <v>0</v>
      </c>
      <c r="L5155" s="2" t="n">
        <v>0</v>
      </c>
      <c r="M5155" s="2" t="n">
        <v>0</v>
      </c>
    </row>
    <row r="5156" customFormat="false" ht="15" hidden="false" customHeight="false" outlineLevel="0" collapsed="false">
      <c r="A5156" s="2" t="s">
        <v>10510</v>
      </c>
      <c r="B5156" s="2" t="s">
        <v>10511</v>
      </c>
      <c r="C5156" s="2" t="n">
        <v>4</v>
      </c>
      <c r="D5156" s="2" t="s">
        <v>127</v>
      </c>
      <c r="E5156" s="2" t="s">
        <v>8083</v>
      </c>
      <c r="F5156" s="3" t="n">
        <v>46156.8083333333</v>
      </c>
      <c r="G5156" s="2" t="s">
        <v>10220</v>
      </c>
      <c r="H5156" s="4" t="n">
        <v>0.9359</v>
      </c>
      <c r="I5156" s="2" t="s">
        <v>23</v>
      </c>
      <c r="J5156" s="2" t="s">
        <v>37</v>
      </c>
      <c r="K5156" s="2" t="n">
        <v>0</v>
      </c>
      <c r="L5156" s="2" t="n">
        <v>0</v>
      </c>
      <c r="M5156" s="2" t="n">
        <v>0</v>
      </c>
    </row>
    <row r="5157" customFormat="false" ht="15" hidden="false" customHeight="false" outlineLevel="0" collapsed="false">
      <c r="A5157" s="2" t="s">
        <v>10512</v>
      </c>
      <c r="B5157" s="2" t="s">
        <v>6543</v>
      </c>
      <c r="C5157" s="2" t="n">
        <v>5</v>
      </c>
      <c r="D5157" s="2" t="s">
        <v>52</v>
      </c>
      <c r="E5157" s="2" t="s">
        <v>8083</v>
      </c>
      <c r="F5157" s="3" t="n">
        <v>46156.9215277778</v>
      </c>
      <c r="G5157" s="2" t="s">
        <v>10220</v>
      </c>
      <c r="H5157" s="4" t="n">
        <v>0.6369</v>
      </c>
      <c r="I5157" s="2" t="s">
        <v>23</v>
      </c>
      <c r="J5157" s="2" t="s">
        <v>19</v>
      </c>
      <c r="K5157" s="2" t="n">
        <v>2</v>
      </c>
      <c r="L5157" s="2" t="n">
        <v>0</v>
      </c>
      <c r="M5157" s="2" t="n">
        <v>0</v>
      </c>
    </row>
    <row r="5158" customFormat="false" ht="15" hidden="false" customHeight="false" outlineLevel="0" collapsed="false">
      <c r="A5158" s="2" t="s">
        <v>10513</v>
      </c>
      <c r="B5158" s="2" t="s">
        <v>10514</v>
      </c>
      <c r="C5158" s="2" t="n">
        <v>5</v>
      </c>
      <c r="D5158" s="2" t="s">
        <v>40</v>
      </c>
      <c r="E5158" s="2" t="s">
        <v>8083</v>
      </c>
      <c r="F5158" s="3" t="n">
        <v>46156.9409722222</v>
      </c>
      <c r="G5158" s="2" t="s">
        <v>10220</v>
      </c>
      <c r="H5158" s="4" t="n">
        <v>0.4019</v>
      </c>
      <c r="I5158" s="2" t="s">
        <v>23</v>
      </c>
      <c r="J5158" s="2" t="s">
        <v>33</v>
      </c>
      <c r="K5158" s="2" t="n">
        <v>1</v>
      </c>
      <c r="L5158" s="2" t="n">
        <v>0</v>
      </c>
      <c r="M5158" s="2" t="n">
        <v>0</v>
      </c>
    </row>
    <row r="5159" customFormat="false" ht="15" hidden="false" customHeight="false" outlineLevel="0" collapsed="false">
      <c r="A5159" s="2" t="s">
        <v>10515</v>
      </c>
      <c r="B5159" s="2" t="s">
        <v>10516</v>
      </c>
      <c r="C5159" s="2" t="n">
        <v>5</v>
      </c>
      <c r="D5159" s="2" t="s">
        <v>47</v>
      </c>
      <c r="E5159" s="2" t="s">
        <v>8083</v>
      </c>
      <c r="F5159" s="3" t="n">
        <v>46157.1354166667</v>
      </c>
      <c r="G5159" s="2" t="s">
        <v>10220</v>
      </c>
      <c r="H5159" s="4" t="n">
        <v>0.3089</v>
      </c>
      <c r="I5159" s="2" t="s">
        <v>23</v>
      </c>
      <c r="J5159" s="2" t="s">
        <v>19</v>
      </c>
      <c r="K5159" s="2" t="n">
        <v>1</v>
      </c>
      <c r="L5159" s="2" t="n">
        <v>0</v>
      </c>
      <c r="M5159" s="2" t="n">
        <v>0</v>
      </c>
    </row>
    <row r="5160" customFormat="false" ht="15" hidden="false" customHeight="false" outlineLevel="0" collapsed="false">
      <c r="A5160" s="2" t="s">
        <v>10517</v>
      </c>
      <c r="B5160" s="2" t="s">
        <v>10518</v>
      </c>
      <c r="C5160" s="2" t="n">
        <v>5</v>
      </c>
      <c r="D5160" s="2" t="s">
        <v>40</v>
      </c>
      <c r="E5160" s="2" t="s">
        <v>8083</v>
      </c>
      <c r="F5160" s="3" t="n">
        <v>46157.18125</v>
      </c>
      <c r="G5160" s="2" t="s">
        <v>10220</v>
      </c>
      <c r="H5160" s="4" t="n">
        <v>0.4019</v>
      </c>
      <c r="I5160" s="2" t="s">
        <v>23</v>
      </c>
      <c r="J5160" s="2" t="s">
        <v>33</v>
      </c>
      <c r="K5160" s="2" t="n">
        <v>3</v>
      </c>
      <c r="L5160" s="2" t="n">
        <v>0</v>
      </c>
      <c r="M5160" s="2" t="n">
        <v>0</v>
      </c>
    </row>
    <row r="5161" customFormat="false" ht="15" hidden="false" customHeight="false" outlineLevel="0" collapsed="false">
      <c r="A5161" s="2" t="s">
        <v>10519</v>
      </c>
      <c r="B5161" s="2" t="s">
        <v>10520</v>
      </c>
      <c r="C5161" s="2" t="n">
        <v>4</v>
      </c>
      <c r="D5161" s="2" t="s">
        <v>36</v>
      </c>
      <c r="E5161" s="2" t="s">
        <v>8083</v>
      </c>
      <c r="F5161" s="3" t="n">
        <v>46157.2298611111</v>
      </c>
      <c r="G5161" s="2" t="s">
        <v>10220</v>
      </c>
      <c r="H5161" s="4" t="n">
        <v>0.4404</v>
      </c>
      <c r="I5161" s="2" t="s">
        <v>23</v>
      </c>
      <c r="J5161" s="2" t="s">
        <v>37</v>
      </c>
      <c r="K5161" s="2" t="n">
        <v>10</v>
      </c>
      <c r="L5161" s="2" t="n">
        <v>0</v>
      </c>
      <c r="M5161" s="2" t="n">
        <v>0</v>
      </c>
    </row>
    <row r="5162" customFormat="false" ht="15" hidden="false" customHeight="false" outlineLevel="0" collapsed="false">
      <c r="A5162" s="2" t="s">
        <v>10521</v>
      </c>
      <c r="B5162" s="2" t="s">
        <v>10522</v>
      </c>
      <c r="C5162" s="2" t="n">
        <v>5</v>
      </c>
      <c r="D5162" s="2" t="s">
        <v>799</v>
      </c>
      <c r="E5162" s="2" t="s">
        <v>8083</v>
      </c>
      <c r="F5162" s="3" t="n">
        <v>46157.3270833333</v>
      </c>
      <c r="G5162" s="2" t="s">
        <v>10220</v>
      </c>
      <c r="H5162" s="4" t="n">
        <v>0.9606</v>
      </c>
      <c r="I5162" s="2" t="s">
        <v>23</v>
      </c>
      <c r="J5162" s="2" t="s">
        <v>37</v>
      </c>
      <c r="K5162" s="2" t="n">
        <v>2</v>
      </c>
      <c r="L5162" s="2" t="n">
        <v>0</v>
      </c>
      <c r="M5162" s="2" t="n">
        <v>0</v>
      </c>
    </row>
    <row r="5163" customFormat="false" ht="15" hidden="false" customHeight="false" outlineLevel="0" collapsed="false">
      <c r="A5163" s="2" t="s">
        <v>10523</v>
      </c>
      <c r="B5163" s="2" t="s">
        <v>10524</v>
      </c>
      <c r="C5163" s="2" t="n">
        <v>1</v>
      </c>
      <c r="D5163" s="2" t="s">
        <v>168</v>
      </c>
      <c r="E5163" s="2" t="s">
        <v>8083</v>
      </c>
      <c r="F5163" s="3" t="n">
        <v>46157.38125</v>
      </c>
      <c r="G5163" s="2" t="s">
        <v>10220</v>
      </c>
      <c r="H5163" s="4" t="n">
        <v>-0.1027</v>
      </c>
      <c r="I5163" s="2" t="s">
        <v>84</v>
      </c>
      <c r="J5163" s="2" t="s">
        <v>33</v>
      </c>
      <c r="K5163" s="2" t="n">
        <v>0</v>
      </c>
      <c r="L5163" s="2" t="n">
        <v>1</v>
      </c>
      <c r="M5163" s="2" t="n">
        <v>0</v>
      </c>
    </row>
    <row r="5164" customFormat="false" ht="15" hidden="false" customHeight="false" outlineLevel="0" collapsed="false">
      <c r="A5164" s="2" t="s">
        <v>10525</v>
      </c>
      <c r="B5164" s="2" t="s">
        <v>10526</v>
      </c>
      <c r="C5164" s="2" t="n">
        <v>5</v>
      </c>
      <c r="D5164" s="2" t="s">
        <v>96</v>
      </c>
      <c r="E5164" s="2" t="s">
        <v>8083</v>
      </c>
      <c r="F5164" s="3" t="n">
        <v>46157.4576388889</v>
      </c>
      <c r="G5164" s="2" t="s">
        <v>10220</v>
      </c>
      <c r="H5164" s="4" t="n">
        <v>0.6369</v>
      </c>
      <c r="I5164" s="2" t="s">
        <v>23</v>
      </c>
      <c r="J5164" s="2" t="s">
        <v>19</v>
      </c>
      <c r="K5164" s="2" t="n">
        <v>0</v>
      </c>
      <c r="L5164" s="2" t="n">
        <v>0</v>
      </c>
      <c r="M5164" s="2" t="n">
        <v>0</v>
      </c>
    </row>
    <row r="5165" customFormat="false" ht="15" hidden="false" customHeight="false" outlineLevel="0" collapsed="false">
      <c r="A5165" s="2" t="s">
        <v>10527</v>
      </c>
      <c r="B5165" s="2" t="s">
        <v>10528</v>
      </c>
      <c r="C5165" s="2" t="n">
        <v>3</v>
      </c>
      <c r="D5165" s="2" t="s">
        <v>32</v>
      </c>
      <c r="E5165" s="2" t="s">
        <v>8083</v>
      </c>
      <c r="F5165" s="3" t="n">
        <v>46157.5993055556</v>
      </c>
      <c r="G5165" s="2" t="s">
        <v>10220</v>
      </c>
      <c r="H5165" s="4" t="n">
        <v>0.2023</v>
      </c>
      <c r="I5165" s="2" t="s">
        <v>23</v>
      </c>
      <c r="J5165" s="2" t="s">
        <v>33</v>
      </c>
      <c r="K5165" s="2" t="n">
        <v>8</v>
      </c>
      <c r="L5165" s="2" t="n">
        <v>0</v>
      </c>
      <c r="M5165" s="2" t="n">
        <v>0</v>
      </c>
    </row>
    <row r="5166" customFormat="false" ht="15" hidden="false" customHeight="false" outlineLevel="0" collapsed="false">
      <c r="A5166" s="2" t="s">
        <v>10529</v>
      </c>
      <c r="B5166" s="2" t="s">
        <v>10530</v>
      </c>
      <c r="C5166" s="2" t="n">
        <v>4</v>
      </c>
      <c r="D5166" s="2" t="s">
        <v>96</v>
      </c>
      <c r="E5166" s="2" t="s">
        <v>8083</v>
      </c>
      <c r="F5166" s="3" t="n">
        <v>46157.6076388889</v>
      </c>
      <c r="G5166" s="2" t="s">
        <v>10220</v>
      </c>
      <c r="H5166" s="4" t="n">
        <v>0.6369</v>
      </c>
      <c r="I5166" s="2" t="s">
        <v>23</v>
      </c>
      <c r="J5166" s="2" t="s">
        <v>19</v>
      </c>
      <c r="K5166" s="2" t="n">
        <v>6</v>
      </c>
      <c r="L5166" s="2" t="n">
        <v>1</v>
      </c>
      <c r="M5166" s="2" t="n">
        <v>0</v>
      </c>
    </row>
    <row r="5167" customFormat="false" ht="15" hidden="false" customHeight="false" outlineLevel="0" collapsed="false">
      <c r="A5167" s="2" t="s">
        <v>10531</v>
      </c>
      <c r="B5167" s="2" t="s">
        <v>10532</v>
      </c>
      <c r="C5167" s="2" t="n">
        <v>3</v>
      </c>
      <c r="D5167" s="2" t="s">
        <v>301</v>
      </c>
      <c r="E5167" s="2" t="s">
        <v>8083</v>
      </c>
      <c r="F5167" s="3" t="n">
        <v>46157.6298611111</v>
      </c>
      <c r="G5167" s="2" t="s">
        <v>10220</v>
      </c>
      <c r="H5167" s="4" t="n">
        <v>0.2263</v>
      </c>
      <c r="I5167" s="2" t="s">
        <v>23</v>
      </c>
      <c r="J5167" s="2" t="s">
        <v>19</v>
      </c>
      <c r="K5167" s="2" t="n">
        <v>7</v>
      </c>
      <c r="L5167" s="2" t="n">
        <v>0</v>
      </c>
      <c r="M5167" s="2" t="n">
        <v>0</v>
      </c>
    </row>
    <row r="5168" customFormat="false" ht="15" hidden="false" customHeight="false" outlineLevel="0" collapsed="false">
      <c r="A5168" s="2" t="s">
        <v>10533</v>
      </c>
      <c r="B5168" s="2" t="s">
        <v>10534</v>
      </c>
      <c r="C5168" s="2" t="n">
        <v>1</v>
      </c>
      <c r="D5168" s="2" t="s">
        <v>234</v>
      </c>
      <c r="E5168" s="2" t="s">
        <v>8083</v>
      </c>
      <c r="F5168" s="3" t="n">
        <v>46157.7756944444</v>
      </c>
      <c r="G5168" s="2" t="s">
        <v>10220</v>
      </c>
      <c r="H5168" s="4" t="n">
        <v>0</v>
      </c>
      <c r="I5168" s="2" t="s">
        <v>18</v>
      </c>
      <c r="J5168" s="2" t="s">
        <v>165</v>
      </c>
      <c r="K5168" s="2" t="n">
        <v>0</v>
      </c>
      <c r="L5168" s="2" t="n">
        <v>1</v>
      </c>
      <c r="M5168" s="2" t="n">
        <v>0</v>
      </c>
    </row>
    <row r="5169" customFormat="false" ht="15" hidden="false" customHeight="false" outlineLevel="0" collapsed="false">
      <c r="A5169" s="2" t="s">
        <v>10535</v>
      </c>
      <c r="B5169" s="2" t="s">
        <v>10536</v>
      </c>
      <c r="C5169" s="2" t="n">
        <v>5</v>
      </c>
      <c r="D5169" s="2" t="s">
        <v>1052</v>
      </c>
      <c r="E5169" s="2" t="s">
        <v>8083</v>
      </c>
      <c r="F5169" s="3" t="n">
        <v>46157.7881944445</v>
      </c>
      <c r="G5169" s="2" t="s">
        <v>10220</v>
      </c>
      <c r="H5169" s="4" t="n">
        <v>0.7088</v>
      </c>
      <c r="I5169" s="2" t="s">
        <v>23</v>
      </c>
      <c r="J5169" s="2" t="s">
        <v>19</v>
      </c>
      <c r="K5169" s="2" t="n">
        <v>3</v>
      </c>
      <c r="L5169" s="2" t="n">
        <v>0</v>
      </c>
      <c r="M5169" s="2" t="n">
        <v>0</v>
      </c>
    </row>
    <row r="5170" customFormat="false" ht="15" hidden="false" customHeight="false" outlineLevel="0" collapsed="false">
      <c r="A5170" s="2" t="s">
        <v>10537</v>
      </c>
      <c r="B5170" s="2" t="s">
        <v>10538</v>
      </c>
      <c r="C5170" s="2" t="n">
        <v>4</v>
      </c>
      <c r="D5170" s="2" t="s">
        <v>127</v>
      </c>
      <c r="E5170" s="2" t="s">
        <v>8083</v>
      </c>
      <c r="F5170" s="3" t="n">
        <v>46157.8125</v>
      </c>
      <c r="G5170" s="2" t="s">
        <v>10220</v>
      </c>
      <c r="H5170" s="4" t="n">
        <v>0.9359</v>
      </c>
      <c r="I5170" s="2" t="s">
        <v>23</v>
      </c>
      <c r="J5170" s="2" t="s">
        <v>37</v>
      </c>
      <c r="K5170" s="2" t="n">
        <v>1</v>
      </c>
      <c r="L5170" s="2" t="n">
        <v>0</v>
      </c>
      <c r="M5170" s="2" t="n">
        <v>0</v>
      </c>
    </row>
    <row r="5171" customFormat="false" ht="15" hidden="false" customHeight="false" outlineLevel="0" collapsed="false">
      <c r="A5171" s="2" t="s">
        <v>10539</v>
      </c>
      <c r="B5171" s="2" t="s">
        <v>2091</v>
      </c>
      <c r="C5171" s="2" t="n">
        <v>1</v>
      </c>
      <c r="D5171" s="2" t="s">
        <v>1725</v>
      </c>
      <c r="E5171" s="2" t="s">
        <v>8083</v>
      </c>
      <c r="F5171" s="3" t="n">
        <v>46157.8965277778</v>
      </c>
      <c r="G5171" s="2" t="s">
        <v>10220</v>
      </c>
      <c r="H5171" s="4" t="n">
        <v>0.4404</v>
      </c>
      <c r="I5171" s="2" t="s">
        <v>23</v>
      </c>
      <c r="J5171" s="2" t="s">
        <v>59</v>
      </c>
      <c r="K5171" s="2" t="n">
        <v>1</v>
      </c>
      <c r="L5171" s="2" t="n">
        <v>0</v>
      </c>
      <c r="M5171" s="2" t="n">
        <v>0</v>
      </c>
    </row>
    <row r="5172" customFormat="false" ht="15" hidden="false" customHeight="false" outlineLevel="0" collapsed="false">
      <c r="A5172" s="2" t="s">
        <v>10540</v>
      </c>
      <c r="B5172" s="2" t="s">
        <v>10541</v>
      </c>
      <c r="C5172" s="2" t="n">
        <v>5</v>
      </c>
      <c r="D5172" s="2" t="s">
        <v>127</v>
      </c>
      <c r="E5172" s="2" t="s">
        <v>8083</v>
      </c>
      <c r="F5172" s="3" t="n">
        <v>46157.9145833333</v>
      </c>
      <c r="G5172" s="2" t="s">
        <v>10220</v>
      </c>
      <c r="H5172" s="4" t="n">
        <v>0.9359</v>
      </c>
      <c r="I5172" s="2" t="s">
        <v>23</v>
      </c>
      <c r="J5172" s="2" t="s">
        <v>37</v>
      </c>
      <c r="K5172" s="2" t="n">
        <v>0</v>
      </c>
      <c r="L5172" s="2" t="n">
        <v>0</v>
      </c>
      <c r="M5172" s="2" t="n">
        <v>0</v>
      </c>
    </row>
    <row r="5173" customFormat="false" ht="15" hidden="false" customHeight="false" outlineLevel="0" collapsed="false">
      <c r="A5173" s="2" t="s">
        <v>10542</v>
      </c>
      <c r="B5173" s="2" t="s">
        <v>10543</v>
      </c>
      <c r="C5173" s="2" t="n">
        <v>3</v>
      </c>
      <c r="D5173" s="2" t="s">
        <v>22</v>
      </c>
      <c r="E5173" s="2" t="s">
        <v>8083</v>
      </c>
      <c r="F5173" s="3" t="n">
        <v>46157.9277777778</v>
      </c>
      <c r="G5173" s="2" t="s">
        <v>10220</v>
      </c>
      <c r="H5173" s="4" t="n">
        <v>0.2023</v>
      </c>
      <c r="I5173" s="2" t="s">
        <v>23</v>
      </c>
      <c r="J5173" s="2" t="s">
        <v>19</v>
      </c>
      <c r="K5173" s="2" t="n">
        <v>1</v>
      </c>
      <c r="L5173" s="2" t="n">
        <v>0</v>
      </c>
      <c r="M5173" s="2" t="n">
        <v>0</v>
      </c>
    </row>
    <row r="5174" customFormat="false" ht="15" hidden="false" customHeight="false" outlineLevel="0" collapsed="false">
      <c r="A5174" s="2" t="s">
        <v>10544</v>
      </c>
      <c r="B5174" s="2" t="s">
        <v>10545</v>
      </c>
      <c r="C5174" s="2" t="n">
        <v>5</v>
      </c>
      <c r="D5174" s="2" t="s">
        <v>790</v>
      </c>
      <c r="E5174" s="2" t="s">
        <v>8083</v>
      </c>
      <c r="F5174" s="3" t="n">
        <v>46157.9381944445</v>
      </c>
      <c r="G5174" s="2" t="s">
        <v>10220</v>
      </c>
      <c r="H5174" s="4" t="n">
        <v>0.9647</v>
      </c>
      <c r="I5174" s="2" t="s">
        <v>23</v>
      </c>
      <c r="J5174" s="2" t="s">
        <v>37</v>
      </c>
      <c r="K5174" s="2" t="n">
        <v>1</v>
      </c>
      <c r="L5174" s="2" t="n">
        <v>0</v>
      </c>
      <c r="M5174" s="2" t="n">
        <v>0</v>
      </c>
    </row>
    <row r="5175" customFormat="false" ht="15" hidden="false" customHeight="false" outlineLevel="0" collapsed="false">
      <c r="A5175" s="2" t="s">
        <v>10546</v>
      </c>
      <c r="B5175" s="2" t="s">
        <v>10547</v>
      </c>
      <c r="C5175" s="2" t="n">
        <v>5</v>
      </c>
      <c r="D5175" s="2" t="s">
        <v>127</v>
      </c>
      <c r="E5175" s="2" t="s">
        <v>8083</v>
      </c>
      <c r="F5175" s="3" t="n">
        <v>46158.04375</v>
      </c>
      <c r="G5175" s="2" t="s">
        <v>10220</v>
      </c>
      <c r="H5175" s="4" t="n">
        <v>0.9359</v>
      </c>
      <c r="I5175" s="2" t="s">
        <v>23</v>
      </c>
      <c r="J5175" s="2" t="s">
        <v>37</v>
      </c>
      <c r="K5175" s="2" t="n">
        <v>1</v>
      </c>
      <c r="L5175" s="2" t="n">
        <v>0</v>
      </c>
      <c r="M5175" s="2" t="n">
        <v>0</v>
      </c>
    </row>
    <row r="5176" customFormat="false" ht="15" hidden="false" customHeight="false" outlineLevel="0" collapsed="false">
      <c r="A5176" s="2" t="s">
        <v>10548</v>
      </c>
      <c r="B5176" s="2" t="s">
        <v>10549</v>
      </c>
      <c r="C5176" s="2" t="n">
        <v>5</v>
      </c>
      <c r="D5176" s="2" t="s">
        <v>692</v>
      </c>
      <c r="E5176" s="2" t="s">
        <v>8083</v>
      </c>
      <c r="F5176" s="3" t="n">
        <v>46158.1368055556</v>
      </c>
      <c r="G5176" s="2" t="s">
        <v>10220</v>
      </c>
      <c r="H5176" s="4" t="n">
        <v>0.9516</v>
      </c>
      <c r="I5176" s="2" t="s">
        <v>23</v>
      </c>
      <c r="J5176" s="2" t="s">
        <v>37</v>
      </c>
      <c r="K5176" s="2" t="n">
        <v>6</v>
      </c>
      <c r="L5176" s="2" t="n">
        <v>0</v>
      </c>
      <c r="M5176" s="2" t="n">
        <v>0</v>
      </c>
    </row>
    <row r="5177" customFormat="false" ht="15" hidden="false" customHeight="false" outlineLevel="0" collapsed="false">
      <c r="A5177" s="2" t="s">
        <v>10550</v>
      </c>
      <c r="B5177" s="2" t="s">
        <v>10551</v>
      </c>
      <c r="C5177" s="2" t="n">
        <v>4</v>
      </c>
      <c r="D5177" s="2" t="s">
        <v>1197</v>
      </c>
      <c r="E5177" s="2" t="s">
        <v>8083</v>
      </c>
      <c r="F5177" s="3" t="n">
        <v>46158.5208333333</v>
      </c>
      <c r="G5177" s="2" t="s">
        <v>10220</v>
      </c>
      <c r="H5177" s="4" t="n">
        <v>0.3089</v>
      </c>
      <c r="I5177" s="2" t="s">
        <v>23</v>
      </c>
      <c r="J5177" s="2" t="s">
        <v>19</v>
      </c>
      <c r="K5177" s="2" t="n">
        <v>4</v>
      </c>
      <c r="L5177" s="2" t="n">
        <v>0</v>
      </c>
      <c r="M5177" s="2" t="n">
        <v>0</v>
      </c>
    </row>
    <row r="5178" customFormat="false" ht="15" hidden="false" customHeight="false" outlineLevel="0" collapsed="false">
      <c r="A5178" s="2" t="s">
        <v>10552</v>
      </c>
      <c r="B5178" s="2" t="s">
        <v>10553</v>
      </c>
      <c r="C5178" s="2" t="n">
        <v>2</v>
      </c>
      <c r="D5178" s="2" t="s">
        <v>357</v>
      </c>
      <c r="E5178" s="2" t="s">
        <v>8083</v>
      </c>
      <c r="F5178" s="3" t="n">
        <v>46158.5763888889</v>
      </c>
      <c r="G5178" s="2" t="s">
        <v>10220</v>
      </c>
      <c r="H5178" s="4" t="n">
        <v>0</v>
      </c>
      <c r="I5178" s="2" t="s">
        <v>18</v>
      </c>
      <c r="J5178" s="2" t="s">
        <v>165</v>
      </c>
      <c r="K5178" s="2" t="n">
        <v>0</v>
      </c>
      <c r="L5178" s="2" t="n">
        <v>0</v>
      </c>
      <c r="M5178" s="2" t="n">
        <v>0</v>
      </c>
    </row>
    <row r="5179" customFormat="false" ht="15" hidden="false" customHeight="false" outlineLevel="0" collapsed="false">
      <c r="A5179" s="2" t="s">
        <v>10554</v>
      </c>
      <c r="B5179" s="2" t="s">
        <v>10555</v>
      </c>
      <c r="C5179" s="2" t="n">
        <v>4</v>
      </c>
      <c r="D5179" s="2" t="s">
        <v>62</v>
      </c>
      <c r="E5179" s="2" t="s">
        <v>8083</v>
      </c>
      <c r="F5179" s="3" t="n">
        <v>46158.9243055556</v>
      </c>
      <c r="G5179" s="2" t="s">
        <v>10220</v>
      </c>
      <c r="H5179" s="4" t="n">
        <v>0.7088</v>
      </c>
      <c r="I5179" s="2" t="s">
        <v>23</v>
      </c>
      <c r="J5179" s="2" t="s">
        <v>19</v>
      </c>
      <c r="K5179" s="2" t="n">
        <v>3</v>
      </c>
      <c r="L5179" s="2" t="n">
        <v>0</v>
      </c>
      <c r="M5179" s="2" t="n">
        <v>0</v>
      </c>
    </row>
    <row r="5180" customFormat="false" ht="15" hidden="false" customHeight="false" outlineLevel="0" collapsed="false">
      <c r="A5180" s="2" t="s">
        <v>10556</v>
      </c>
      <c r="B5180" s="2" t="s">
        <v>10557</v>
      </c>
      <c r="C5180" s="2" t="n">
        <v>5</v>
      </c>
      <c r="D5180" s="2" t="s">
        <v>15</v>
      </c>
      <c r="E5180" s="2" t="s">
        <v>8083</v>
      </c>
      <c r="F5180" s="3" t="n">
        <v>46159.3756944445</v>
      </c>
      <c r="G5180" s="2" t="s">
        <v>10220</v>
      </c>
      <c r="H5180" s="4" t="n">
        <v>0</v>
      </c>
      <c r="I5180" s="2" t="s">
        <v>18</v>
      </c>
      <c r="J5180" s="2" t="s">
        <v>19</v>
      </c>
      <c r="K5180" s="2" t="n">
        <v>2</v>
      </c>
      <c r="L5180" s="2" t="n">
        <v>0</v>
      </c>
      <c r="M5180" s="2" t="n">
        <v>0</v>
      </c>
    </row>
    <row r="5181" customFormat="false" ht="15" hidden="false" customHeight="false" outlineLevel="0" collapsed="false">
      <c r="A5181" s="2" t="s">
        <v>10558</v>
      </c>
      <c r="B5181" s="2" t="s">
        <v>2714</v>
      </c>
      <c r="C5181" s="2" t="n">
        <v>5</v>
      </c>
      <c r="D5181" s="2" t="s">
        <v>47</v>
      </c>
      <c r="E5181" s="2" t="s">
        <v>8083</v>
      </c>
      <c r="F5181" s="3" t="n">
        <v>46159.5604166667</v>
      </c>
      <c r="G5181" s="2" t="s">
        <v>10220</v>
      </c>
      <c r="H5181" s="4" t="n">
        <v>0.3089</v>
      </c>
      <c r="I5181" s="2" t="s">
        <v>23</v>
      </c>
      <c r="J5181" s="2" t="s">
        <v>19</v>
      </c>
      <c r="K5181" s="2" t="n">
        <v>0</v>
      </c>
      <c r="L5181" s="2" t="n">
        <v>0</v>
      </c>
      <c r="M5181" s="2" t="n">
        <v>0</v>
      </c>
    </row>
    <row r="5182" customFormat="false" ht="15" hidden="false" customHeight="false" outlineLevel="0" collapsed="false">
      <c r="A5182" s="2" t="s">
        <v>10559</v>
      </c>
      <c r="B5182" s="2" t="s">
        <v>10560</v>
      </c>
      <c r="C5182" s="2" t="n">
        <v>4</v>
      </c>
      <c r="D5182" s="2" t="s">
        <v>40</v>
      </c>
      <c r="E5182" s="2" t="s">
        <v>8083</v>
      </c>
      <c r="F5182" s="3" t="n">
        <v>46159.5694444445</v>
      </c>
      <c r="G5182" s="2" t="s">
        <v>10220</v>
      </c>
      <c r="H5182" s="4" t="n">
        <v>0.4019</v>
      </c>
      <c r="I5182" s="2" t="s">
        <v>23</v>
      </c>
      <c r="J5182" s="2" t="s">
        <v>33</v>
      </c>
      <c r="K5182" s="2" t="n">
        <v>1</v>
      </c>
      <c r="L5182" s="2" t="n">
        <v>0</v>
      </c>
      <c r="M5182" s="2" t="n">
        <v>0</v>
      </c>
    </row>
    <row r="5183" customFormat="false" ht="15" hidden="false" customHeight="false" outlineLevel="0" collapsed="false">
      <c r="A5183" s="2" t="s">
        <v>10561</v>
      </c>
      <c r="B5183" s="2" t="s">
        <v>10562</v>
      </c>
      <c r="C5183" s="2" t="n">
        <v>3</v>
      </c>
      <c r="D5183" s="2" t="s">
        <v>87</v>
      </c>
      <c r="E5183" s="2" t="s">
        <v>8083</v>
      </c>
      <c r="F5183" s="3" t="n">
        <v>46159.6256944445</v>
      </c>
      <c r="G5183" s="2" t="s">
        <v>10220</v>
      </c>
      <c r="H5183" s="4" t="n">
        <v>0</v>
      </c>
      <c r="I5183" s="2" t="s">
        <v>18</v>
      </c>
      <c r="J5183" s="2" t="s">
        <v>19</v>
      </c>
      <c r="K5183" s="2" t="n">
        <v>2</v>
      </c>
      <c r="L5183" s="2" t="n">
        <v>0</v>
      </c>
      <c r="M5183" s="2" t="n">
        <v>0</v>
      </c>
    </row>
    <row r="5184" customFormat="false" ht="15" hidden="false" customHeight="false" outlineLevel="0" collapsed="false">
      <c r="A5184" s="2" t="s">
        <v>10563</v>
      </c>
      <c r="B5184" s="2" t="s">
        <v>10564</v>
      </c>
      <c r="C5184" s="2" t="n">
        <v>1</v>
      </c>
      <c r="D5184" s="2" t="s">
        <v>397</v>
      </c>
      <c r="E5184" s="2" t="s">
        <v>8083</v>
      </c>
      <c r="F5184" s="3" t="n">
        <v>46159.6784722222</v>
      </c>
      <c r="G5184" s="2" t="s">
        <v>10220</v>
      </c>
      <c r="H5184" s="4" t="n">
        <v>0</v>
      </c>
      <c r="I5184" s="2" t="s">
        <v>18</v>
      </c>
      <c r="J5184" s="2" t="s">
        <v>110</v>
      </c>
      <c r="K5184" s="2" t="n">
        <v>1</v>
      </c>
      <c r="L5184" s="2" t="n">
        <v>0</v>
      </c>
      <c r="M5184" s="2" t="n">
        <v>0</v>
      </c>
    </row>
    <row r="5185" customFormat="false" ht="15" hidden="false" customHeight="false" outlineLevel="0" collapsed="false">
      <c r="A5185" s="2" t="s">
        <v>10565</v>
      </c>
      <c r="B5185" s="2" t="s">
        <v>10566</v>
      </c>
      <c r="C5185" s="2" t="n">
        <v>1</v>
      </c>
      <c r="D5185" s="2" t="s">
        <v>946</v>
      </c>
      <c r="E5185" s="2" t="s">
        <v>8083</v>
      </c>
      <c r="F5185" s="3" t="n">
        <v>46159.8152777778</v>
      </c>
      <c r="G5185" s="2" t="s">
        <v>10220</v>
      </c>
      <c r="H5185" s="4" t="n">
        <v>-0.25</v>
      </c>
      <c r="I5185" s="2" t="s">
        <v>84</v>
      </c>
      <c r="J5185" s="2" t="s">
        <v>37</v>
      </c>
      <c r="K5185" s="2" t="n">
        <v>0</v>
      </c>
      <c r="L5185" s="2" t="n">
        <v>0</v>
      </c>
      <c r="M5185" s="2" t="n">
        <v>0</v>
      </c>
    </row>
    <row r="5186" customFormat="false" ht="15" hidden="false" customHeight="false" outlineLevel="0" collapsed="false">
      <c r="A5186" s="2" t="s">
        <v>10567</v>
      </c>
      <c r="B5186" s="2" t="s">
        <v>10568</v>
      </c>
      <c r="C5186" s="2" t="n">
        <v>5</v>
      </c>
      <c r="D5186" s="2" t="s">
        <v>639</v>
      </c>
      <c r="E5186" s="2" t="s">
        <v>8083</v>
      </c>
      <c r="F5186" s="3" t="n">
        <v>46159.8604166667</v>
      </c>
      <c r="G5186" s="2" t="s">
        <v>10220</v>
      </c>
      <c r="H5186" s="4" t="n">
        <v>0.7088</v>
      </c>
      <c r="I5186" s="2" t="s">
        <v>23</v>
      </c>
      <c r="J5186" s="2" t="s">
        <v>19</v>
      </c>
      <c r="K5186" s="2" t="n">
        <v>0</v>
      </c>
      <c r="L5186" s="2" t="n">
        <v>0</v>
      </c>
      <c r="M5186" s="2" t="n">
        <v>0</v>
      </c>
    </row>
    <row r="5187" customFormat="false" ht="15" hidden="false" customHeight="false" outlineLevel="0" collapsed="false">
      <c r="A5187" s="2" t="s">
        <v>10569</v>
      </c>
      <c r="B5187" s="2" t="s">
        <v>10570</v>
      </c>
      <c r="C5187" s="2" t="n">
        <v>1</v>
      </c>
      <c r="D5187" s="2" t="s">
        <v>733</v>
      </c>
      <c r="E5187" s="2" t="s">
        <v>8083</v>
      </c>
      <c r="F5187" s="3" t="n">
        <v>46159.9083333333</v>
      </c>
      <c r="G5187" s="2" t="s">
        <v>10220</v>
      </c>
      <c r="H5187" s="4" t="n">
        <v>-0.2846</v>
      </c>
      <c r="I5187" s="2" t="s">
        <v>84</v>
      </c>
      <c r="J5187" s="2" t="s">
        <v>37</v>
      </c>
      <c r="K5187" s="2" t="n">
        <v>0</v>
      </c>
      <c r="L5187" s="2" t="n">
        <v>1</v>
      </c>
      <c r="M5187" s="2" t="n">
        <v>0</v>
      </c>
    </row>
    <row r="5188" customFormat="false" ht="15" hidden="false" customHeight="false" outlineLevel="0" collapsed="false">
      <c r="A5188" s="2" t="s">
        <v>10571</v>
      </c>
      <c r="B5188" s="2" t="s">
        <v>10572</v>
      </c>
      <c r="C5188" s="2" t="n">
        <v>4</v>
      </c>
      <c r="D5188" s="2" t="s">
        <v>36</v>
      </c>
      <c r="E5188" s="2" t="s">
        <v>8083</v>
      </c>
      <c r="F5188" s="3" t="n">
        <v>46159.9833333333</v>
      </c>
      <c r="G5188" s="2" t="s">
        <v>10220</v>
      </c>
      <c r="H5188" s="4" t="n">
        <v>0.4404</v>
      </c>
      <c r="I5188" s="2" t="s">
        <v>23</v>
      </c>
      <c r="J5188" s="2" t="s">
        <v>37</v>
      </c>
      <c r="K5188" s="2" t="n">
        <v>0</v>
      </c>
      <c r="L5188" s="2" t="n">
        <v>0</v>
      </c>
      <c r="M5188" s="2" t="n">
        <v>0</v>
      </c>
    </row>
    <row r="5189" customFormat="false" ht="15" hidden="false" customHeight="false" outlineLevel="0" collapsed="false">
      <c r="A5189" s="2" t="s">
        <v>10573</v>
      </c>
      <c r="B5189" s="2" t="s">
        <v>10574</v>
      </c>
      <c r="C5189" s="2" t="n">
        <v>3</v>
      </c>
      <c r="D5189" s="2" t="s">
        <v>87</v>
      </c>
      <c r="E5189" s="2" t="s">
        <v>8083</v>
      </c>
      <c r="F5189" s="3" t="n">
        <v>46160.0375</v>
      </c>
      <c r="G5189" s="2" t="s">
        <v>10220</v>
      </c>
      <c r="H5189" s="4" t="n">
        <v>0</v>
      </c>
      <c r="I5189" s="2" t="s">
        <v>18</v>
      </c>
      <c r="J5189" s="2" t="s">
        <v>19</v>
      </c>
      <c r="K5189" s="2" t="n">
        <v>7</v>
      </c>
      <c r="L5189" s="2" t="n">
        <v>0</v>
      </c>
      <c r="M5189" s="2" t="n">
        <v>0</v>
      </c>
    </row>
    <row r="5190" customFormat="false" ht="15" hidden="false" customHeight="false" outlineLevel="0" collapsed="false">
      <c r="A5190" s="2" t="s">
        <v>10575</v>
      </c>
      <c r="B5190" s="2" t="s">
        <v>10576</v>
      </c>
      <c r="C5190" s="2" t="n">
        <v>1</v>
      </c>
      <c r="D5190" s="2" t="s">
        <v>6404</v>
      </c>
      <c r="E5190" s="2" t="s">
        <v>8083</v>
      </c>
      <c r="F5190" s="3" t="n">
        <v>46160.0534722222</v>
      </c>
      <c r="G5190" s="2" t="s">
        <v>10220</v>
      </c>
      <c r="H5190" s="4" t="n">
        <v>-0.3935</v>
      </c>
      <c r="I5190" s="2" t="s">
        <v>84</v>
      </c>
      <c r="J5190" s="2" t="s">
        <v>33</v>
      </c>
      <c r="K5190" s="2" t="n">
        <v>0</v>
      </c>
      <c r="L5190" s="2" t="n">
        <v>1</v>
      </c>
      <c r="M5190" s="2" t="n">
        <v>0</v>
      </c>
    </row>
    <row r="5191" customFormat="false" ht="15" hidden="false" customHeight="false" outlineLevel="0" collapsed="false">
      <c r="A5191" s="2" t="s">
        <v>10577</v>
      </c>
      <c r="B5191" s="2" t="s">
        <v>10578</v>
      </c>
      <c r="C5191" s="2" t="n">
        <v>4</v>
      </c>
      <c r="D5191" s="2" t="s">
        <v>127</v>
      </c>
      <c r="E5191" s="2" t="s">
        <v>8083</v>
      </c>
      <c r="F5191" s="3" t="n">
        <v>46160.2944444444</v>
      </c>
      <c r="G5191" s="2" t="s">
        <v>10220</v>
      </c>
      <c r="H5191" s="4" t="n">
        <v>0.9359</v>
      </c>
      <c r="I5191" s="2" t="s">
        <v>23</v>
      </c>
      <c r="J5191" s="2" t="s">
        <v>37</v>
      </c>
      <c r="K5191" s="2" t="n">
        <v>0</v>
      </c>
      <c r="L5191" s="2" t="n">
        <v>0</v>
      </c>
      <c r="M5191" s="2" t="n">
        <v>0</v>
      </c>
    </row>
    <row r="5192" customFormat="false" ht="15" hidden="false" customHeight="false" outlineLevel="0" collapsed="false">
      <c r="A5192" s="2" t="s">
        <v>10579</v>
      </c>
      <c r="B5192" s="2" t="s">
        <v>10580</v>
      </c>
      <c r="C5192" s="2" t="n">
        <v>1</v>
      </c>
      <c r="D5192" s="2" t="s">
        <v>168</v>
      </c>
      <c r="E5192" s="2" t="s">
        <v>8083</v>
      </c>
      <c r="F5192" s="3" t="n">
        <v>46160.2944444444</v>
      </c>
      <c r="G5192" s="2" t="s">
        <v>10220</v>
      </c>
      <c r="H5192" s="4" t="n">
        <v>-0.1027</v>
      </c>
      <c r="I5192" s="2" t="s">
        <v>84</v>
      </c>
      <c r="J5192" s="2" t="s">
        <v>33</v>
      </c>
      <c r="K5192" s="2" t="n">
        <v>1</v>
      </c>
      <c r="L5192" s="2" t="n">
        <v>1</v>
      </c>
      <c r="M5192" s="2" t="n">
        <v>0</v>
      </c>
    </row>
    <row r="5193" customFormat="false" ht="15" hidden="false" customHeight="false" outlineLevel="0" collapsed="false">
      <c r="A5193" s="2" t="s">
        <v>10581</v>
      </c>
      <c r="B5193" s="2" t="s">
        <v>10582</v>
      </c>
      <c r="C5193" s="2" t="n">
        <v>5</v>
      </c>
      <c r="D5193" s="2" t="s">
        <v>47</v>
      </c>
      <c r="E5193" s="2" t="s">
        <v>8083</v>
      </c>
      <c r="F5193" s="3" t="n">
        <v>46160.4041666667</v>
      </c>
      <c r="G5193" s="2" t="s">
        <v>10220</v>
      </c>
      <c r="H5193" s="4" t="n">
        <v>0.3089</v>
      </c>
      <c r="I5193" s="2" t="s">
        <v>23</v>
      </c>
      <c r="J5193" s="2" t="s">
        <v>19</v>
      </c>
      <c r="K5193" s="2" t="n">
        <v>7</v>
      </c>
      <c r="L5193" s="2" t="n">
        <v>0</v>
      </c>
      <c r="M5193" s="2" t="n">
        <v>0</v>
      </c>
    </row>
    <row r="5194" customFormat="false" ht="15" hidden="false" customHeight="false" outlineLevel="0" collapsed="false">
      <c r="A5194" s="2" t="s">
        <v>10583</v>
      </c>
      <c r="B5194" s="2" t="s">
        <v>6680</v>
      </c>
      <c r="C5194" s="2" t="n">
        <v>5</v>
      </c>
      <c r="D5194" s="2" t="s">
        <v>52</v>
      </c>
      <c r="E5194" s="2" t="s">
        <v>8083</v>
      </c>
      <c r="F5194" s="3" t="n">
        <v>46160.6958333333</v>
      </c>
      <c r="G5194" s="2" t="s">
        <v>10220</v>
      </c>
      <c r="H5194" s="4" t="n">
        <v>0.6369</v>
      </c>
      <c r="I5194" s="2" t="s">
        <v>23</v>
      </c>
      <c r="J5194" s="2" t="s">
        <v>19</v>
      </c>
      <c r="K5194" s="2" t="n">
        <v>2</v>
      </c>
      <c r="L5194" s="2" t="n">
        <v>0</v>
      </c>
      <c r="M5194" s="2" t="n">
        <v>0</v>
      </c>
    </row>
    <row r="5195" customFormat="false" ht="15" hidden="false" customHeight="false" outlineLevel="0" collapsed="false">
      <c r="A5195" s="2" t="s">
        <v>10584</v>
      </c>
      <c r="B5195" s="2" t="s">
        <v>10585</v>
      </c>
      <c r="C5195" s="2" t="n">
        <v>5</v>
      </c>
      <c r="D5195" s="2" t="s">
        <v>40</v>
      </c>
      <c r="E5195" s="2" t="s">
        <v>8083</v>
      </c>
      <c r="F5195" s="3" t="n">
        <v>46160.7805555556</v>
      </c>
      <c r="G5195" s="2" t="s">
        <v>10220</v>
      </c>
      <c r="H5195" s="4" t="n">
        <v>0.4019</v>
      </c>
      <c r="I5195" s="2" t="s">
        <v>23</v>
      </c>
      <c r="J5195" s="2" t="s">
        <v>33</v>
      </c>
      <c r="K5195" s="2" t="n">
        <v>4</v>
      </c>
      <c r="L5195" s="2" t="n">
        <v>0</v>
      </c>
      <c r="M5195" s="2" t="n">
        <v>0</v>
      </c>
    </row>
    <row r="5196" customFormat="false" ht="15" hidden="false" customHeight="false" outlineLevel="0" collapsed="false">
      <c r="A5196" s="2" t="s">
        <v>10586</v>
      </c>
      <c r="B5196" s="2" t="s">
        <v>10587</v>
      </c>
      <c r="C5196" s="2" t="n">
        <v>5</v>
      </c>
      <c r="D5196" s="2" t="s">
        <v>2727</v>
      </c>
      <c r="E5196" s="2" t="s">
        <v>8083</v>
      </c>
      <c r="F5196" s="3" t="n">
        <v>46161.0784722222</v>
      </c>
      <c r="G5196" s="2" t="s">
        <v>10220</v>
      </c>
      <c r="H5196" s="4" t="n">
        <v>0.4019</v>
      </c>
      <c r="I5196" s="2" t="s">
        <v>23</v>
      </c>
      <c r="J5196" s="2" t="s">
        <v>33</v>
      </c>
      <c r="K5196" s="2" t="n">
        <v>1</v>
      </c>
      <c r="L5196" s="2" t="n">
        <v>0</v>
      </c>
      <c r="M5196" s="2" t="n">
        <v>0</v>
      </c>
    </row>
    <row r="5197" customFormat="false" ht="15" hidden="false" customHeight="false" outlineLevel="0" collapsed="false">
      <c r="A5197" s="2" t="s">
        <v>10588</v>
      </c>
      <c r="B5197" s="2" t="s">
        <v>10589</v>
      </c>
      <c r="C5197" s="2" t="n">
        <v>4</v>
      </c>
      <c r="D5197" s="2" t="s">
        <v>127</v>
      </c>
      <c r="E5197" s="2" t="s">
        <v>8083</v>
      </c>
      <c r="F5197" s="3" t="n">
        <v>46161.0909722222</v>
      </c>
      <c r="G5197" s="2" t="s">
        <v>10220</v>
      </c>
      <c r="H5197" s="4" t="n">
        <v>0.9359</v>
      </c>
      <c r="I5197" s="2" t="s">
        <v>23</v>
      </c>
      <c r="J5197" s="2" t="s">
        <v>37</v>
      </c>
      <c r="K5197" s="2" t="n">
        <v>0</v>
      </c>
      <c r="L5197" s="2" t="n">
        <v>0</v>
      </c>
      <c r="M5197" s="2" t="n">
        <v>0</v>
      </c>
    </row>
    <row r="5198" customFormat="false" ht="15" hidden="false" customHeight="false" outlineLevel="0" collapsed="false">
      <c r="A5198" s="2" t="s">
        <v>10590</v>
      </c>
      <c r="B5198" s="2" t="s">
        <v>10591</v>
      </c>
      <c r="C5198" s="2" t="n">
        <v>4</v>
      </c>
      <c r="D5198" s="2" t="s">
        <v>301</v>
      </c>
      <c r="E5198" s="2" t="s">
        <v>8083</v>
      </c>
      <c r="F5198" s="3" t="n">
        <v>46161.3659722222</v>
      </c>
      <c r="G5198" s="2" t="s">
        <v>10220</v>
      </c>
      <c r="H5198" s="4" t="n">
        <v>0.2263</v>
      </c>
      <c r="I5198" s="2" t="s">
        <v>23</v>
      </c>
      <c r="J5198" s="2" t="s">
        <v>19</v>
      </c>
      <c r="K5198" s="2" t="n">
        <v>2</v>
      </c>
      <c r="L5198" s="2" t="n">
        <v>0</v>
      </c>
      <c r="M5198" s="2" t="n">
        <v>0</v>
      </c>
    </row>
    <row r="5199" customFormat="false" ht="15" hidden="false" customHeight="false" outlineLevel="0" collapsed="false">
      <c r="A5199" s="2" t="s">
        <v>10592</v>
      </c>
      <c r="B5199" s="2" t="s">
        <v>10593</v>
      </c>
      <c r="C5199" s="2" t="n">
        <v>5</v>
      </c>
      <c r="D5199" s="2" t="s">
        <v>40</v>
      </c>
      <c r="E5199" s="2" t="s">
        <v>8083</v>
      </c>
      <c r="F5199" s="3" t="n">
        <v>46161.4020833333</v>
      </c>
      <c r="G5199" s="2" t="s">
        <v>10220</v>
      </c>
      <c r="H5199" s="4" t="n">
        <v>0.4019</v>
      </c>
      <c r="I5199" s="2" t="s">
        <v>23</v>
      </c>
      <c r="J5199" s="2" t="s">
        <v>33</v>
      </c>
      <c r="K5199" s="2" t="n">
        <v>0</v>
      </c>
      <c r="L5199" s="2" t="n">
        <v>0</v>
      </c>
      <c r="M5199" s="2" t="n">
        <v>0</v>
      </c>
    </row>
    <row r="5200" customFormat="false" ht="15" hidden="false" customHeight="false" outlineLevel="0" collapsed="false">
      <c r="A5200" s="2" t="s">
        <v>10594</v>
      </c>
      <c r="B5200" s="2" t="s">
        <v>10595</v>
      </c>
      <c r="C5200" s="2" t="n">
        <v>5</v>
      </c>
      <c r="D5200" s="2" t="s">
        <v>90</v>
      </c>
      <c r="E5200" s="2" t="s">
        <v>8083</v>
      </c>
      <c r="F5200" s="3" t="n">
        <v>46161.4729166667</v>
      </c>
      <c r="G5200" s="2" t="s">
        <v>10220</v>
      </c>
      <c r="H5200" s="4" t="n">
        <v>0.6249</v>
      </c>
      <c r="I5200" s="2" t="s">
        <v>23</v>
      </c>
      <c r="J5200" s="2" t="s">
        <v>37</v>
      </c>
      <c r="K5200" s="2" t="n">
        <v>2</v>
      </c>
      <c r="L5200" s="2" t="n">
        <v>0</v>
      </c>
      <c r="M5200" s="2" t="n">
        <v>0</v>
      </c>
    </row>
    <row r="5201" customFormat="false" ht="15" hidden="false" customHeight="false" outlineLevel="0" collapsed="false">
      <c r="A5201" s="2" t="s">
        <v>10596</v>
      </c>
      <c r="B5201" s="2" t="s">
        <v>10597</v>
      </c>
      <c r="C5201" s="2" t="n">
        <v>5</v>
      </c>
      <c r="D5201" s="2" t="s">
        <v>127</v>
      </c>
      <c r="E5201" s="2" t="s">
        <v>8083</v>
      </c>
      <c r="F5201" s="3" t="n">
        <v>46161.4763888889</v>
      </c>
      <c r="G5201" s="2" t="s">
        <v>10220</v>
      </c>
      <c r="H5201" s="4" t="n">
        <v>0.9359</v>
      </c>
      <c r="I5201" s="2" t="s">
        <v>23</v>
      </c>
      <c r="J5201" s="2" t="s">
        <v>37</v>
      </c>
      <c r="K5201" s="2" t="n">
        <v>1</v>
      </c>
      <c r="L5201" s="2" t="n">
        <v>0</v>
      </c>
      <c r="M5201" s="2" t="n">
        <v>0</v>
      </c>
    </row>
    <row r="5202" customFormat="false" ht="15" hidden="false" customHeight="false" outlineLevel="0" collapsed="false">
      <c r="A5202" s="2" t="s">
        <v>10598</v>
      </c>
      <c r="B5202" s="2" t="s">
        <v>10599</v>
      </c>
      <c r="C5202" s="2" t="n">
        <v>4</v>
      </c>
      <c r="D5202" s="2" t="s">
        <v>47</v>
      </c>
      <c r="E5202" s="2" t="s">
        <v>8083</v>
      </c>
      <c r="F5202" s="3" t="n">
        <v>46161.5840277778</v>
      </c>
      <c r="G5202" s="2" t="s">
        <v>10220</v>
      </c>
      <c r="H5202" s="4" t="n">
        <v>0.3089</v>
      </c>
      <c r="I5202" s="2" t="s">
        <v>23</v>
      </c>
      <c r="J5202" s="2" t="s">
        <v>19</v>
      </c>
      <c r="K5202" s="2" t="n">
        <v>1</v>
      </c>
      <c r="L5202" s="2" t="n">
        <v>0</v>
      </c>
      <c r="M5202" s="2" t="n">
        <v>0</v>
      </c>
    </row>
    <row r="5203" customFormat="false" ht="15" hidden="false" customHeight="false" outlineLevel="0" collapsed="false">
      <c r="A5203" s="2" t="s">
        <v>10600</v>
      </c>
      <c r="B5203" s="2" t="s">
        <v>10601</v>
      </c>
      <c r="C5203" s="2" t="n">
        <v>2</v>
      </c>
      <c r="D5203" s="2" t="s">
        <v>721</v>
      </c>
      <c r="E5203" s="2" t="s">
        <v>8083</v>
      </c>
      <c r="F5203" s="3" t="n">
        <v>46161.7236111111</v>
      </c>
      <c r="G5203" s="2" t="s">
        <v>10220</v>
      </c>
      <c r="H5203" s="4" t="n">
        <v>-0.4588</v>
      </c>
      <c r="I5203" s="2" t="s">
        <v>84</v>
      </c>
      <c r="J5203" s="2" t="s">
        <v>37</v>
      </c>
      <c r="K5203" s="2" t="n">
        <v>9</v>
      </c>
      <c r="L5203" s="2" t="n">
        <v>1</v>
      </c>
      <c r="M5203" s="2" t="n">
        <v>0</v>
      </c>
    </row>
    <row r="5204" customFormat="false" ht="15" hidden="false" customHeight="false" outlineLevel="0" collapsed="false">
      <c r="A5204" s="2" t="s">
        <v>10602</v>
      </c>
      <c r="B5204" s="2" t="s">
        <v>10603</v>
      </c>
      <c r="C5204" s="2" t="n">
        <v>4</v>
      </c>
      <c r="D5204" s="2" t="s">
        <v>96</v>
      </c>
      <c r="E5204" s="2" t="s">
        <v>8083</v>
      </c>
      <c r="F5204" s="3" t="n">
        <v>46161.8333333333</v>
      </c>
      <c r="G5204" s="2" t="s">
        <v>10220</v>
      </c>
      <c r="H5204" s="4" t="n">
        <v>0.6369</v>
      </c>
      <c r="I5204" s="2" t="s">
        <v>23</v>
      </c>
      <c r="J5204" s="2" t="s">
        <v>19</v>
      </c>
      <c r="K5204" s="2" t="n">
        <v>0</v>
      </c>
      <c r="L5204" s="2" t="n">
        <v>0</v>
      </c>
      <c r="M5204" s="2" t="n">
        <v>0</v>
      </c>
    </row>
    <row r="5205" customFormat="false" ht="15" hidden="false" customHeight="false" outlineLevel="0" collapsed="false">
      <c r="A5205" s="2" t="s">
        <v>10604</v>
      </c>
      <c r="B5205" s="2" t="s">
        <v>10605</v>
      </c>
      <c r="C5205" s="2" t="n">
        <v>3</v>
      </c>
      <c r="D5205" s="2" t="s">
        <v>482</v>
      </c>
      <c r="E5205" s="2" t="s">
        <v>8083</v>
      </c>
      <c r="F5205" s="3" t="n">
        <v>46161.8472222222</v>
      </c>
      <c r="G5205" s="2" t="s">
        <v>10220</v>
      </c>
      <c r="H5205" s="4" t="n">
        <v>-0.6808</v>
      </c>
      <c r="I5205" s="2" t="s">
        <v>84</v>
      </c>
      <c r="J5205" s="2" t="s">
        <v>110</v>
      </c>
      <c r="K5205" s="2" t="n">
        <v>4</v>
      </c>
      <c r="L5205" s="2" t="n">
        <v>0</v>
      </c>
      <c r="M5205" s="2" t="n">
        <v>0</v>
      </c>
    </row>
    <row r="5206" customFormat="false" ht="15" hidden="false" customHeight="false" outlineLevel="0" collapsed="false">
      <c r="A5206" s="2" t="s">
        <v>10606</v>
      </c>
      <c r="B5206" s="2" t="s">
        <v>10607</v>
      </c>
      <c r="C5206" s="2" t="n">
        <v>2</v>
      </c>
      <c r="D5206" s="2" t="s">
        <v>58</v>
      </c>
      <c r="E5206" s="2" t="s">
        <v>8083</v>
      </c>
      <c r="F5206" s="3" t="n">
        <v>46162.0069444445</v>
      </c>
      <c r="G5206" s="2" t="s">
        <v>10220</v>
      </c>
      <c r="H5206" s="4" t="n">
        <v>0</v>
      </c>
      <c r="I5206" s="2" t="s">
        <v>18</v>
      </c>
      <c r="J5206" s="2" t="s">
        <v>59</v>
      </c>
      <c r="K5206" s="2" t="n">
        <v>5</v>
      </c>
      <c r="L5206" s="2" t="n">
        <v>1</v>
      </c>
      <c r="M5206" s="2" t="n">
        <v>0</v>
      </c>
    </row>
    <row r="5207" customFormat="false" ht="15" hidden="false" customHeight="false" outlineLevel="0" collapsed="false">
      <c r="A5207" s="2" t="s">
        <v>10608</v>
      </c>
      <c r="B5207" s="2" t="s">
        <v>10609</v>
      </c>
      <c r="C5207" s="2" t="n">
        <v>5</v>
      </c>
      <c r="D5207" s="2" t="s">
        <v>389</v>
      </c>
      <c r="E5207" s="2" t="s">
        <v>8083</v>
      </c>
      <c r="F5207" s="3" t="n">
        <v>46162.0340277778</v>
      </c>
      <c r="G5207" s="2" t="s">
        <v>10220</v>
      </c>
      <c r="H5207" s="4" t="n">
        <v>0.8519</v>
      </c>
      <c r="I5207" s="2" t="s">
        <v>23</v>
      </c>
      <c r="J5207" s="2" t="s">
        <v>37</v>
      </c>
      <c r="K5207" s="2" t="n">
        <v>0</v>
      </c>
      <c r="L5207" s="2" t="n">
        <v>0</v>
      </c>
      <c r="M5207" s="2" t="n">
        <v>0</v>
      </c>
    </row>
    <row r="5208" customFormat="false" ht="15" hidden="false" customHeight="false" outlineLevel="0" collapsed="false">
      <c r="A5208" s="2" t="s">
        <v>10610</v>
      </c>
      <c r="B5208" s="2" t="s">
        <v>10611</v>
      </c>
      <c r="C5208" s="2" t="n">
        <v>5</v>
      </c>
      <c r="D5208" s="2" t="s">
        <v>90</v>
      </c>
      <c r="E5208" s="2" t="s">
        <v>8083</v>
      </c>
      <c r="F5208" s="3" t="n">
        <v>46162.0638888889</v>
      </c>
      <c r="G5208" s="2" t="s">
        <v>10220</v>
      </c>
      <c r="H5208" s="4" t="n">
        <v>0.6249</v>
      </c>
      <c r="I5208" s="2" t="s">
        <v>23</v>
      </c>
      <c r="J5208" s="2" t="s">
        <v>37</v>
      </c>
      <c r="K5208" s="2" t="n">
        <v>0</v>
      </c>
      <c r="L5208" s="2" t="n">
        <v>1</v>
      </c>
      <c r="M5208" s="2" t="n">
        <v>0</v>
      </c>
    </row>
    <row r="5209" customFormat="false" ht="15" hidden="false" customHeight="false" outlineLevel="0" collapsed="false">
      <c r="A5209" s="2" t="s">
        <v>10612</v>
      </c>
      <c r="B5209" s="2" t="s">
        <v>10613</v>
      </c>
      <c r="C5209" s="2" t="n">
        <v>4</v>
      </c>
      <c r="D5209" s="2" t="s">
        <v>301</v>
      </c>
      <c r="E5209" s="2" t="s">
        <v>8083</v>
      </c>
      <c r="F5209" s="3" t="n">
        <v>46162.0826388889</v>
      </c>
      <c r="G5209" s="2" t="s">
        <v>10220</v>
      </c>
      <c r="H5209" s="4" t="n">
        <v>0.2263</v>
      </c>
      <c r="I5209" s="2" t="s">
        <v>23</v>
      </c>
      <c r="J5209" s="2" t="s">
        <v>19</v>
      </c>
      <c r="K5209" s="2" t="n">
        <v>1</v>
      </c>
      <c r="L5209" s="2" t="n">
        <v>0</v>
      </c>
      <c r="M5209" s="2" t="n">
        <v>0</v>
      </c>
    </row>
    <row r="5210" customFormat="false" ht="15" hidden="false" customHeight="false" outlineLevel="0" collapsed="false">
      <c r="A5210" s="2" t="s">
        <v>10614</v>
      </c>
      <c r="B5210" s="2" t="s">
        <v>10615</v>
      </c>
      <c r="C5210" s="2" t="n">
        <v>4</v>
      </c>
      <c r="D5210" s="2" t="s">
        <v>36</v>
      </c>
      <c r="E5210" s="2" t="s">
        <v>8083</v>
      </c>
      <c r="F5210" s="3" t="n">
        <v>46162.09375</v>
      </c>
      <c r="G5210" s="2" t="s">
        <v>10220</v>
      </c>
      <c r="H5210" s="4" t="n">
        <v>0.4404</v>
      </c>
      <c r="I5210" s="2" t="s">
        <v>23</v>
      </c>
      <c r="J5210" s="2" t="s">
        <v>37</v>
      </c>
      <c r="K5210" s="2" t="n">
        <v>1</v>
      </c>
      <c r="L5210" s="2" t="n">
        <v>1</v>
      </c>
      <c r="M5210" s="2" t="n">
        <v>0</v>
      </c>
    </row>
    <row r="5211" customFormat="false" ht="15" hidden="false" customHeight="false" outlineLevel="0" collapsed="false">
      <c r="A5211" s="2" t="s">
        <v>10616</v>
      </c>
      <c r="B5211" s="2" t="s">
        <v>10617</v>
      </c>
      <c r="C5211" s="2" t="n">
        <v>2</v>
      </c>
      <c r="D5211" s="2" t="s">
        <v>455</v>
      </c>
      <c r="E5211" s="2" t="s">
        <v>8083</v>
      </c>
      <c r="F5211" s="3" t="n">
        <v>46162.3069444444</v>
      </c>
      <c r="G5211" s="2" t="s">
        <v>10220</v>
      </c>
      <c r="H5211" s="4" t="n">
        <v>-0.2263</v>
      </c>
      <c r="I5211" s="2" t="s">
        <v>84</v>
      </c>
      <c r="J5211" s="2" t="s">
        <v>165</v>
      </c>
      <c r="K5211" s="2" t="n">
        <v>4</v>
      </c>
      <c r="L5211" s="2" t="n">
        <v>1</v>
      </c>
      <c r="M5211" s="2" t="n">
        <v>0</v>
      </c>
    </row>
    <row r="5212" customFormat="false" ht="15" hidden="false" customHeight="false" outlineLevel="0" collapsed="false">
      <c r="A5212" s="2" t="s">
        <v>10618</v>
      </c>
      <c r="B5212" s="2" t="s">
        <v>10619</v>
      </c>
      <c r="C5212" s="2" t="n">
        <v>4</v>
      </c>
      <c r="D5212" s="2" t="s">
        <v>127</v>
      </c>
      <c r="E5212" s="2" t="s">
        <v>8083</v>
      </c>
      <c r="F5212" s="3" t="n">
        <v>46162.5069444445</v>
      </c>
      <c r="G5212" s="2" t="s">
        <v>10220</v>
      </c>
      <c r="H5212" s="4" t="n">
        <v>0.9359</v>
      </c>
      <c r="I5212" s="2" t="s">
        <v>23</v>
      </c>
      <c r="J5212" s="2" t="s">
        <v>37</v>
      </c>
      <c r="K5212" s="2" t="n">
        <v>1</v>
      </c>
      <c r="L5212" s="2" t="n">
        <v>0</v>
      </c>
      <c r="M5212" s="2" t="n">
        <v>0</v>
      </c>
    </row>
    <row r="5213" customFormat="false" ht="15" hidden="false" customHeight="false" outlineLevel="0" collapsed="false">
      <c r="A5213" s="2" t="s">
        <v>10620</v>
      </c>
      <c r="B5213" s="2" t="s">
        <v>10621</v>
      </c>
      <c r="C5213" s="2" t="n">
        <v>2</v>
      </c>
      <c r="D5213" s="2" t="s">
        <v>455</v>
      </c>
      <c r="E5213" s="2" t="s">
        <v>8083</v>
      </c>
      <c r="F5213" s="3" t="n">
        <v>46162.5125</v>
      </c>
      <c r="G5213" s="2" t="s">
        <v>10220</v>
      </c>
      <c r="H5213" s="4" t="n">
        <v>-0.2263</v>
      </c>
      <c r="I5213" s="2" t="s">
        <v>84</v>
      </c>
      <c r="J5213" s="2" t="s">
        <v>165</v>
      </c>
      <c r="K5213" s="2" t="n">
        <v>4</v>
      </c>
      <c r="L5213" s="2" t="n">
        <v>0</v>
      </c>
      <c r="M5213" s="2" t="n">
        <v>0</v>
      </c>
    </row>
    <row r="5214" customFormat="false" ht="15" hidden="false" customHeight="false" outlineLevel="0" collapsed="false">
      <c r="A5214" s="2" t="s">
        <v>10622</v>
      </c>
      <c r="B5214" s="2" t="s">
        <v>10623</v>
      </c>
      <c r="C5214" s="2" t="n">
        <v>5</v>
      </c>
      <c r="D5214" s="2" t="s">
        <v>799</v>
      </c>
      <c r="E5214" s="2" t="s">
        <v>8083</v>
      </c>
      <c r="F5214" s="3" t="n">
        <v>46162.5215277778</v>
      </c>
      <c r="G5214" s="2" t="s">
        <v>10220</v>
      </c>
      <c r="H5214" s="4" t="n">
        <v>0.9606</v>
      </c>
      <c r="I5214" s="2" t="s">
        <v>23</v>
      </c>
      <c r="J5214" s="2" t="s">
        <v>37</v>
      </c>
      <c r="K5214" s="2" t="n">
        <v>2</v>
      </c>
      <c r="L5214" s="2" t="n">
        <v>0</v>
      </c>
      <c r="M5214" s="2" t="n">
        <v>0</v>
      </c>
    </row>
    <row r="5215" customFormat="false" ht="15" hidden="false" customHeight="false" outlineLevel="0" collapsed="false">
      <c r="A5215" s="2" t="s">
        <v>10624</v>
      </c>
      <c r="B5215" s="2" t="s">
        <v>10625</v>
      </c>
      <c r="C5215" s="2" t="n">
        <v>5</v>
      </c>
      <c r="D5215" s="2" t="s">
        <v>62</v>
      </c>
      <c r="E5215" s="2" t="s">
        <v>8083</v>
      </c>
      <c r="F5215" s="3" t="n">
        <v>46162.5388888889</v>
      </c>
      <c r="G5215" s="2" t="s">
        <v>10220</v>
      </c>
      <c r="H5215" s="4" t="n">
        <v>0.7088</v>
      </c>
      <c r="I5215" s="2" t="s">
        <v>23</v>
      </c>
      <c r="J5215" s="2" t="s">
        <v>19</v>
      </c>
      <c r="K5215" s="2" t="n">
        <v>1</v>
      </c>
      <c r="L5215" s="2" t="n">
        <v>0</v>
      </c>
      <c r="M5215" s="2" t="n">
        <v>0</v>
      </c>
    </row>
    <row r="5216" customFormat="false" ht="15" hidden="false" customHeight="false" outlineLevel="0" collapsed="false">
      <c r="A5216" s="2" t="s">
        <v>10626</v>
      </c>
      <c r="B5216" s="2" t="s">
        <v>10627</v>
      </c>
      <c r="C5216" s="2" t="n">
        <v>4</v>
      </c>
      <c r="D5216" s="2" t="s">
        <v>47</v>
      </c>
      <c r="E5216" s="2" t="s">
        <v>8083</v>
      </c>
      <c r="F5216" s="3" t="n">
        <v>46162.8215277778</v>
      </c>
      <c r="G5216" s="2" t="s">
        <v>10220</v>
      </c>
      <c r="H5216" s="4" t="n">
        <v>0.3089</v>
      </c>
      <c r="I5216" s="2" t="s">
        <v>23</v>
      </c>
      <c r="J5216" s="2" t="s">
        <v>19</v>
      </c>
      <c r="K5216" s="2" t="n">
        <v>9</v>
      </c>
      <c r="L5216" s="2" t="n">
        <v>0</v>
      </c>
      <c r="M5216" s="2" t="n">
        <v>0</v>
      </c>
    </row>
    <row r="5217" customFormat="false" ht="15" hidden="false" customHeight="false" outlineLevel="0" collapsed="false">
      <c r="A5217" s="2" t="s">
        <v>10628</v>
      </c>
      <c r="B5217" s="2" t="s">
        <v>10629</v>
      </c>
      <c r="C5217" s="2" t="n">
        <v>4</v>
      </c>
      <c r="D5217" s="2" t="s">
        <v>127</v>
      </c>
      <c r="E5217" s="2" t="s">
        <v>8083</v>
      </c>
      <c r="F5217" s="3" t="n">
        <v>46163.0048611111</v>
      </c>
      <c r="G5217" s="2" t="s">
        <v>10220</v>
      </c>
      <c r="H5217" s="4" t="n">
        <v>0.9359</v>
      </c>
      <c r="I5217" s="2" t="s">
        <v>23</v>
      </c>
      <c r="J5217" s="2" t="s">
        <v>37</v>
      </c>
      <c r="K5217" s="2" t="n">
        <v>4</v>
      </c>
      <c r="L5217" s="2" t="n">
        <v>0</v>
      </c>
      <c r="M5217" s="2" t="n">
        <v>0</v>
      </c>
    </row>
    <row r="5218" customFormat="false" ht="15" hidden="false" customHeight="false" outlineLevel="0" collapsed="false">
      <c r="A5218" s="2" t="s">
        <v>10630</v>
      </c>
      <c r="B5218" s="2" t="s">
        <v>10631</v>
      </c>
      <c r="C5218" s="2" t="n">
        <v>3</v>
      </c>
      <c r="D5218" s="2" t="s">
        <v>4445</v>
      </c>
      <c r="E5218" s="2" t="s">
        <v>8083</v>
      </c>
      <c r="F5218" s="3" t="n">
        <v>46163.1</v>
      </c>
      <c r="G5218" s="2" t="s">
        <v>10220</v>
      </c>
      <c r="H5218" s="4" t="n">
        <v>-0.1603</v>
      </c>
      <c r="I5218" s="2" t="s">
        <v>84</v>
      </c>
      <c r="J5218" s="2" t="s">
        <v>19</v>
      </c>
      <c r="K5218" s="2" t="n">
        <v>0</v>
      </c>
      <c r="L5218" s="2" t="n">
        <v>0</v>
      </c>
      <c r="M5218" s="2" t="n">
        <v>0</v>
      </c>
    </row>
    <row r="5219" customFormat="false" ht="15" hidden="false" customHeight="false" outlineLevel="0" collapsed="false">
      <c r="A5219" s="2" t="s">
        <v>10632</v>
      </c>
      <c r="B5219" s="2" t="s">
        <v>10633</v>
      </c>
      <c r="C5219" s="2" t="n">
        <v>5</v>
      </c>
      <c r="D5219" s="2" t="s">
        <v>90</v>
      </c>
      <c r="E5219" s="2" t="s">
        <v>8083</v>
      </c>
      <c r="F5219" s="3" t="n">
        <v>46163.2527777778</v>
      </c>
      <c r="G5219" s="2" t="s">
        <v>10220</v>
      </c>
      <c r="H5219" s="4" t="n">
        <v>0.6249</v>
      </c>
      <c r="I5219" s="2" t="s">
        <v>23</v>
      </c>
      <c r="J5219" s="2" t="s">
        <v>37</v>
      </c>
      <c r="K5219" s="2" t="n">
        <v>0</v>
      </c>
      <c r="L5219" s="2" t="n">
        <v>0</v>
      </c>
      <c r="M5219" s="2" t="n">
        <v>0</v>
      </c>
    </row>
    <row r="5220" customFormat="false" ht="15" hidden="false" customHeight="false" outlineLevel="0" collapsed="false">
      <c r="A5220" s="2" t="s">
        <v>10634</v>
      </c>
      <c r="B5220" s="2" t="s">
        <v>10635</v>
      </c>
      <c r="C5220" s="2" t="n">
        <v>3</v>
      </c>
      <c r="D5220" s="2" t="s">
        <v>2127</v>
      </c>
      <c r="E5220" s="2" t="s">
        <v>8083</v>
      </c>
      <c r="F5220" s="3" t="n">
        <v>46163.3229166667</v>
      </c>
      <c r="G5220" s="2" t="s">
        <v>10220</v>
      </c>
      <c r="H5220" s="4" t="n">
        <v>0.3818</v>
      </c>
      <c r="I5220" s="2" t="s">
        <v>23</v>
      </c>
      <c r="J5220" s="2" t="s">
        <v>19</v>
      </c>
      <c r="K5220" s="2" t="n">
        <v>3</v>
      </c>
      <c r="L5220" s="2" t="n">
        <v>0</v>
      </c>
      <c r="M5220" s="2" t="n">
        <v>0</v>
      </c>
    </row>
    <row r="5221" customFormat="false" ht="15" hidden="false" customHeight="false" outlineLevel="0" collapsed="false">
      <c r="A5221" s="2" t="s">
        <v>10636</v>
      </c>
      <c r="B5221" s="2" t="s">
        <v>10637</v>
      </c>
      <c r="C5221" s="2" t="n">
        <v>2</v>
      </c>
      <c r="D5221" s="2" t="s">
        <v>733</v>
      </c>
      <c r="E5221" s="2" t="s">
        <v>8083</v>
      </c>
      <c r="F5221" s="3" t="n">
        <v>46163.5236111111</v>
      </c>
      <c r="G5221" s="2" t="s">
        <v>10220</v>
      </c>
      <c r="H5221" s="4" t="n">
        <v>-0.2846</v>
      </c>
      <c r="I5221" s="2" t="s">
        <v>84</v>
      </c>
      <c r="J5221" s="2" t="s">
        <v>37</v>
      </c>
      <c r="K5221" s="2" t="n">
        <v>2</v>
      </c>
      <c r="L5221" s="2" t="n">
        <v>0</v>
      </c>
      <c r="M5221" s="2" t="n">
        <v>0</v>
      </c>
    </row>
    <row r="5222" customFormat="false" ht="15" hidden="false" customHeight="false" outlineLevel="0" collapsed="false">
      <c r="A5222" s="2" t="s">
        <v>10638</v>
      </c>
      <c r="B5222" s="2" t="s">
        <v>10639</v>
      </c>
      <c r="C5222" s="2" t="n">
        <v>2</v>
      </c>
      <c r="D5222" s="2" t="s">
        <v>701</v>
      </c>
      <c r="E5222" s="2" t="s">
        <v>8083</v>
      </c>
      <c r="F5222" s="3" t="n">
        <v>46163.7076388889</v>
      </c>
      <c r="G5222" s="2" t="s">
        <v>10220</v>
      </c>
      <c r="H5222" s="4" t="n">
        <v>-0.7184</v>
      </c>
      <c r="I5222" s="2" t="s">
        <v>84</v>
      </c>
      <c r="J5222" s="2" t="s">
        <v>37</v>
      </c>
      <c r="K5222" s="2" t="n">
        <v>3</v>
      </c>
      <c r="L5222" s="2" t="n">
        <v>1</v>
      </c>
      <c r="M5222" s="2" t="n">
        <v>0</v>
      </c>
    </row>
    <row r="5223" customFormat="false" ht="15" hidden="false" customHeight="false" outlineLevel="0" collapsed="false">
      <c r="A5223" s="2" t="s">
        <v>10640</v>
      </c>
      <c r="B5223" s="2" t="s">
        <v>10641</v>
      </c>
      <c r="C5223" s="2" t="n">
        <v>4</v>
      </c>
      <c r="D5223" s="2" t="s">
        <v>674</v>
      </c>
      <c r="E5223" s="2" t="s">
        <v>8083</v>
      </c>
      <c r="F5223" s="3" t="n">
        <v>46163.7083333333</v>
      </c>
      <c r="G5223" s="2" t="s">
        <v>10220</v>
      </c>
      <c r="H5223" s="4" t="n">
        <v>0.9481</v>
      </c>
      <c r="I5223" s="2" t="s">
        <v>23</v>
      </c>
      <c r="J5223" s="2" t="s">
        <v>37</v>
      </c>
      <c r="K5223" s="2" t="n">
        <v>1</v>
      </c>
      <c r="L5223" s="2" t="n">
        <v>0</v>
      </c>
      <c r="M5223" s="2" t="n">
        <v>0</v>
      </c>
    </row>
    <row r="5224" customFormat="false" ht="15" hidden="false" customHeight="false" outlineLevel="0" collapsed="false">
      <c r="A5224" s="2" t="s">
        <v>10642</v>
      </c>
      <c r="B5224" s="2" t="s">
        <v>10643</v>
      </c>
      <c r="C5224" s="2" t="n">
        <v>5</v>
      </c>
      <c r="D5224" s="2" t="s">
        <v>127</v>
      </c>
      <c r="E5224" s="2" t="s">
        <v>8083</v>
      </c>
      <c r="F5224" s="3" t="n">
        <v>46163.7465277778</v>
      </c>
      <c r="G5224" s="2" t="s">
        <v>10220</v>
      </c>
      <c r="H5224" s="4" t="n">
        <v>0.9359</v>
      </c>
      <c r="I5224" s="2" t="s">
        <v>23</v>
      </c>
      <c r="J5224" s="2" t="s">
        <v>37</v>
      </c>
      <c r="K5224" s="2" t="n">
        <v>6</v>
      </c>
      <c r="L5224" s="2" t="n">
        <v>0</v>
      </c>
      <c r="M5224" s="2" t="n">
        <v>0</v>
      </c>
    </row>
    <row r="5225" customFormat="false" ht="15" hidden="false" customHeight="false" outlineLevel="0" collapsed="false">
      <c r="A5225" s="2" t="s">
        <v>10644</v>
      </c>
      <c r="B5225" s="2" t="s">
        <v>10645</v>
      </c>
      <c r="C5225" s="2" t="n">
        <v>5</v>
      </c>
      <c r="D5225" s="2" t="s">
        <v>15</v>
      </c>
      <c r="E5225" s="2" t="s">
        <v>8083</v>
      </c>
      <c r="F5225" s="3" t="n">
        <v>46163.89375</v>
      </c>
      <c r="G5225" s="2" t="s">
        <v>10220</v>
      </c>
      <c r="H5225" s="4" t="n">
        <v>0</v>
      </c>
      <c r="I5225" s="2" t="s">
        <v>18</v>
      </c>
      <c r="J5225" s="2" t="s">
        <v>19</v>
      </c>
      <c r="K5225" s="2" t="n">
        <v>3</v>
      </c>
      <c r="L5225" s="2" t="n">
        <v>0</v>
      </c>
      <c r="M5225" s="2" t="n">
        <v>0</v>
      </c>
    </row>
    <row r="5226" customFormat="false" ht="15" hidden="false" customHeight="false" outlineLevel="0" collapsed="false">
      <c r="A5226" s="2" t="s">
        <v>10646</v>
      </c>
      <c r="B5226" s="2" t="s">
        <v>10647</v>
      </c>
      <c r="C5226" s="2" t="n">
        <v>5</v>
      </c>
      <c r="D5226" s="2" t="s">
        <v>1004</v>
      </c>
      <c r="E5226" s="2" t="s">
        <v>8083</v>
      </c>
      <c r="F5226" s="3" t="n">
        <v>46163.9868055556</v>
      </c>
      <c r="G5226" s="2" t="s">
        <v>10220</v>
      </c>
      <c r="H5226" s="4" t="n">
        <v>0.6249</v>
      </c>
      <c r="I5226" s="2" t="s">
        <v>23</v>
      </c>
      <c r="J5226" s="2" t="s">
        <v>37</v>
      </c>
      <c r="K5226" s="2" t="n">
        <v>20</v>
      </c>
      <c r="L5226" s="2" t="n">
        <v>0</v>
      </c>
      <c r="M5226" s="2" t="n">
        <v>0</v>
      </c>
    </row>
    <row r="5227" customFormat="false" ht="15" hidden="false" customHeight="false" outlineLevel="0" collapsed="false">
      <c r="A5227" s="2" t="s">
        <v>10648</v>
      </c>
      <c r="B5227" s="2" t="s">
        <v>10649</v>
      </c>
      <c r="C5227" s="2" t="n">
        <v>4</v>
      </c>
      <c r="D5227" s="2" t="s">
        <v>374</v>
      </c>
      <c r="E5227" s="2" t="s">
        <v>8083</v>
      </c>
      <c r="F5227" s="3" t="n">
        <v>46164.0465277778</v>
      </c>
      <c r="G5227" s="2" t="s">
        <v>10220</v>
      </c>
      <c r="H5227" s="4" t="n">
        <v>0.6369</v>
      </c>
      <c r="I5227" s="2" t="s">
        <v>23</v>
      </c>
      <c r="J5227" s="2" t="s">
        <v>19</v>
      </c>
      <c r="K5227" s="2" t="n">
        <v>1</v>
      </c>
      <c r="L5227" s="2" t="n">
        <v>0</v>
      </c>
      <c r="M5227" s="2" t="n">
        <v>0</v>
      </c>
    </row>
    <row r="5228" customFormat="false" ht="15" hidden="false" customHeight="false" outlineLevel="0" collapsed="false">
      <c r="A5228" s="2" t="s">
        <v>10650</v>
      </c>
      <c r="B5228" s="2" t="s">
        <v>5940</v>
      </c>
      <c r="C5228" s="2" t="n">
        <v>5</v>
      </c>
      <c r="D5228" s="2" t="s">
        <v>52</v>
      </c>
      <c r="E5228" s="2" t="s">
        <v>8083</v>
      </c>
      <c r="F5228" s="3" t="n">
        <v>46164.1256944445</v>
      </c>
      <c r="G5228" s="2" t="s">
        <v>10220</v>
      </c>
      <c r="H5228" s="4" t="n">
        <v>0.6369</v>
      </c>
      <c r="I5228" s="2" t="s">
        <v>23</v>
      </c>
      <c r="J5228" s="2" t="s">
        <v>19</v>
      </c>
      <c r="K5228" s="2" t="n">
        <v>1</v>
      </c>
      <c r="L5228" s="2" t="n">
        <v>0</v>
      </c>
      <c r="M5228" s="2" t="n">
        <v>0</v>
      </c>
    </row>
    <row r="5229" customFormat="false" ht="15" hidden="false" customHeight="false" outlineLevel="0" collapsed="false">
      <c r="A5229" s="2" t="s">
        <v>10651</v>
      </c>
      <c r="B5229" s="2" t="s">
        <v>10652</v>
      </c>
      <c r="C5229" s="2" t="n">
        <v>5</v>
      </c>
      <c r="D5229" s="2" t="s">
        <v>47</v>
      </c>
      <c r="E5229" s="2" t="s">
        <v>8083</v>
      </c>
      <c r="F5229" s="3" t="n">
        <v>46164.1479166667</v>
      </c>
      <c r="G5229" s="2" t="s">
        <v>10220</v>
      </c>
      <c r="H5229" s="4" t="n">
        <v>0.3089</v>
      </c>
      <c r="I5229" s="2" t="s">
        <v>23</v>
      </c>
      <c r="J5229" s="2" t="s">
        <v>19</v>
      </c>
      <c r="K5229" s="2" t="n">
        <v>2</v>
      </c>
      <c r="L5229" s="2" t="n">
        <v>0</v>
      </c>
      <c r="M5229" s="2" t="n">
        <v>0</v>
      </c>
    </row>
    <row r="5230" customFormat="false" ht="15" hidden="false" customHeight="false" outlineLevel="0" collapsed="false">
      <c r="A5230" s="2" t="s">
        <v>10653</v>
      </c>
      <c r="B5230" s="2" t="s">
        <v>10654</v>
      </c>
      <c r="C5230" s="2" t="n">
        <v>5</v>
      </c>
      <c r="D5230" s="2" t="s">
        <v>90</v>
      </c>
      <c r="E5230" s="2" t="s">
        <v>8083</v>
      </c>
      <c r="F5230" s="3" t="n">
        <v>46164.1506944444</v>
      </c>
      <c r="G5230" s="2" t="s">
        <v>10220</v>
      </c>
      <c r="H5230" s="4" t="n">
        <v>0.6249</v>
      </c>
      <c r="I5230" s="2" t="s">
        <v>23</v>
      </c>
      <c r="J5230" s="2" t="s">
        <v>37</v>
      </c>
      <c r="K5230" s="2" t="n">
        <v>1</v>
      </c>
      <c r="L5230" s="2" t="n">
        <v>0</v>
      </c>
      <c r="M5230" s="2" t="n">
        <v>0</v>
      </c>
    </row>
    <row r="5231" customFormat="false" ht="15" hidden="false" customHeight="false" outlineLevel="0" collapsed="false">
      <c r="A5231" s="2" t="s">
        <v>10655</v>
      </c>
      <c r="B5231" s="2" t="s">
        <v>10656</v>
      </c>
      <c r="C5231" s="2" t="n">
        <v>5</v>
      </c>
      <c r="D5231" s="2" t="s">
        <v>40</v>
      </c>
      <c r="E5231" s="2" t="s">
        <v>8083</v>
      </c>
      <c r="F5231" s="3" t="n">
        <v>46164.1861111111</v>
      </c>
      <c r="G5231" s="2" t="s">
        <v>10220</v>
      </c>
      <c r="H5231" s="4" t="n">
        <v>0.4019</v>
      </c>
      <c r="I5231" s="2" t="s">
        <v>23</v>
      </c>
      <c r="J5231" s="2" t="s">
        <v>33</v>
      </c>
      <c r="K5231" s="2" t="n">
        <v>1</v>
      </c>
      <c r="L5231" s="2" t="n">
        <v>0</v>
      </c>
      <c r="M5231" s="2" t="n">
        <v>0</v>
      </c>
    </row>
    <row r="5232" customFormat="false" ht="15" hidden="false" customHeight="false" outlineLevel="0" collapsed="false">
      <c r="A5232" s="2" t="s">
        <v>10657</v>
      </c>
      <c r="B5232" s="2" t="s">
        <v>10658</v>
      </c>
      <c r="C5232" s="2" t="n">
        <v>3</v>
      </c>
      <c r="D5232" s="2" t="s">
        <v>22</v>
      </c>
      <c r="E5232" s="2" t="s">
        <v>8083</v>
      </c>
      <c r="F5232" s="3" t="n">
        <v>46164.2041666667</v>
      </c>
      <c r="G5232" s="2" t="s">
        <v>10220</v>
      </c>
      <c r="H5232" s="4" t="n">
        <v>0.2023</v>
      </c>
      <c r="I5232" s="2" t="s">
        <v>23</v>
      </c>
      <c r="J5232" s="2" t="s">
        <v>19</v>
      </c>
      <c r="K5232" s="2" t="n">
        <v>0</v>
      </c>
      <c r="L5232" s="2" t="n">
        <v>0</v>
      </c>
      <c r="M5232" s="2" t="n">
        <v>0</v>
      </c>
    </row>
    <row r="5233" customFormat="false" ht="15" hidden="false" customHeight="false" outlineLevel="0" collapsed="false">
      <c r="A5233" s="2" t="s">
        <v>10659</v>
      </c>
      <c r="B5233" s="2" t="s">
        <v>10660</v>
      </c>
      <c r="C5233" s="2" t="n">
        <v>4</v>
      </c>
      <c r="D5233" s="2" t="s">
        <v>1424</v>
      </c>
      <c r="E5233" s="2" t="s">
        <v>8083</v>
      </c>
      <c r="F5233" s="3" t="n">
        <v>46164.2618055556</v>
      </c>
      <c r="G5233" s="2" t="s">
        <v>10220</v>
      </c>
      <c r="H5233" s="4" t="n">
        <v>0.3089</v>
      </c>
      <c r="I5233" s="2" t="s">
        <v>23</v>
      </c>
      <c r="J5233" s="2" t="s">
        <v>19</v>
      </c>
      <c r="K5233" s="2" t="n">
        <v>2</v>
      </c>
      <c r="L5233" s="2" t="n">
        <v>0</v>
      </c>
      <c r="M5233" s="2" t="n">
        <v>0</v>
      </c>
    </row>
    <row r="5234" customFormat="false" ht="15" hidden="false" customHeight="false" outlineLevel="0" collapsed="false">
      <c r="A5234" s="2" t="s">
        <v>10661</v>
      </c>
      <c r="B5234" s="2" t="s">
        <v>10662</v>
      </c>
      <c r="C5234" s="2" t="n">
        <v>5</v>
      </c>
      <c r="D5234" s="2" t="s">
        <v>47</v>
      </c>
      <c r="E5234" s="2" t="s">
        <v>8083</v>
      </c>
      <c r="F5234" s="3" t="n">
        <v>46164.5854166667</v>
      </c>
      <c r="G5234" s="2" t="s">
        <v>10220</v>
      </c>
      <c r="H5234" s="4" t="n">
        <v>0.3089</v>
      </c>
      <c r="I5234" s="2" t="s">
        <v>23</v>
      </c>
      <c r="J5234" s="2" t="s">
        <v>19</v>
      </c>
      <c r="K5234" s="2" t="n">
        <v>6</v>
      </c>
      <c r="L5234" s="2" t="n">
        <v>0</v>
      </c>
      <c r="M5234" s="2" t="n">
        <v>0</v>
      </c>
    </row>
    <row r="5235" customFormat="false" ht="15" hidden="false" customHeight="false" outlineLevel="0" collapsed="false">
      <c r="A5235" s="2" t="s">
        <v>10663</v>
      </c>
      <c r="B5235" s="2" t="s">
        <v>10664</v>
      </c>
      <c r="C5235" s="2" t="n">
        <v>5</v>
      </c>
      <c r="D5235" s="2" t="s">
        <v>127</v>
      </c>
      <c r="E5235" s="2" t="s">
        <v>8083</v>
      </c>
      <c r="F5235" s="3" t="n">
        <v>46164.5986111111</v>
      </c>
      <c r="G5235" s="2" t="s">
        <v>10220</v>
      </c>
      <c r="H5235" s="4" t="n">
        <v>0.9359</v>
      </c>
      <c r="I5235" s="2" t="s">
        <v>23</v>
      </c>
      <c r="J5235" s="2" t="s">
        <v>37</v>
      </c>
      <c r="K5235" s="2" t="n">
        <v>2</v>
      </c>
      <c r="L5235" s="2" t="n">
        <v>0</v>
      </c>
      <c r="M5235" s="2" t="n">
        <v>0</v>
      </c>
    </row>
    <row r="5236" customFormat="false" ht="15" hidden="false" customHeight="false" outlineLevel="0" collapsed="false">
      <c r="A5236" s="2" t="s">
        <v>10665</v>
      </c>
      <c r="B5236" s="2" t="s">
        <v>10666</v>
      </c>
      <c r="C5236" s="2" t="n">
        <v>4</v>
      </c>
      <c r="D5236" s="2" t="s">
        <v>36</v>
      </c>
      <c r="E5236" s="2" t="s">
        <v>8083</v>
      </c>
      <c r="F5236" s="3" t="n">
        <v>46164.6777777778</v>
      </c>
      <c r="G5236" s="2" t="s">
        <v>10220</v>
      </c>
      <c r="H5236" s="4" t="n">
        <v>0.4404</v>
      </c>
      <c r="I5236" s="2" t="s">
        <v>23</v>
      </c>
      <c r="J5236" s="2" t="s">
        <v>37</v>
      </c>
      <c r="K5236" s="2" t="n">
        <v>9</v>
      </c>
      <c r="L5236" s="2" t="n">
        <v>0</v>
      </c>
      <c r="M5236" s="2" t="n">
        <v>0</v>
      </c>
    </row>
    <row r="5237" customFormat="false" ht="15" hidden="false" customHeight="false" outlineLevel="0" collapsed="false">
      <c r="A5237" s="2" t="s">
        <v>10667</v>
      </c>
      <c r="B5237" s="2" t="s">
        <v>10668</v>
      </c>
      <c r="C5237" s="2" t="n">
        <v>5</v>
      </c>
      <c r="D5237" s="2" t="s">
        <v>1622</v>
      </c>
      <c r="E5237" s="2" t="s">
        <v>8083</v>
      </c>
      <c r="F5237" s="3" t="n">
        <v>46164.7958333333</v>
      </c>
      <c r="G5237" s="2" t="s">
        <v>10220</v>
      </c>
      <c r="H5237" s="4" t="n">
        <v>0.8555</v>
      </c>
      <c r="I5237" s="2" t="s">
        <v>23</v>
      </c>
      <c r="J5237" s="2" t="s">
        <v>19</v>
      </c>
      <c r="K5237" s="2" t="n">
        <v>4</v>
      </c>
      <c r="L5237" s="2" t="n">
        <v>0</v>
      </c>
      <c r="M5237" s="2" t="n">
        <v>0</v>
      </c>
    </row>
    <row r="5238" customFormat="false" ht="15" hidden="false" customHeight="false" outlineLevel="0" collapsed="false">
      <c r="A5238" s="2" t="s">
        <v>10669</v>
      </c>
      <c r="B5238" s="2" t="s">
        <v>10670</v>
      </c>
      <c r="C5238" s="2" t="n">
        <v>4</v>
      </c>
      <c r="D5238" s="2" t="s">
        <v>336</v>
      </c>
      <c r="E5238" s="2" t="s">
        <v>8083</v>
      </c>
      <c r="F5238" s="3" t="n">
        <v>46164.95</v>
      </c>
      <c r="G5238" s="2" t="s">
        <v>10220</v>
      </c>
      <c r="H5238" s="4" t="n">
        <v>0.7088</v>
      </c>
      <c r="I5238" s="2" t="s">
        <v>23</v>
      </c>
      <c r="J5238" s="2" t="s">
        <v>19</v>
      </c>
      <c r="K5238" s="2" t="n">
        <v>4</v>
      </c>
      <c r="L5238" s="2" t="n">
        <v>0</v>
      </c>
      <c r="M5238" s="2" t="n">
        <v>0</v>
      </c>
    </row>
    <row r="5239" customFormat="false" ht="15" hidden="false" customHeight="false" outlineLevel="0" collapsed="false">
      <c r="A5239" s="2" t="s">
        <v>10671</v>
      </c>
      <c r="B5239" s="2" t="s">
        <v>10672</v>
      </c>
      <c r="C5239" s="2" t="n">
        <v>1</v>
      </c>
      <c r="D5239" s="2" t="s">
        <v>357</v>
      </c>
      <c r="E5239" s="2" t="s">
        <v>8083</v>
      </c>
      <c r="F5239" s="3" t="n">
        <v>46165.0166666667</v>
      </c>
      <c r="G5239" s="2" t="s">
        <v>10220</v>
      </c>
      <c r="H5239" s="4" t="n">
        <v>0</v>
      </c>
      <c r="I5239" s="2" t="s">
        <v>18</v>
      </c>
      <c r="J5239" s="2" t="s">
        <v>165</v>
      </c>
      <c r="K5239" s="2" t="n">
        <v>0</v>
      </c>
      <c r="L5239" s="2" t="n">
        <v>0</v>
      </c>
      <c r="M5239" s="2" t="n">
        <v>0</v>
      </c>
    </row>
    <row r="5240" customFormat="false" ht="15" hidden="false" customHeight="false" outlineLevel="0" collapsed="false">
      <c r="A5240" s="2" t="s">
        <v>10673</v>
      </c>
      <c r="B5240" s="2" t="s">
        <v>10674</v>
      </c>
      <c r="C5240" s="2" t="n">
        <v>2</v>
      </c>
      <c r="D5240" s="2" t="s">
        <v>357</v>
      </c>
      <c r="E5240" s="2" t="s">
        <v>8083</v>
      </c>
      <c r="F5240" s="3" t="n">
        <v>46165.0451388889</v>
      </c>
      <c r="G5240" s="2" t="s">
        <v>10220</v>
      </c>
      <c r="H5240" s="4" t="n">
        <v>0</v>
      </c>
      <c r="I5240" s="2" t="s">
        <v>18</v>
      </c>
      <c r="J5240" s="2" t="s">
        <v>165</v>
      </c>
      <c r="K5240" s="2" t="n">
        <v>1</v>
      </c>
      <c r="L5240" s="2" t="n">
        <v>1</v>
      </c>
      <c r="M5240" s="2" t="n">
        <v>0</v>
      </c>
    </row>
    <row r="5241" customFormat="false" ht="15" hidden="false" customHeight="false" outlineLevel="0" collapsed="false">
      <c r="A5241" s="2" t="s">
        <v>10675</v>
      </c>
      <c r="B5241" s="2" t="s">
        <v>10676</v>
      </c>
      <c r="C5241" s="2" t="n">
        <v>5</v>
      </c>
      <c r="D5241" s="2" t="s">
        <v>2727</v>
      </c>
      <c r="E5241" s="2" t="s">
        <v>8083</v>
      </c>
      <c r="F5241" s="3" t="n">
        <v>46165.1597222222</v>
      </c>
      <c r="G5241" s="2" t="s">
        <v>10220</v>
      </c>
      <c r="H5241" s="4" t="n">
        <v>0.4019</v>
      </c>
      <c r="I5241" s="2" t="s">
        <v>23</v>
      </c>
      <c r="J5241" s="2" t="s">
        <v>33</v>
      </c>
      <c r="K5241" s="2" t="n">
        <v>4</v>
      </c>
      <c r="L5241" s="2" t="n">
        <v>0</v>
      </c>
      <c r="M5241" s="2" t="n">
        <v>0</v>
      </c>
    </row>
    <row r="5242" customFormat="false" ht="15" hidden="false" customHeight="false" outlineLevel="0" collapsed="false">
      <c r="A5242" s="2" t="s">
        <v>10677</v>
      </c>
      <c r="B5242" s="2" t="s">
        <v>10678</v>
      </c>
      <c r="C5242" s="2" t="n">
        <v>4</v>
      </c>
      <c r="D5242" s="2" t="s">
        <v>87</v>
      </c>
      <c r="E5242" s="2" t="s">
        <v>8083</v>
      </c>
      <c r="F5242" s="3" t="n">
        <v>46165.16875</v>
      </c>
      <c r="G5242" s="2" t="s">
        <v>10220</v>
      </c>
      <c r="H5242" s="4" t="n">
        <v>0</v>
      </c>
      <c r="I5242" s="2" t="s">
        <v>18</v>
      </c>
      <c r="J5242" s="2" t="s">
        <v>19</v>
      </c>
      <c r="K5242" s="2" t="n">
        <v>7</v>
      </c>
      <c r="L5242" s="2" t="n">
        <v>0</v>
      </c>
      <c r="M5242" s="2" t="n">
        <v>0</v>
      </c>
    </row>
    <row r="5243" customFormat="false" ht="15" hidden="false" customHeight="false" outlineLevel="0" collapsed="false">
      <c r="A5243" s="2" t="s">
        <v>10679</v>
      </c>
      <c r="B5243" s="2" t="s">
        <v>10680</v>
      </c>
      <c r="C5243" s="2" t="n">
        <v>4</v>
      </c>
      <c r="D5243" s="2" t="s">
        <v>87</v>
      </c>
      <c r="E5243" s="2" t="s">
        <v>8083</v>
      </c>
      <c r="F5243" s="3" t="n">
        <v>46165.1881944445</v>
      </c>
      <c r="G5243" s="2" t="s">
        <v>10220</v>
      </c>
      <c r="H5243" s="4" t="n">
        <v>0</v>
      </c>
      <c r="I5243" s="2" t="s">
        <v>18</v>
      </c>
      <c r="J5243" s="2" t="s">
        <v>19</v>
      </c>
      <c r="K5243" s="2" t="n">
        <v>10</v>
      </c>
      <c r="L5243" s="2" t="n">
        <v>0</v>
      </c>
      <c r="M5243" s="2" t="n">
        <v>0</v>
      </c>
    </row>
    <row r="5244" customFormat="false" ht="15" hidden="false" customHeight="false" outlineLevel="0" collapsed="false">
      <c r="A5244" s="2" t="s">
        <v>10681</v>
      </c>
      <c r="B5244" s="2" t="s">
        <v>10682</v>
      </c>
      <c r="C5244" s="2" t="n">
        <v>4</v>
      </c>
      <c r="D5244" s="2" t="s">
        <v>15</v>
      </c>
      <c r="E5244" s="2" t="s">
        <v>8083</v>
      </c>
      <c r="F5244" s="3" t="n">
        <v>46165.2305555556</v>
      </c>
      <c r="G5244" s="2" t="s">
        <v>10220</v>
      </c>
      <c r="H5244" s="4" t="n">
        <v>0</v>
      </c>
      <c r="I5244" s="2" t="s">
        <v>18</v>
      </c>
      <c r="J5244" s="2" t="s">
        <v>19</v>
      </c>
      <c r="K5244" s="2" t="n">
        <v>2</v>
      </c>
      <c r="L5244" s="2" t="n">
        <v>0</v>
      </c>
      <c r="M5244" s="2" t="n">
        <v>0</v>
      </c>
    </row>
    <row r="5245" customFormat="false" ht="15" hidden="false" customHeight="false" outlineLevel="0" collapsed="false">
      <c r="A5245" s="2" t="s">
        <v>10683</v>
      </c>
      <c r="B5245" s="2" t="s">
        <v>10684</v>
      </c>
      <c r="C5245" s="2" t="n">
        <v>5</v>
      </c>
      <c r="D5245" s="2" t="s">
        <v>52</v>
      </c>
      <c r="E5245" s="2" t="s">
        <v>8083</v>
      </c>
      <c r="F5245" s="3" t="n">
        <v>46165.5743055556</v>
      </c>
      <c r="G5245" s="2" t="s">
        <v>10220</v>
      </c>
      <c r="H5245" s="4" t="n">
        <v>0.6369</v>
      </c>
      <c r="I5245" s="2" t="s">
        <v>23</v>
      </c>
      <c r="J5245" s="2" t="s">
        <v>19</v>
      </c>
      <c r="K5245" s="2" t="n">
        <v>2</v>
      </c>
      <c r="L5245" s="2" t="n">
        <v>0</v>
      </c>
      <c r="M5245" s="2" t="n">
        <v>0</v>
      </c>
    </row>
    <row r="5246" customFormat="false" ht="15" hidden="false" customHeight="false" outlineLevel="0" collapsed="false">
      <c r="A5246" s="2" t="s">
        <v>10685</v>
      </c>
      <c r="B5246" s="2" t="s">
        <v>10686</v>
      </c>
      <c r="C5246" s="2" t="n">
        <v>2</v>
      </c>
      <c r="D5246" s="2" t="s">
        <v>1828</v>
      </c>
      <c r="E5246" s="2" t="s">
        <v>8083</v>
      </c>
      <c r="F5246" s="3" t="n">
        <v>46165.6347222222</v>
      </c>
      <c r="G5246" s="2" t="s">
        <v>10220</v>
      </c>
      <c r="H5246" s="4" t="n">
        <v>-0.8052</v>
      </c>
      <c r="I5246" s="2" t="s">
        <v>84</v>
      </c>
      <c r="J5246" s="2" t="s">
        <v>37</v>
      </c>
      <c r="K5246" s="2" t="n">
        <v>9</v>
      </c>
      <c r="L5246" s="2" t="n">
        <v>0</v>
      </c>
      <c r="M5246" s="2" t="n">
        <v>0</v>
      </c>
    </row>
    <row r="5247" customFormat="false" ht="15" hidden="false" customHeight="false" outlineLevel="0" collapsed="false">
      <c r="A5247" s="2" t="s">
        <v>10687</v>
      </c>
      <c r="B5247" s="2" t="s">
        <v>10688</v>
      </c>
      <c r="C5247" s="2" t="n">
        <v>5</v>
      </c>
      <c r="D5247" s="2" t="s">
        <v>127</v>
      </c>
      <c r="E5247" s="2" t="s">
        <v>8083</v>
      </c>
      <c r="F5247" s="3" t="n">
        <v>46165.6777777778</v>
      </c>
      <c r="G5247" s="2" t="s">
        <v>10220</v>
      </c>
      <c r="H5247" s="4" t="n">
        <v>0.9359</v>
      </c>
      <c r="I5247" s="2" t="s">
        <v>23</v>
      </c>
      <c r="J5247" s="2" t="s">
        <v>37</v>
      </c>
      <c r="K5247" s="2" t="n">
        <v>3</v>
      </c>
      <c r="L5247" s="2" t="n">
        <v>0</v>
      </c>
      <c r="M5247" s="2" t="n">
        <v>0</v>
      </c>
    </row>
    <row r="5248" customFormat="false" ht="15" hidden="false" customHeight="false" outlineLevel="0" collapsed="false">
      <c r="A5248" s="2" t="s">
        <v>10689</v>
      </c>
      <c r="B5248" s="2" t="s">
        <v>10690</v>
      </c>
      <c r="C5248" s="2" t="n">
        <v>3</v>
      </c>
      <c r="D5248" s="2" t="s">
        <v>133</v>
      </c>
      <c r="E5248" s="2" t="s">
        <v>8083</v>
      </c>
      <c r="F5248" s="3" t="n">
        <v>46165.7</v>
      </c>
      <c r="G5248" s="2" t="s">
        <v>10220</v>
      </c>
      <c r="H5248" s="4" t="n">
        <v>-0.5719</v>
      </c>
      <c r="I5248" s="2" t="s">
        <v>84</v>
      </c>
      <c r="J5248" s="2" t="s">
        <v>33</v>
      </c>
      <c r="K5248" s="2" t="n">
        <v>2</v>
      </c>
      <c r="L5248" s="2" t="n">
        <v>0</v>
      </c>
      <c r="M5248" s="2" t="n">
        <v>0</v>
      </c>
    </row>
    <row r="5249" customFormat="false" ht="15" hidden="false" customHeight="false" outlineLevel="0" collapsed="false">
      <c r="A5249" s="2" t="s">
        <v>10691</v>
      </c>
      <c r="B5249" s="2" t="s">
        <v>10692</v>
      </c>
      <c r="C5249" s="2" t="n">
        <v>5</v>
      </c>
      <c r="D5249" s="2" t="s">
        <v>90</v>
      </c>
      <c r="E5249" s="2" t="s">
        <v>8083</v>
      </c>
      <c r="F5249" s="3" t="n">
        <v>46165.8027777778</v>
      </c>
      <c r="G5249" s="2" t="s">
        <v>10220</v>
      </c>
      <c r="H5249" s="4" t="n">
        <v>0.6249</v>
      </c>
      <c r="I5249" s="2" t="s">
        <v>23</v>
      </c>
      <c r="J5249" s="2" t="s">
        <v>37</v>
      </c>
      <c r="K5249" s="2" t="n">
        <v>3</v>
      </c>
      <c r="L5249" s="2" t="n">
        <v>0</v>
      </c>
      <c r="M5249" s="2" t="n">
        <v>0</v>
      </c>
    </row>
    <row r="5250" customFormat="false" ht="15" hidden="false" customHeight="false" outlineLevel="0" collapsed="false">
      <c r="A5250" s="2" t="s">
        <v>10693</v>
      </c>
      <c r="B5250" s="2" t="s">
        <v>10694</v>
      </c>
      <c r="C5250" s="2" t="n">
        <v>1</v>
      </c>
      <c r="D5250" s="2" t="s">
        <v>624</v>
      </c>
      <c r="E5250" s="2" t="s">
        <v>8083</v>
      </c>
      <c r="F5250" s="3" t="n">
        <v>46165.8743055556</v>
      </c>
      <c r="G5250" s="2" t="s">
        <v>10220</v>
      </c>
      <c r="H5250" s="4" t="n">
        <v>-0.25</v>
      </c>
      <c r="I5250" s="2" t="s">
        <v>84</v>
      </c>
      <c r="J5250" s="2" t="s">
        <v>37</v>
      </c>
      <c r="K5250" s="2" t="n">
        <v>1</v>
      </c>
      <c r="L5250" s="2" t="n">
        <v>0</v>
      </c>
      <c r="M5250" s="2" t="n">
        <v>0</v>
      </c>
    </row>
    <row r="5251" customFormat="false" ht="15" hidden="false" customHeight="false" outlineLevel="0" collapsed="false">
      <c r="A5251" s="2" t="s">
        <v>10695</v>
      </c>
      <c r="B5251" s="2" t="s">
        <v>10696</v>
      </c>
      <c r="C5251" s="2" t="n">
        <v>5</v>
      </c>
      <c r="D5251" s="2" t="s">
        <v>15</v>
      </c>
      <c r="E5251" s="2" t="s">
        <v>8083</v>
      </c>
      <c r="F5251" s="3" t="n">
        <v>46166.0152777778</v>
      </c>
      <c r="G5251" s="2" t="s">
        <v>10220</v>
      </c>
      <c r="H5251" s="4" t="n">
        <v>0</v>
      </c>
      <c r="I5251" s="2" t="s">
        <v>18</v>
      </c>
      <c r="J5251" s="2" t="s">
        <v>19</v>
      </c>
      <c r="K5251" s="2" t="n">
        <v>2</v>
      </c>
      <c r="L5251" s="2" t="n">
        <v>0</v>
      </c>
      <c r="M5251" s="2" t="n">
        <v>0</v>
      </c>
    </row>
    <row r="5252" customFormat="false" ht="15" hidden="false" customHeight="false" outlineLevel="0" collapsed="false">
      <c r="A5252" s="2" t="s">
        <v>10697</v>
      </c>
      <c r="B5252" s="2" t="s">
        <v>10698</v>
      </c>
      <c r="C5252" s="2" t="n">
        <v>4</v>
      </c>
      <c r="D5252" s="2" t="s">
        <v>1167</v>
      </c>
      <c r="E5252" s="2" t="s">
        <v>8083</v>
      </c>
      <c r="F5252" s="3" t="n">
        <v>46166.0173611111</v>
      </c>
      <c r="G5252" s="2" t="s">
        <v>10220</v>
      </c>
      <c r="H5252" s="4" t="n">
        <v>0.8519</v>
      </c>
      <c r="I5252" s="2" t="s">
        <v>23</v>
      </c>
      <c r="J5252" s="2" t="s">
        <v>37</v>
      </c>
      <c r="K5252" s="2" t="n">
        <v>1</v>
      </c>
      <c r="L5252" s="2" t="n">
        <v>0</v>
      </c>
      <c r="M5252" s="2" t="n">
        <v>0</v>
      </c>
    </row>
    <row r="5253" customFormat="false" ht="15" hidden="false" customHeight="false" outlineLevel="0" collapsed="false">
      <c r="A5253" s="2" t="s">
        <v>10699</v>
      </c>
      <c r="B5253" s="2" t="s">
        <v>10700</v>
      </c>
      <c r="C5253" s="2" t="n">
        <v>5</v>
      </c>
      <c r="D5253" s="2" t="s">
        <v>96</v>
      </c>
      <c r="E5253" s="2" t="s">
        <v>8083</v>
      </c>
      <c r="F5253" s="3" t="n">
        <v>46166.1041666667</v>
      </c>
      <c r="G5253" s="2" t="s">
        <v>10220</v>
      </c>
      <c r="H5253" s="4" t="n">
        <v>0.6369</v>
      </c>
      <c r="I5253" s="2" t="s">
        <v>23</v>
      </c>
      <c r="J5253" s="2" t="s">
        <v>19</v>
      </c>
      <c r="K5253" s="2" t="n">
        <v>7</v>
      </c>
      <c r="L5253" s="2" t="n">
        <v>0</v>
      </c>
      <c r="M5253" s="2" t="n">
        <v>0</v>
      </c>
    </row>
    <row r="5254" customFormat="false" ht="15" hidden="false" customHeight="false" outlineLevel="0" collapsed="false">
      <c r="A5254" s="2" t="s">
        <v>10701</v>
      </c>
      <c r="B5254" s="2" t="s">
        <v>10702</v>
      </c>
      <c r="C5254" s="2" t="n">
        <v>4</v>
      </c>
      <c r="D5254" s="2" t="s">
        <v>36</v>
      </c>
      <c r="E5254" s="2" t="s">
        <v>8083</v>
      </c>
      <c r="F5254" s="3" t="n">
        <v>46166.3333333333</v>
      </c>
      <c r="G5254" s="2" t="s">
        <v>10220</v>
      </c>
      <c r="H5254" s="4" t="n">
        <v>0.4404</v>
      </c>
      <c r="I5254" s="2" t="s">
        <v>23</v>
      </c>
      <c r="J5254" s="2" t="s">
        <v>37</v>
      </c>
      <c r="K5254" s="2" t="n">
        <v>2</v>
      </c>
      <c r="L5254" s="2" t="n">
        <v>0</v>
      </c>
      <c r="M5254" s="2" t="n">
        <v>0</v>
      </c>
    </row>
    <row r="5255" customFormat="false" ht="15" hidden="false" customHeight="false" outlineLevel="0" collapsed="false">
      <c r="A5255" s="2" t="s">
        <v>10703</v>
      </c>
      <c r="B5255" s="2" t="s">
        <v>10704</v>
      </c>
      <c r="C5255" s="2" t="n">
        <v>3</v>
      </c>
      <c r="D5255" s="2" t="s">
        <v>22</v>
      </c>
      <c r="E5255" s="2" t="s">
        <v>8083</v>
      </c>
      <c r="F5255" s="3" t="n">
        <v>46166.3972222222</v>
      </c>
      <c r="G5255" s="2" t="s">
        <v>10220</v>
      </c>
      <c r="H5255" s="4" t="n">
        <v>0.2023</v>
      </c>
      <c r="I5255" s="2" t="s">
        <v>23</v>
      </c>
      <c r="J5255" s="2" t="s">
        <v>19</v>
      </c>
      <c r="K5255" s="2" t="n">
        <v>1</v>
      </c>
      <c r="L5255" s="2" t="n">
        <v>0</v>
      </c>
      <c r="M5255" s="2" t="n">
        <v>0</v>
      </c>
    </row>
    <row r="5256" customFormat="false" ht="15" hidden="false" customHeight="false" outlineLevel="0" collapsed="false">
      <c r="A5256" s="2" t="s">
        <v>10705</v>
      </c>
      <c r="B5256" s="2" t="s">
        <v>7247</v>
      </c>
      <c r="C5256" s="2" t="n">
        <v>5</v>
      </c>
      <c r="D5256" s="2" t="s">
        <v>40</v>
      </c>
      <c r="E5256" s="2" t="s">
        <v>8083</v>
      </c>
      <c r="F5256" s="3" t="n">
        <v>46166.6576388889</v>
      </c>
      <c r="G5256" s="2" t="s">
        <v>10220</v>
      </c>
      <c r="H5256" s="4" t="n">
        <v>0.4019</v>
      </c>
      <c r="I5256" s="2" t="s">
        <v>23</v>
      </c>
      <c r="J5256" s="2" t="s">
        <v>33</v>
      </c>
      <c r="K5256" s="2" t="n">
        <v>13</v>
      </c>
      <c r="L5256" s="2" t="n">
        <v>0</v>
      </c>
      <c r="M5256" s="2" t="n">
        <v>0</v>
      </c>
    </row>
    <row r="5257" customFormat="false" ht="15" hidden="false" customHeight="false" outlineLevel="0" collapsed="false">
      <c r="A5257" s="2" t="s">
        <v>10706</v>
      </c>
      <c r="B5257" s="2" t="s">
        <v>396</v>
      </c>
      <c r="C5257" s="2" t="n">
        <v>3</v>
      </c>
      <c r="D5257" s="2" t="s">
        <v>99</v>
      </c>
      <c r="E5257" s="2" t="s">
        <v>8083</v>
      </c>
      <c r="F5257" s="3" t="n">
        <v>46166.6888888889</v>
      </c>
      <c r="G5257" s="2" t="s">
        <v>10220</v>
      </c>
      <c r="H5257" s="4" t="n">
        <v>-0.3089</v>
      </c>
      <c r="I5257" s="2" t="s">
        <v>84</v>
      </c>
      <c r="J5257" s="2" t="s">
        <v>19</v>
      </c>
      <c r="K5257" s="2" t="n">
        <v>2</v>
      </c>
      <c r="L5257" s="2" t="n">
        <v>0</v>
      </c>
      <c r="M5257" s="2" t="n">
        <v>0</v>
      </c>
    </row>
    <row r="5258" customFormat="false" ht="15" hidden="false" customHeight="false" outlineLevel="0" collapsed="false">
      <c r="A5258" s="2" t="s">
        <v>10707</v>
      </c>
      <c r="B5258" s="2" t="s">
        <v>10708</v>
      </c>
      <c r="C5258" s="2" t="n">
        <v>5</v>
      </c>
      <c r="D5258" s="2" t="s">
        <v>29</v>
      </c>
      <c r="E5258" s="2" t="s">
        <v>8083</v>
      </c>
      <c r="F5258" s="3" t="n">
        <v>46166.6902777778</v>
      </c>
      <c r="G5258" s="2" t="s">
        <v>10220</v>
      </c>
      <c r="H5258" s="4" t="n">
        <v>0.6369</v>
      </c>
      <c r="I5258" s="2" t="s">
        <v>23</v>
      </c>
      <c r="J5258" s="2" t="s">
        <v>19</v>
      </c>
      <c r="K5258" s="2" t="n">
        <v>1</v>
      </c>
      <c r="L5258" s="2" t="n">
        <v>0</v>
      </c>
      <c r="M5258" s="2" t="n">
        <v>0</v>
      </c>
    </row>
    <row r="5259" customFormat="false" ht="15" hidden="false" customHeight="false" outlineLevel="0" collapsed="false">
      <c r="A5259" s="2" t="s">
        <v>10709</v>
      </c>
      <c r="B5259" s="2" t="s">
        <v>10710</v>
      </c>
      <c r="C5259" s="2" t="n">
        <v>5</v>
      </c>
      <c r="D5259" s="2" t="s">
        <v>127</v>
      </c>
      <c r="E5259" s="2" t="s">
        <v>8083</v>
      </c>
      <c r="F5259" s="3" t="n">
        <v>46166.7118055556</v>
      </c>
      <c r="G5259" s="2" t="s">
        <v>10220</v>
      </c>
      <c r="H5259" s="4" t="n">
        <v>0.9359</v>
      </c>
      <c r="I5259" s="2" t="s">
        <v>23</v>
      </c>
      <c r="J5259" s="2" t="s">
        <v>37</v>
      </c>
      <c r="K5259" s="2" t="n">
        <v>6</v>
      </c>
      <c r="L5259" s="2" t="n">
        <v>0</v>
      </c>
      <c r="M5259" s="2" t="n">
        <v>0</v>
      </c>
    </row>
    <row r="5260" customFormat="false" ht="15" hidden="false" customHeight="false" outlineLevel="0" collapsed="false">
      <c r="A5260" s="2" t="s">
        <v>10711</v>
      </c>
      <c r="B5260" s="2" t="s">
        <v>10712</v>
      </c>
      <c r="C5260" s="2" t="n">
        <v>3</v>
      </c>
      <c r="D5260" s="2" t="s">
        <v>36</v>
      </c>
      <c r="E5260" s="2" t="s">
        <v>8083</v>
      </c>
      <c r="F5260" s="3" t="n">
        <v>46166.8236111111</v>
      </c>
      <c r="G5260" s="2" t="s">
        <v>10220</v>
      </c>
      <c r="H5260" s="4" t="n">
        <v>0.4404</v>
      </c>
      <c r="I5260" s="2" t="s">
        <v>23</v>
      </c>
      <c r="J5260" s="2" t="s">
        <v>37</v>
      </c>
      <c r="K5260" s="2" t="n">
        <v>2</v>
      </c>
      <c r="L5260" s="2" t="n">
        <v>0</v>
      </c>
      <c r="M5260" s="2" t="n">
        <v>0</v>
      </c>
    </row>
    <row r="5261" customFormat="false" ht="15" hidden="false" customHeight="false" outlineLevel="0" collapsed="false">
      <c r="A5261" s="2" t="s">
        <v>10713</v>
      </c>
      <c r="B5261" s="2" t="s">
        <v>10714</v>
      </c>
      <c r="C5261" s="2" t="n">
        <v>5</v>
      </c>
      <c r="D5261" s="2" t="s">
        <v>420</v>
      </c>
      <c r="E5261" s="2" t="s">
        <v>8083</v>
      </c>
      <c r="F5261" s="3" t="n">
        <v>46166.8791666667</v>
      </c>
      <c r="G5261" s="2" t="s">
        <v>10220</v>
      </c>
      <c r="H5261" s="4" t="n">
        <v>0.7845</v>
      </c>
      <c r="I5261" s="2" t="s">
        <v>23</v>
      </c>
      <c r="J5261" s="2" t="s">
        <v>33</v>
      </c>
      <c r="K5261" s="2" t="n">
        <v>4</v>
      </c>
      <c r="L5261" s="2" t="n">
        <v>0</v>
      </c>
      <c r="M5261" s="2" t="n">
        <v>0</v>
      </c>
    </row>
    <row r="5262" customFormat="false" ht="15" hidden="false" customHeight="false" outlineLevel="0" collapsed="false">
      <c r="A5262" s="2" t="s">
        <v>10715</v>
      </c>
      <c r="B5262" s="2" t="s">
        <v>10716</v>
      </c>
      <c r="C5262" s="2" t="n">
        <v>5</v>
      </c>
      <c r="D5262" s="2" t="s">
        <v>90</v>
      </c>
      <c r="E5262" s="2" t="s">
        <v>8083</v>
      </c>
      <c r="F5262" s="3" t="n">
        <v>46166.9020833333</v>
      </c>
      <c r="G5262" s="2" t="s">
        <v>10220</v>
      </c>
      <c r="H5262" s="4" t="n">
        <v>0.6249</v>
      </c>
      <c r="I5262" s="2" t="s">
        <v>23</v>
      </c>
      <c r="J5262" s="2" t="s">
        <v>37</v>
      </c>
      <c r="K5262" s="2" t="n">
        <v>1</v>
      </c>
      <c r="L5262" s="2" t="n">
        <v>0</v>
      </c>
      <c r="M5262" s="2" t="n">
        <v>0</v>
      </c>
    </row>
    <row r="5263" customFormat="false" ht="15" hidden="false" customHeight="false" outlineLevel="0" collapsed="false">
      <c r="A5263" s="2" t="s">
        <v>10717</v>
      </c>
      <c r="B5263" s="2" t="s">
        <v>10718</v>
      </c>
      <c r="C5263" s="2" t="n">
        <v>5</v>
      </c>
      <c r="D5263" s="2" t="s">
        <v>62</v>
      </c>
      <c r="E5263" s="2" t="s">
        <v>8083</v>
      </c>
      <c r="F5263" s="3" t="n">
        <v>46167.0604166667</v>
      </c>
      <c r="G5263" s="2" t="s">
        <v>10220</v>
      </c>
      <c r="H5263" s="4" t="n">
        <v>0.7088</v>
      </c>
      <c r="I5263" s="2" t="s">
        <v>23</v>
      </c>
      <c r="J5263" s="2" t="s">
        <v>19</v>
      </c>
      <c r="K5263" s="2" t="n">
        <v>9</v>
      </c>
      <c r="L5263" s="2" t="n">
        <v>0</v>
      </c>
      <c r="M5263" s="2" t="n">
        <v>0</v>
      </c>
    </row>
    <row r="5264" customFormat="false" ht="15" hidden="false" customHeight="false" outlineLevel="0" collapsed="false">
      <c r="A5264" s="2" t="s">
        <v>10719</v>
      </c>
      <c r="B5264" s="2" t="s">
        <v>10720</v>
      </c>
      <c r="C5264" s="2" t="n">
        <v>5</v>
      </c>
      <c r="D5264" s="2" t="s">
        <v>90</v>
      </c>
      <c r="E5264" s="2" t="s">
        <v>8083</v>
      </c>
      <c r="F5264" s="3" t="n">
        <v>46167.1527777778</v>
      </c>
      <c r="G5264" s="2" t="s">
        <v>10220</v>
      </c>
      <c r="H5264" s="4" t="n">
        <v>0.6249</v>
      </c>
      <c r="I5264" s="2" t="s">
        <v>23</v>
      </c>
      <c r="J5264" s="2" t="s">
        <v>37</v>
      </c>
      <c r="K5264" s="2" t="n">
        <v>3</v>
      </c>
      <c r="L5264" s="2" t="n">
        <v>0</v>
      </c>
      <c r="M5264" s="2" t="n">
        <v>0</v>
      </c>
    </row>
    <row r="5265" customFormat="false" ht="15" hidden="false" customHeight="false" outlineLevel="0" collapsed="false">
      <c r="A5265" s="2" t="s">
        <v>10721</v>
      </c>
      <c r="B5265" s="2" t="s">
        <v>10722</v>
      </c>
      <c r="C5265" s="2" t="n">
        <v>5</v>
      </c>
      <c r="D5265" s="2" t="s">
        <v>52</v>
      </c>
      <c r="E5265" s="2" t="s">
        <v>8083</v>
      </c>
      <c r="F5265" s="3" t="n">
        <v>46167.1791666667</v>
      </c>
      <c r="G5265" s="2" t="s">
        <v>10220</v>
      </c>
      <c r="H5265" s="4" t="n">
        <v>0.6369</v>
      </c>
      <c r="I5265" s="2" t="s">
        <v>23</v>
      </c>
      <c r="J5265" s="2" t="s">
        <v>19</v>
      </c>
      <c r="K5265" s="2" t="n">
        <v>2</v>
      </c>
      <c r="L5265" s="2" t="n">
        <v>0</v>
      </c>
      <c r="M5265" s="2" t="n">
        <v>0</v>
      </c>
    </row>
    <row r="5266" customFormat="false" ht="15" hidden="false" customHeight="false" outlineLevel="0" collapsed="false">
      <c r="A5266" s="2" t="s">
        <v>10723</v>
      </c>
      <c r="B5266" s="2" t="s">
        <v>10724</v>
      </c>
      <c r="C5266" s="2" t="n">
        <v>3</v>
      </c>
      <c r="D5266" s="2" t="s">
        <v>1029</v>
      </c>
      <c r="E5266" s="2" t="s">
        <v>8083</v>
      </c>
      <c r="F5266" s="3" t="n">
        <v>46167.3104166667</v>
      </c>
      <c r="G5266" s="2" t="s">
        <v>10220</v>
      </c>
      <c r="H5266" s="4" t="n">
        <v>0.1154</v>
      </c>
      <c r="I5266" s="2" t="s">
        <v>23</v>
      </c>
      <c r="J5266" s="2" t="s">
        <v>19</v>
      </c>
      <c r="K5266" s="2" t="n">
        <v>2</v>
      </c>
      <c r="L5266" s="2" t="n">
        <v>0</v>
      </c>
      <c r="M5266" s="2" t="n">
        <v>0</v>
      </c>
    </row>
    <row r="5267" customFormat="false" ht="15" hidden="false" customHeight="false" outlineLevel="0" collapsed="false">
      <c r="A5267" s="2" t="s">
        <v>10725</v>
      </c>
      <c r="B5267" s="2" t="s">
        <v>10726</v>
      </c>
      <c r="C5267" s="2" t="n">
        <v>4</v>
      </c>
      <c r="D5267" s="2" t="s">
        <v>1698</v>
      </c>
      <c r="E5267" s="2" t="s">
        <v>8083</v>
      </c>
      <c r="F5267" s="3" t="n">
        <v>46167.4555555556</v>
      </c>
      <c r="G5267" s="2" t="s">
        <v>10220</v>
      </c>
      <c r="H5267" s="4" t="n">
        <v>0.7845</v>
      </c>
      <c r="I5267" s="2" t="s">
        <v>23</v>
      </c>
      <c r="J5267" s="2" t="s">
        <v>33</v>
      </c>
      <c r="K5267" s="2" t="n">
        <v>2</v>
      </c>
      <c r="L5267" s="2" t="n">
        <v>0</v>
      </c>
      <c r="M5267" s="2" t="n">
        <v>0</v>
      </c>
    </row>
    <row r="5268" customFormat="false" ht="15" hidden="false" customHeight="false" outlineLevel="0" collapsed="false">
      <c r="A5268" s="2" t="s">
        <v>10727</v>
      </c>
      <c r="B5268" s="2" t="s">
        <v>10728</v>
      </c>
      <c r="C5268" s="2" t="n">
        <v>5</v>
      </c>
      <c r="D5268" s="2" t="s">
        <v>127</v>
      </c>
      <c r="E5268" s="2" t="s">
        <v>8083</v>
      </c>
      <c r="F5268" s="3" t="n">
        <v>46167.4840277778</v>
      </c>
      <c r="G5268" s="2" t="s">
        <v>10220</v>
      </c>
      <c r="H5268" s="4" t="n">
        <v>0.9359</v>
      </c>
      <c r="I5268" s="2" t="s">
        <v>23</v>
      </c>
      <c r="J5268" s="2" t="s">
        <v>37</v>
      </c>
      <c r="K5268" s="2" t="n">
        <v>4</v>
      </c>
      <c r="L5268" s="2" t="n">
        <v>0</v>
      </c>
      <c r="M5268" s="2" t="n">
        <v>0</v>
      </c>
    </row>
    <row r="5269" customFormat="false" ht="15" hidden="false" customHeight="false" outlineLevel="0" collapsed="false">
      <c r="A5269" s="2" t="s">
        <v>10729</v>
      </c>
      <c r="B5269" s="2" t="s">
        <v>10730</v>
      </c>
      <c r="C5269" s="2" t="n">
        <v>3</v>
      </c>
      <c r="D5269" s="2" t="s">
        <v>3053</v>
      </c>
      <c r="E5269" s="2" t="s">
        <v>8083</v>
      </c>
      <c r="F5269" s="3" t="n">
        <v>46167.5388888889</v>
      </c>
      <c r="G5269" s="2" t="s">
        <v>10220</v>
      </c>
      <c r="H5269" s="4" t="n">
        <v>-0.4449</v>
      </c>
      <c r="I5269" s="2" t="s">
        <v>84</v>
      </c>
      <c r="J5269" s="2" t="s">
        <v>19</v>
      </c>
      <c r="K5269" s="2" t="n">
        <v>6</v>
      </c>
      <c r="L5269" s="2" t="n">
        <v>0</v>
      </c>
      <c r="M5269" s="2" t="n">
        <v>0</v>
      </c>
    </row>
    <row r="5270" customFormat="false" ht="15" hidden="false" customHeight="false" outlineLevel="0" collapsed="false">
      <c r="A5270" s="2" t="s">
        <v>10731</v>
      </c>
      <c r="B5270" s="2" t="s">
        <v>10732</v>
      </c>
      <c r="C5270" s="2" t="n">
        <v>1</v>
      </c>
      <c r="D5270" s="2" t="s">
        <v>109</v>
      </c>
      <c r="E5270" s="2" t="s">
        <v>8083</v>
      </c>
      <c r="F5270" s="3" t="n">
        <v>46167.5722222222</v>
      </c>
      <c r="G5270" s="2" t="s">
        <v>10220</v>
      </c>
      <c r="H5270" s="4" t="n">
        <v>0</v>
      </c>
      <c r="I5270" s="2" t="s">
        <v>18</v>
      </c>
      <c r="J5270" s="2" t="s">
        <v>110</v>
      </c>
      <c r="K5270" s="2" t="n">
        <v>2</v>
      </c>
      <c r="L5270" s="2" t="n">
        <v>1</v>
      </c>
      <c r="M5270" s="2" t="n">
        <v>0</v>
      </c>
    </row>
    <row r="5271" customFormat="false" ht="15" hidden="false" customHeight="false" outlineLevel="0" collapsed="false">
      <c r="A5271" s="2" t="s">
        <v>10733</v>
      </c>
      <c r="B5271" s="2" t="s">
        <v>10734</v>
      </c>
      <c r="C5271" s="2" t="n">
        <v>5</v>
      </c>
      <c r="D5271" s="2" t="s">
        <v>47</v>
      </c>
      <c r="E5271" s="2" t="s">
        <v>8083</v>
      </c>
      <c r="F5271" s="3" t="n">
        <v>46167.6444444444</v>
      </c>
      <c r="G5271" s="2" t="s">
        <v>10220</v>
      </c>
      <c r="H5271" s="4" t="n">
        <v>0.3089</v>
      </c>
      <c r="I5271" s="2" t="s">
        <v>23</v>
      </c>
      <c r="J5271" s="2" t="s">
        <v>19</v>
      </c>
      <c r="K5271" s="2" t="n">
        <v>0</v>
      </c>
      <c r="L5271" s="2" t="n">
        <v>0</v>
      </c>
      <c r="M5271" s="2" t="n">
        <v>0</v>
      </c>
    </row>
    <row r="5272" customFormat="false" ht="15" hidden="false" customHeight="false" outlineLevel="0" collapsed="false">
      <c r="A5272" s="2" t="s">
        <v>10735</v>
      </c>
      <c r="B5272" s="2" t="s">
        <v>10736</v>
      </c>
      <c r="C5272" s="2" t="n">
        <v>1</v>
      </c>
      <c r="D5272" s="2" t="s">
        <v>4121</v>
      </c>
      <c r="E5272" s="2" t="s">
        <v>8083</v>
      </c>
      <c r="F5272" s="3" t="n">
        <v>46167.71875</v>
      </c>
      <c r="G5272" s="2" t="s">
        <v>10220</v>
      </c>
      <c r="H5272" s="4" t="n">
        <v>0.4404</v>
      </c>
      <c r="I5272" s="2" t="s">
        <v>23</v>
      </c>
      <c r="J5272" s="2" t="s">
        <v>165</v>
      </c>
      <c r="K5272" s="2" t="n">
        <v>2</v>
      </c>
      <c r="L5272" s="2" t="n">
        <v>1</v>
      </c>
      <c r="M5272" s="2" t="n">
        <v>0</v>
      </c>
    </row>
    <row r="5273" customFormat="false" ht="15" hidden="false" customHeight="false" outlineLevel="0" collapsed="false">
      <c r="A5273" s="2" t="s">
        <v>10737</v>
      </c>
      <c r="B5273" s="2" t="s">
        <v>470</v>
      </c>
      <c r="C5273" s="2" t="n">
        <v>5</v>
      </c>
      <c r="D5273" s="2" t="s">
        <v>127</v>
      </c>
      <c r="E5273" s="2" t="s">
        <v>8083</v>
      </c>
      <c r="F5273" s="3" t="n">
        <v>46167.7916666667</v>
      </c>
      <c r="G5273" s="2" t="s">
        <v>10220</v>
      </c>
      <c r="H5273" s="4" t="n">
        <v>0.9359</v>
      </c>
      <c r="I5273" s="2" t="s">
        <v>23</v>
      </c>
      <c r="J5273" s="2" t="s">
        <v>37</v>
      </c>
      <c r="K5273" s="2" t="n">
        <v>1</v>
      </c>
      <c r="L5273" s="2" t="n">
        <v>0</v>
      </c>
      <c r="M5273" s="2" t="n">
        <v>0</v>
      </c>
    </row>
    <row r="5274" customFormat="false" ht="15" hidden="false" customHeight="false" outlineLevel="0" collapsed="false">
      <c r="A5274" s="2" t="s">
        <v>10738</v>
      </c>
      <c r="B5274" s="2" t="s">
        <v>10739</v>
      </c>
      <c r="C5274" s="2" t="n">
        <v>5</v>
      </c>
      <c r="D5274" s="2" t="s">
        <v>40</v>
      </c>
      <c r="E5274" s="2" t="s">
        <v>8083</v>
      </c>
      <c r="F5274" s="3" t="n">
        <v>46168.0354166667</v>
      </c>
      <c r="G5274" s="2" t="s">
        <v>10220</v>
      </c>
      <c r="H5274" s="4" t="n">
        <v>0.4019</v>
      </c>
      <c r="I5274" s="2" t="s">
        <v>23</v>
      </c>
      <c r="J5274" s="2" t="s">
        <v>33</v>
      </c>
      <c r="K5274" s="2" t="n">
        <v>10</v>
      </c>
      <c r="L5274" s="2" t="n">
        <v>0</v>
      </c>
      <c r="M5274" s="2" t="n">
        <v>0</v>
      </c>
    </row>
    <row r="5275" customFormat="false" ht="15" hidden="false" customHeight="false" outlineLevel="0" collapsed="false">
      <c r="A5275" s="2" t="s">
        <v>10740</v>
      </c>
      <c r="B5275" s="2" t="s">
        <v>10741</v>
      </c>
      <c r="C5275" s="2" t="n">
        <v>3</v>
      </c>
      <c r="D5275" s="2" t="s">
        <v>301</v>
      </c>
      <c r="E5275" s="2" t="s">
        <v>8083</v>
      </c>
      <c r="F5275" s="3" t="n">
        <v>46168.2597222222</v>
      </c>
      <c r="G5275" s="2" t="s">
        <v>10220</v>
      </c>
      <c r="H5275" s="4" t="n">
        <v>0.2263</v>
      </c>
      <c r="I5275" s="2" t="s">
        <v>23</v>
      </c>
      <c r="J5275" s="2" t="s">
        <v>19</v>
      </c>
      <c r="K5275" s="2" t="n">
        <v>6</v>
      </c>
      <c r="L5275" s="2" t="n">
        <v>0</v>
      </c>
      <c r="M5275" s="2" t="n">
        <v>0</v>
      </c>
    </row>
    <row r="5276" customFormat="false" ht="15" hidden="false" customHeight="false" outlineLevel="0" collapsed="false">
      <c r="A5276" s="2" t="s">
        <v>10742</v>
      </c>
      <c r="B5276" s="2" t="s">
        <v>10743</v>
      </c>
      <c r="C5276" s="2" t="n">
        <v>4</v>
      </c>
      <c r="D5276" s="2" t="s">
        <v>127</v>
      </c>
      <c r="E5276" s="2" t="s">
        <v>8083</v>
      </c>
      <c r="F5276" s="3" t="n">
        <v>46168.3833333333</v>
      </c>
      <c r="G5276" s="2" t="s">
        <v>10220</v>
      </c>
      <c r="H5276" s="4" t="n">
        <v>0.9359</v>
      </c>
      <c r="I5276" s="2" t="s">
        <v>23</v>
      </c>
      <c r="J5276" s="2" t="s">
        <v>37</v>
      </c>
      <c r="K5276" s="2" t="n">
        <v>3</v>
      </c>
      <c r="L5276" s="2" t="n">
        <v>0</v>
      </c>
      <c r="M5276" s="2" t="n">
        <v>0</v>
      </c>
    </row>
    <row r="5277" customFormat="false" ht="15" hidden="false" customHeight="false" outlineLevel="0" collapsed="false">
      <c r="A5277" s="2" t="s">
        <v>10744</v>
      </c>
      <c r="B5277" s="2" t="s">
        <v>10745</v>
      </c>
      <c r="C5277" s="2" t="n">
        <v>4</v>
      </c>
      <c r="D5277" s="2" t="s">
        <v>127</v>
      </c>
      <c r="E5277" s="2" t="s">
        <v>8083</v>
      </c>
      <c r="F5277" s="3" t="n">
        <v>46168.3854166667</v>
      </c>
      <c r="G5277" s="2" t="s">
        <v>10220</v>
      </c>
      <c r="H5277" s="4" t="n">
        <v>0.9359</v>
      </c>
      <c r="I5277" s="2" t="s">
        <v>23</v>
      </c>
      <c r="J5277" s="2" t="s">
        <v>37</v>
      </c>
      <c r="K5277" s="2" t="n">
        <v>6</v>
      </c>
      <c r="L5277" s="2" t="n">
        <v>0</v>
      </c>
      <c r="M5277" s="2" t="n">
        <v>0</v>
      </c>
    </row>
    <row r="5278" customFormat="false" ht="15" hidden="false" customHeight="false" outlineLevel="0" collapsed="false">
      <c r="A5278" s="2" t="s">
        <v>10746</v>
      </c>
      <c r="B5278" s="2" t="s">
        <v>10747</v>
      </c>
      <c r="C5278" s="2" t="n">
        <v>3</v>
      </c>
      <c r="D5278" s="2" t="s">
        <v>22</v>
      </c>
      <c r="E5278" s="2" t="s">
        <v>8083</v>
      </c>
      <c r="F5278" s="3" t="n">
        <v>46168.4416666667</v>
      </c>
      <c r="G5278" s="2" t="s">
        <v>10220</v>
      </c>
      <c r="H5278" s="4" t="n">
        <v>0.2023</v>
      </c>
      <c r="I5278" s="2" t="s">
        <v>23</v>
      </c>
      <c r="J5278" s="2" t="s">
        <v>19</v>
      </c>
      <c r="K5278" s="2" t="n">
        <v>10</v>
      </c>
      <c r="L5278" s="2" t="n">
        <v>0</v>
      </c>
      <c r="M5278" s="2" t="n">
        <v>0</v>
      </c>
    </row>
    <row r="5279" customFormat="false" ht="15" hidden="false" customHeight="false" outlineLevel="0" collapsed="false">
      <c r="A5279" s="2" t="s">
        <v>10748</v>
      </c>
      <c r="B5279" s="2" t="s">
        <v>10749</v>
      </c>
      <c r="C5279" s="2" t="n">
        <v>5</v>
      </c>
      <c r="D5279" s="2" t="s">
        <v>47</v>
      </c>
      <c r="E5279" s="2" t="s">
        <v>8083</v>
      </c>
      <c r="F5279" s="3" t="n">
        <v>46168.4861111111</v>
      </c>
      <c r="G5279" s="2" t="s">
        <v>10220</v>
      </c>
      <c r="H5279" s="4" t="n">
        <v>0.3089</v>
      </c>
      <c r="I5279" s="2" t="s">
        <v>23</v>
      </c>
      <c r="J5279" s="2" t="s">
        <v>19</v>
      </c>
      <c r="K5279" s="2" t="n">
        <v>2</v>
      </c>
      <c r="L5279" s="2" t="n">
        <v>0</v>
      </c>
      <c r="M5279" s="2" t="n">
        <v>0</v>
      </c>
    </row>
    <row r="5280" customFormat="false" ht="15" hidden="false" customHeight="false" outlineLevel="0" collapsed="false">
      <c r="A5280" s="2" t="s">
        <v>10750</v>
      </c>
      <c r="B5280" s="2" t="s">
        <v>10751</v>
      </c>
      <c r="C5280" s="2" t="n">
        <v>1</v>
      </c>
      <c r="D5280" s="2" t="s">
        <v>231</v>
      </c>
      <c r="E5280" s="2" t="s">
        <v>8083</v>
      </c>
      <c r="F5280" s="3" t="n">
        <v>46168.6854166667</v>
      </c>
      <c r="G5280" s="2" t="s">
        <v>10220</v>
      </c>
      <c r="H5280" s="4" t="n">
        <v>-0.3593</v>
      </c>
      <c r="I5280" s="2" t="s">
        <v>84</v>
      </c>
      <c r="J5280" s="2" t="s">
        <v>33</v>
      </c>
      <c r="K5280" s="2" t="n">
        <v>0</v>
      </c>
      <c r="L5280" s="2" t="n">
        <v>1</v>
      </c>
      <c r="M5280" s="2" t="n">
        <v>0</v>
      </c>
    </row>
    <row r="5281" customFormat="false" ht="15" hidden="false" customHeight="false" outlineLevel="0" collapsed="false">
      <c r="A5281" s="2" t="s">
        <v>10752</v>
      </c>
      <c r="B5281" s="2" t="s">
        <v>10753</v>
      </c>
      <c r="C5281" s="2" t="n">
        <v>5</v>
      </c>
      <c r="D5281" s="2" t="s">
        <v>90</v>
      </c>
      <c r="E5281" s="2" t="s">
        <v>8083</v>
      </c>
      <c r="F5281" s="3" t="n">
        <v>46168.7729166667</v>
      </c>
      <c r="G5281" s="2" t="s">
        <v>10220</v>
      </c>
      <c r="H5281" s="4" t="n">
        <v>0.6249</v>
      </c>
      <c r="I5281" s="2" t="s">
        <v>23</v>
      </c>
      <c r="J5281" s="2" t="s">
        <v>37</v>
      </c>
      <c r="K5281" s="2" t="n">
        <v>7</v>
      </c>
      <c r="L5281" s="2" t="n">
        <v>0</v>
      </c>
      <c r="M5281" s="2" t="n">
        <v>0</v>
      </c>
    </row>
    <row r="5282" customFormat="false" ht="15" hidden="false" customHeight="false" outlineLevel="0" collapsed="false">
      <c r="A5282" s="2" t="s">
        <v>10754</v>
      </c>
      <c r="B5282" s="2" t="s">
        <v>10755</v>
      </c>
      <c r="C5282" s="2" t="n">
        <v>2</v>
      </c>
      <c r="D5282" s="2" t="s">
        <v>946</v>
      </c>
      <c r="E5282" s="2" t="s">
        <v>8083</v>
      </c>
      <c r="F5282" s="3" t="n">
        <v>46168.8756944445</v>
      </c>
      <c r="G5282" s="2" t="s">
        <v>10220</v>
      </c>
      <c r="H5282" s="4" t="n">
        <v>-0.25</v>
      </c>
      <c r="I5282" s="2" t="s">
        <v>84</v>
      </c>
      <c r="J5282" s="2" t="s">
        <v>37</v>
      </c>
      <c r="K5282" s="2" t="n">
        <v>0</v>
      </c>
      <c r="L5282" s="2" t="n">
        <v>1</v>
      </c>
      <c r="M5282" s="2" t="n">
        <v>0</v>
      </c>
    </row>
    <row r="5283" customFormat="false" ht="15" hidden="false" customHeight="false" outlineLevel="0" collapsed="false">
      <c r="A5283" s="2" t="s">
        <v>10756</v>
      </c>
      <c r="B5283" s="2" t="s">
        <v>10757</v>
      </c>
      <c r="C5283" s="2" t="n">
        <v>5</v>
      </c>
      <c r="D5283" s="2" t="s">
        <v>127</v>
      </c>
      <c r="E5283" s="2" t="s">
        <v>8083</v>
      </c>
      <c r="F5283" s="3" t="n">
        <v>46169.3611111111</v>
      </c>
      <c r="G5283" s="2" t="s">
        <v>10220</v>
      </c>
      <c r="H5283" s="4" t="n">
        <v>0.9359</v>
      </c>
      <c r="I5283" s="2" t="s">
        <v>23</v>
      </c>
      <c r="J5283" s="2" t="s">
        <v>37</v>
      </c>
      <c r="K5283" s="2" t="n">
        <v>10</v>
      </c>
      <c r="L5283" s="2" t="n">
        <v>0</v>
      </c>
      <c r="M5283" s="2" t="n">
        <v>0</v>
      </c>
    </row>
    <row r="5284" customFormat="false" ht="15" hidden="false" customHeight="false" outlineLevel="0" collapsed="false">
      <c r="A5284" s="2" t="s">
        <v>10758</v>
      </c>
      <c r="B5284" s="2" t="s">
        <v>10759</v>
      </c>
      <c r="C5284" s="2" t="n">
        <v>4</v>
      </c>
      <c r="D5284" s="2" t="s">
        <v>127</v>
      </c>
      <c r="E5284" s="2" t="s">
        <v>8083</v>
      </c>
      <c r="F5284" s="3" t="n">
        <v>46169.4479166667</v>
      </c>
      <c r="G5284" s="2" t="s">
        <v>10220</v>
      </c>
      <c r="H5284" s="4" t="n">
        <v>0.9359</v>
      </c>
      <c r="I5284" s="2" t="s">
        <v>23</v>
      </c>
      <c r="J5284" s="2" t="s">
        <v>37</v>
      </c>
      <c r="K5284" s="2" t="n">
        <v>2</v>
      </c>
      <c r="L5284" s="2" t="n">
        <v>0</v>
      </c>
      <c r="M5284" s="2" t="n">
        <v>0</v>
      </c>
    </row>
    <row r="5285" customFormat="false" ht="15" hidden="false" customHeight="false" outlineLevel="0" collapsed="false">
      <c r="A5285" s="2" t="s">
        <v>10760</v>
      </c>
      <c r="B5285" s="2" t="s">
        <v>10761</v>
      </c>
      <c r="C5285" s="2" t="n">
        <v>1</v>
      </c>
      <c r="D5285" s="2" t="s">
        <v>721</v>
      </c>
      <c r="E5285" s="2" t="s">
        <v>8083</v>
      </c>
      <c r="F5285" s="3" t="n">
        <v>46169.5625</v>
      </c>
      <c r="G5285" s="2" t="s">
        <v>10220</v>
      </c>
      <c r="H5285" s="4" t="n">
        <v>-0.4588</v>
      </c>
      <c r="I5285" s="2" t="s">
        <v>84</v>
      </c>
      <c r="J5285" s="2" t="s">
        <v>37</v>
      </c>
      <c r="K5285" s="2" t="n">
        <v>2</v>
      </c>
      <c r="L5285" s="2" t="n">
        <v>0</v>
      </c>
      <c r="M5285" s="2" t="n">
        <v>0</v>
      </c>
    </row>
    <row r="5286" customFormat="false" ht="15" hidden="false" customHeight="false" outlineLevel="0" collapsed="false">
      <c r="A5286" s="2" t="s">
        <v>10762</v>
      </c>
      <c r="B5286" s="2" t="s">
        <v>10763</v>
      </c>
      <c r="C5286" s="2" t="n">
        <v>3</v>
      </c>
      <c r="D5286" s="2" t="s">
        <v>22</v>
      </c>
      <c r="E5286" s="2" t="s">
        <v>8083</v>
      </c>
      <c r="F5286" s="3" t="n">
        <v>46169.6243055556</v>
      </c>
      <c r="G5286" s="2" t="s">
        <v>10220</v>
      </c>
      <c r="H5286" s="4" t="n">
        <v>0.2023</v>
      </c>
      <c r="I5286" s="2" t="s">
        <v>23</v>
      </c>
      <c r="J5286" s="2" t="s">
        <v>19</v>
      </c>
      <c r="K5286" s="2" t="n">
        <v>1</v>
      </c>
      <c r="L5286" s="2" t="n">
        <v>0</v>
      </c>
      <c r="M5286" s="2" t="n">
        <v>0</v>
      </c>
    </row>
    <row r="5287" customFormat="false" ht="15" hidden="false" customHeight="false" outlineLevel="0" collapsed="false">
      <c r="A5287" s="2" t="s">
        <v>10764</v>
      </c>
      <c r="B5287" s="2" t="s">
        <v>10765</v>
      </c>
      <c r="C5287" s="2" t="n">
        <v>5</v>
      </c>
      <c r="D5287" s="2" t="s">
        <v>116</v>
      </c>
      <c r="E5287" s="2" t="s">
        <v>8083</v>
      </c>
      <c r="F5287" s="3" t="n">
        <v>46169.7423611111</v>
      </c>
      <c r="G5287" s="2" t="s">
        <v>10220</v>
      </c>
      <c r="H5287" s="4" t="n">
        <v>0.9359</v>
      </c>
      <c r="I5287" s="2" t="s">
        <v>23</v>
      </c>
      <c r="J5287" s="2" t="s">
        <v>37</v>
      </c>
      <c r="K5287" s="2" t="n">
        <v>0</v>
      </c>
      <c r="L5287" s="2" t="n">
        <v>1</v>
      </c>
      <c r="M5287" s="2" t="n">
        <v>0</v>
      </c>
    </row>
    <row r="5288" customFormat="false" ht="15" hidden="false" customHeight="false" outlineLevel="0" collapsed="false">
      <c r="A5288" s="2" t="s">
        <v>10766</v>
      </c>
      <c r="B5288" s="2" t="s">
        <v>10767</v>
      </c>
      <c r="C5288" s="2" t="n">
        <v>5</v>
      </c>
      <c r="D5288" s="2" t="s">
        <v>40</v>
      </c>
      <c r="E5288" s="2" t="s">
        <v>8083</v>
      </c>
      <c r="F5288" s="3" t="n">
        <v>46169.8152777778</v>
      </c>
      <c r="G5288" s="2" t="s">
        <v>10220</v>
      </c>
      <c r="H5288" s="4" t="n">
        <v>0.4019</v>
      </c>
      <c r="I5288" s="2" t="s">
        <v>23</v>
      </c>
      <c r="J5288" s="2" t="s">
        <v>33</v>
      </c>
      <c r="K5288" s="2" t="n">
        <v>0</v>
      </c>
      <c r="L5288" s="2" t="n">
        <v>0</v>
      </c>
      <c r="M5288" s="2" t="n">
        <v>0</v>
      </c>
    </row>
    <row r="5289" customFormat="false" ht="15" hidden="false" customHeight="false" outlineLevel="0" collapsed="false">
      <c r="A5289" s="2" t="s">
        <v>10768</v>
      </c>
      <c r="B5289" s="2" t="s">
        <v>10769</v>
      </c>
      <c r="C5289" s="2" t="n">
        <v>1</v>
      </c>
      <c r="D5289" s="2" t="s">
        <v>109</v>
      </c>
      <c r="E5289" s="2" t="s">
        <v>8083</v>
      </c>
      <c r="F5289" s="3" t="n">
        <v>46170.0770833333</v>
      </c>
      <c r="G5289" s="2" t="s">
        <v>10220</v>
      </c>
      <c r="H5289" s="4" t="n">
        <v>0</v>
      </c>
      <c r="I5289" s="2" t="s">
        <v>18</v>
      </c>
      <c r="J5289" s="2" t="s">
        <v>110</v>
      </c>
      <c r="K5289" s="2" t="n">
        <v>1</v>
      </c>
      <c r="L5289" s="2" t="n">
        <v>1</v>
      </c>
      <c r="M5289" s="2" t="n">
        <v>0</v>
      </c>
    </row>
    <row r="5290" customFormat="false" ht="15" hidden="false" customHeight="false" outlineLevel="0" collapsed="false">
      <c r="A5290" s="2" t="s">
        <v>10770</v>
      </c>
      <c r="B5290" s="2" t="s">
        <v>10771</v>
      </c>
      <c r="C5290" s="2" t="n">
        <v>4</v>
      </c>
      <c r="D5290" s="2" t="s">
        <v>96</v>
      </c>
      <c r="E5290" s="2" t="s">
        <v>8083</v>
      </c>
      <c r="F5290" s="3" t="n">
        <v>46170.0854166667</v>
      </c>
      <c r="G5290" s="2" t="s">
        <v>10220</v>
      </c>
      <c r="H5290" s="4" t="n">
        <v>0.6369</v>
      </c>
      <c r="I5290" s="2" t="s">
        <v>23</v>
      </c>
      <c r="J5290" s="2" t="s">
        <v>19</v>
      </c>
      <c r="K5290" s="2" t="n">
        <v>9</v>
      </c>
      <c r="L5290" s="2" t="n">
        <v>0</v>
      </c>
      <c r="M5290" s="2" t="n">
        <v>0</v>
      </c>
    </row>
    <row r="5291" customFormat="false" ht="15" hidden="false" customHeight="false" outlineLevel="0" collapsed="false">
      <c r="A5291" s="2" t="s">
        <v>10772</v>
      </c>
      <c r="B5291" s="2" t="s">
        <v>10773</v>
      </c>
      <c r="C5291" s="2" t="n">
        <v>5</v>
      </c>
      <c r="D5291" s="2" t="s">
        <v>96</v>
      </c>
      <c r="E5291" s="2" t="s">
        <v>8083</v>
      </c>
      <c r="F5291" s="3" t="n">
        <v>46170.1756944444</v>
      </c>
      <c r="G5291" s="2" t="s">
        <v>10220</v>
      </c>
      <c r="H5291" s="4" t="n">
        <v>0.6369</v>
      </c>
      <c r="I5291" s="2" t="s">
        <v>23</v>
      </c>
      <c r="J5291" s="2" t="s">
        <v>19</v>
      </c>
      <c r="K5291" s="2" t="n">
        <v>12</v>
      </c>
      <c r="L5291" s="2" t="n">
        <v>0</v>
      </c>
      <c r="M5291" s="2" t="n">
        <v>0</v>
      </c>
    </row>
    <row r="5292" customFormat="false" ht="15" hidden="false" customHeight="false" outlineLevel="0" collapsed="false">
      <c r="A5292" s="2" t="s">
        <v>10774</v>
      </c>
      <c r="B5292" s="2" t="s">
        <v>10775</v>
      </c>
      <c r="C5292" s="2" t="n">
        <v>5</v>
      </c>
      <c r="D5292" s="2" t="s">
        <v>62</v>
      </c>
      <c r="E5292" s="2" t="s">
        <v>8083</v>
      </c>
      <c r="F5292" s="3" t="n">
        <v>46170.2527777778</v>
      </c>
      <c r="G5292" s="2" t="s">
        <v>10220</v>
      </c>
      <c r="H5292" s="4" t="n">
        <v>0.7088</v>
      </c>
      <c r="I5292" s="2" t="s">
        <v>23</v>
      </c>
      <c r="J5292" s="2" t="s">
        <v>19</v>
      </c>
      <c r="K5292" s="2" t="n">
        <v>2</v>
      </c>
      <c r="L5292" s="2" t="n">
        <v>0</v>
      </c>
      <c r="M5292" s="2" t="n">
        <v>0</v>
      </c>
    </row>
    <row r="5293" customFormat="false" ht="15" hidden="false" customHeight="false" outlineLevel="0" collapsed="false">
      <c r="A5293" s="2" t="s">
        <v>10776</v>
      </c>
      <c r="B5293" s="2" t="s">
        <v>4568</v>
      </c>
      <c r="C5293" s="2" t="n">
        <v>1</v>
      </c>
      <c r="D5293" s="2" t="s">
        <v>2470</v>
      </c>
      <c r="E5293" s="2" t="s">
        <v>8083</v>
      </c>
      <c r="F5293" s="3" t="n">
        <v>46170.2694444444</v>
      </c>
      <c r="G5293" s="2" t="s">
        <v>10220</v>
      </c>
      <c r="H5293" s="4" t="n">
        <v>0</v>
      </c>
      <c r="I5293" s="2" t="s">
        <v>18</v>
      </c>
      <c r="J5293" s="2" t="s">
        <v>37</v>
      </c>
      <c r="K5293" s="2" t="n">
        <v>1</v>
      </c>
      <c r="L5293" s="2" t="n">
        <v>0</v>
      </c>
      <c r="M5293" s="2" t="n">
        <v>0</v>
      </c>
    </row>
    <row r="5294" customFormat="false" ht="15" hidden="false" customHeight="false" outlineLevel="0" collapsed="false">
      <c r="A5294" s="2" t="s">
        <v>10777</v>
      </c>
      <c r="B5294" s="2" t="s">
        <v>10778</v>
      </c>
      <c r="C5294" s="2" t="n">
        <v>4</v>
      </c>
      <c r="D5294" s="2" t="s">
        <v>87</v>
      </c>
      <c r="E5294" s="2" t="s">
        <v>8083</v>
      </c>
      <c r="F5294" s="3" t="n">
        <v>46170.35</v>
      </c>
      <c r="G5294" s="2" t="s">
        <v>10220</v>
      </c>
      <c r="H5294" s="4" t="n">
        <v>0</v>
      </c>
      <c r="I5294" s="2" t="s">
        <v>18</v>
      </c>
      <c r="J5294" s="2" t="s">
        <v>19</v>
      </c>
      <c r="K5294" s="2" t="n">
        <v>9</v>
      </c>
      <c r="L5294" s="2" t="n">
        <v>0</v>
      </c>
      <c r="M5294" s="2" t="n">
        <v>0</v>
      </c>
    </row>
    <row r="5295" customFormat="false" ht="15" hidden="false" customHeight="false" outlineLevel="0" collapsed="false">
      <c r="A5295" s="2" t="s">
        <v>10779</v>
      </c>
      <c r="B5295" s="2" t="s">
        <v>10780</v>
      </c>
      <c r="C5295" s="2" t="n">
        <v>4</v>
      </c>
      <c r="D5295" s="2" t="s">
        <v>1222</v>
      </c>
      <c r="E5295" s="2" t="s">
        <v>8083</v>
      </c>
      <c r="F5295" s="3" t="n">
        <v>46170.39375</v>
      </c>
      <c r="G5295" s="2" t="s">
        <v>10220</v>
      </c>
      <c r="H5295" s="4" t="n">
        <v>0.8221</v>
      </c>
      <c r="I5295" s="2" t="s">
        <v>23</v>
      </c>
      <c r="J5295" s="2" t="s">
        <v>33</v>
      </c>
      <c r="K5295" s="2" t="n">
        <v>1</v>
      </c>
      <c r="L5295" s="2" t="n">
        <v>0</v>
      </c>
      <c r="M5295" s="2" t="n">
        <v>0</v>
      </c>
    </row>
    <row r="5296" customFormat="false" ht="15" hidden="false" customHeight="false" outlineLevel="0" collapsed="false">
      <c r="A5296" s="2" t="s">
        <v>10781</v>
      </c>
      <c r="B5296" s="2" t="s">
        <v>10782</v>
      </c>
      <c r="C5296" s="2" t="n">
        <v>4</v>
      </c>
      <c r="D5296" s="2" t="s">
        <v>389</v>
      </c>
      <c r="E5296" s="2" t="s">
        <v>8083</v>
      </c>
      <c r="F5296" s="3" t="n">
        <v>46170.5986111111</v>
      </c>
      <c r="G5296" s="2" t="s">
        <v>10220</v>
      </c>
      <c r="H5296" s="4" t="n">
        <v>0.8519</v>
      </c>
      <c r="I5296" s="2" t="s">
        <v>23</v>
      </c>
      <c r="J5296" s="2" t="s">
        <v>37</v>
      </c>
      <c r="K5296" s="2" t="n">
        <v>2</v>
      </c>
      <c r="L5296" s="2" t="n">
        <v>0</v>
      </c>
      <c r="M5296" s="2" t="n">
        <v>0</v>
      </c>
    </row>
    <row r="5297" customFormat="false" ht="15" hidden="false" customHeight="false" outlineLevel="0" collapsed="false">
      <c r="A5297" s="2" t="s">
        <v>10783</v>
      </c>
      <c r="B5297" s="2" t="s">
        <v>10784</v>
      </c>
      <c r="C5297" s="2" t="n">
        <v>5</v>
      </c>
      <c r="D5297" s="2" t="s">
        <v>3104</v>
      </c>
      <c r="E5297" s="2" t="s">
        <v>8083</v>
      </c>
      <c r="F5297" s="3" t="n">
        <v>46170.6826388889</v>
      </c>
      <c r="G5297" s="2" t="s">
        <v>10220</v>
      </c>
      <c r="H5297" s="4" t="n">
        <v>0.3089</v>
      </c>
      <c r="I5297" s="2" t="s">
        <v>23</v>
      </c>
      <c r="J5297" s="2" t="s">
        <v>19</v>
      </c>
      <c r="K5297" s="2" t="n">
        <v>2</v>
      </c>
      <c r="L5297" s="2" t="n">
        <v>0</v>
      </c>
      <c r="M5297" s="2" t="n">
        <v>0</v>
      </c>
    </row>
    <row r="5298" customFormat="false" ht="15" hidden="false" customHeight="false" outlineLevel="0" collapsed="false">
      <c r="A5298" s="2" t="s">
        <v>10785</v>
      </c>
      <c r="B5298" s="2" t="s">
        <v>10786</v>
      </c>
      <c r="C5298" s="2" t="n">
        <v>5</v>
      </c>
      <c r="D5298" s="2" t="s">
        <v>96</v>
      </c>
      <c r="E5298" s="2" t="s">
        <v>8083</v>
      </c>
      <c r="F5298" s="3" t="n">
        <v>46170.7243055556</v>
      </c>
      <c r="G5298" s="2" t="s">
        <v>10220</v>
      </c>
      <c r="H5298" s="4" t="n">
        <v>0.6369</v>
      </c>
      <c r="I5298" s="2" t="s">
        <v>23</v>
      </c>
      <c r="J5298" s="2" t="s">
        <v>19</v>
      </c>
      <c r="K5298" s="2" t="n">
        <v>1</v>
      </c>
      <c r="L5298" s="2" t="n">
        <v>0</v>
      </c>
      <c r="M5298" s="2" t="n">
        <v>0</v>
      </c>
    </row>
    <row r="5299" customFormat="false" ht="15" hidden="false" customHeight="false" outlineLevel="0" collapsed="false">
      <c r="A5299" s="2" t="s">
        <v>10787</v>
      </c>
      <c r="B5299" s="2" t="s">
        <v>10788</v>
      </c>
      <c r="C5299" s="2" t="n">
        <v>1</v>
      </c>
      <c r="D5299" s="2" t="s">
        <v>295</v>
      </c>
      <c r="E5299" s="2" t="s">
        <v>8083</v>
      </c>
      <c r="F5299" s="3" t="n">
        <v>46170.7305555556</v>
      </c>
      <c r="G5299" s="2" t="s">
        <v>10220</v>
      </c>
      <c r="H5299" s="4" t="n">
        <v>-0.5023</v>
      </c>
      <c r="I5299" s="2" t="s">
        <v>84</v>
      </c>
      <c r="J5299" s="2" t="s">
        <v>33</v>
      </c>
      <c r="K5299" s="2" t="n">
        <v>4</v>
      </c>
      <c r="L5299" s="2" t="n">
        <v>1</v>
      </c>
      <c r="M5299" s="2" t="n">
        <v>0</v>
      </c>
    </row>
    <row r="5300" customFormat="false" ht="15" hidden="false" customHeight="false" outlineLevel="0" collapsed="false">
      <c r="A5300" s="2" t="s">
        <v>10789</v>
      </c>
      <c r="B5300" s="2" t="s">
        <v>10790</v>
      </c>
      <c r="C5300" s="2" t="n">
        <v>4</v>
      </c>
      <c r="D5300" s="2" t="s">
        <v>127</v>
      </c>
      <c r="E5300" s="2" t="s">
        <v>8083</v>
      </c>
      <c r="F5300" s="3" t="n">
        <v>46170.8229166667</v>
      </c>
      <c r="G5300" s="2" t="s">
        <v>10220</v>
      </c>
      <c r="H5300" s="4" t="n">
        <v>0.9359</v>
      </c>
      <c r="I5300" s="2" t="s">
        <v>23</v>
      </c>
      <c r="J5300" s="2" t="s">
        <v>37</v>
      </c>
      <c r="K5300" s="2" t="n">
        <v>0</v>
      </c>
      <c r="L5300" s="2" t="n">
        <v>0</v>
      </c>
      <c r="M5300" s="2" t="n">
        <v>0</v>
      </c>
    </row>
    <row r="5301" customFormat="false" ht="15" hidden="false" customHeight="false" outlineLevel="0" collapsed="false">
      <c r="A5301" s="2" t="s">
        <v>10791</v>
      </c>
      <c r="B5301" s="2" t="s">
        <v>10792</v>
      </c>
      <c r="C5301" s="2" t="n">
        <v>1</v>
      </c>
      <c r="D5301" s="2" t="s">
        <v>168</v>
      </c>
      <c r="E5301" s="2" t="s">
        <v>8083</v>
      </c>
      <c r="F5301" s="3" t="n">
        <v>46170.9159722222</v>
      </c>
      <c r="G5301" s="2" t="s">
        <v>10220</v>
      </c>
      <c r="H5301" s="4" t="n">
        <v>-0.1027</v>
      </c>
      <c r="I5301" s="2" t="s">
        <v>84</v>
      </c>
      <c r="J5301" s="2" t="s">
        <v>33</v>
      </c>
      <c r="K5301" s="2" t="n">
        <v>11</v>
      </c>
      <c r="L5301" s="2" t="n">
        <v>1</v>
      </c>
      <c r="M5301" s="2" t="n">
        <v>0</v>
      </c>
    </row>
    <row r="5302" customFormat="false" ht="15" hidden="false" customHeight="false" outlineLevel="0" collapsed="false">
      <c r="A5302" s="2" t="s">
        <v>10793</v>
      </c>
      <c r="B5302" s="2" t="s">
        <v>10794</v>
      </c>
      <c r="C5302" s="2" t="n">
        <v>1</v>
      </c>
      <c r="D5302" s="2" t="s">
        <v>231</v>
      </c>
      <c r="E5302" s="2" t="s">
        <v>8083</v>
      </c>
      <c r="F5302" s="3" t="n">
        <v>46171.0090277778</v>
      </c>
      <c r="G5302" s="2" t="s">
        <v>10220</v>
      </c>
      <c r="H5302" s="4" t="n">
        <v>-0.3593</v>
      </c>
      <c r="I5302" s="2" t="s">
        <v>84</v>
      </c>
      <c r="J5302" s="2" t="s">
        <v>33</v>
      </c>
      <c r="K5302" s="2" t="n">
        <v>5</v>
      </c>
      <c r="L5302" s="2" t="n">
        <v>1</v>
      </c>
      <c r="M5302" s="2" t="n">
        <v>0</v>
      </c>
    </row>
    <row r="5303" customFormat="false" ht="15" hidden="false" customHeight="false" outlineLevel="0" collapsed="false">
      <c r="A5303" s="2" t="s">
        <v>10795</v>
      </c>
      <c r="B5303" s="2" t="s">
        <v>10796</v>
      </c>
      <c r="C5303" s="2" t="n">
        <v>4</v>
      </c>
      <c r="D5303" s="2" t="s">
        <v>96</v>
      </c>
      <c r="E5303" s="2" t="s">
        <v>8083</v>
      </c>
      <c r="F5303" s="3" t="n">
        <v>46171.0430555556</v>
      </c>
      <c r="G5303" s="2" t="s">
        <v>10220</v>
      </c>
      <c r="H5303" s="4" t="n">
        <v>0.6369</v>
      </c>
      <c r="I5303" s="2" t="s">
        <v>23</v>
      </c>
      <c r="J5303" s="2" t="s">
        <v>19</v>
      </c>
      <c r="K5303" s="2" t="n">
        <v>1</v>
      </c>
      <c r="L5303" s="2" t="n">
        <v>0</v>
      </c>
      <c r="M5303" s="2" t="n">
        <v>0</v>
      </c>
    </row>
    <row r="5304" customFormat="false" ht="15" hidden="false" customHeight="false" outlineLevel="0" collapsed="false">
      <c r="A5304" s="2" t="s">
        <v>10797</v>
      </c>
      <c r="B5304" s="2" t="s">
        <v>10798</v>
      </c>
      <c r="C5304" s="2" t="n">
        <v>4</v>
      </c>
      <c r="D5304" s="2" t="s">
        <v>127</v>
      </c>
      <c r="E5304" s="2" t="s">
        <v>8083</v>
      </c>
      <c r="F5304" s="3" t="n">
        <v>46171.0944444445</v>
      </c>
      <c r="G5304" s="2" t="s">
        <v>10220</v>
      </c>
      <c r="H5304" s="4" t="n">
        <v>0.9359</v>
      </c>
      <c r="I5304" s="2" t="s">
        <v>23</v>
      </c>
      <c r="J5304" s="2" t="s">
        <v>37</v>
      </c>
      <c r="K5304" s="2" t="n">
        <v>3</v>
      </c>
      <c r="L5304" s="2" t="n">
        <v>0</v>
      </c>
      <c r="M5304" s="2" t="n">
        <v>0</v>
      </c>
    </row>
    <row r="5305" customFormat="false" ht="15" hidden="false" customHeight="false" outlineLevel="0" collapsed="false">
      <c r="A5305" s="2" t="s">
        <v>10799</v>
      </c>
      <c r="B5305" s="2" t="s">
        <v>10800</v>
      </c>
      <c r="C5305" s="2" t="n">
        <v>4</v>
      </c>
      <c r="D5305" s="2" t="s">
        <v>282</v>
      </c>
      <c r="E5305" s="2" t="s">
        <v>8083</v>
      </c>
      <c r="F5305" s="3" t="n">
        <v>46171.1305555556</v>
      </c>
      <c r="G5305" s="2" t="s">
        <v>10220</v>
      </c>
      <c r="H5305" s="4" t="n">
        <v>0.7992</v>
      </c>
      <c r="I5305" s="2" t="s">
        <v>23</v>
      </c>
      <c r="J5305" s="2" t="s">
        <v>19</v>
      </c>
      <c r="K5305" s="2" t="n">
        <v>9</v>
      </c>
      <c r="L5305" s="2" t="n">
        <v>0</v>
      </c>
      <c r="M5305" s="2" t="n">
        <v>0</v>
      </c>
    </row>
    <row r="5306" customFormat="false" ht="15" hidden="false" customHeight="false" outlineLevel="0" collapsed="false">
      <c r="A5306" s="2" t="s">
        <v>10801</v>
      </c>
      <c r="B5306" s="2" t="s">
        <v>10802</v>
      </c>
      <c r="C5306" s="2" t="n">
        <v>5</v>
      </c>
      <c r="D5306" s="2" t="s">
        <v>127</v>
      </c>
      <c r="E5306" s="2" t="s">
        <v>8083</v>
      </c>
      <c r="F5306" s="3" t="n">
        <v>46171.2048611111</v>
      </c>
      <c r="G5306" s="2" t="s">
        <v>10220</v>
      </c>
      <c r="H5306" s="4" t="n">
        <v>0.9359</v>
      </c>
      <c r="I5306" s="2" t="s">
        <v>23</v>
      </c>
      <c r="J5306" s="2" t="s">
        <v>37</v>
      </c>
      <c r="K5306" s="2" t="n">
        <v>4</v>
      </c>
      <c r="L5306" s="2" t="n">
        <v>0</v>
      </c>
      <c r="M5306" s="2" t="n">
        <v>0</v>
      </c>
    </row>
    <row r="5307" customFormat="false" ht="15" hidden="false" customHeight="false" outlineLevel="0" collapsed="false">
      <c r="A5307" s="2" t="s">
        <v>10803</v>
      </c>
      <c r="B5307" s="2" t="s">
        <v>10804</v>
      </c>
      <c r="C5307" s="2" t="n">
        <v>5</v>
      </c>
      <c r="D5307" s="2" t="s">
        <v>90</v>
      </c>
      <c r="E5307" s="2" t="s">
        <v>8083</v>
      </c>
      <c r="F5307" s="3" t="n">
        <v>46171.2298611111</v>
      </c>
      <c r="G5307" s="2" t="s">
        <v>10220</v>
      </c>
      <c r="H5307" s="4" t="n">
        <v>0.6249</v>
      </c>
      <c r="I5307" s="2" t="s">
        <v>23</v>
      </c>
      <c r="J5307" s="2" t="s">
        <v>37</v>
      </c>
      <c r="K5307" s="2" t="n">
        <v>1</v>
      </c>
      <c r="L5307" s="2" t="n">
        <v>0</v>
      </c>
      <c r="M5307" s="2" t="n">
        <v>0</v>
      </c>
    </row>
    <row r="5308" customFormat="false" ht="15" hidden="false" customHeight="false" outlineLevel="0" collapsed="false">
      <c r="A5308" s="2" t="s">
        <v>10805</v>
      </c>
      <c r="B5308" s="2" t="s">
        <v>10806</v>
      </c>
      <c r="C5308" s="2" t="n">
        <v>2</v>
      </c>
      <c r="D5308" s="2" t="s">
        <v>295</v>
      </c>
      <c r="E5308" s="2" t="s">
        <v>8083</v>
      </c>
      <c r="F5308" s="3" t="n">
        <v>46171.25</v>
      </c>
      <c r="G5308" s="2" t="s">
        <v>10220</v>
      </c>
      <c r="H5308" s="4" t="n">
        <v>-0.5023</v>
      </c>
      <c r="I5308" s="2" t="s">
        <v>84</v>
      </c>
      <c r="J5308" s="2" t="s">
        <v>33</v>
      </c>
      <c r="K5308" s="2" t="n">
        <v>1</v>
      </c>
      <c r="L5308" s="2" t="n">
        <v>0</v>
      </c>
      <c r="M5308" s="2" t="n">
        <v>0</v>
      </c>
    </row>
    <row r="5309" customFormat="false" ht="15" hidden="false" customHeight="false" outlineLevel="0" collapsed="false">
      <c r="A5309" s="2" t="s">
        <v>10807</v>
      </c>
      <c r="B5309" s="2" t="s">
        <v>10808</v>
      </c>
      <c r="C5309" s="2" t="n">
        <v>3</v>
      </c>
      <c r="D5309" s="2" t="s">
        <v>301</v>
      </c>
      <c r="E5309" s="2" t="s">
        <v>8083</v>
      </c>
      <c r="F5309" s="3" t="n">
        <v>46171.2715277778</v>
      </c>
      <c r="G5309" s="2" t="s">
        <v>10220</v>
      </c>
      <c r="H5309" s="4" t="n">
        <v>0.2263</v>
      </c>
      <c r="I5309" s="2" t="s">
        <v>23</v>
      </c>
      <c r="J5309" s="2" t="s">
        <v>19</v>
      </c>
      <c r="K5309" s="2" t="n">
        <v>0</v>
      </c>
      <c r="L5309" s="2" t="n">
        <v>0</v>
      </c>
      <c r="M5309" s="2" t="n">
        <v>0</v>
      </c>
    </row>
    <row r="5310" customFormat="false" ht="15" hidden="false" customHeight="false" outlineLevel="0" collapsed="false">
      <c r="A5310" s="2" t="s">
        <v>10809</v>
      </c>
      <c r="B5310" s="2" t="s">
        <v>2266</v>
      </c>
      <c r="C5310" s="2" t="n">
        <v>5</v>
      </c>
      <c r="D5310" s="2" t="s">
        <v>90</v>
      </c>
      <c r="E5310" s="2" t="s">
        <v>8083</v>
      </c>
      <c r="F5310" s="3" t="n">
        <v>46171.3555555556</v>
      </c>
      <c r="G5310" s="2" t="s">
        <v>10220</v>
      </c>
      <c r="H5310" s="4" t="n">
        <v>0.6249</v>
      </c>
      <c r="I5310" s="2" t="s">
        <v>23</v>
      </c>
      <c r="J5310" s="2" t="s">
        <v>37</v>
      </c>
      <c r="K5310" s="2" t="n">
        <v>5</v>
      </c>
      <c r="L5310" s="2" t="n">
        <v>0</v>
      </c>
      <c r="M5310" s="2" t="n">
        <v>0</v>
      </c>
    </row>
    <row r="5311" customFormat="false" ht="15" hidden="false" customHeight="false" outlineLevel="0" collapsed="false">
      <c r="A5311" s="2" t="s">
        <v>10810</v>
      </c>
      <c r="B5311" s="2" t="s">
        <v>10811</v>
      </c>
      <c r="C5311" s="2" t="n">
        <v>4</v>
      </c>
      <c r="D5311" s="2" t="s">
        <v>36</v>
      </c>
      <c r="E5311" s="2" t="s">
        <v>8083</v>
      </c>
      <c r="F5311" s="3" t="n">
        <v>46171.3631944444</v>
      </c>
      <c r="G5311" s="2" t="s">
        <v>10220</v>
      </c>
      <c r="H5311" s="4" t="n">
        <v>0.4404</v>
      </c>
      <c r="I5311" s="2" t="s">
        <v>23</v>
      </c>
      <c r="J5311" s="2" t="s">
        <v>37</v>
      </c>
      <c r="K5311" s="2" t="n">
        <v>12</v>
      </c>
      <c r="L5311" s="2" t="n">
        <v>0</v>
      </c>
      <c r="M5311" s="2" t="n">
        <v>0</v>
      </c>
    </row>
    <row r="5312" customFormat="false" ht="15" hidden="false" customHeight="false" outlineLevel="0" collapsed="false">
      <c r="A5312" s="2" t="s">
        <v>10812</v>
      </c>
      <c r="B5312" s="2" t="s">
        <v>10813</v>
      </c>
      <c r="C5312" s="2" t="n">
        <v>5</v>
      </c>
      <c r="D5312" s="2" t="s">
        <v>96</v>
      </c>
      <c r="E5312" s="2" t="s">
        <v>8083</v>
      </c>
      <c r="F5312" s="3" t="n">
        <v>46171.4347222222</v>
      </c>
      <c r="G5312" s="2" t="s">
        <v>10220</v>
      </c>
      <c r="H5312" s="4" t="n">
        <v>0.6369</v>
      </c>
      <c r="I5312" s="2" t="s">
        <v>23</v>
      </c>
      <c r="J5312" s="2" t="s">
        <v>19</v>
      </c>
      <c r="K5312" s="2" t="n">
        <v>0</v>
      </c>
      <c r="L5312" s="2" t="n">
        <v>0</v>
      </c>
      <c r="M5312" s="2" t="n">
        <v>0</v>
      </c>
    </row>
    <row r="5313" customFormat="false" ht="15" hidden="false" customHeight="false" outlineLevel="0" collapsed="false">
      <c r="A5313" s="2" t="s">
        <v>10814</v>
      </c>
      <c r="B5313" s="2" t="s">
        <v>10815</v>
      </c>
      <c r="C5313" s="2" t="n">
        <v>4</v>
      </c>
      <c r="D5313" s="2" t="s">
        <v>186</v>
      </c>
      <c r="E5313" s="2" t="s">
        <v>8083</v>
      </c>
      <c r="F5313" s="3" t="n">
        <v>46171.4354166667</v>
      </c>
      <c r="G5313" s="2" t="s">
        <v>10220</v>
      </c>
      <c r="H5313" s="4" t="n">
        <v>0.8777</v>
      </c>
      <c r="I5313" s="2" t="s">
        <v>23</v>
      </c>
      <c r="J5313" s="2" t="s">
        <v>19</v>
      </c>
      <c r="K5313" s="2" t="n">
        <v>3</v>
      </c>
      <c r="L5313" s="2" t="n">
        <v>0</v>
      </c>
      <c r="M5313" s="2" t="n">
        <v>0</v>
      </c>
    </row>
    <row r="5314" customFormat="false" ht="15" hidden="false" customHeight="false" outlineLevel="0" collapsed="false">
      <c r="A5314" s="2" t="s">
        <v>10816</v>
      </c>
      <c r="B5314" s="2" t="s">
        <v>10817</v>
      </c>
      <c r="C5314" s="2" t="n">
        <v>5</v>
      </c>
      <c r="D5314" s="2" t="s">
        <v>96</v>
      </c>
      <c r="E5314" s="2" t="s">
        <v>8083</v>
      </c>
      <c r="F5314" s="3" t="n">
        <v>46171.4472222222</v>
      </c>
      <c r="G5314" s="2" t="s">
        <v>10220</v>
      </c>
      <c r="H5314" s="4" t="n">
        <v>0.6369</v>
      </c>
      <c r="I5314" s="2" t="s">
        <v>23</v>
      </c>
      <c r="J5314" s="2" t="s">
        <v>19</v>
      </c>
      <c r="K5314" s="2" t="n">
        <v>0</v>
      </c>
      <c r="L5314" s="2" t="n">
        <v>0</v>
      </c>
      <c r="M5314" s="2" t="n">
        <v>0</v>
      </c>
    </row>
    <row r="5315" customFormat="false" ht="15" hidden="false" customHeight="false" outlineLevel="0" collapsed="false">
      <c r="A5315" s="2" t="s">
        <v>10818</v>
      </c>
      <c r="B5315" s="2" t="s">
        <v>10819</v>
      </c>
      <c r="C5315" s="2" t="n">
        <v>4</v>
      </c>
      <c r="D5315" s="2" t="s">
        <v>52</v>
      </c>
      <c r="E5315" s="2" t="s">
        <v>8083</v>
      </c>
      <c r="F5315" s="3" t="n">
        <v>46171.4604166667</v>
      </c>
      <c r="G5315" s="2" t="s">
        <v>10220</v>
      </c>
      <c r="H5315" s="4" t="n">
        <v>0.6369</v>
      </c>
      <c r="I5315" s="2" t="s">
        <v>23</v>
      </c>
      <c r="J5315" s="2" t="s">
        <v>19</v>
      </c>
      <c r="K5315" s="2" t="n">
        <v>2</v>
      </c>
      <c r="L5315" s="2" t="n">
        <v>0</v>
      </c>
      <c r="M5315" s="2" t="n">
        <v>0</v>
      </c>
    </row>
    <row r="5316" customFormat="false" ht="15" hidden="false" customHeight="false" outlineLevel="0" collapsed="false">
      <c r="A5316" s="2" t="s">
        <v>10820</v>
      </c>
      <c r="B5316" s="2" t="s">
        <v>10821</v>
      </c>
      <c r="C5316" s="2" t="n">
        <v>5</v>
      </c>
      <c r="D5316" s="2" t="s">
        <v>40</v>
      </c>
      <c r="E5316" s="2" t="s">
        <v>8083</v>
      </c>
      <c r="F5316" s="3" t="n">
        <v>46171.4909722222</v>
      </c>
      <c r="G5316" s="2" t="s">
        <v>10220</v>
      </c>
      <c r="H5316" s="4" t="n">
        <v>0.4019</v>
      </c>
      <c r="I5316" s="2" t="s">
        <v>23</v>
      </c>
      <c r="J5316" s="2" t="s">
        <v>33</v>
      </c>
      <c r="K5316" s="2" t="n">
        <v>3</v>
      </c>
      <c r="L5316" s="2" t="n">
        <v>0</v>
      </c>
      <c r="M5316" s="2" t="n">
        <v>0</v>
      </c>
    </row>
    <row r="5317" customFormat="false" ht="15" hidden="false" customHeight="false" outlineLevel="0" collapsed="false">
      <c r="A5317" s="2" t="s">
        <v>10822</v>
      </c>
      <c r="B5317" s="2" t="s">
        <v>10823</v>
      </c>
      <c r="C5317" s="2" t="n">
        <v>5</v>
      </c>
      <c r="D5317" s="2" t="s">
        <v>15</v>
      </c>
      <c r="E5317" s="2" t="s">
        <v>8083</v>
      </c>
      <c r="F5317" s="3" t="n">
        <v>46171.5604166667</v>
      </c>
      <c r="G5317" s="2" t="s">
        <v>10220</v>
      </c>
      <c r="H5317" s="4" t="n">
        <v>0</v>
      </c>
      <c r="I5317" s="2" t="s">
        <v>18</v>
      </c>
      <c r="J5317" s="2" t="s">
        <v>19</v>
      </c>
      <c r="K5317" s="2" t="n">
        <v>1</v>
      </c>
      <c r="L5317" s="2" t="n">
        <v>0</v>
      </c>
      <c r="M5317" s="2" t="n">
        <v>0</v>
      </c>
    </row>
    <row r="5318" customFormat="false" ht="15" hidden="false" customHeight="false" outlineLevel="0" collapsed="false">
      <c r="A5318" s="2" t="s">
        <v>10824</v>
      </c>
      <c r="B5318" s="2" t="s">
        <v>10825</v>
      </c>
      <c r="C5318" s="2" t="n">
        <v>5</v>
      </c>
      <c r="D5318" s="2" t="s">
        <v>15</v>
      </c>
      <c r="E5318" s="2" t="s">
        <v>8083</v>
      </c>
      <c r="F5318" s="3" t="n">
        <v>46171.6090277778</v>
      </c>
      <c r="G5318" s="2" t="s">
        <v>10220</v>
      </c>
      <c r="H5318" s="4" t="n">
        <v>0</v>
      </c>
      <c r="I5318" s="2" t="s">
        <v>18</v>
      </c>
      <c r="J5318" s="2" t="s">
        <v>19</v>
      </c>
      <c r="K5318" s="2" t="n">
        <v>6</v>
      </c>
      <c r="L5318" s="2" t="n">
        <v>0</v>
      </c>
      <c r="M5318" s="2" t="n">
        <v>0</v>
      </c>
    </row>
    <row r="5319" customFormat="false" ht="15" hidden="false" customHeight="false" outlineLevel="0" collapsed="false">
      <c r="A5319" s="2" t="s">
        <v>10826</v>
      </c>
      <c r="B5319" s="2" t="s">
        <v>10827</v>
      </c>
      <c r="C5319" s="2" t="n">
        <v>5</v>
      </c>
      <c r="D5319" s="2" t="s">
        <v>1095</v>
      </c>
      <c r="E5319" s="2" t="s">
        <v>8083</v>
      </c>
      <c r="F5319" s="3" t="n">
        <v>46171.6458333333</v>
      </c>
      <c r="G5319" s="2" t="s">
        <v>10220</v>
      </c>
      <c r="H5319" s="4" t="n">
        <v>0.7475</v>
      </c>
      <c r="I5319" s="2" t="s">
        <v>23</v>
      </c>
      <c r="J5319" s="2" t="s">
        <v>37</v>
      </c>
      <c r="K5319" s="2" t="n">
        <v>3</v>
      </c>
      <c r="L5319" s="2" t="n">
        <v>0</v>
      </c>
      <c r="M5319" s="2" t="n">
        <v>0</v>
      </c>
    </row>
    <row r="5320" customFormat="false" ht="15" hidden="false" customHeight="false" outlineLevel="0" collapsed="false">
      <c r="A5320" s="2" t="s">
        <v>10828</v>
      </c>
      <c r="B5320" s="2" t="s">
        <v>10829</v>
      </c>
      <c r="C5320" s="2" t="n">
        <v>5</v>
      </c>
      <c r="D5320" s="2" t="s">
        <v>127</v>
      </c>
      <c r="E5320" s="2" t="s">
        <v>8083</v>
      </c>
      <c r="F5320" s="3" t="n">
        <v>46171.7409722222</v>
      </c>
      <c r="G5320" s="2" t="s">
        <v>10220</v>
      </c>
      <c r="H5320" s="4" t="n">
        <v>0.9359</v>
      </c>
      <c r="I5320" s="2" t="s">
        <v>23</v>
      </c>
      <c r="J5320" s="2" t="s">
        <v>37</v>
      </c>
      <c r="K5320" s="2" t="n">
        <v>6</v>
      </c>
      <c r="L5320" s="2" t="n">
        <v>0</v>
      </c>
      <c r="M5320" s="2" t="n">
        <v>0</v>
      </c>
    </row>
    <row r="5321" customFormat="false" ht="15" hidden="false" customHeight="false" outlineLevel="0" collapsed="false">
      <c r="A5321" s="2" t="s">
        <v>10830</v>
      </c>
      <c r="B5321" s="2" t="s">
        <v>10831</v>
      </c>
      <c r="C5321" s="2" t="n">
        <v>5</v>
      </c>
      <c r="D5321" s="2" t="s">
        <v>40</v>
      </c>
      <c r="E5321" s="2" t="s">
        <v>8083</v>
      </c>
      <c r="F5321" s="3" t="n">
        <v>46172.0104166667</v>
      </c>
      <c r="G5321" s="2" t="s">
        <v>10220</v>
      </c>
      <c r="H5321" s="4" t="n">
        <v>0.4019</v>
      </c>
      <c r="I5321" s="2" t="s">
        <v>23</v>
      </c>
      <c r="J5321" s="2" t="s">
        <v>33</v>
      </c>
      <c r="K5321" s="2" t="n">
        <v>1</v>
      </c>
      <c r="L5321" s="2" t="n">
        <v>0</v>
      </c>
      <c r="M5321" s="2" t="n">
        <v>0</v>
      </c>
    </row>
    <row r="5322" customFormat="false" ht="15" hidden="false" customHeight="false" outlineLevel="0" collapsed="false">
      <c r="A5322" s="2" t="s">
        <v>10832</v>
      </c>
      <c r="B5322" s="2" t="s">
        <v>10833</v>
      </c>
      <c r="C5322" s="2" t="n">
        <v>4</v>
      </c>
      <c r="D5322" s="2" t="s">
        <v>127</v>
      </c>
      <c r="E5322" s="2" t="s">
        <v>8083</v>
      </c>
      <c r="F5322" s="3" t="n">
        <v>46172.10625</v>
      </c>
      <c r="G5322" s="2" t="s">
        <v>10220</v>
      </c>
      <c r="H5322" s="4" t="n">
        <v>0.9359</v>
      </c>
      <c r="I5322" s="2" t="s">
        <v>23</v>
      </c>
      <c r="J5322" s="2" t="s">
        <v>37</v>
      </c>
      <c r="K5322" s="2" t="n">
        <v>6</v>
      </c>
      <c r="L5322" s="2" t="n">
        <v>0</v>
      </c>
      <c r="M5322" s="2" t="n">
        <v>0</v>
      </c>
    </row>
    <row r="5323" customFormat="false" ht="15" hidden="false" customHeight="false" outlineLevel="0" collapsed="false">
      <c r="A5323" s="2" t="s">
        <v>10834</v>
      </c>
      <c r="B5323" s="2" t="s">
        <v>10835</v>
      </c>
      <c r="C5323" s="2" t="n">
        <v>4</v>
      </c>
      <c r="D5323" s="2" t="s">
        <v>62</v>
      </c>
      <c r="E5323" s="2" t="s">
        <v>8083</v>
      </c>
      <c r="F5323" s="3" t="n">
        <v>46172.1583333333</v>
      </c>
      <c r="G5323" s="2" t="s">
        <v>10220</v>
      </c>
      <c r="H5323" s="4" t="n">
        <v>0.7088</v>
      </c>
      <c r="I5323" s="2" t="s">
        <v>23</v>
      </c>
      <c r="J5323" s="2" t="s">
        <v>19</v>
      </c>
      <c r="K5323" s="2" t="n">
        <v>3</v>
      </c>
      <c r="L5323" s="2" t="n">
        <v>0</v>
      </c>
      <c r="M5323" s="2" t="n">
        <v>0</v>
      </c>
    </row>
    <row r="5324" customFormat="false" ht="15" hidden="false" customHeight="false" outlineLevel="0" collapsed="false">
      <c r="A5324" s="2" t="s">
        <v>10836</v>
      </c>
      <c r="B5324" s="2" t="s">
        <v>10837</v>
      </c>
      <c r="C5324" s="2" t="n">
        <v>5</v>
      </c>
      <c r="D5324" s="2" t="s">
        <v>52</v>
      </c>
      <c r="E5324" s="2" t="s">
        <v>8083</v>
      </c>
      <c r="F5324" s="3" t="n">
        <v>46172.2409722222</v>
      </c>
      <c r="G5324" s="2" t="s">
        <v>10220</v>
      </c>
      <c r="H5324" s="4" t="n">
        <v>0.6369</v>
      </c>
      <c r="I5324" s="2" t="s">
        <v>23</v>
      </c>
      <c r="J5324" s="2" t="s">
        <v>19</v>
      </c>
      <c r="K5324" s="2" t="n">
        <v>7</v>
      </c>
      <c r="L5324" s="2" t="n">
        <v>0</v>
      </c>
      <c r="M5324" s="2" t="n">
        <v>0</v>
      </c>
    </row>
    <row r="5325" customFormat="false" ht="15" hidden="false" customHeight="false" outlineLevel="0" collapsed="false">
      <c r="A5325" s="2" t="s">
        <v>10838</v>
      </c>
      <c r="B5325" s="2" t="s">
        <v>10839</v>
      </c>
      <c r="C5325" s="2" t="n">
        <v>5</v>
      </c>
      <c r="D5325" s="2" t="s">
        <v>62</v>
      </c>
      <c r="E5325" s="2" t="s">
        <v>8083</v>
      </c>
      <c r="F5325" s="3" t="n">
        <v>46172.2506944445</v>
      </c>
      <c r="G5325" s="2" t="s">
        <v>10220</v>
      </c>
      <c r="H5325" s="4" t="n">
        <v>0.7088</v>
      </c>
      <c r="I5325" s="2" t="s">
        <v>23</v>
      </c>
      <c r="J5325" s="2" t="s">
        <v>19</v>
      </c>
      <c r="K5325" s="2" t="n">
        <v>9</v>
      </c>
      <c r="L5325" s="2" t="n">
        <v>0</v>
      </c>
      <c r="M5325" s="2" t="n">
        <v>0</v>
      </c>
    </row>
    <row r="5326" customFormat="false" ht="15" hidden="false" customHeight="false" outlineLevel="0" collapsed="false">
      <c r="A5326" s="2" t="s">
        <v>10840</v>
      </c>
      <c r="B5326" s="2" t="s">
        <v>10841</v>
      </c>
      <c r="C5326" s="2" t="n">
        <v>2</v>
      </c>
      <c r="D5326" s="2" t="s">
        <v>109</v>
      </c>
      <c r="E5326" s="2" t="s">
        <v>8083</v>
      </c>
      <c r="F5326" s="3" t="n">
        <v>46172.2763888889</v>
      </c>
      <c r="G5326" s="2" t="s">
        <v>10220</v>
      </c>
      <c r="H5326" s="4" t="n">
        <v>0</v>
      </c>
      <c r="I5326" s="2" t="s">
        <v>18</v>
      </c>
      <c r="J5326" s="2" t="s">
        <v>110</v>
      </c>
      <c r="K5326" s="2" t="n">
        <v>4</v>
      </c>
      <c r="L5326" s="2" t="n">
        <v>0</v>
      </c>
      <c r="M5326" s="2" t="n">
        <v>0</v>
      </c>
    </row>
    <row r="5327" customFormat="false" ht="15" hidden="false" customHeight="false" outlineLevel="0" collapsed="false">
      <c r="A5327" s="2" t="s">
        <v>10842</v>
      </c>
      <c r="B5327" s="2" t="s">
        <v>10843</v>
      </c>
      <c r="C5327" s="2" t="n">
        <v>4</v>
      </c>
      <c r="D5327" s="2" t="s">
        <v>62</v>
      </c>
      <c r="E5327" s="2" t="s">
        <v>8083</v>
      </c>
      <c r="F5327" s="3" t="n">
        <v>46172.3958333333</v>
      </c>
      <c r="G5327" s="2" t="s">
        <v>10220</v>
      </c>
      <c r="H5327" s="4" t="n">
        <v>0.7088</v>
      </c>
      <c r="I5327" s="2" t="s">
        <v>23</v>
      </c>
      <c r="J5327" s="2" t="s">
        <v>19</v>
      </c>
      <c r="K5327" s="2" t="n">
        <v>1</v>
      </c>
      <c r="L5327" s="2" t="n">
        <v>0</v>
      </c>
      <c r="M5327" s="2" t="n">
        <v>0</v>
      </c>
    </row>
    <row r="5328" customFormat="false" ht="15" hidden="false" customHeight="false" outlineLevel="0" collapsed="false">
      <c r="A5328" s="2" t="s">
        <v>10844</v>
      </c>
      <c r="B5328" s="2" t="s">
        <v>10845</v>
      </c>
      <c r="C5328" s="2" t="n">
        <v>3</v>
      </c>
      <c r="D5328" s="2" t="s">
        <v>2143</v>
      </c>
      <c r="E5328" s="2" t="s">
        <v>8083</v>
      </c>
      <c r="F5328" s="3" t="n">
        <v>46172.4048611111</v>
      </c>
      <c r="G5328" s="2" t="s">
        <v>10220</v>
      </c>
      <c r="H5328" s="4" t="n">
        <v>0.6448</v>
      </c>
      <c r="I5328" s="2" t="s">
        <v>23</v>
      </c>
      <c r="J5328" s="2" t="s">
        <v>37</v>
      </c>
      <c r="K5328" s="2" t="n">
        <v>3</v>
      </c>
      <c r="L5328" s="2" t="n">
        <v>0</v>
      </c>
      <c r="M5328" s="2" t="n">
        <v>0</v>
      </c>
    </row>
    <row r="5329" customFormat="false" ht="15" hidden="false" customHeight="false" outlineLevel="0" collapsed="false">
      <c r="A5329" s="2" t="s">
        <v>10846</v>
      </c>
      <c r="B5329" s="2" t="s">
        <v>10847</v>
      </c>
      <c r="C5329" s="2" t="n">
        <v>4</v>
      </c>
      <c r="D5329" s="2" t="s">
        <v>62</v>
      </c>
      <c r="E5329" s="2" t="s">
        <v>8083</v>
      </c>
      <c r="F5329" s="3" t="n">
        <v>46172.7368055556</v>
      </c>
      <c r="G5329" s="2" t="s">
        <v>10220</v>
      </c>
      <c r="H5329" s="4" t="n">
        <v>0.7088</v>
      </c>
      <c r="I5329" s="2" t="s">
        <v>23</v>
      </c>
      <c r="J5329" s="2" t="s">
        <v>19</v>
      </c>
      <c r="K5329" s="2" t="n">
        <v>1</v>
      </c>
      <c r="L5329" s="2" t="n">
        <v>0</v>
      </c>
      <c r="M5329" s="2" t="n">
        <v>0</v>
      </c>
    </row>
    <row r="5330" customFormat="false" ht="15" hidden="false" customHeight="false" outlineLevel="0" collapsed="false">
      <c r="A5330" s="2" t="s">
        <v>10848</v>
      </c>
      <c r="B5330" s="2" t="s">
        <v>10849</v>
      </c>
      <c r="C5330" s="2" t="n">
        <v>4</v>
      </c>
      <c r="D5330" s="2" t="s">
        <v>127</v>
      </c>
      <c r="E5330" s="2" t="s">
        <v>8083</v>
      </c>
      <c r="F5330" s="3" t="n">
        <v>46172.8555555556</v>
      </c>
      <c r="G5330" s="2" t="s">
        <v>10220</v>
      </c>
      <c r="H5330" s="4" t="n">
        <v>0.9359</v>
      </c>
      <c r="I5330" s="2" t="s">
        <v>23</v>
      </c>
      <c r="J5330" s="2" t="s">
        <v>37</v>
      </c>
      <c r="K5330" s="2" t="n">
        <v>9</v>
      </c>
      <c r="L5330" s="2" t="n">
        <v>0</v>
      </c>
      <c r="M5330" s="2" t="n">
        <v>0</v>
      </c>
    </row>
    <row r="5331" customFormat="false" ht="15" hidden="false" customHeight="false" outlineLevel="0" collapsed="false">
      <c r="A5331" s="2" t="s">
        <v>10850</v>
      </c>
      <c r="B5331" s="2" t="s">
        <v>10851</v>
      </c>
      <c r="C5331" s="2" t="n">
        <v>3</v>
      </c>
      <c r="D5331" s="2" t="s">
        <v>99</v>
      </c>
      <c r="E5331" s="2" t="s">
        <v>8083</v>
      </c>
      <c r="F5331" s="3" t="n">
        <v>46172.9791666667</v>
      </c>
      <c r="G5331" s="2" t="s">
        <v>10220</v>
      </c>
      <c r="H5331" s="4" t="n">
        <v>-0.3089</v>
      </c>
      <c r="I5331" s="2" t="s">
        <v>84</v>
      </c>
      <c r="J5331" s="2" t="s">
        <v>19</v>
      </c>
      <c r="K5331" s="2" t="n">
        <v>2</v>
      </c>
      <c r="L5331" s="2" t="n">
        <v>0</v>
      </c>
      <c r="M5331" s="2" t="n">
        <v>0</v>
      </c>
    </row>
    <row r="5332" customFormat="false" ht="15" hidden="false" customHeight="false" outlineLevel="0" collapsed="false">
      <c r="A5332" s="2" t="s">
        <v>10852</v>
      </c>
      <c r="B5332" s="2" t="s">
        <v>10853</v>
      </c>
      <c r="C5332" s="2" t="n">
        <v>4</v>
      </c>
      <c r="D5332" s="2" t="s">
        <v>29</v>
      </c>
      <c r="E5332" s="2" t="s">
        <v>8083</v>
      </c>
      <c r="F5332" s="3" t="n">
        <v>46172.9798611111</v>
      </c>
      <c r="G5332" s="2" t="s">
        <v>10220</v>
      </c>
      <c r="H5332" s="4" t="n">
        <v>0.6369</v>
      </c>
      <c r="I5332" s="2" t="s">
        <v>23</v>
      </c>
      <c r="J5332" s="2" t="s">
        <v>19</v>
      </c>
      <c r="K5332" s="2" t="n">
        <v>3</v>
      </c>
      <c r="L5332" s="2" t="n">
        <v>0</v>
      </c>
      <c r="M5332" s="2" t="n">
        <v>0</v>
      </c>
    </row>
    <row r="5333" customFormat="false" ht="15" hidden="false" customHeight="false" outlineLevel="0" collapsed="false">
      <c r="A5333" s="2" t="s">
        <v>10854</v>
      </c>
      <c r="B5333" s="2" t="s">
        <v>10855</v>
      </c>
      <c r="C5333" s="2" t="n">
        <v>4</v>
      </c>
      <c r="D5333" s="2" t="s">
        <v>52</v>
      </c>
      <c r="E5333" s="2" t="s">
        <v>8083</v>
      </c>
      <c r="F5333" s="3" t="n">
        <v>46173.0534722222</v>
      </c>
      <c r="G5333" s="2" t="s">
        <v>10220</v>
      </c>
      <c r="H5333" s="4" t="n">
        <v>0.6369</v>
      </c>
      <c r="I5333" s="2" t="s">
        <v>23</v>
      </c>
      <c r="J5333" s="2" t="s">
        <v>19</v>
      </c>
      <c r="K5333" s="2" t="n">
        <v>0</v>
      </c>
      <c r="L5333" s="2" t="n">
        <v>0</v>
      </c>
      <c r="M5333" s="2" t="n">
        <v>0</v>
      </c>
    </row>
    <row r="5334" customFormat="false" ht="15" hidden="false" customHeight="false" outlineLevel="0" collapsed="false">
      <c r="A5334" s="2" t="s">
        <v>10856</v>
      </c>
      <c r="B5334" s="2" t="s">
        <v>10857</v>
      </c>
      <c r="C5334" s="2" t="n">
        <v>5</v>
      </c>
      <c r="D5334" s="2" t="s">
        <v>40</v>
      </c>
      <c r="E5334" s="2" t="s">
        <v>8083</v>
      </c>
      <c r="F5334" s="3" t="n">
        <v>46173.1680555556</v>
      </c>
      <c r="G5334" s="2" t="s">
        <v>10220</v>
      </c>
      <c r="H5334" s="4" t="n">
        <v>0.4019</v>
      </c>
      <c r="I5334" s="2" t="s">
        <v>23</v>
      </c>
      <c r="J5334" s="2" t="s">
        <v>33</v>
      </c>
      <c r="K5334" s="2" t="n">
        <v>0</v>
      </c>
      <c r="L5334" s="2" t="n">
        <v>0</v>
      </c>
      <c r="M5334" s="2" t="n">
        <v>0</v>
      </c>
    </row>
    <row r="5335" customFormat="false" ht="15" hidden="false" customHeight="false" outlineLevel="0" collapsed="false">
      <c r="A5335" s="2" t="s">
        <v>10858</v>
      </c>
      <c r="B5335" s="2" t="s">
        <v>10859</v>
      </c>
      <c r="C5335" s="2" t="n">
        <v>5</v>
      </c>
      <c r="D5335" s="2" t="s">
        <v>62</v>
      </c>
      <c r="E5335" s="2" t="s">
        <v>8083</v>
      </c>
      <c r="F5335" s="3" t="n">
        <v>46173.29375</v>
      </c>
      <c r="G5335" s="2" t="s">
        <v>10220</v>
      </c>
      <c r="H5335" s="4" t="n">
        <v>0.7088</v>
      </c>
      <c r="I5335" s="2" t="s">
        <v>23</v>
      </c>
      <c r="J5335" s="2" t="s">
        <v>19</v>
      </c>
      <c r="K5335" s="2" t="n">
        <v>2</v>
      </c>
      <c r="L5335" s="2" t="n">
        <v>0</v>
      </c>
      <c r="M5335" s="2" t="n">
        <v>0</v>
      </c>
    </row>
    <row r="5336" customFormat="false" ht="15" hidden="false" customHeight="false" outlineLevel="0" collapsed="false">
      <c r="A5336" s="2" t="s">
        <v>10860</v>
      </c>
      <c r="B5336" s="2" t="s">
        <v>10861</v>
      </c>
      <c r="C5336" s="2" t="n">
        <v>5</v>
      </c>
      <c r="D5336" s="2" t="s">
        <v>62</v>
      </c>
      <c r="E5336" s="2" t="s">
        <v>8083</v>
      </c>
      <c r="F5336" s="3" t="n">
        <v>46173.3145833333</v>
      </c>
      <c r="G5336" s="2" t="s">
        <v>10220</v>
      </c>
      <c r="H5336" s="4" t="n">
        <v>0.7088</v>
      </c>
      <c r="I5336" s="2" t="s">
        <v>23</v>
      </c>
      <c r="J5336" s="2" t="s">
        <v>19</v>
      </c>
      <c r="K5336" s="2" t="n">
        <v>1</v>
      </c>
      <c r="L5336" s="2" t="n">
        <v>0</v>
      </c>
      <c r="M5336" s="2" t="n">
        <v>0</v>
      </c>
    </row>
    <row r="5337" customFormat="false" ht="15" hidden="false" customHeight="false" outlineLevel="0" collapsed="false">
      <c r="A5337" s="2" t="s">
        <v>10862</v>
      </c>
      <c r="B5337" s="2" t="s">
        <v>10863</v>
      </c>
      <c r="C5337" s="2" t="n">
        <v>5</v>
      </c>
      <c r="D5337" s="2" t="s">
        <v>62</v>
      </c>
      <c r="E5337" s="2" t="s">
        <v>8083</v>
      </c>
      <c r="F5337" s="3" t="n">
        <v>46173.4006944444</v>
      </c>
      <c r="G5337" s="2" t="s">
        <v>10220</v>
      </c>
      <c r="H5337" s="4" t="n">
        <v>0.7088</v>
      </c>
      <c r="I5337" s="2" t="s">
        <v>23</v>
      </c>
      <c r="J5337" s="2" t="s">
        <v>19</v>
      </c>
      <c r="K5337" s="2" t="n">
        <v>2</v>
      </c>
      <c r="L5337" s="2" t="n">
        <v>0</v>
      </c>
      <c r="M5337" s="2" t="n">
        <v>0</v>
      </c>
    </row>
    <row r="5338" customFormat="false" ht="15" hidden="false" customHeight="false" outlineLevel="0" collapsed="false">
      <c r="A5338" s="2" t="s">
        <v>10864</v>
      </c>
      <c r="B5338" s="2" t="s">
        <v>10865</v>
      </c>
      <c r="C5338" s="2" t="n">
        <v>4</v>
      </c>
      <c r="D5338" s="2" t="s">
        <v>47</v>
      </c>
      <c r="E5338" s="2" t="s">
        <v>8083</v>
      </c>
      <c r="F5338" s="3" t="n">
        <v>46173.5805555556</v>
      </c>
      <c r="G5338" s="2" t="s">
        <v>10220</v>
      </c>
      <c r="H5338" s="4" t="n">
        <v>0.3089</v>
      </c>
      <c r="I5338" s="2" t="s">
        <v>23</v>
      </c>
      <c r="J5338" s="2" t="s">
        <v>19</v>
      </c>
      <c r="K5338" s="2" t="n">
        <v>5</v>
      </c>
      <c r="L5338" s="2" t="n">
        <v>0</v>
      </c>
      <c r="M5338" s="2" t="n">
        <v>0</v>
      </c>
    </row>
    <row r="5339" customFormat="false" ht="15" hidden="false" customHeight="false" outlineLevel="0" collapsed="false">
      <c r="A5339" s="2" t="s">
        <v>10866</v>
      </c>
      <c r="B5339" s="2" t="s">
        <v>10867</v>
      </c>
      <c r="C5339" s="2" t="n">
        <v>5</v>
      </c>
      <c r="D5339" s="2" t="s">
        <v>127</v>
      </c>
      <c r="E5339" s="2" t="s">
        <v>8083</v>
      </c>
      <c r="F5339" s="3" t="n">
        <v>46173.7020833333</v>
      </c>
      <c r="G5339" s="2" t="s">
        <v>10220</v>
      </c>
      <c r="H5339" s="4" t="n">
        <v>0.9359</v>
      </c>
      <c r="I5339" s="2" t="s">
        <v>23</v>
      </c>
      <c r="J5339" s="2" t="s">
        <v>37</v>
      </c>
      <c r="K5339" s="2" t="n">
        <v>6</v>
      </c>
      <c r="L5339" s="2" t="n">
        <v>0</v>
      </c>
      <c r="M5339" s="2" t="n">
        <v>0</v>
      </c>
    </row>
    <row r="5340" customFormat="false" ht="15" hidden="false" customHeight="false" outlineLevel="0" collapsed="false">
      <c r="A5340" s="2" t="s">
        <v>10868</v>
      </c>
      <c r="B5340" s="2" t="s">
        <v>10869</v>
      </c>
      <c r="C5340" s="2" t="n">
        <v>4</v>
      </c>
      <c r="D5340" s="2" t="s">
        <v>90</v>
      </c>
      <c r="E5340" s="2" t="s">
        <v>8083</v>
      </c>
      <c r="F5340" s="3" t="n">
        <v>46173.8229166667</v>
      </c>
      <c r="G5340" s="2" t="s">
        <v>10220</v>
      </c>
      <c r="H5340" s="4" t="n">
        <v>0.6249</v>
      </c>
      <c r="I5340" s="2" t="s">
        <v>23</v>
      </c>
      <c r="J5340" s="2" t="s">
        <v>37</v>
      </c>
      <c r="K5340" s="2" t="n">
        <v>4</v>
      </c>
      <c r="L5340" s="2" t="n">
        <v>0</v>
      </c>
      <c r="M5340" s="2" t="n">
        <v>0</v>
      </c>
    </row>
    <row r="5341" customFormat="false" ht="15" hidden="false" customHeight="false" outlineLevel="0" collapsed="false">
      <c r="A5341" s="2" t="s">
        <v>10870</v>
      </c>
      <c r="B5341" s="2" t="s">
        <v>10871</v>
      </c>
      <c r="C5341" s="2" t="n">
        <v>1</v>
      </c>
      <c r="D5341" s="2" t="s">
        <v>402</v>
      </c>
      <c r="E5341" s="2" t="s">
        <v>8083</v>
      </c>
      <c r="F5341" s="3" t="n">
        <v>46173.8416666667</v>
      </c>
      <c r="G5341" s="2" t="s">
        <v>10220</v>
      </c>
      <c r="H5341" s="4" t="n">
        <v>0</v>
      </c>
      <c r="I5341" s="2" t="s">
        <v>18</v>
      </c>
      <c r="J5341" s="2" t="s">
        <v>59</v>
      </c>
      <c r="K5341" s="2" t="n">
        <v>6</v>
      </c>
      <c r="L5341" s="2" t="n">
        <v>0</v>
      </c>
      <c r="M5341" s="2" t="n">
        <v>0</v>
      </c>
    </row>
    <row r="5342" customFormat="false" ht="15" hidden="false" customHeight="false" outlineLevel="0" collapsed="false">
      <c r="A5342" s="2" t="s">
        <v>10872</v>
      </c>
      <c r="B5342" s="2" t="s">
        <v>10873</v>
      </c>
      <c r="C5342" s="2" t="n">
        <v>4</v>
      </c>
      <c r="D5342" s="2" t="s">
        <v>52</v>
      </c>
      <c r="E5342" s="2" t="s">
        <v>8083</v>
      </c>
      <c r="F5342" s="3" t="n">
        <v>46173.8527777778</v>
      </c>
      <c r="G5342" s="2" t="s">
        <v>10220</v>
      </c>
      <c r="H5342" s="4" t="n">
        <v>0.6369</v>
      </c>
      <c r="I5342" s="2" t="s">
        <v>23</v>
      </c>
      <c r="J5342" s="2" t="s">
        <v>19</v>
      </c>
      <c r="K5342" s="2" t="n">
        <v>1</v>
      </c>
      <c r="L5342" s="2" t="n">
        <v>0</v>
      </c>
      <c r="M5342" s="2" t="n">
        <v>0</v>
      </c>
    </row>
    <row r="5343" customFormat="false" ht="15" hidden="false" customHeight="false" outlineLevel="0" collapsed="false">
      <c r="A5343" s="2" t="s">
        <v>10874</v>
      </c>
      <c r="B5343" s="2" t="s">
        <v>10875</v>
      </c>
      <c r="C5343" s="2" t="n">
        <v>3</v>
      </c>
      <c r="D5343" s="2" t="s">
        <v>301</v>
      </c>
      <c r="E5343" s="2" t="s">
        <v>8083</v>
      </c>
      <c r="F5343" s="3" t="n">
        <v>46173.8791666667</v>
      </c>
      <c r="G5343" s="2" t="s">
        <v>10220</v>
      </c>
      <c r="H5343" s="4" t="n">
        <v>0.2263</v>
      </c>
      <c r="I5343" s="2" t="s">
        <v>23</v>
      </c>
      <c r="J5343" s="2" t="s">
        <v>19</v>
      </c>
      <c r="K5343" s="2" t="n">
        <v>3</v>
      </c>
      <c r="L5343" s="2" t="n">
        <v>0</v>
      </c>
      <c r="M5343" s="2" t="n">
        <v>0</v>
      </c>
    </row>
    <row r="5344" customFormat="false" ht="15" hidden="false" customHeight="false" outlineLevel="0" collapsed="false">
      <c r="A5344" s="2" t="s">
        <v>10876</v>
      </c>
      <c r="B5344" s="2" t="s">
        <v>10877</v>
      </c>
      <c r="C5344" s="2" t="n">
        <v>1</v>
      </c>
      <c r="D5344" s="2" t="s">
        <v>482</v>
      </c>
      <c r="E5344" s="2" t="s">
        <v>8083</v>
      </c>
      <c r="F5344" s="3" t="n">
        <v>46174.2083333333</v>
      </c>
      <c r="G5344" s="2" t="s">
        <v>10878</v>
      </c>
      <c r="H5344" s="4" t="n">
        <v>-0.6808</v>
      </c>
      <c r="I5344" s="2" t="s">
        <v>84</v>
      </c>
      <c r="J5344" s="2" t="s">
        <v>110</v>
      </c>
      <c r="K5344" s="2" t="n">
        <v>2</v>
      </c>
      <c r="L5344" s="2" t="n">
        <v>1</v>
      </c>
      <c r="M5344" s="2" t="n">
        <v>0</v>
      </c>
    </row>
    <row r="5345" customFormat="false" ht="15" hidden="false" customHeight="false" outlineLevel="0" collapsed="false">
      <c r="A5345" s="2" t="s">
        <v>10879</v>
      </c>
      <c r="B5345" s="2" t="s">
        <v>10880</v>
      </c>
      <c r="C5345" s="2" t="n">
        <v>4</v>
      </c>
      <c r="D5345" s="2" t="s">
        <v>127</v>
      </c>
      <c r="E5345" s="2" t="s">
        <v>8083</v>
      </c>
      <c r="F5345" s="3" t="n">
        <v>46174.2611111111</v>
      </c>
      <c r="G5345" s="2" t="s">
        <v>10878</v>
      </c>
      <c r="H5345" s="4" t="n">
        <v>0.9359</v>
      </c>
      <c r="I5345" s="2" t="s">
        <v>23</v>
      </c>
      <c r="J5345" s="2" t="s">
        <v>37</v>
      </c>
      <c r="K5345" s="2" t="n">
        <v>0</v>
      </c>
      <c r="L5345" s="2" t="n">
        <v>0</v>
      </c>
      <c r="M5345" s="2" t="n">
        <v>0</v>
      </c>
    </row>
    <row r="5346" customFormat="false" ht="15" hidden="false" customHeight="false" outlineLevel="0" collapsed="false">
      <c r="A5346" s="2" t="s">
        <v>10881</v>
      </c>
      <c r="B5346" s="2" t="s">
        <v>10882</v>
      </c>
      <c r="C5346" s="2" t="n">
        <v>4</v>
      </c>
      <c r="D5346" s="2" t="s">
        <v>99</v>
      </c>
      <c r="E5346" s="2" t="s">
        <v>8083</v>
      </c>
      <c r="F5346" s="3" t="n">
        <v>46174.2791666667</v>
      </c>
      <c r="G5346" s="2" t="s">
        <v>10878</v>
      </c>
      <c r="H5346" s="4" t="n">
        <v>-0.3089</v>
      </c>
      <c r="I5346" s="2" t="s">
        <v>84</v>
      </c>
      <c r="J5346" s="2" t="s">
        <v>19</v>
      </c>
      <c r="K5346" s="2" t="n">
        <v>12</v>
      </c>
      <c r="L5346" s="2" t="n">
        <v>0</v>
      </c>
      <c r="M5346" s="2" t="n">
        <v>0</v>
      </c>
    </row>
    <row r="5347" customFormat="false" ht="15" hidden="false" customHeight="false" outlineLevel="0" collapsed="false">
      <c r="A5347" s="2" t="s">
        <v>10883</v>
      </c>
      <c r="B5347" s="2" t="s">
        <v>10884</v>
      </c>
      <c r="C5347" s="2" t="n">
        <v>4</v>
      </c>
      <c r="D5347" s="2" t="s">
        <v>269</v>
      </c>
      <c r="E5347" s="2" t="s">
        <v>8083</v>
      </c>
      <c r="F5347" s="3" t="n">
        <v>46174.2916666667</v>
      </c>
      <c r="G5347" s="2" t="s">
        <v>10878</v>
      </c>
      <c r="H5347" s="4" t="n">
        <v>0.8748</v>
      </c>
      <c r="I5347" s="2" t="s">
        <v>23</v>
      </c>
      <c r="J5347" s="2" t="s">
        <v>37</v>
      </c>
      <c r="K5347" s="2" t="n">
        <v>4</v>
      </c>
      <c r="L5347" s="2" t="n">
        <v>0</v>
      </c>
      <c r="M5347" s="2" t="n">
        <v>0</v>
      </c>
    </row>
    <row r="5348" customFormat="false" ht="15" hidden="false" customHeight="false" outlineLevel="0" collapsed="false">
      <c r="A5348" s="2" t="s">
        <v>10885</v>
      </c>
      <c r="B5348" s="2" t="s">
        <v>10886</v>
      </c>
      <c r="C5348" s="2" t="n">
        <v>5</v>
      </c>
      <c r="D5348" s="2" t="s">
        <v>47</v>
      </c>
      <c r="E5348" s="2" t="s">
        <v>8083</v>
      </c>
      <c r="F5348" s="3" t="n">
        <v>46174.3666666667</v>
      </c>
      <c r="G5348" s="2" t="s">
        <v>10878</v>
      </c>
      <c r="H5348" s="4" t="n">
        <v>0.3089</v>
      </c>
      <c r="I5348" s="2" t="s">
        <v>23</v>
      </c>
      <c r="J5348" s="2" t="s">
        <v>19</v>
      </c>
      <c r="K5348" s="2" t="n">
        <v>6</v>
      </c>
      <c r="L5348" s="2" t="n">
        <v>0</v>
      </c>
      <c r="M5348" s="2" t="n">
        <v>0</v>
      </c>
    </row>
    <row r="5349" customFormat="false" ht="15" hidden="false" customHeight="false" outlineLevel="0" collapsed="false">
      <c r="A5349" s="2" t="s">
        <v>10887</v>
      </c>
      <c r="B5349" s="2" t="s">
        <v>10888</v>
      </c>
      <c r="C5349" s="2" t="n">
        <v>5</v>
      </c>
      <c r="D5349" s="2" t="s">
        <v>90</v>
      </c>
      <c r="E5349" s="2" t="s">
        <v>8083</v>
      </c>
      <c r="F5349" s="3" t="n">
        <v>46174.4277777778</v>
      </c>
      <c r="G5349" s="2" t="s">
        <v>10878</v>
      </c>
      <c r="H5349" s="4" t="n">
        <v>0.6249</v>
      </c>
      <c r="I5349" s="2" t="s">
        <v>23</v>
      </c>
      <c r="J5349" s="2" t="s">
        <v>37</v>
      </c>
      <c r="K5349" s="2" t="n">
        <v>0</v>
      </c>
      <c r="L5349" s="2" t="n">
        <v>0</v>
      </c>
      <c r="M5349" s="2" t="n">
        <v>0</v>
      </c>
    </row>
    <row r="5350" customFormat="false" ht="15" hidden="false" customHeight="false" outlineLevel="0" collapsed="false">
      <c r="A5350" s="2" t="s">
        <v>10889</v>
      </c>
      <c r="B5350" s="2" t="s">
        <v>10890</v>
      </c>
      <c r="C5350" s="2" t="n">
        <v>5</v>
      </c>
      <c r="D5350" s="2" t="s">
        <v>90</v>
      </c>
      <c r="E5350" s="2" t="s">
        <v>8083</v>
      </c>
      <c r="F5350" s="3" t="n">
        <v>46174.4451388889</v>
      </c>
      <c r="G5350" s="2" t="s">
        <v>10878</v>
      </c>
      <c r="H5350" s="4" t="n">
        <v>0.6249</v>
      </c>
      <c r="I5350" s="2" t="s">
        <v>23</v>
      </c>
      <c r="J5350" s="2" t="s">
        <v>37</v>
      </c>
      <c r="K5350" s="2" t="n">
        <v>0</v>
      </c>
      <c r="L5350" s="2" t="n">
        <v>0</v>
      </c>
      <c r="M5350" s="2" t="n">
        <v>0</v>
      </c>
    </row>
    <row r="5351" customFormat="false" ht="15" hidden="false" customHeight="false" outlineLevel="0" collapsed="false">
      <c r="A5351" s="2" t="s">
        <v>10891</v>
      </c>
      <c r="B5351" s="2" t="s">
        <v>10892</v>
      </c>
      <c r="C5351" s="2" t="n">
        <v>4</v>
      </c>
      <c r="D5351" s="2" t="s">
        <v>301</v>
      </c>
      <c r="E5351" s="2" t="s">
        <v>8083</v>
      </c>
      <c r="F5351" s="3" t="n">
        <v>46174.8111111111</v>
      </c>
      <c r="G5351" s="2" t="s">
        <v>10878</v>
      </c>
      <c r="H5351" s="4" t="n">
        <v>0.2263</v>
      </c>
      <c r="I5351" s="2" t="s">
        <v>23</v>
      </c>
      <c r="J5351" s="2" t="s">
        <v>19</v>
      </c>
      <c r="K5351" s="2" t="n">
        <v>0</v>
      </c>
      <c r="L5351" s="2" t="n">
        <v>0</v>
      </c>
      <c r="M5351" s="2" t="n">
        <v>0</v>
      </c>
    </row>
    <row r="5352" customFormat="false" ht="15" hidden="false" customHeight="false" outlineLevel="0" collapsed="false">
      <c r="A5352" s="2" t="s">
        <v>10893</v>
      </c>
      <c r="B5352" s="2" t="s">
        <v>10894</v>
      </c>
      <c r="C5352" s="2" t="n">
        <v>2</v>
      </c>
      <c r="D5352" s="2" t="s">
        <v>733</v>
      </c>
      <c r="E5352" s="2" t="s">
        <v>8083</v>
      </c>
      <c r="F5352" s="3" t="n">
        <v>46174.8597222222</v>
      </c>
      <c r="G5352" s="2" t="s">
        <v>10878</v>
      </c>
      <c r="H5352" s="4" t="n">
        <v>-0.2846</v>
      </c>
      <c r="I5352" s="2" t="s">
        <v>84</v>
      </c>
      <c r="J5352" s="2" t="s">
        <v>37</v>
      </c>
      <c r="K5352" s="2" t="n">
        <v>0</v>
      </c>
      <c r="L5352" s="2" t="n">
        <v>1</v>
      </c>
      <c r="M5352" s="2" t="n">
        <v>0</v>
      </c>
    </row>
    <row r="5353" customFormat="false" ht="15" hidden="false" customHeight="false" outlineLevel="0" collapsed="false">
      <c r="A5353" s="2" t="s">
        <v>10895</v>
      </c>
      <c r="B5353" s="2" t="s">
        <v>10896</v>
      </c>
      <c r="C5353" s="2" t="n">
        <v>4</v>
      </c>
      <c r="D5353" s="2" t="s">
        <v>22</v>
      </c>
      <c r="E5353" s="2" t="s">
        <v>8083</v>
      </c>
      <c r="F5353" s="3" t="n">
        <v>46174.8708333333</v>
      </c>
      <c r="G5353" s="2" t="s">
        <v>10878</v>
      </c>
      <c r="H5353" s="4" t="n">
        <v>0.2023</v>
      </c>
      <c r="I5353" s="2" t="s">
        <v>23</v>
      </c>
      <c r="J5353" s="2" t="s">
        <v>19</v>
      </c>
      <c r="K5353" s="2" t="n">
        <v>3</v>
      </c>
      <c r="L5353" s="2" t="n">
        <v>0</v>
      </c>
      <c r="M5353" s="2" t="n">
        <v>0</v>
      </c>
    </row>
    <row r="5354" customFormat="false" ht="15" hidden="false" customHeight="false" outlineLevel="0" collapsed="false">
      <c r="A5354" s="2" t="s">
        <v>10897</v>
      </c>
      <c r="B5354" s="2" t="s">
        <v>10898</v>
      </c>
      <c r="C5354" s="2" t="n">
        <v>4</v>
      </c>
      <c r="D5354" s="2" t="s">
        <v>1237</v>
      </c>
      <c r="E5354" s="2" t="s">
        <v>8083</v>
      </c>
      <c r="F5354" s="3" t="n">
        <v>46175.0305555556</v>
      </c>
      <c r="G5354" s="2" t="s">
        <v>10878</v>
      </c>
      <c r="H5354" s="4" t="n">
        <v>-0.3089</v>
      </c>
      <c r="I5354" s="2" t="s">
        <v>84</v>
      </c>
      <c r="J5354" s="2" t="s">
        <v>19</v>
      </c>
      <c r="K5354" s="2" t="n">
        <v>8</v>
      </c>
      <c r="L5354" s="2" t="n">
        <v>1</v>
      </c>
      <c r="M5354" s="2" t="n">
        <v>0</v>
      </c>
    </row>
    <row r="5355" customFormat="false" ht="15" hidden="false" customHeight="false" outlineLevel="0" collapsed="false">
      <c r="A5355" s="2" t="s">
        <v>10899</v>
      </c>
      <c r="B5355" s="2" t="s">
        <v>10900</v>
      </c>
      <c r="C5355" s="2" t="n">
        <v>2</v>
      </c>
      <c r="D5355" s="2" t="s">
        <v>234</v>
      </c>
      <c r="E5355" s="2" t="s">
        <v>8083</v>
      </c>
      <c r="F5355" s="3" t="n">
        <v>46175.0430555556</v>
      </c>
      <c r="G5355" s="2" t="s">
        <v>10878</v>
      </c>
      <c r="H5355" s="4" t="n">
        <v>0</v>
      </c>
      <c r="I5355" s="2" t="s">
        <v>18</v>
      </c>
      <c r="J5355" s="2" t="s">
        <v>165</v>
      </c>
      <c r="K5355" s="2" t="n">
        <v>5</v>
      </c>
      <c r="L5355" s="2" t="n">
        <v>1</v>
      </c>
      <c r="M5355" s="2" t="n">
        <v>0</v>
      </c>
    </row>
    <row r="5356" customFormat="false" ht="15" hidden="false" customHeight="false" outlineLevel="0" collapsed="false">
      <c r="A5356" s="2" t="s">
        <v>10901</v>
      </c>
      <c r="B5356" s="2" t="s">
        <v>10902</v>
      </c>
      <c r="C5356" s="2" t="n">
        <v>2</v>
      </c>
      <c r="D5356" s="2" t="s">
        <v>482</v>
      </c>
      <c r="E5356" s="2" t="s">
        <v>8083</v>
      </c>
      <c r="F5356" s="3" t="n">
        <v>46175.04375</v>
      </c>
      <c r="G5356" s="2" t="s">
        <v>10878</v>
      </c>
      <c r="H5356" s="4" t="n">
        <v>-0.6808</v>
      </c>
      <c r="I5356" s="2" t="s">
        <v>84</v>
      </c>
      <c r="J5356" s="2" t="s">
        <v>110</v>
      </c>
      <c r="K5356" s="2" t="n">
        <v>7</v>
      </c>
      <c r="L5356" s="2" t="n">
        <v>1</v>
      </c>
      <c r="M5356" s="2" t="n">
        <v>0</v>
      </c>
    </row>
    <row r="5357" customFormat="false" ht="15" hidden="false" customHeight="false" outlineLevel="0" collapsed="false">
      <c r="A5357" s="2" t="s">
        <v>10903</v>
      </c>
      <c r="B5357" s="2" t="s">
        <v>10904</v>
      </c>
      <c r="C5357" s="2" t="n">
        <v>3</v>
      </c>
      <c r="D5357" s="2" t="s">
        <v>22</v>
      </c>
      <c r="E5357" s="2" t="s">
        <v>8083</v>
      </c>
      <c r="F5357" s="3" t="n">
        <v>46175.1819444444</v>
      </c>
      <c r="G5357" s="2" t="s">
        <v>10878</v>
      </c>
      <c r="H5357" s="4" t="n">
        <v>0.2023</v>
      </c>
      <c r="I5357" s="2" t="s">
        <v>23</v>
      </c>
      <c r="J5357" s="2" t="s">
        <v>19</v>
      </c>
      <c r="K5357" s="2" t="n">
        <v>0</v>
      </c>
      <c r="L5357" s="2" t="n">
        <v>0</v>
      </c>
      <c r="M5357" s="2" t="n">
        <v>0</v>
      </c>
    </row>
    <row r="5358" customFormat="false" ht="15" hidden="false" customHeight="false" outlineLevel="0" collapsed="false">
      <c r="A5358" s="2" t="s">
        <v>10905</v>
      </c>
      <c r="B5358" s="2" t="s">
        <v>10906</v>
      </c>
      <c r="C5358" s="2" t="n">
        <v>4</v>
      </c>
      <c r="D5358" s="2" t="s">
        <v>127</v>
      </c>
      <c r="E5358" s="2" t="s">
        <v>8083</v>
      </c>
      <c r="F5358" s="3" t="n">
        <v>46175.3506944445</v>
      </c>
      <c r="G5358" s="2" t="s">
        <v>10878</v>
      </c>
      <c r="H5358" s="4" t="n">
        <v>0.9359</v>
      </c>
      <c r="I5358" s="2" t="s">
        <v>23</v>
      </c>
      <c r="J5358" s="2" t="s">
        <v>37</v>
      </c>
      <c r="K5358" s="2" t="n">
        <v>7</v>
      </c>
      <c r="L5358" s="2" t="n">
        <v>0</v>
      </c>
      <c r="M5358" s="2" t="n">
        <v>0</v>
      </c>
    </row>
    <row r="5359" customFormat="false" ht="15" hidden="false" customHeight="false" outlineLevel="0" collapsed="false">
      <c r="A5359" s="2" t="s">
        <v>10907</v>
      </c>
      <c r="B5359" s="2" t="s">
        <v>10908</v>
      </c>
      <c r="C5359" s="2" t="n">
        <v>5</v>
      </c>
      <c r="D5359" s="2" t="s">
        <v>62</v>
      </c>
      <c r="E5359" s="2" t="s">
        <v>8083</v>
      </c>
      <c r="F5359" s="3" t="n">
        <v>46175.3638888889</v>
      </c>
      <c r="G5359" s="2" t="s">
        <v>10878</v>
      </c>
      <c r="H5359" s="4" t="n">
        <v>0.7088</v>
      </c>
      <c r="I5359" s="2" t="s">
        <v>23</v>
      </c>
      <c r="J5359" s="2" t="s">
        <v>19</v>
      </c>
      <c r="K5359" s="2" t="n">
        <v>1</v>
      </c>
      <c r="L5359" s="2" t="n">
        <v>0</v>
      </c>
      <c r="M5359" s="2" t="n">
        <v>0</v>
      </c>
    </row>
    <row r="5360" customFormat="false" ht="15" hidden="false" customHeight="false" outlineLevel="0" collapsed="false">
      <c r="A5360" s="2" t="s">
        <v>10909</v>
      </c>
      <c r="B5360" s="2" t="s">
        <v>10910</v>
      </c>
      <c r="C5360" s="2" t="n">
        <v>5</v>
      </c>
      <c r="D5360" s="2" t="s">
        <v>52</v>
      </c>
      <c r="E5360" s="2" t="s">
        <v>8083</v>
      </c>
      <c r="F5360" s="3" t="n">
        <v>46175.36875</v>
      </c>
      <c r="G5360" s="2" t="s">
        <v>10878</v>
      </c>
      <c r="H5360" s="4" t="n">
        <v>0.6369</v>
      </c>
      <c r="I5360" s="2" t="s">
        <v>23</v>
      </c>
      <c r="J5360" s="2" t="s">
        <v>19</v>
      </c>
      <c r="K5360" s="2" t="n">
        <v>5</v>
      </c>
      <c r="L5360" s="2" t="n">
        <v>0</v>
      </c>
      <c r="M5360" s="2" t="n">
        <v>0</v>
      </c>
    </row>
    <row r="5361" customFormat="false" ht="15" hidden="false" customHeight="false" outlineLevel="0" collapsed="false">
      <c r="A5361" s="2" t="s">
        <v>10911</v>
      </c>
      <c r="B5361" s="2" t="s">
        <v>10912</v>
      </c>
      <c r="C5361" s="2" t="n">
        <v>1</v>
      </c>
      <c r="D5361" s="2" t="s">
        <v>482</v>
      </c>
      <c r="E5361" s="2" t="s">
        <v>8083</v>
      </c>
      <c r="F5361" s="3" t="n">
        <v>46175.575</v>
      </c>
      <c r="G5361" s="2" t="s">
        <v>10878</v>
      </c>
      <c r="H5361" s="4" t="n">
        <v>-0.6808</v>
      </c>
      <c r="I5361" s="2" t="s">
        <v>84</v>
      </c>
      <c r="J5361" s="2" t="s">
        <v>110</v>
      </c>
      <c r="K5361" s="2" t="n">
        <v>0</v>
      </c>
      <c r="L5361" s="2" t="n">
        <v>1</v>
      </c>
      <c r="M5361" s="2" t="n">
        <v>0</v>
      </c>
    </row>
    <row r="5362" customFormat="false" ht="15" hidden="false" customHeight="false" outlineLevel="0" collapsed="false">
      <c r="A5362" s="2" t="s">
        <v>10913</v>
      </c>
      <c r="B5362" s="2" t="s">
        <v>10914</v>
      </c>
      <c r="C5362" s="2" t="n">
        <v>3</v>
      </c>
      <c r="D5362" s="2" t="s">
        <v>498</v>
      </c>
      <c r="E5362" s="2" t="s">
        <v>8083</v>
      </c>
      <c r="F5362" s="3" t="n">
        <v>46175.8666666667</v>
      </c>
      <c r="G5362" s="2" t="s">
        <v>10878</v>
      </c>
      <c r="H5362" s="4" t="n">
        <v>0</v>
      </c>
      <c r="I5362" s="2" t="s">
        <v>18</v>
      </c>
      <c r="J5362" s="2" t="s">
        <v>165</v>
      </c>
      <c r="K5362" s="2" t="n">
        <v>5</v>
      </c>
      <c r="L5362" s="2" t="n">
        <v>0</v>
      </c>
      <c r="M5362" s="2" t="n">
        <v>0</v>
      </c>
    </row>
    <row r="5363" customFormat="false" ht="15" hidden="false" customHeight="false" outlineLevel="0" collapsed="false">
      <c r="A5363" s="2" t="s">
        <v>10915</v>
      </c>
      <c r="B5363" s="2" t="s">
        <v>10916</v>
      </c>
      <c r="C5363" s="2" t="n">
        <v>5</v>
      </c>
      <c r="D5363" s="2" t="s">
        <v>40</v>
      </c>
      <c r="E5363" s="2" t="s">
        <v>8083</v>
      </c>
      <c r="F5363" s="3" t="n">
        <v>46175.9770833333</v>
      </c>
      <c r="G5363" s="2" t="s">
        <v>10878</v>
      </c>
      <c r="H5363" s="4" t="n">
        <v>0.4019</v>
      </c>
      <c r="I5363" s="2" t="s">
        <v>23</v>
      </c>
      <c r="J5363" s="2" t="s">
        <v>33</v>
      </c>
      <c r="K5363" s="2" t="n">
        <v>4</v>
      </c>
      <c r="L5363" s="2" t="n">
        <v>0</v>
      </c>
      <c r="M5363" s="2" t="n">
        <v>0</v>
      </c>
    </row>
    <row r="5364" customFormat="false" ht="15" hidden="false" customHeight="false" outlineLevel="0" collapsed="false">
      <c r="A5364" s="2" t="s">
        <v>10917</v>
      </c>
      <c r="B5364" s="2" t="s">
        <v>10918</v>
      </c>
      <c r="C5364" s="2" t="n">
        <v>4</v>
      </c>
      <c r="D5364" s="2" t="s">
        <v>1254</v>
      </c>
      <c r="E5364" s="2" t="s">
        <v>8083</v>
      </c>
      <c r="F5364" s="3" t="n">
        <v>46175.9798611111</v>
      </c>
      <c r="G5364" s="2" t="s">
        <v>10878</v>
      </c>
      <c r="H5364" s="4" t="n">
        <v>0</v>
      </c>
      <c r="I5364" s="2" t="s">
        <v>18</v>
      </c>
      <c r="J5364" s="2" t="s">
        <v>19</v>
      </c>
      <c r="K5364" s="2" t="n">
        <v>10</v>
      </c>
      <c r="L5364" s="2" t="n">
        <v>0</v>
      </c>
      <c r="M5364" s="2" t="n">
        <v>0</v>
      </c>
    </row>
    <row r="5365" customFormat="false" ht="15" hidden="false" customHeight="false" outlineLevel="0" collapsed="false">
      <c r="A5365" s="2" t="s">
        <v>10919</v>
      </c>
      <c r="B5365" s="2" t="s">
        <v>10920</v>
      </c>
      <c r="C5365" s="2" t="n">
        <v>4</v>
      </c>
      <c r="D5365" s="2" t="s">
        <v>52</v>
      </c>
      <c r="E5365" s="2" t="s">
        <v>8083</v>
      </c>
      <c r="F5365" s="3" t="n">
        <v>46176.0472222222</v>
      </c>
      <c r="G5365" s="2" t="s">
        <v>10878</v>
      </c>
      <c r="H5365" s="4" t="n">
        <v>0.6369</v>
      </c>
      <c r="I5365" s="2" t="s">
        <v>23</v>
      </c>
      <c r="J5365" s="2" t="s">
        <v>19</v>
      </c>
      <c r="K5365" s="2" t="n">
        <v>7</v>
      </c>
      <c r="L5365" s="2" t="n">
        <v>0</v>
      </c>
      <c r="M5365" s="2" t="n">
        <v>0</v>
      </c>
    </row>
    <row r="5366" customFormat="false" ht="15" hidden="false" customHeight="false" outlineLevel="0" collapsed="false">
      <c r="A5366" s="2" t="s">
        <v>10921</v>
      </c>
      <c r="B5366" s="2" t="s">
        <v>10922</v>
      </c>
      <c r="C5366" s="2" t="n">
        <v>5</v>
      </c>
      <c r="D5366" s="2" t="s">
        <v>40</v>
      </c>
      <c r="E5366" s="2" t="s">
        <v>8083</v>
      </c>
      <c r="F5366" s="3" t="n">
        <v>46176.0576388889</v>
      </c>
      <c r="G5366" s="2" t="s">
        <v>10878</v>
      </c>
      <c r="H5366" s="4" t="n">
        <v>0.4019</v>
      </c>
      <c r="I5366" s="2" t="s">
        <v>23</v>
      </c>
      <c r="J5366" s="2" t="s">
        <v>33</v>
      </c>
      <c r="K5366" s="2" t="n">
        <v>3</v>
      </c>
      <c r="L5366" s="2" t="n">
        <v>0</v>
      </c>
      <c r="M5366" s="2" t="n">
        <v>0</v>
      </c>
    </row>
    <row r="5367" customFormat="false" ht="15" hidden="false" customHeight="false" outlineLevel="0" collapsed="false">
      <c r="A5367" s="2" t="s">
        <v>10923</v>
      </c>
      <c r="B5367" s="2" t="s">
        <v>10924</v>
      </c>
      <c r="C5367" s="2" t="n">
        <v>5</v>
      </c>
      <c r="D5367" s="2" t="s">
        <v>90</v>
      </c>
      <c r="E5367" s="2" t="s">
        <v>8083</v>
      </c>
      <c r="F5367" s="3" t="n">
        <v>46176.3541666667</v>
      </c>
      <c r="G5367" s="2" t="s">
        <v>10878</v>
      </c>
      <c r="H5367" s="4" t="n">
        <v>0.6249</v>
      </c>
      <c r="I5367" s="2" t="s">
        <v>23</v>
      </c>
      <c r="J5367" s="2" t="s">
        <v>37</v>
      </c>
      <c r="K5367" s="2" t="n">
        <v>1</v>
      </c>
      <c r="L5367" s="2" t="n">
        <v>0</v>
      </c>
      <c r="M5367" s="2" t="n">
        <v>0</v>
      </c>
    </row>
    <row r="5368" customFormat="false" ht="15" hidden="false" customHeight="false" outlineLevel="0" collapsed="false">
      <c r="A5368" s="2" t="s">
        <v>10925</v>
      </c>
      <c r="B5368" s="2" t="s">
        <v>10926</v>
      </c>
      <c r="C5368" s="2" t="n">
        <v>1</v>
      </c>
      <c r="D5368" s="2" t="s">
        <v>234</v>
      </c>
      <c r="E5368" s="2" t="s">
        <v>8083</v>
      </c>
      <c r="F5368" s="3" t="n">
        <v>46176.36875</v>
      </c>
      <c r="G5368" s="2" t="s">
        <v>10878</v>
      </c>
      <c r="H5368" s="4" t="n">
        <v>0</v>
      </c>
      <c r="I5368" s="2" t="s">
        <v>18</v>
      </c>
      <c r="J5368" s="2" t="s">
        <v>165</v>
      </c>
      <c r="K5368" s="2" t="n">
        <v>1</v>
      </c>
      <c r="L5368" s="2" t="n">
        <v>1</v>
      </c>
      <c r="M5368" s="2" t="n">
        <v>0</v>
      </c>
    </row>
    <row r="5369" customFormat="false" ht="15" hidden="false" customHeight="false" outlineLevel="0" collapsed="false">
      <c r="A5369" s="2" t="s">
        <v>10927</v>
      </c>
      <c r="B5369" s="2" t="s">
        <v>10928</v>
      </c>
      <c r="C5369" s="2" t="n">
        <v>5</v>
      </c>
      <c r="D5369" s="2" t="s">
        <v>90</v>
      </c>
      <c r="E5369" s="2" t="s">
        <v>8083</v>
      </c>
      <c r="F5369" s="3" t="n">
        <v>46176.3805555556</v>
      </c>
      <c r="G5369" s="2" t="s">
        <v>10878</v>
      </c>
      <c r="H5369" s="4" t="n">
        <v>0.6249</v>
      </c>
      <c r="I5369" s="2" t="s">
        <v>23</v>
      </c>
      <c r="J5369" s="2" t="s">
        <v>37</v>
      </c>
      <c r="K5369" s="2" t="n">
        <v>1</v>
      </c>
      <c r="L5369" s="2" t="n">
        <v>0</v>
      </c>
      <c r="M5369" s="2" t="n">
        <v>0</v>
      </c>
    </row>
    <row r="5370" customFormat="false" ht="15" hidden="false" customHeight="false" outlineLevel="0" collapsed="false">
      <c r="A5370" s="2" t="s">
        <v>10929</v>
      </c>
      <c r="B5370" s="2" t="s">
        <v>10930</v>
      </c>
      <c r="C5370" s="2" t="n">
        <v>3</v>
      </c>
      <c r="D5370" s="2" t="s">
        <v>498</v>
      </c>
      <c r="E5370" s="2" t="s">
        <v>8083</v>
      </c>
      <c r="F5370" s="3" t="n">
        <v>46176.4909722222</v>
      </c>
      <c r="G5370" s="2" t="s">
        <v>10878</v>
      </c>
      <c r="H5370" s="4" t="n">
        <v>0</v>
      </c>
      <c r="I5370" s="2" t="s">
        <v>18</v>
      </c>
      <c r="J5370" s="2" t="s">
        <v>165</v>
      </c>
      <c r="K5370" s="2" t="n">
        <v>6</v>
      </c>
      <c r="L5370" s="2" t="n">
        <v>0</v>
      </c>
      <c r="M5370" s="2" t="n">
        <v>0</v>
      </c>
    </row>
    <row r="5371" customFormat="false" ht="15" hidden="false" customHeight="false" outlineLevel="0" collapsed="false">
      <c r="A5371" s="2" t="s">
        <v>10931</v>
      </c>
      <c r="B5371" s="2" t="s">
        <v>10932</v>
      </c>
      <c r="C5371" s="2" t="n">
        <v>5</v>
      </c>
      <c r="D5371" s="2" t="s">
        <v>1622</v>
      </c>
      <c r="E5371" s="2" t="s">
        <v>8083</v>
      </c>
      <c r="F5371" s="3" t="n">
        <v>46176.7756944444</v>
      </c>
      <c r="G5371" s="2" t="s">
        <v>10878</v>
      </c>
      <c r="H5371" s="4" t="n">
        <v>0.8555</v>
      </c>
      <c r="I5371" s="2" t="s">
        <v>23</v>
      </c>
      <c r="J5371" s="2" t="s">
        <v>19</v>
      </c>
      <c r="K5371" s="2" t="n">
        <v>1</v>
      </c>
      <c r="L5371" s="2" t="n">
        <v>0</v>
      </c>
      <c r="M5371" s="2" t="n">
        <v>0</v>
      </c>
    </row>
    <row r="5372" customFormat="false" ht="15" hidden="false" customHeight="false" outlineLevel="0" collapsed="false">
      <c r="A5372" s="2" t="s">
        <v>10933</v>
      </c>
      <c r="B5372" s="2" t="s">
        <v>10934</v>
      </c>
      <c r="C5372" s="2" t="n">
        <v>3</v>
      </c>
      <c r="D5372" s="2" t="s">
        <v>87</v>
      </c>
      <c r="E5372" s="2" t="s">
        <v>8083</v>
      </c>
      <c r="F5372" s="3" t="n">
        <v>46177.0625</v>
      </c>
      <c r="G5372" s="2" t="s">
        <v>10878</v>
      </c>
      <c r="H5372" s="4" t="n">
        <v>0</v>
      </c>
      <c r="I5372" s="2" t="s">
        <v>18</v>
      </c>
      <c r="J5372" s="2" t="s">
        <v>19</v>
      </c>
      <c r="K5372" s="2" t="n">
        <v>5</v>
      </c>
      <c r="L5372" s="2" t="n">
        <v>0</v>
      </c>
      <c r="M5372" s="2" t="n">
        <v>0</v>
      </c>
    </row>
    <row r="5373" customFormat="false" ht="15" hidden="false" customHeight="false" outlineLevel="0" collapsed="false">
      <c r="A5373" s="2" t="s">
        <v>10935</v>
      </c>
      <c r="B5373" s="2" t="s">
        <v>10936</v>
      </c>
      <c r="C5373" s="2" t="n">
        <v>3</v>
      </c>
      <c r="D5373" s="2" t="s">
        <v>2743</v>
      </c>
      <c r="E5373" s="2" t="s">
        <v>8083</v>
      </c>
      <c r="F5373" s="3" t="n">
        <v>46177.1520833333</v>
      </c>
      <c r="G5373" s="2" t="s">
        <v>10878</v>
      </c>
      <c r="H5373" s="4" t="n">
        <v>0.3809</v>
      </c>
      <c r="I5373" s="2" t="s">
        <v>23</v>
      </c>
      <c r="J5373" s="2" t="s">
        <v>19</v>
      </c>
      <c r="K5373" s="2" t="n">
        <v>1</v>
      </c>
      <c r="L5373" s="2" t="n">
        <v>0</v>
      </c>
      <c r="M5373" s="2" t="n">
        <v>0</v>
      </c>
    </row>
    <row r="5374" customFormat="false" ht="15" hidden="false" customHeight="false" outlineLevel="0" collapsed="false">
      <c r="A5374" s="2" t="s">
        <v>10937</v>
      </c>
      <c r="B5374" s="2" t="s">
        <v>10938</v>
      </c>
      <c r="C5374" s="2" t="n">
        <v>4</v>
      </c>
      <c r="D5374" s="2" t="s">
        <v>213</v>
      </c>
      <c r="E5374" s="2" t="s">
        <v>8083</v>
      </c>
      <c r="F5374" s="3" t="n">
        <v>46177.1694444444</v>
      </c>
      <c r="G5374" s="2" t="s">
        <v>10878</v>
      </c>
      <c r="H5374" s="4" t="n">
        <v>0.8651</v>
      </c>
      <c r="I5374" s="2" t="s">
        <v>23</v>
      </c>
      <c r="J5374" s="2" t="s">
        <v>19</v>
      </c>
      <c r="K5374" s="2" t="n">
        <v>3</v>
      </c>
      <c r="L5374" s="2" t="n">
        <v>0</v>
      </c>
      <c r="M5374" s="2" t="n">
        <v>0</v>
      </c>
    </row>
    <row r="5375" customFormat="false" ht="15" hidden="false" customHeight="false" outlineLevel="0" collapsed="false">
      <c r="A5375" s="2" t="s">
        <v>10939</v>
      </c>
      <c r="B5375" s="2" t="s">
        <v>10940</v>
      </c>
      <c r="C5375" s="2" t="n">
        <v>1</v>
      </c>
      <c r="D5375" s="2" t="s">
        <v>733</v>
      </c>
      <c r="E5375" s="2" t="s">
        <v>8083</v>
      </c>
      <c r="F5375" s="3" t="n">
        <v>46177.3993055556</v>
      </c>
      <c r="G5375" s="2" t="s">
        <v>10878</v>
      </c>
      <c r="H5375" s="4" t="n">
        <v>-0.2846</v>
      </c>
      <c r="I5375" s="2" t="s">
        <v>84</v>
      </c>
      <c r="J5375" s="2" t="s">
        <v>37</v>
      </c>
      <c r="K5375" s="2" t="n">
        <v>1</v>
      </c>
      <c r="L5375" s="2" t="n">
        <v>0</v>
      </c>
      <c r="M5375" s="2" t="n">
        <v>0</v>
      </c>
    </row>
    <row r="5376" customFormat="false" ht="15" hidden="false" customHeight="false" outlineLevel="0" collapsed="false">
      <c r="A5376" s="2" t="s">
        <v>10941</v>
      </c>
      <c r="B5376" s="2" t="s">
        <v>10942</v>
      </c>
      <c r="C5376" s="2" t="n">
        <v>4</v>
      </c>
      <c r="D5376" s="2" t="s">
        <v>875</v>
      </c>
      <c r="E5376" s="2" t="s">
        <v>8083</v>
      </c>
      <c r="F5376" s="3" t="n">
        <v>46177.4333333333</v>
      </c>
      <c r="G5376" s="2" t="s">
        <v>10878</v>
      </c>
      <c r="H5376" s="4" t="n">
        <v>0.7992</v>
      </c>
      <c r="I5376" s="2" t="s">
        <v>23</v>
      </c>
      <c r="J5376" s="2" t="s">
        <v>19</v>
      </c>
      <c r="K5376" s="2" t="n">
        <v>9</v>
      </c>
      <c r="L5376" s="2" t="n">
        <v>0</v>
      </c>
      <c r="M5376" s="2" t="n">
        <v>0</v>
      </c>
    </row>
    <row r="5377" customFormat="false" ht="15" hidden="false" customHeight="false" outlineLevel="0" collapsed="false">
      <c r="A5377" s="2" t="s">
        <v>10943</v>
      </c>
      <c r="B5377" s="2" t="s">
        <v>10944</v>
      </c>
      <c r="C5377" s="2" t="n">
        <v>3</v>
      </c>
      <c r="D5377" s="2" t="s">
        <v>1674</v>
      </c>
      <c r="E5377" s="2" t="s">
        <v>8083</v>
      </c>
      <c r="F5377" s="3" t="n">
        <v>46177.4645833333</v>
      </c>
      <c r="G5377" s="2" t="s">
        <v>10878</v>
      </c>
      <c r="H5377" s="4" t="n">
        <v>-0.438</v>
      </c>
      <c r="I5377" s="2" t="s">
        <v>84</v>
      </c>
      <c r="J5377" s="2" t="s">
        <v>19</v>
      </c>
      <c r="K5377" s="2" t="n">
        <v>1</v>
      </c>
      <c r="L5377" s="2" t="n">
        <v>0</v>
      </c>
      <c r="M5377" s="2" t="n">
        <v>0</v>
      </c>
    </row>
    <row r="5378" customFormat="false" ht="15" hidden="false" customHeight="false" outlineLevel="0" collapsed="false">
      <c r="A5378" s="2" t="s">
        <v>10945</v>
      </c>
      <c r="B5378" s="2" t="s">
        <v>10946</v>
      </c>
      <c r="C5378" s="2" t="n">
        <v>4</v>
      </c>
      <c r="D5378" s="2" t="s">
        <v>90</v>
      </c>
      <c r="E5378" s="2" t="s">
        <v>8083</v>
      </c>
      <c r="F5378" s="3" t="n">
        <v>46177.5166666667</v>
      </c>
      <c r="G5378" s="2" t="s">
        <v>10878</v>
      </c>
      <c r="H5378" s="4" t="n">
        <v>0.6249</v>
      </c>
      <c r="I5378" s="2" t="s">
        <v>23</v>
      </c>
      <c r="J5378" s="2" t="s">
        <v>37</v>
      </c>
      <c r="K5378" s="2" t="n">
        <v>1</v>
      </c>
      <c r="L5378" s="2" t="n">
        <v>0</v>
      </c>
      <c r="M5378" s="2" t="n">
        <v>0</v>
      </c>
    </row>
    <row r="5379" customFormat="false" ht="15" hidden="false" customHeight="false" outlineLevel="0" collapsed="false">
      <c r="A5379" s="2" t="s">
        <v>10947</v>
      </c>
      <c r="B5379" s="2" t="s">
        <v>10948</v>
      </c>
      <c r="C5379" s="2" t="n">
        <v>5</v>
      </c>
      <c r="D5379" s="2" t="s">
        <v>15</v>
      </c>
      <c r="E5379" s="2" t="s">
        <v>8083</v>
      </c>
      <c r="F5379" s="3" t="n">
        <v>46177.5798611111</v>
      </c>
      <c r="G5379" s="2" t="s">
        <v>10878</v>
      </c>
      <c r="H5379" s="4" t="n">
        <v>0</v>
      </c>
      <c r="I5379" s="2" t="s">
        <v>18</v>
      </c>
      <c r="J5379" s="2" t="s">
        <v>19</v>
      </c>
      <c r="K5379" s="2" t="n">
        <v>1</v>
      </c>
      <c r="L5379" s="2" t="n">
        <v>1</v>
      </c>
      <c r="M5379" s="2" t="n">
        <v>0</v>
      </c>
    </row>
    <row r="5380" customFormat="false" ht="15" hidden="false" customHeight="false" outlineLevel="0" collapsed="false">
      <c r="A5380" s="2" t="s">
        <v>10949</v>
      </c>
      <c r="B5380" s="2" t="s">
        <v>106</v>
      </c>
      <c r="C5380" s="2" t="n">
        <v>4</v>
      </c>
      <c r="D5380" s="2" t="s">
        <v>36</v>
      </c>
      <c r="E5380" s="2" t="s">
        <v>8083</v>
      </c>
      <c r="F5380" s="3" t="n">
        <v>46177.6423611111</v>
      </c>
      <c r="G5380" s="2" t="s">
        <v>10878</v>
      </c>
      <c r="H5380" s="4" t="n">
        <v>0.4404</v>
      </c>
      <c r="I5380" s="2" t="s">
        <v>23</v>
      </c>
      <c r="J5380" s="2" t="s">
        <v>37</v>
      </c>
      <c r="K5380" s="2" t="n">
        <v>7</v>
      </c>
      <c r="L5380" s="2" t="n">
        <v>0</v>
      </c>
      <c r="M5380" s="2" t="n">
        <v>0</v>
      </c>
    </row>
    <row r="5381" customFormat="false" ht="15" hidden="false" customHeight="false" outlineLevel="0" collapsed="false">
      <c r="A5381" s="2" t="s">
        <v>10950</v>
      </c>
      <c r="B5381" s="2" t="s">
        <v>10951</v>
      </c>
      <c r="C5381" s="2" t="n">
        <v>5</v>
      </c>
      <c r="D5381" s="2" t="s">
        <v>40</v>
      </c>
      <c r="E5381" s="2" t="s">
        <v>8083</v>
      </c>
      <c r="F5381" s="3" t="n">
        <v>46177.8125</v>
      </c>
      <c r="G5381" s="2" t="s">
        <v>10878</v>
      </c>
      <c r="H5381" s="4" t="n">
        <v>0.4019</v>
      </c>
      <c r="I5381" s="2" t="s">
        <v>23</v>
      </c>
      <c r="J5381" s="2" t="s">
        <v>33</v>
      </c>
      <c r="K5381" s="2" t="n">
        <v>1</v>
      </c>
      <c r="L5381" s="2" t="n">
        <v>0</v>
      </c>
      <c r="M5381" s="2" t="n">
        <v>0</v>
      </c>
    </row>
    <row r="5382" customFormat="false" ht="15" hidden="false" customHeight="false" outlineLevel="0" collapsed="false">
      <c r="A5382" s="2" t="s">
        <v>10952</v>
      </c>
      <c r="B5382" s="2" t="s">
        <v>10953</v>
      </c>
      <c r="C5382" s="2" t="n">
        <v>3</v>
      </c>
      <c r="D5382" s="2" t="s">
        <v>1237</v>
      </c>
      <c r="E5382" s="2" t="s">
        <v>8083</v>
      </c>
      <c r="F5382" s="3" t="n">
        <v>46177.9166666667</v>
      </c>
      <c r="G5382" s="2" t="s">
        <v>10878</v>
      </c>
      <c r="H5382" s="4" t="n">
        <v>-0.3089</v>
      </c>
      <c r="I5382" s="2" t="s">
        <v>84</v>
      </c>
      <c r="J5382" s="2" t="s">
        <v>19</v>
      </c>
      <c r="K5382" s="2" t="n">
        <v>1</v>
      </c>
      <c r="L5382" s="2" t="n">
        <v>0</v>
      </c>
      <c r="M5382" s="2" t="n">
        <v>0</v>
      </c>
    </row>
    <row r="5383" customFormat="false" ht="15" hidden="false" customHeight="false" outlineLevel="0" collapsed="false">
      <c r="A5383" s="2" t="s">
        <v>10954</v>
      </c>
      <c r="B5383" s="2" t="s">
        <v>10955</v>
      </c>
      <c r="C5383" s="2" t="n">
        <v>5</v>
      </c>
      <c r="D5383" s="2" t="s">
        <v>52</v>
      </c>
      <c r="E5383" s="2" t="s">
        <v>8083</v>
      </c>
      <c r="F5383" s="3" t="n">
        <v>46177.9902777778</v>
      </c>
      <c r="G5383" s="2" t="s">
        <v>10878</v>
      </c>
      <c r="H5383" s="4" t="n">
        <v>0.6369</v>
      </c>
      <c r="I5383" s="2" t="s">
        <v>23</v>
      </c>
      <c r="J5383" s="2" t="s">
        <v>19</v>
      </c>
      <c r="K5383" s="2" t="n">
        <v>2</v>
      </c>
      <c r="L5383" s="2" t="n">
        <v>0</v>
      </c>
      <c r="M5383" s="2" t="n">
        <v>0</v>
      </c>
    </row>
    <row r="5384" customFormat="false" ht="15" hidden="false" customHeight="false" outlineLevel="0" collapsed="false">
      <c r="A5384" s="2" t="s">
        <v>10956</v>
      </c>
      <c r="B5384" s="2" t="s">
        <v>10957</v>
      </c>
      <c r="C5384" s="2" t="n">
        <v>1</v>
      </c>
      <c r="D5384" s="2" t="s">
        <v>164</v>
      </c>
      <c r="E5384" s="2" t="s">
        <v>8083</v>
      </c>
      <c r="F5384" s="3" t="n">
        <v>46178.0770833333</v>
      </c>
      <c r="G5384" s="2" t="s">
        <v>10878</v>
      </c>
      <c r="H5384" s="4" t="n">
        <v>0.25</v>
      </c>
      <c r="I5384" s="2" t="s">
        <v>23</v>
      </c>
      <c r="J5384" s="2" t="s">
        <v>165</v>
      </c>
      <c r="K5384" s="2" t="n">
        <v>3</v>
      </c>
      <c r="L5384" s="2" t="n">
        <v>1</v>
      </c>
      <c r="M5384" s="2" t="n">
        <v>0</v>
      </c>
    </row>
    <row r="5385" customFormat="false" ht="15" hidden="false" customHeight="false" outlineLevel="0" collapsed="false">
      <c r="A5385" s="2" t="s">
        <v>10958</v>
      </c>
      <c r="B5385" s="2" t="s">
        <v>10959</v>
      </c>
      <c r="C5385" s="2" t="n">
        <v>2</v>
      </c>
      <c r="D5385" s="2" t="s">
        <v>455</v>
      </c>
      <c r="E5385" s="2" t="s">
        <v>8083</v>
      </c>
      <c r="F5385" s="3" t="n">
        <v>46178.31875</v>
      </c>
      <c r="G5385" s="2" t="s">
        <v>10878</v>
      </c>
      <c r="H5385" s="4" t="n">
        <v>-0.2263</v>
      </c>
      <c r="I5385" s="2" t="s">
        <v>84</v>
      </c>
      <c r="J5385" s="2" t="s">
        <v>165</v>
      </c>
      <c r="K5385" s="2" t="n">
        <v>3</v>
      </c>
      <c r="L5385" s="2" t="n">
        <v>0</v>
      </c>
      <c r="M5385" s="2" t="n">
        <v>0</v>
      </c>
    </row>
    <row r="5386" customFormat="false" ht="15" hidden="false" customHeight="false" outlineLevel="0" collapsed="false">
      <c r="A5386" s="2" t="s">
        <v>10960</v>
      </c>
      <c r="B5386" s="2" t="s">
        <v>10961</v>
      </c>
      <c r="C5386" s="2" t="n">
        <v>5</v>
      </c>
      <c r="D5386" s="2" t="s">
        <v>52</v>
      </c>
      <c r="E5386" s="2" t="s">
        <v>8083</v>
      </c>
      <c r="F5386" s="3" t="n">
        <v>46178.4027777778</v>
      </c>
      <c r="G5386" s="2" t="s">
        <v>10878</v>
      </c>
      <c r="H5386" s="4" t="n">
        <v>0.6369</v>
      </c>
      <c r="I5386" s="2" t="s">
        <v>23</v>
      </c>
      <c r="J5386" s="2" t="s">
        <v>19</v>
      </c>
      <c r="K5386" s="2" t="n">
        <v>2</v>
      </c>
      <c r="L5386" s="2" t="n">
        <v>0</v>
      </c>
      <c r="M5386" s="2" t="n">
        <v>0</v>
      </c>
    </row>
    <row r="5387" customFormat="false" ht="15" hidden="false" customHeight="false" outlineLevel="0" collapsed="false">
      <c r="A5387" s="2" t="s">
        <v>10962</v>
      </c>
      <c r="B5387" s="2" t="s">
        <v>10963</v>
      </c>
      <c r="C5387" s="2" t="n">
        <v>5</v>
      </c>
      <c r="D5387" s="2" t="s">
        <v>2578</v>
      </c>
      <c r="E5387" s="2" t="s">
        <v>8083</v>
      </c>
      <c r="F5387" s="3" t="n">
        <v>46178.4083333333</v>
      </c>
      <c r="G5387" s="2" t="s">
        <v>10878</v>
      </c>
      <c r="H5387" s="4" t="n">
        <v>0.9626</v>
      </c>
      <c r="I5387" s="2" t="s">
        <v>23</v>
      </c>
      <c r="J5387" s="2" t="s">
        <v>37</v>
      </c>
      <c r="K5387" s="2" t="n">
        <v>1</v>
      </c>
      <c r="L5387" s="2" t="n">
        <v>0</v>
      </c>
      <c r="M5387" s="2" t="n">
        <v>0</v>
      </c>
    </row>
    <row r="5388" customFormat="false" ht="15" hidden="false" customHeight="false" outlineLevel="0" collapsed="false">
      <c r="A5388" s="2" t="s">
        <v>10964</v>
      </c>
      <c r="B5388" s="2" t="s">
        <v>10965</v>
      </c>
      <c r="C5388" s="2" t="n">
        <v>2</v>
      </c>
      <c r="D5388" s="2" t="s">
        <v>402</v>
      </c>
      <c r="E5388" s="2" t="s">
        <v>8083</v>
      </c>
      <c r="F5388" s="3" t="n">
        <v>46178.6423611111</v>
      </c>
      <c r="G5388" s="2" t="s">
        <v>10878</v>
      </c>
      <c r="H5388" s="4" t="n">
        <v>0</v>
      </c>
      <c r="I5388" s="2" t="s">
        <v>18</v>
      </c>
      <c r="J5388" s="2" t="s">
        <v>59</v>
      </c>
      <c r="K5388" s="2" t="n">
        <v>5</v>
      </c>
      <c r="L5388" s="2" t="n">
        <v>0</v>
      </c>
      <c r="M5388" s="2" t="n">
        <v>0</v>
      </c>
    </row>
    <row r="5389" customFormat="false" ht="15" hidden="false" customHeight="false" outlineLevel="0" collapsed="false">
      <c r="A5389" s="2" t="s">
        <v>10966</v>
      </c>
      <c r="B5389" s="2" t="s">
        <v>10967</v>
      </c>
      <c r="C5389" s="2" t="n">
        <v>3</v>
      </c>
      <c r="D5389" s="2" t="s">
        <v>301</v>
      </c>
      <c r="E5389" s="2" t="s">
        <v>8083</v>
      </c>
      <c r="F5389" s="3" t="n">
        <v>46178.8659722222</v>
      </c>
      <c r="G5389" s="2" t="s">
        <v>10878</v>
      </c>
      <c r="H5389" s="4" t="n">
        <v>0.2263</v>
      </c>
      <c r="I5389" s="2" t="s">
        <v>23</v>
      </c>
      <c r="J5389" s="2" t="s">
        <v>19</v>
      </c>
      <c r="K5389" s="2" t="n">
        <v>1</v>
      </c>
      <c r="L5389" s="2" t="n">
        <v>0</v>
      </c>
      <c r="M5389" s="2" t="n">
        <v>0</v>
      </c>
    </row>
    <row r="5390" customFormat="false" ht="15" hidden="false" customHeight="false" outlineLevel="0" collapsed="false">
      <c r="A5390" s="2" t="s">
        <v>10968</v>
      </c>
      <c r="B5390" s="2" t="s">
        <v>10969</v>
      </c>
      <c r="C5390" s="2" t="n">
        <v>2</v>
      </c>
      <c r="D5390" s="2" t="s">
        <v>3911</v>
      </c>
      <c r="E5390" s="2" t="s">
        <v>8083</v>
      </c>
      <c r="F5390" s="3" t="n">
        <v>46179.0305555556</v>
      </c>
      <c r="G5390" s="2" t="s">
        <v>10878</v>
      </c>
      <c r="H5390" s="4" t="n">
        <v>0</v>
      </c>
      <c r="I5390" s="2" t="s">
        <v>18</v>
      </c>
      <c r="J5390" s="2" t="s">
        <v>59</v>
      </c>
      <c r="K5390" s="2" t="n">
        <v>2</v>
      </c>
      <c r="L5390" s="2" t="n">
        <v>0</v>
      </c>
      <c r="M5390" s="2" t="n">
        <v>0</v>
      </c>
    </row>
    <row r="5391" customFormat="false" ht="15" hidden="false" customHeight="false" outlineLevel="0" collapsed="false">
      <c r="A5391" s="2" t="s">
        <v>10970</v>
      </c>
      <c r="B5391" s="2" t="s">
        <v>10971</v>
      </c>
      <c r="C5391" s="2" t="n">
        <v>5</v>
      </c>
      <c r="D5391" s="2" t="s">
        <v>90</v>
      </c>
      <c r="E5391" s="2" t="s">
        <v>8083</v>
      </c>
      <c r="F5391" s="3" t="n">
        <v>46179.1868055556</v>
      </c>
      <c r="G5391" s="2" t="s">
        <v>10878</v>
      </c>
      <c r="H5391" s="4" t="n">
        <v>0.6249</v>
      </c>
      <c r="I5391" s="2" t="s">
        <v>23</v>
      </c>
      <c r="J5391" s="2" t="s">
        <v>37</v>
      </c>
      <c r="K5391" s="2" t="n">
        <v>0</v>
      </c>
      <c r="L5391" s="2" t="n">
        <v>0</v>
      </c>
      <c r="M5391" s="2" t="n">
        <v>0</v>
      </c>
    </row>
    <row r="5392" customFormat="false" ht="15" hidden="false" customHeight="false" outlineLevel="0" collapsed="false">
      <c r="A5392" s="2" t="s">
        <v>10972</v>
      </c>
      <c r="B5392" s="2" t="s">
        <v>10973</v>
      </c>
      <c r="C5392" s="2" t="n">
        <v>2</v>
      </c>
      <c r="D5392" s="2" t="s">
        <v>179</v>
      </c>
      <c r="E5392" s="2" t="s">
        <v>8083</v>
      </c>
      <c r="F5392" s="3" t="n">
        <v>46179.1881944445</v>
      </c>
      <c r="G5392" s="2" t="s">
        <v>10878</v>
      </c>
      <c r="H5392" s="4" t="n">
        <v>-0.0258</v>
      </c>
      <c r="I5392" s="2" t="s">
        <v>18</v>
      </c>
      <c r="J5392" s="2" t="s">
        <v>59</v>
      </c>
      <c r="K5392" s="2" t="n">
        <v>3</v>
      </c>
      <c r="L5392" s="2" t="n">
        <v>0</v>
      </c>
      <c r="M5392" s="2" t="n">
        <v>0</v>
      </c>
    </row>
    <row r="5393" customFormat="false" ht="15" hidden="false" customHeight="false" outlineLevel="0" collapsed="false">
      <c r="A5393" s="2" t="s">
        <v>10974</v>
      </c>
      <c r="B5393" s="2" t="s">
        <v>10975</v>
      </c>
      <c r="C5393" s="2" t="n">
        <v>5</v>
      </c>
      <c r="D5393" s="2" t="s">
        <v>127</v>
      </c>
      <c r="E5393" s="2" t="s">
        <v>8083</v>
      </c>
      <c r="F5393" s="3" t="n">
        <v>46179.2131944444</v>
      </c>
      <c r="G5393" s="2" t="s">
        <v>10878</v>
      </c>
      <c r="H5393" s="4" t="n">
        <v>0.9359</v>
      </c>
      <c r="I5393" s="2" t="s">
        <v>23</v>
      </c>
      <c r="J5393" s="2" t="s">
        <v>37</v>
      </c>
      <c r="K5393" s="2" t="n">
        <v>10</v>
      </c>
      <c r="L5393" s="2" t="n">
        <v>0</v>
      </c>
      <c r="M5393" s="2" t="n">
        <v>0</v>
      </c>
    </row>
    <row r="5394" customFormat="false" ht="15" hidden="false" customHeight="false" outlineLevel="0" collapsed="false">
      <c r="A5394" s="2" t="s">
        <v>10976</v>
      </c>
      <c r="B5394" s="2" t="s">
        <v>10977</v>
      </c>
      <c r="C5394" s="2" t="n">
        <v>4</v>
      </c>
      <c r="D5394" s="2" t="s">
        <v>40</v>
      </c>
      <c r="E5394" s="2" t="s">
        <v>8083</v>
      </c>
      <c r="F5394" s="3" t="n">
        <v>46179.6291666667</v>
      </c>
      <c r="G5394" s="2" t="s">
        <v>10878</v>
      </c>
      <c r="H5394" s="4" t="n">
        <v>0.4019</v>
      </c>
      <c r="I5394" s="2" t="s">
        <v>23</v>
      </c>
      <c r="J5394" s="2" t="s">
        <v>33</v>
      </c>
      <c r="K5394" s="2" t="n">
        <v>4</v>
      </c>
      <c r="L5394" s="2" t="n">
        <v>0</v>
      </c>
      <c r="M5394" s="2" t="n">
        <v>0</v>
      </c>
    </row>
    <row r="5395" customFormat="false" ht="15" hidden="false" customHeight="false" outlineLevel="0" collapsed="false">
      <c r="A5395" s="2" t="s">
        <v>10978</v>
      </c>
      <c r="B5395" s="2" t="s">
        <v>10979</v>
      </c>
      <c r="C5395" s="2" t="n">
        <v>4</v>
      </c>
      <c r="D5395" s="2" t="s">
        <v>96</v>
      </c>
      <c r="E5395" s="2" t="s">
        <v>8083</v>
      </c>
      <c r="F5395" s="3" t="n">
        <v>46179.8458333333</v>
      </c>
      <c r="G5395" s="2" t="s">
        <v>10878</v>
      </c>
      <c r="H5395" s="4" t="n">
        <v>0.6369</v>
      </c>
      <c r="I5395" s="2" t="s">
        <v>23</v>
      </c>
      <c r="J5395" s="2" t="s">
        <v>19</v>
      </c>
      <c r="K5395" s="2" t="n">
        <v>6</v>
      </c>
      <c r="L5395" s="2" t="n">
        <v>0</v>
      </c>
      <c r="M5395" s="2" t="n">
        <v>0</v>
      </c>
    </row>
    <row r="5396" customFormat="false" ht="15" hidden="false" customHeight="false" outlineLevel="0" collapsed="false">
      <c r="A5396" s="2" t="s">
        <v>10980</v>
      </c>
      <c r="B5396" s="2" t="s">
        <v>10981</v>
      </c>
      <c r="C5396" s="2" t="n">
        <v>3</v>
      </c>
      <c r="D5396" s="2" t="s">
        <v>87</v>
      </c>
      <c r="E5396" s="2" t="s">
        <v>8083</v>
      </c>
      <c r="F5396" s="3" t="n">
        <v>46179.9534722222</v>
      </c>
      <c r="G5396" s="2" t="s">
        <v>10878</v>
      </c>
      <c r="H5396" s="4" t="n">
        <v>0</v>
      </c>
      <c r="I5396" s="2" t="s">
        <v>18</v>
      </c>
      <c r="J5396" s="2" t="s">
        <v>19</v>
      </c>
      <c r="K5396" s="2" t="n">
        <v>1</v>
      </c>
      <c r="L5396" s="2" t="n">
        <v>0</v>
      </c>
      <c r="M5396" s="2" t="n">
        <v>0</v>
      </c>
    </row>
    <row r="5397" customFormat="false" ht="15" hidden="false" customHeight="false" outlineLevel="0" collapsed="false">
      <c r="A5397" s="2" t="s">
        <v>10982</v>
      </c>
      <c r="B5397" s="2" t="s">
        <v>10983</v>
      </c>
      <c r="C5397" s="2" t="n">
        <v>5</v>
      </c>
      <c r="D5397" s="2" t="s">
        <v>40</v>
      </c>
      <c r="E5397" s="2" t="s">
        <v>8083</v>
      </c>
      <c r="F5397" s="3" t="n">
        <v>46180.0215277778</v>
      </c>
      <c r="G5397" s="2" t="s">
        <v>10878</v>
      </c>
      <c r="H5397" s="4" t="n">
        <v>0.4019</v>
      </c>
      <c r="I5397" s="2" t="s">
        <v>23</v>
      </c>
      <c r="J5397" s="2" t="s">
        <v>33</v>
      </c>
      <c r="K5397" s="2" t="n">
        <v>1</v>
      </c>
      <c r="L5397" s="2" t="n">
        <v>0</v>
      </c>
      <c r="M5397" s="2" t="n">
        <v>0</v>
      </c>
    </row>
    <row r="5398" customFormat="false" ht="15" hidden="false" customHeight="false" outlineLevel="0" collapsed="false">
      <c r="A5398" s="2" t="s">
        <v>10984</v>
      </c>
      <c r="B5398" s="2" t="s">
        <v>10985</v>
      </c>
      <c r="C5398" s="2" t="n">
        <v>4</v>
      </c>
      <c r="D5398" s="2" t="s">
        <v>674</v>
      </c>
      <c r="E5398" s="2" t="s">
        <v>8083</v>
      </c>
      <c r="F5398" s="3" t="n">
        <v>46180.0743055556</v>
      </c>
      <c r="G5398" s="2" t="s">
        <v>10878</v>
      </c>
      <c r="H5398" s="4" t="n">
        <v>0.9481</v>
      </c>
      <c r="I5398" s="2" t="s">
        <v>23</v>
      </c>
      <c r="J5398" s="2" t="s">
        <v>37</v>
      </c>
      <c r="K5398" s="2" t="n">
        <v>2</v>
      </c>
      <c r="L5398" s="2" t="n">
        <v>0</v>
      </c>
      <c r="M5398" s="2" t="n">
        <v>0</v>
      </c>
    </row>
    <row r="5399" customFormat="false" ht="15" hidden="false" customHeight="false" outlineLevel="0" collapsed="false">
      <c r="A5399" s="2" t="s">
        <v>10986</v>
      </c>
      <c r="B5399" s="2" t="s">
        <v>10987</v>
      </c>
      <c r="C5399" s="2" t="n">
        <v>5</v>
      </c>
      <c r="D5399" s="2" t="s">
        <v>2587</v>
      </c>
      <c r="E5399" s="2" t="s">
        <v>8083</v>
      </c>
      <c r="F5399" s="3" t="n">
        <v>46180.2756944444</v>
      </c>
      <c r="G5399" s="2" t="s">
        <v>10878</v>
      </c>
      <c r="H5399" s="4" t="n">
        <v>0.9828</v>
      </c>
      <c r="I5399" s="2" t="s">
        <v>23</v>
      </c>
      <c r="J5399" s="2" t="s">
        <v>37</v>
      </c>
      <c r="K5399" s="2" t="n">
        <v>2</v>
      </c>
      <c r="L5399" s="2" t="n">
        <v>0</v>
      </c>
      <c r="M5399" s="2" t="n">
        <v>0</v>
      </c>
    </row>
    <row r="5400" customFormat="false" ht="15" hidden="false" customHeight="false" outlineLevel="0" collapsed="false">
      <c r="A5400" s="2" t="s">
        <v>10988</v>
      </c>
      <c r="B5400" s="2" t="s">
        <v>10989</v>
      </c>
      <c r="C5400" s="2" t="n">
        <v>5</v>
      </c>
      <c r="D5400" s="2" t="s">
        <v>40</v>
      </c>
      <c r="E5400" s="2" t="s">
        <v>8083</v>
      </c>
      <c r="F5400" s="3" t="n">
        <v>46180.2819444445</v>
      </c>
      <c r="G5400" s="2" t="s">
        <v>10878</v>
      </c>
      <c r="H5400" s="4" t="n">
        <v>0.4019</v>
      </c>
      <c r="I5400" s="2" t="s">
        <v>23</v>
      </c>
      <c r="J5400" s="2" t="s">
        <v>33</v>
      </c>
      <c r="K5400" s="2" t="n">
        <v>7</v>
      </c>
      <c r="L5400" s="2" t="n">
        <v>0</v>
      </c>
      <c r="M5400" s="2" t="n">
        <v>0</v>
      </c>
    </row>
    <row r="5401" customFormat="false" ht="15" hidden="false" customHeight="false" outlineLevel="0" collapsed="false">
      <c r="A5401" s="2" t="s">
        <v>10990</v>
      </c>
      <c r="B5401" s="2" t="s">
        <v>10991</v>
      </c>
      <c r="C5401" s="2" t="n">
        <v>4</v>
      </c>
      <c r="D5401" s="2" t="s">
        <v>127</v>
      </c>
      <c r="E5401" s="2" t="s">
        <v>8083</v>
      </c>
      <c r="F5401" s="3" t="n">
        <v>46180.3138888889</v>
      </c>
      <c r="G5401" s="2" t="s">
        <v>10878</v>
      </c>
      <c r="H5401" s="4" t="n">
        <v>0.9359</v>
      </c>
      <c r="I5401" s="2" t="s">
        <v>23</v>
      </c>
      <c r="J5401" s="2" t="s">
        <v>37</v>
      </c>
      <c r="K5401" s="2" t="n">
        <v>0</v>
      </c>
      <c r="L5401" s="2" t="n">
        <v>0</v>
      </c>
      <c r="M5401" s="2" t="n">
        <v>0</v>
      </c>
    </row>
    <row r="5402" customFormat="false" ht="15" hidden="false" customHeight="false" outlineLevel="0" collapsed="false">
      <c r="A5402" s="2" t="s">
        <v>10992</v>
      </c>
      <c r="B5402" s="2" t="s">
        <v>10993</v>
      </c>
      <c r="C5402" s="2" t="n">
        <v>5</v>
      </c>
      <c r="D5402" s="2" t="s">
        <v>1222</v>
      </c>
      <c r="E5402" s="2" t="s">
        <v>8083</v>
      </c>
      <c r="F5402" s="3" t="n">
        <v>46180.4354166667</v>
      </c>
      <c r="G5402" s="2" t="s">
        <v>10878</v>
      </c>
      <c r="H5402" s="4" t="n">
        <v>0.8221</v>
      </c>
      <c r="I5402" s="2" t="s">
        <v>23</v>
      </c>
      <c r="J5402" s="2" t="s">
        <v>33</v>
      </c>
      <c r="K5402" s="2" t="n">
        <v>0</v>
      </c>
      <c r="L5402" s="2" t="n">
        <v>0</v>
      </c>
      <c r="M5402" s="2" t="n">
        <v>0</v>
      </c>
    </row>
    <row r="5403" customFormat="false" ht="15" hidden="false" customHeight="false" outlineLevel="0" collapsed="false">
      <c r="A5403" s="2" t="s">
        <v>10994</v>
      </c>
      <c r="B5403" s="2" t="s">
        <v>10995</v>
      </c>
      <c r="C5403" s="2" t="n">
        <v>5</v>
      </c>
      <c r="D5403" s="2" t="s">
        <v>127</v>
      </c>
      <c r="E5403" s="2" t="s">
        <v>8083</v>
      </c>
      <c r="F5403" s="3" t="n">
        <v>46180.59375</v>
      </c>
      <c r="G5403" s="2" t="s">
        <v>10878</v>
      </c>
      <c r="H5403" s="4" t="n">
        <v>0.9359</v>
      </c>
      <c r="I5403" s="2" t="s">
        <v>23</v>
      </c>
      <c r="J5403" s="2" t="s">
        <v>37</v>
      </c>
      <c r="K5403" s="2" t="n">
        <v>1</v>
      </c>
      <c r="L5403" s="2" t="n">
        <v>0</v>
      </c>
      <c r="M5403" s="2" t="n">
        <v>0</v>
      </c>
    </row>
    <row r="5404" customFormat="false" ht="15" hidden="false" customHeight="false" outlineLevel="0" collapsed="false">
      <c r="A5404" s="2" t="s">
        <v>10996</v>
      </c>
      <c r="B5404" s="2" t="s">
        <v>1968</v>
      </c>
      <c r="C5404" s="2" t="n">
        <v>5</v>
      </c>
      <c r="D5404" s="2" t="s">
        <v>62</v>
      </c>
      <c r="E5404" s="2" t="s">
        <v>8083</v>
      </c>
      <c r="F5404" s="3" t="n">
        <v>46180.8263888889</v>
      </c>
      <c r="G5404" s="2" t="s">
        <v>10878</v>
      </c>
      <c r="H5404" s="4" t="n">
        <v>0.7088</v>
      </c>
      <c r="I5404" s="2" t="s">
        <v>23</v>
      </c>
      <c r="J5404" s="2" t="s">
        <v>19</v>
      </c>
      <c r="K5404" s="2" t="n">
        <v>2</v>
      </c>
      <c r="L5404" s="2" t="n">
        <v>0</v>
      </c>
      <c r="M5404" s="2" t="n">
        <v>0</v>
      </c>
    </row>
    <row r="5405" customFormat="false" ht="15" hidden="false" customHeight="false" outlineLevel="0" collapsed="false">
      <c r="A5405" s="2" t="s">
        <v>10997</v>
      </c>
      <c r="B5405" s="2" t="s">
        <v>10998</v>
      </c>
      <c r="C5405" s="2" t="n">
        <v>4</v>
      </c>
      <c r="D5405" s="2" t="s">
        <v>282</v>
      </c>
      <c r="E5405" s="2" t="s">
        <v>8083</v>
      </c>
      <c r="F5405" s="3" t="n">
        <v>46180.83125</v>
      </c>
      <c r="G5405" s="2" t="s">
        <v>10878</v>
      </c>
      <c r="H5405" s="4" t="n">
        <v>0.7992</v>
      </c>
      <c r="I5405" s="2" t="s">
        <v>23</v>
      </c>
      <c r="J5405" s="2" t="s">
        <v>19</v>
      </c>
      <c r="K5405" s="2" t="n">
        <v>0</v>
      </c>
      <c r="L5405" s="2" t="n">
        <v>0</v>
      </c>
      <c r="M5405" s="2" t="n">
        <v>0</v>
      </c>
    </row>
    <row r="5406" customFormat="false" ht="15" hidden="false" customHeight="false" outlineLevel="0" collapsed="false">
      <c r="A5406" s="2" t="s">
        <v>10999</v>
      </c>
      <c r="B5406" s="2" t="s">
        <v>11000</v>
      </c>
      <c r="C5406" s="2" t="n">
        <v>1</v>
      </c>
      <c r="D5406" s="2" t="s">
        <v>482</v>
      </c>
      <c r="E5406" s="2" t="s">
        <v>8083</v>
      </c>
      <c r="F5406" s="3" t="n">
        <v>46180.9361111111</v>
      </c>
      <c r="G5406" s="2" t="s">
        <v>10878</v>
      </c>
      <c r="H5406" s="4" t="n">
        <v>-0.6808</v>
      </c>
      <c r="I5406" s="2" t="s">
        <v>84</v>
      </c>
      <c r="J5406" s="2" t="s">
        <v>110</v>
      </c>
      <c r="K5406" s="2" t="n">
        <v>1</v>
      </c>
      <c r="L5406" s="2" t="n">
        <v>1</v>
      </c>
      <c r="M5406" s="2" t="n">
        <v>0</v>
      </c>
    </row>
    <row r="5407" customFormat="false" ht="15" hidden="false" customHeight="false" outlineLevel="0" collapsed="false">
      <c r="A5407" s="2" t="s">
        <v>11001</v>
      </c>
      <c r="B5407" s="2" t="s">
        <v>11002</v>
      </c>
      <c r="C5407" s="2" t="n">
        <v>4</v>
      </c>
      <c r="D5407" s="2" t="s">
        <v>301</v>
      </c>
      <c r="E5407" s="2" t="s">
        <v>8083</v>
      </c>
      <c r="F5407" s="3" t="n">
        <v>46180.9430555556</v>
      </c>
      <c r="G5407" s="2" t="s">
        <v>10878</v>
      </c>
      <c r="H5407" s="4" t="n">
        <v>0.2263</v>
      </c>
      <c r="I5407" s="2" t="s">
        <v>23</v>
      </c>
      <c r="J5407" s="2" t="s">
        <v>19</v>
      </c>
      <c r="K5407" s="2" t="n">
        <v>5</v>
      </c>
      <c r="L5407" s="2" t="n">
        <v>0</v>
      </c>
      <c r="M5407" s="2" t="n">
        <v>0</v>
      </c>
    </row>
    <row r="5408" customFormat="false" ht="15" hidden="false" customHeight="false" outlineLevel="0" collapsed="false">
      <c r="A5408" s="2" t="s">
        <v>11003</v>
      </c>
      <c r="B5408" s="2" t="s">
        <v>11004</v>
      </c>
      <c r="C5408" s="2" t="n">
        <v>1</v>
      </c>
      <c r="D5408" s="2" t="s">
        <v>402</v>
      </c>
      <c r="E5408" s="2" t="s">
        <v>8083</v>
      </c>
      <c r="F5408" s="3" t="n">
        <v>46181.0534722222</v>
      </c>
      <c r="G5408" s="2" t="s">
        <v>10878</v>
      </c>
      <c r="H5408" s="4" t="n">
        <v>0</v>
      </c>
      <c r="I5408" s="2" t="s">
        <v>18</v>
      </c>
      <c r="J5408" s="2" t="s">
        <v>59</v>
      </c>
      <c r="K5408" s="2" t="n">
        <v>1</v>
      </c>
      <c r="L5408" s="2" t="n">
        <v>1</v>
      </c>
      <c r="M5408" s="2" t="n">
        <v>0</v>
      </c>
    </row>
    <row r="5409" customFormat="false" ht="15" hidden="false" customHeight="false" outlineLevel="0" collapsed="false">
      <c r="A5409" s="2" t="s">
        <v>11005</v>
      </c>
      <c r="B5409" s="2" t="s">
        <v>11006</v>
      </c>
      <c r="C5409" s="2" t="n">
        <v>5</v>
      </c>
      <c r="D5409" s="2" t="s">
        <v>15</v>
      </c>
      <c r="E5409" s="2" t="s">
        <v>8083</v>
      </c>
      <c r="F5409" s="3" t="n">
        <v>46181.0986111111</v>
      </c>
      <c r="G5409" s="2" t="s">
        <v>10878</v>
      </c>
      <c r="H5409" s="4" t="n">
        <v>0</v>
      </c>
      <c r="I5409" s="2" t="s">
        <v>18</v>
      </c>
      <c r="J5409" s="2" t="s">
        <v>19</v>
      </c>
      <c r="K5409" s="2" t="n">
        <v>5</v>
      </c>
      <c r="L5409" s="2" t="n">
        <v>1</v>
      </c>
      <c r="M5409" s="2" t="n">
        <v>0</v>
      </c>
    </row>
    <row r="5410" customFormat="false" ht="15" hidden="false" customHeight="false" outlineLevel="0" collapsed="false">
      <c r="A5410" s="2" t="s">
        <v>11007</v>
      </c>
      <c r="B5410" s="2" t="s">
        <v>2791</v>
      </c>
      <c r="C5410" s="2" t="n">
        <v>4</v>
      </c>
      <c r="D5410" s="2" t="s">
        <v>52</v>
      </c>
      <c r="E5410" s="2" t="s">
        <v>8083</v>
      </c>
      <c r="F5410" s="3" t="n">
        <v>46181.46875</v>
      </c>
      <c r="G5410" s="2" t="s">
        <v>10878</v>
      </c>
      <c r="H5410" s="4" t="n">
        <v>0.6369</v>
      </c>
      <c r="I5410" s="2" t="s">
        <v>23</v>
      </c>
      <c r="J5410" s="2" t="s">
        <v>19</v>
      </c>
      <c r="K5410" s="2" t="n">
        <v>8</v>
      </c>
      <c r="L5410" s="2" t="n">
        <v>0</v>
      </c>
      <c r="M5410" s="2" t="n">
        <v>0</v>
      </c>
    </row>
    <row r="5411" customFormat="false" ht="15" hidden="false" customHeight="false" outlineLevel="0" collapsed="false">
      <c r="A5411" s="2" t="s">
        <v>11008</v>
      </c>
      <c r="B5411" s="2" t="s">
        <v>11009</v>
      </c>
      <c r="C5411" s="2" t="n">
        <v>5</v>
      </c>
      <c r="D5411" s="2" t="s">
        <v>790</v>
      </c>
      <c r="E5411" s="2" t="s">
        <v>8083</v>
      </c>
      <c r="F5411" s="3" t="n">
        <v>46181.5055555556</v>
      </c>
      <c r="G5411" s="2" t="s">
        <v>10878</v>
      </c>
      <c r="H5411" s="4" t="n">
        <v>0.9647</v>
      </c>
      <c r="I5411" s="2" t="s">
        <v>23</v>
      </c>
      <c r="J5411" s="2" t="s">
        <v>37</v>
      </c>
      <c r="K5411" s="2" t="n">
        <v>1</v>
      </c>
      <c r="L5411" s="2" t="n">
        <v>0</v>
      </c>
      <c r="M5411" s="2" t="n">
        <v>0</v>
      </c>
    </row>
    <row r="5412" customFormat="false" ht="15" hidden="false" customHeight="false" outlineLevel="0" collapsed="false">
      <c r="A5412" s="2" t="s">
        <v>11010</v>
      </c>
      <c r="B5412" s="2" t="s">
        <v>11011</v>
      </c>
      <c r="C5412" s="2" t="n">
        <v>5</v>
      </c>
      <c r="D5412" s="2" t="s">
        <v>47</v>
      </c>
      <c r="E5412" s="2" t="s">
        <v>8083</v>
      </c>
      <c r="F5412" s="3" t="n">
        <v>46181.5763888889</v>
      </c>
      <c r="G5412" s="2" t="s">
        <v>10878</v>
      </c>
      <c r="H5412" s="4" t="n">
        <v>0.3089</v>
      </c>
      <c r="I5412" s="2" t="s">
        <v>23</v>
      </c>
      <c r="J5412" s="2" t="s">
        <v>19</v>
      </c>
      <c r="K5412" s="2" t="n">
        <v>3</v>
      </c>
      <c r="L5412" s="2" t="n">
        <v>0</v>
      </c>
      <c r="M5412" s="2" t="n">
        <v>0</v>
      </c>
    </row>
    <row r="5413" customFormat="false" ht="15" hidden="false" customHeight="false" outlineLevel="0" collapsed="false">
      <c r="A5413" s="2" t="s">
        <v>11012</v>
      </c>
      <c r="B5413" s="2" t="s">
        <v>11013</v>
      </c>
      <c r="C5413" s="2" t="n">
        <v>4</v>
      </c>
      <c r="D5413" s="2" t="s">
        <v>127</v>
      </c>
      <c r="E5413" s="2" t="s">
        <v>8083</v>
      </c>
      <c r="F5413" s="3" t="n">
        <v>46181.6152777778</v>
      </c>
      <c r="G5413" s="2" t="s">
        <v>10878</v>
      </c>
      <c r="H5413" s="4" t="n">
        <v>0.9359</v>
      </c>
      <c r="I5413" s="2" t="s">
        <v>23</v>
      </c>
      <c r="J5413" s="2" t="s">
        <v>37</v>
      </c>
      <c r="K5413" s="2" t="n">
        <v>0</v>
      </c>
      <c r="L5413" s="2" t="n">
        <v>0</v>
      </c>
      <c r="M5413" s="2" t="n">
        <v>0</v>
      </c>
    </row>
    <row r="5414" customFormat="false" ht="15" hidden="false" customHeight="false" outlineLevel="0" collapsed="false">
      <c r="A5414" s="2" t="s">
        <v>11014</v>
      </c>
      <c r="B5414" s="2" t="s">
        <v>11015</v>
      </c>
      <c r="C5414" s="2" t="n">
        <v>4</v>
      </c>
      <c r="D5414" s="2" t="s">
        <v>62</v>
      </c>
      <c r="E5414" s="2" t="s">
        <v>8083</v>
      </c>
      <c r="F5414" s="3" t="n">
        <v>46181.8381944444</v>
      </c>
      <c r="G5414" s="2" t="s">
        <v>10878</v>
      </c>
      <c r="H5414" s="4" t="n">
        <v>0.7088</v>
      </c>
      <c r="I5414" s="2" t="s">
        <v>23</v>
      </c>
      <c r="J5414" s="2" t="s">
        <v>19</v>
      </c>
      <c r="K5414" s="2" t="n">
        <v>5</v>
      </c>
      <c r="L5414" s="2" t="n">
        <v>0</v>
      </c>
      <c r="M5414" s="2" t="n">
        <v>0</v>
      </c>
    </row>
    <row r="5415" customFormat="false" ht="15" hidden="false" customHeight="false" outlineLevel="0" collapsed="false">
      <c r="A5415" s="2" t="s">
        <v>11016</v>
      </c>
      <c r="B5415" s="2" t="s">
        <v>11017</v>
      </c>
      <c r="C5415" s="2" t="n">
        <v>5</v>
      </c>
      <c r="D5415" s="2" t="s">
        <v>52</v>
      </c>
      <c r="E5415" s="2" t="s">
        <v>8083</v>
      </c>
      <c r="F5415" s="3" t="n">
        <v>46181.9451388889</v>
      </c>
      <c r="G5415" s="2" t="s">
        <v>10878</v>
      </c>
      <c r="H5415" s="4" t="n">
        <v>0.6369</v>
      </c>
      <c r="I5415" s="2" t="s">
        <v>23</v>
      </c>
      <c r="J5415" s="2" t="s">
        <v>19</v>
      </c>
      <c r="K5415" s="2" t="n">
        <v>5</v>
      </c>
      <c r="L5415" s="2" t="n">
        <v>0</v>
      </c>
      <c r="M5415" s="2" t="n">
        <v>0</v>
      </c>
    </row>
    <row r="5416" customFormat="false" ht="15" hidden="false" customHeight="false" outlineLevel="0" collapsed="false">
      <c r="A5416" s="2" t="s">
        <v>11018</v>
      </c>
      <c r="B5416" s="2" t="s">
        <v>11019</v>
      </c>
      <c r="C5416" s="2" t="n">
        <v>5</v>
      </c>
      <c r="D5416" s="2" t="s">
        <v>96</v>
      </c>
      <c r="E5416" s="2" t="s">
        <v>8083</v>
      </c>
      <c r="F5416" s="3" t="n">
        <v>46182.0111111111</v>
      </c>
      <c r="G5416" s="2" t="s">
        <v>10878</v>
      </c>
      <c r="H5416" s="4" t="n">
        <v>0.6369</v>
      </c>
      <c r="I5416" s="2" t="s">
        <v>23</v>
      </c>
      <c r="J5416" s="2" t="s">
        <v>19</v>
      </c>
      <c r="K5416" s="2" t="n">
        <v>2</v>
      </c>
      <c r="L5416" s="2" t="n">
        <v>0</v>
      </c>
      <c r="M5416" s="2" t="n">
        <v>0</v>
      </c>
    </row>
    <row r="5417" customFormat="false" ht="15" hidden="false" customHeight="false" outlineLevel="0" collapsed="false">
      <c r="A5417" s="2" t="s">
        <v>11020</v>
      </c>
      <c r="B5417" s="2" t="s">
        <v>11021</v>
      </c>
      <c r="C5417" s="2" t="n">
        <v>5</v>
      </c>
      <c r="D5417" s="2" t="s">
        <v>127</v>
      </c>
      <c r="E5417" s="2" t="s">
        <v>8083</v>
      </c>
      <c r="F5417" s="3" t="n">
        <v>46182.0868055556</v>
      </c>
      <c r="G5417" s="2" t="s">
        <v>10878</v>
      </c>
      <c r="H5417" s="4" t="n">
        <v>0.9359</v>
      </c>
      <c r="I5417" s="2" t="s">
        <v>23</v>
      </c>
      <c r="J5417" s="2" t="s">
        <v>37</v>
      </c>
      <c r="K5417" s="2" t="n">
        <v>9</v>
      </c>
      <c r="L5417" s="2" t="n">
        <v>0</v>
      </c>
      <c r="M5417" s="2" t="n">
        <v>0</v>
      </c>
    </row>
    <row r="5418" customFormat="false" ht="15" hidden="false" customHeight="false" outlineLevel="0" collapsed="false">
      <c r="A5418" s="2" t="s">
        <v>11022</v>
      </c>
      <c r="B5418" s="2" t="s">
        <v>11023</v>
      </c>
      <c r="C5418" s="2" t="n">
        <v>3</v>
      </c>
      <c r="D5418" s="2" t="s">
        <v>872</v>
      </c>
      <c r="E5418" s="2" t="s">
        <v>8083</v>
      </c>
      <c r="F5418" s="3" t="n">
        <v>46182.1375</v>
      </c>
      <c r="G5418" s="2" t="s">
        <v>10878</v>
      </c>
      <c r="H5418" s="4" t="n">
        <v>0.1027</v>
      </c>
      <c r="I5418" s="2" t="s">
        <v>23</v>
      </c>
      <c r="J5418" s="2" t="s">
        <v>19</v>
      </c>
      <c r="K5418" s="2" t="n">
        <v>1</v>
      </c>
      <c r="L5418" s="2" t="n">
        <v>0</v>
      </c>
      <c r="M5418" s="2" t="n">
        <v>0</v>
      </c>
    </row>
    <row r="5419" customFormat="false" ht="15" hidden="false" customHeight="false" outlineLevel="0" collapsed="false">
      <c r="A5419" s="2" t="s">
        <v>11024</v>
      </c>
      <c r="B5419" s="2" t="s">
        <v>658</v>
      </c>
      <c r="C5419" s="2" t="n">
        <v>4</v>
      </c>
      <c r="D5419" s="2" t="s">
        <v>127</v>
      </c>
      <c r="E5419" s="2" t="s">
        <v>8083</v>
      </c>
      <c r="F5419" s="3" t="n">
        <v>46182.4597222222</v>
      </c>
      <c r="G5419" s="2" t="s">
        <v>10878</v>
      </c>
      <c r="H5419" s="4" t="n">
        <v>0.9359</v>
      </c>
      <c r="I5419" s="2" t="s">
        <v>23</v>
      </c>
      <c r="J5419" s="2" t="s">
        <v>37</v>
      </c>
      <c r="K5419" s="2" t="n">
        <v>3</v>
      </c>
      <c r="L5419" s="2" t="n">
        <v>0</v>
      </c>
      <c r="M5419" s="2" t="n">
        <v>0</v>
      </c>
    </row>
    <row r="5420" customFormat="false" ht="15" hidden="false" customHeight="false" outlineLevel="0" collapsed="false">
      <c r="A5420" s="2" t="s">
        <v>11025</v>
      </c>
      <c r="B5420" s="2" t="s">
        <v>11026</v>
      </c>
      <c r="C5420" s="2" t="n">
        <v>5</v>
      </c>
      <c r="D5420" s="2" t="s">
        <v>96</v>
      </c>
      <c r="E5420" s="2" t="s">
        <v>8083</v>
      </c>
      <c r="F5420" s="3" t="n">
        <v>46182.4840277778</v>
      </c>
      <c r="G5420" s="2" t="s">
        <v>10878</v>
      </c>
      <c r="H5420" s="4" t="n">
        <v>0.6369</v>
      </c>
      <c r="I5420" s="2" t="s">
        <v>23</v>
      </c>
      <c r="J5420" s="2" t="s">
        <v>19</v>
      </c>
      <c r="K5420" s="2" t="n">
        <v>1</v>
      </c>
      <c r="L5420" s="2" t="n">
        <v>0</v>
      </c>
      <c r="M5420" s="2" t="n">
        <v>0</v>
      </c>
    </row>
    <row r="5421" customFormat="false" ht="15" hidden="false" customHeight="false" outlineLevel="0" collapsed="false">
      <c r="A5421" s="2" t="s">
        <v>11027</v>
      </c>
      <c r="B5421" s="2" t="s">
        <v>11028</v>
      </c>
      <c r="C5421" s="2" t="n">
        <v>5</v>
      </c>
      <c r="D5421" s="2" t="s">
        <v>127</v>
      </c>
      <c r="E5421" s="2" t="s">
        <v>8083</v>
      </c>
      <c r="F5421" s="3" t="n">
        <v>46182.5986111111</v>
      </c>
      <c r="G5421" s="2" t="s">
        <v>10878</v>
      </c>
      <c r="H5421" s="4" t="n">
        <v>0.9359</v>
      </c>
      <c r="I5421" s="2" t="s">
        <v>23</v>
      </c>
      <c r="J5421" s="2" t="s">
        <v>37</v>
      </c>
      <c r="K5421" s="2" t="n">
        <v>3</v>
      </c>
      <c r="L5421" s="2" t="n">
        <v>0</v>
      </c>
      <c r="M5421" s="2" t="n">
        <v>0</v>
      </c>
    </row>
    <row r="5422" customFormat="false" ht="15" hidden="false" customHeight="false" outlineLevel="0" collapsed="false">
      <c r="A5422" s="2" t="s">
        <v>11029</v>
      </c>
      <c r="B5422" s="2" t="s">
        <v>11030</v>
      </c>
      <c r="C5422" s="2" t="n">
        <v>3</v>
      </c>
      <c r="D5422" s="2" t="s">
        <v>36</v>
      </c>
      <c r="E5422" s="2" t="s">
        <v>8083</v>
      </c>
      <c r="F5422" s="3" t="n">
        <v>46182.6819444444</v>
      </c>
      <c r="G5422" s="2" t="s">
        <v>10878</v>
      </c>
      <c r="H5422" s="4" t="n">
        <v>0.4404</v>
      </c>
      <c r="I5422" s="2" t="s">
        <v>23</v>
      </c>
      <c r="J5422" s="2" t="s">
        <v>37</v>
      </c>
      <c r="K5422" s="2" t="n">
        <v>0</v>
      </c>
      <c r="L5422" s="2" t="n">
        <v>0</v>
      </c>
      <c r="M5422" s="2" t="n">
        <v>0</v>
      </c>
    </row>
    <row r="5423" customFormat="false" ht="15" hidden="false" customHeight="false" outlineLevel="0" collapsed="false">
      <c r="A5423" s="2" t="s">
        <v>11031</v>
      </c>
      <c r="B5423" s="2" t="s">
        <v>11032</v>
      </c>
      <c r="C5423" s="2" t="n">
        <v>3</v>
      </c>
      <c r="D5423" s="2" t="s">
        <v>2127</v>
      </c>
      <c r="E5423" s="2" t="s">
        <v>8083</v>
      </c>
      <c r="F5423" s="3" t="n">
        <v>46182.775</v>
      </c>
      <c r="G5423" s="2" t="s">
        <v>10878</v>
      </c>
      <c r="H5423" s="4" t="n">
        <v>0.3818</v>
      </c>
      <c r="I5423" s="2" t="s">
        <v>23</v>
      </c>
      <c r="J5423" s="2" t="s">
        <v>19</v>
      </c>
      <c r="K5423" s="2" t="n">
        <v>2</v>
      </c>
      <c r="L5423" s="2" t="n">
        <v>0</v>
      </c>
      <c r="M5423" s="2" t="n">
        <v>0</v>
      </c>
    </row>
    <row r="5424" customFormat="false" ht="15" hidden="false" customHeight="false" outlineLevel="0" collapsed="false">
      <c r="A5424" s="2" t="s">
        <v>11033</v>
      </c>
      <c r="B5424" s="2" t="s">
        <v>11034</v>
      </c>
      <c r="C5424" s="2" t="n">
        <v>5</v>
      </c>
      <c r="D5424" s="2" t="s">
        <v>96</v>
      </c>
      <c r="E5424" s="2" t="s">
        <v>8083</v>
      </c>
      <c r="F5424" s="3" t="n">
        <v>46182.78125</v>
      </c>
      <c r="G5424" s="2" t="s">
        <v>10878</v>
      </c>
      <c r="H5424" s="4" t="n">
        <v>0.6369</v>
      </c>
      <c r="I5424" s="2" t="s">
        <v>23</v>
      </c>
      <c r="J5424" s="2" t="s">
        <v>19</v>
      </c>
      <c r="K5424" s="2" t="n">
        <v>11</v>
      </c>
      <c r="L5424" s="2" t="n">
        <v>0</v>
      </c>
      <c r="M5424" s="2" t="n">
        <v>0</v>
      </c>
    </row>
    <row r="5425" customFormat="false" ht="15" hidden="false" customHeight="false" outlineLevel="0" collapsed="false">
      <c r="A5425" s="2" t="s">
        <v>11035</v>
      </c>
      <c r="B5425" s="2" t="s">
        <v>11036</v>
      </c>
      <c r="C5425" s="2" t="n">
        <v>4</v>
      </c>
      <c r="D5425" s="2" t="s">
        <v>96</v>
      </c>
      <c r="E5425" s="2" t="s">
        <v>8083</v>
      </c>
      <c r="F5425" s="3" t="n">
        <v>46182.8375</v>
      </c>
      <c r="G5425" s="2" t="s">
        <v>10878</v>
      </c>
      <c r="H5425" s="4" t="n">
        <v>0.6369</v>
      </c>
      <c r="I5425" s="2" t="s">
        <v>23</v>
      </c>
      <c r="J5425" s="2" t="s">
        <v>19</v>
      </c>
      <c r="K5425" s="2" t="n">
        <v>1</v>
      </c>
      <c r="L5425" s="2" t="n">
        <v>0</v>
      </c>
      <c r="M5425" s="2" t="n">
        <v>0</v>
      </c>
    </row>
    <row r="5426" customFormat="false" ht="15" hidden="false" customHeight="false" outlineLevel="0" collapsed="false">
      <c r="A5426" s="2" t="s">
        <v>11037</v>
      </c>
      <c r="B5426" s="2" t="s">
        <v>11038</v>
      </c>
      <c r="C5426" s="2" t="n">
        <v>2</v>
      </c>
      <c r="D5426" s="2" t="s">
        <v>455</v>
      </c>
      <c r="E5426" s="2" t="s">
        <v>8083</v>
      </c>
      <c r="F5426" s="3" t="n">
        <v>46182.9902777778</v>
      </c>
      <c r="G5426" s="2" t="s">
        <v>10878</v>
      </c>
      <c r="H5426" s="4" t="n">
        <v>-0.2263</v>
      </c>
      <c r="I5426" s="2" t="s">
        <v>84</v>
      </c>
      <c r="J5426" s="2" t="s">
        <v>165</v>
      </c>
      <c r="K5426" s="2" t="n">
        <v>3</v>
      </c>
      <c r="L5426" s="2" t="n">
        <v>0</v>
      </c>
      <c r="M5426" s="2" t="n">
        <v>0</v>
      </c>
    </row>
    <row r="5427" customFormat="false" ht="15" hidden="false" customHeight="false" outlineLevel="0" collapsed="false">
      <c r="A5427" s="2" t="s">
        <v>11039</v>
      </c>
      <c r="B5427" s="2" t="s">
        <v>11040</v>
      </c>
      <c r="C5427" s="2" t="n">
        <v>4</v>
      </c>
      <c r="D5427" s="2" t="s">
        <v>40</v>
      </c>
      <c r="E5427" s="2" t="s">
        <v>8083</v>
      </c>
      <c r="F5427" s="3" t="n">
        <v>46183.1506944444</v>
      </c>
      <c r="G5427" s="2" t="s">
        <v>10878</v>
      </c>
      <c r="H5427" s="4" t="n">
        <v>0.4019</v>
      </c>
      <c r="I5427" s="2" t="s">
        <v>23</v>
      </c>
      <c r="J5427" s="2" t="s">
        <v>33</v>
      </c>
      <c r="K5427" s="2" t="n">
        <v>7</v>
      </c>
      <c r="L5427" s="2" t="n">
        <v>0</v>
      </c>
      <c r="M5427" s="2" t="n">
        <v>0</v>
      </c>
    </row>
    <row r="5428" customFormat="false" ht="15" hidden="false" customHeight="false" outlineLevel="0" collapsed="false">
      <c r="A5428" s="2" t="s">
        <v>11041</v>
      </c>
      <c r="B5428" s="2" t="s">
        <v>11042</v>
      </c>
      <c r="C5428" s="2" t="n">
        <v>4</v>
      </c>
      <c r="D5428" s="2" t="s">
        <v>62</v>
      </c>
      <c r="E5428" s="2" t="s">
        <v>8083</v>
      </c>
      <c r="F5428" s="3" t="n">
        <v>46183.4590277778</v>
      </c>
      <c r="G5428" s="2" t="s">
        <v>10878</v>
      </c>
      <c r="H5428" s="4" t="n">
        <v>0.7088</v>
      </c>
      <c r="I5428" s="2" t="s">
        <v>23</v>
      </c>
      <c r="J5428" s="2" t="s">
        <v>19</v>
      </c>
      <c r="K5428" s="2" t="n">
        <v>1</v>
      </c>
      <c r="L5428" s="2" t="n">
        <v>0</v>
      </c>
      <c r="M5428" s="2" t="n">
        <v>0</v>
      </c>
    </row>
    <row r="5429" customFormat="false" ht="15" hidden="false" customHeight="false" outlineLevel="0" collapsed="false">
      <c r="A5429" s="2" t="s">
        <v>11043</v>
      </c>
      <c r="B5429" s="2" t="s">
        <v>11044</v>
      </c>
      <c r="C5429" s="2" t="n">
        <v>5</v>
      </c>
      <c r="D5429" s="2" t="s">
        <v>96</v>
      </c>
      <c r="E5429" s="2" t="s">
        <v>8083</v>
      </c>
      <c r="F5429" s="3" t="n">
        <v>46183.7513888889</v>
      </c>
      <c r="G5429" s="2" t="s">
        <v>10878</v>
      </c>
      <c r="H5429" s="4" t="n">
        <v>0.6369</v>
      </c>
      <c r="I5429" s="2" t="s">
        <v>23</v>
      </c>
      <c r="J5429" s="2" t="s">
        <v>19</v>
      </c>
      <c r="K5429" s="2" t="n">
        <v>3</v>
      </c>
      <c r="L5429" s="2" t="n">
        <v>0</v>
      </c>
      <c r="M5429" s="2" t="n">
        <v>0</v>
      </c>
    </row>
    <row r="5430" customFormat="false" ht="15" hidden="false" customHeight="false" outlineLevel="0" collapsed="false">
      <c r="A5430" s="2" t="s">
        <v>11045</v>
      </c>
      <c r="B5430" s="2" t="s">
        <v>80</v>
      </c>
      <c r="C5430" s="2" t="n">
        <v>5</v>
      </c>
      <c r="D5430" s="2" t="s">
        <v>127</v>
      </c>
      <c r="E5430" s="2" t="s">
        <v>8083</v>
      </c>
      <c r="F5430" s="3" t="n">
        <v>46183.8590277778</v>
      </c>
      <c r="G5430" s="2" t="s">
        <v>10878</v>
      </c>
      <c r="H5430" s="4" t="n">
        <v>0.9359</v>
      </c>
      <c r="I5430" s="2" t="s">
        <v>23</v>
      </c>
      <c r="J5430" s="2" t="s">
        <v>37</v>
      </c>
      <c r="K5430" s="2" t="n">
        <v>4</v>
      </c>
      <c r="L5430" s="2" t="n">
        <v>0</v>
      </c>
      <c r="M5430" s="2" t="n">
        <v>0</v>
      </c>
    </row>
    <row r="5431" customFormat="false" ht="15" hidden="false" customHeight="false" outlineLevel="0" collapsed="false">
      <c r="A5431" s="2" t="s">
        <v>11046</v>
      </c>
      <c r="B5431" s="2" t="s">
        <v>11047</v>
      </c>
      <c r="C5431" s="2" t="n">
        <v>4</v>
      </c>
      <c r="D5431" s="2" t="s">
        <v>96</v>
      </c>
      <c r="E5431" s="2" t="s">
        <v>8083</v>
      </c>
      <c r="F5431" s="3" t="n">
        <v>46183.9680555556</v>
      </c>
      <c r="G5431" s="2" t="s">
        <v>10878</v>
      </c>
      <c r="H5431" s="4" t="n">
        <v>0.6369</v>
      </c>
      <c r="I5431" s="2" t="s">
        <v>23</v>
      </c>
      <c r="J5431" s="2" t="s">
        <v>19</v>
      </c>
      <c r="K5431" s="2" t="n">
        <v>7</v>
      </c>
      <c r="L5431" s="2" t="n">
        <v>0</v>
      </c>
      <c r="M5431" s="2" t="n">
        <v>0</v>
      </c>
    </row>
    <row r="5432" customFormat="false" ht="15" hidden="false" customHeight="false" outlineLevel="0" collapsed="false">
      <c r="A5432" s="2" t="s">
        <v>11048</v>
      </c>
      <c r="B5432" s="2" t="s">
        <v>11049</v>
      </c>
      <c r="C5432" s="2" t="n">
        <v>5</v>
      </c>
      <c r="D5432" s="2" t="s">
        <v>1387</v>
      </c>
      <c r="E5432" s="2" t="s">
        <v>8083</v>
      </c>
      <c r="F5432" s="3" t="n">
        <v>46184.0951388889</v>
      </c>
      <c r="G5432" s="2" t="s">
        <v>10878</v>
      </c>
      <c r="H5432" s="4" t="n">
        <v>0.9359</v>
      </c>
      <c r="I5432" s="2" t="s">
        <v>23</v>
      </c>
      <c r="J5432" s="2" t="s">
        <v>37</v>
      </c>
      <c r="K5432" s="2" t="n">
        <v>0</v>
      </c>
      <c r="L5432" s="2" t="n">
        <v>0</v>
      </c>
      <c r="M5432" s="2" t="n">
        <v>0</v>
      </c>
    </row>
    <row r="5433" customFormat="false" ht="15" hidden="false" customHeight="false" outlineLevel="0" collapsed="false">
      <c r="A5433" s="2" t="s">
        <v>11050</v>
      </c>
      <c r="B5433" s="2" t="s">
        <v>11051</v>
      </c>
      <c r="C5433" s="2" t="n">
        <v>1</v>
      </c>
      <c r="D5433" s="2" t="s">
        <v>1034</v>
      </c>
      <c r="E5433" s="2" t="s">
        <v>8083</v>
      </c>
      <c r="F5433" s="3" t="n">
        <v>46184.1743055556</v>
      </c>
      <c r="G5433" s="2" t="s">
        <v>10878</v>
      </c>
      <c r="H5433" s="4" t="n">
        <v>0</v>
      </c>
      <c r="I5433" s="2" t="s">
        <v>18</v>
      </c>
      <c r="J5433" s="2" t="s">
        <v>110</v>
      </c>
      <c r="K5433" s="2" t="n">
        <v>2</v>
      </c>
      <c r="L5433" s="2" t="n">
        <v>0</v>
      </c>
      <c r="M5433" s="2" t="n">
        <v>0</v>
      </c>
    </row>
    <row r="5434" customFormat="false" ht="15" hidden="false" customHeight="false" outlineLevel="0" collapsed="false">
      <c r="A5434" s="2" t="s">
        <v>11052</v>
      </c>
      <c r="B5434" s="2" t="s">
        <v>11053</v>
      </c>
      <c r="C5434" s="2" t="n">
        <v>5</v>
      </c>
      <c r="D5434" s="2" t="s">
        <v>96</v>
      </c>
      <c r="E5434" s="2" t="s">
        <v>8083</v>
      </c>
      <c r="F5434" s="3" t="n">
        <v>46184.2388888889</v>
      </c>
      <c r="G5434" s="2" t="s">
        <v>10878</v>
      </c>
      <c r="H5434" s="4" t="n">
        <v>0.6369</v>
      </c>
      <c r="I5434" s="2" t="s">
        <v>23</v>
      </c>
      <c r="J5434" s="2" t="s">
        <v>19</v>
      </c>
      <c r="K5434" s="2" t="n">
        <v>1</v>
      </c>
      <c r="L5434" s="2" t="n">
        <v>0</v>
      </c>
      <c r="M5434" s="2" t="n">
        <v>0</v>
      </c>
    </row>
    <row r="5435" customFormat="false" ht="15" hidden="false" customHeight="false" outlineLevel="0" collapsed="false">
      <c r="A5435" s="2" t="s">
        <v>11054</v>
      </c>
      <c r="B5435" s="2" t="s">
        <v>11055</v>
      </c>
      <c r="C5435" s="2" t="n">
        <v>5</v>
      </c>
      <c r="D5435" s="2" t="s">
        <v>90</v>
      </c>
      <c r="E5435" s="2" t="s">
        <v>8083</v>
      </c>
      <c r="F5435" s="3" t="n">
        <v>46184.2923611111</v>
      </c>
      <c r="G5435" s="2" t="s">
        <v>10878</v>
      </c>
      <c r="H5435" s="4" t="n">
        <v>0.6249</v>
      </c>
      <c r="I5435" s="2" t="s">
        <v>23</v>
      </c>
      <c r="J5435" s="2" t="s">
        <v>37</v>
      </c>
      <c r="K5435" s="2" t="n">
        <v>3</v>
      </c>
      <c r="L5435" s="2" t="n">
        <v>0</v>
      </c>
      <c r="M5435" s="2" t="n">
        <v>0</v>
      </c>
    </row>
    <row r="5436" customFormat="false" ht="15" hidden="false" customHeight="false" outlineLevel="0" collapsed="false">
      <c r="A5436" s="2" t="s">
        <v>11056</v>
      </c>
      <c r="B5436" s="2" t="s">
        <v>11057</v>
      </c>
      <c r="C5436" s="2" t="n">
        <v>4</v>
      </c>
      <c r="D5436" s="2" t="s">
        <v>96</v>
      </c>
      <c r="E5436" s="2" t="s">
        <v>8083</v>
      </c>
      <c r="F5436" s="3" t="n">
        <v>46184.3180555556</v>
      </c>
      <c r="G5436" s="2" t="s">
        <v>10878</v>
      </c>
      <c r="H5436" s="4" t="n">
        <v>0.6369</v>
      </c>
      <c r="I5436" s="2" t="s">
        <v>23</v>
      </c>
      <c r="J5436" s="2" t="s">
        <v>19</v>
      </c>
      <c r="K5436" s="2" t="n">
        <v>12</v>
      </c>
      <c r="L5436" s="2" t="n">
        <v>0</v>
      </c>
      <c r="M5436" s="2" t="n">
        <v>0</v>
      </c>
    </row>
    <row r="5437" customFormat="false" ht="15" hidden="false" customHeight="false" outlineLevel="0" collapsed="false">
      <c r="A5437" s="2" t="s">
        <v>11058</v>
      </c>
      <c r="B5437" s="2" t="s">
        <v>11059</v>
      </c>
      <c r="C5437" s="2" t="n">
        <v>3</v>
      </c>
      <c r="D5437" s="2" t="s">
        <v>87</v>
      </c>
      <c r="E5437" s="2" t="s">
        <v>8083</v>
      </c>
      <c r="F5437" s="3" t="n">
        <v>46184.4548611111</v>
      </c>
      <c r="G5437" s="2" t="s">
        <v>10878</v>
      </c>
      <c r="H5437" s="4" t="n">
        <v>0</v>
      </c>
      <c r="I5437" s="2" t="s">
        <v>18</v>
      </c>
      <c r="J5437" s="2" t="s">
        <v>19</v>
      </c>
      <c r="K5437" s="2" t="n">
        <v>0</v>
      </c>
      <c r="L5437" s="2" t="n">
        <v>0</v>
      </c>
      <c r="M5437" s="2" t="n">
        <v>0</v>
      </c>
    </row>
    <row r="5438" customFormat="false" ht="15" hidden="false" customHeight="false" outlineLevel="0" collapsed="false">
      <c r="A5438" s="2" t="s">
        <v>11060</v>
      </c>
      <c r="B5438" s="2" t="s">
        <v>11061</v>
      </c>
      <c r="C5438" s="2" t="n">
        <v>4</v>
      </c>
      <c r="D5438" s="2" t="s">
        <v>325</v>
      </c>
      <c r="E5438" s="2" t="s">
        <v>8083</v>
      </c>
      <c r="F5438" s="3" t="n">
        <v>46184.5243055556</v>
      </c>
      <c r="G5438" s="2" t="s">
        <v>10878</v>
      </c>
      <c r="H5438" s="4" t="n">
        <v>0.9612</v>
      </c>
      <c r="I5438" s="2" t="s">
        <v>23</v>
      </c>
      <c r="J5438" s="2" t="s">
        <v>37</v>
      </c>
      <c r="K5438" s="2" t="n">
        <v>2</v>
      </c>
      <c r="L5438" s="2" t="n">
        <v>0</v>
      </c>
      <c r="M5438" s="2" t="n">
        <v>0</v>
      </c>
    </row>
    <row r="5439" customFormat="false" ht="15" hidden="false" customHeight="false" outlineLevel="0" collapsed="false">
      <c r="A5439" s="2" t="s">
        <v>11062</v>
      </c>
      <c r="B5439" s="2" t="s">
        <v>11063</v>
      </c>
      <c r="C5439" s="2" t="n">
        <v>5</v>
      </c>
      <c r="D5439" s="2" t="s">
        <v>90</v>
      </c>
      <c r="E5439" s="2" t="s">
        <v>8083</v>
      </c>
      <c r="F5439" s="3" t="n">
        <v>46184.7118055556</v>
      </c>
      <c r="G5439" s="2" t="s">
        <v>10878</v>
      </c>
      <c r="H5439" s="4" t="n">
        <v>0.6249</v>
      </c>
      <c r="I5439" s="2" t="s">
        <v>23</v>
      </c>
      <c r="J5439" s="2" t="s">
        <v>37</v>
      </c>
      <c r="K5439" s="2" t="n">
        <v>0</v>
      </c>
      <c r="L5439" s="2" t="n">
        <v>0</v>
      </c>
      <c r="M5439" s="2" t="n">
        <v>0</v>
      </c>
    </row>
    <row r="5440" customFormat="false" ht="15" hidden="false" customHeight="false" outlineLevel="0" collapsed="false">
      <c r="A5440" s="2" t="s">
        <v>11064</v>
      </c>
      <c r="B5440" s="2" t="s">
        <v>11065</v>
      </c>
      <c r="C5440" s="2" t="n">
        <v>5</v>
      </c>
      <c r="D5440" s="2" t="s">
        <v>47</v>
      </c>
      <c r="E5440" s="2" t="s">
        <v>8083</v>
      </c>
      <c r="F5440" s="3" t="n">
        <v>46184.8270833333</v>
      </c>
      <c r="G5440" s="2" t="s">
        <v>10878</v>
      </c>
      <c r="H5440" s="4" t="n">
        <v>0.3089</v>
      </c>
      <c r="I5440" s="2" t="s">
        <v>23</v>
      </c>
      <c r="J5440" s="2" t="s">
        <v>19</v>
      </c>
      <c r="K5440" s="2" t="n">
        <v>6</v>
      </c>
      <c r="L5440" s="2" t="n">
        <v>0</v>
      </c>
      <c r="M5440" s="2" t="n">
        <v>0</v>
      </c>
    </row>
    <row r="5441" customFormat="false" ht="15" hidden="false" customHeight="false" outlineLevel="0" collapsed="false">
      <c r="A5441" s="2" t="s">
        <v>11066</v>
      </c>
      <c r="B5441" s="2" t="s">
        <v>11067</v>
      </c>
      <c r="C5441" s="2" t="n">
        <v>5</v>
      </c>
      <c r="D5441" s="2" t="s">
        <v>29</v>
      </c>
      <c r="E5441" s="2" t="s">
        <v>8083</v>
      </c>
      <c r="F5441" s="3" t="n">
        <v>46184.8618055556</v>
      </c>
      <c r="G5441" s="2" t="s">
        <v>10878</v>
      </c>
      <c r="H5441" s="4" t="n">
        <v>0.6369</v>
      </c>
      <c r="I5441" s="2" t="s">
        <v>23</v>
      </c>
      <c r="J5441" s="2" t="s">
        <v>19</v>
      </c>
      <c r="K5441" s="2" t="n">
        <v>0</v>
      </c>
      <c r="L5441" s="2" t="n">
        <v>0</v>
      </c>
      <c r="M5441" s="2" t="n">
        <v>0</v>
      </c>
    </row>
    <row r="5442" customFormat="false" ht="15" hidden="false" customHeight="false" outlineLevel="0" collapsed="false">
      <c r="A5442" s="2" t="s">
        <v>11068</v>
      </c>
      <c r="B5442" s="2" t="s">
        <v>11069</v>
      </c>
      <c r="C5442" s="2" t="n">
        <v>5</v>
      </c>
      <c r="D5442" s="2" t="s">
        <v>90</v>
      </c>
      <c r="E5442" s="2" t="s">
        <v>8083</v>
      </c>
      <c r="F5442" s="3" t="n">
        <v>46184.8673611111</v>
      </c>
      <c r="G5442" s="2" t="s">
        <v>10878</v>
      </c>
      <c r="H5442" s="4" t="n">
        <v>0.6249</v>
      </c>
      <c r="I5442" s="2" t="s">
        <v>23</v>
      </c>
      <c r="J5442" s="2" t="s">
        <v>37</v>
      </c>
      <c r="K5442" s="2" t="n">
        <v>5</v>
      </c>
      <c r="L5442" s="2" t="n">
        <v>0</v>
      </c>
      <c r="M5442" s="2" t="n">
        <v>0</v>
      </c>
    </row>
    <row r="5443" customFormat="false" ht="15" hidden="false" customHeight="false" outlineLevel="0" collapsed="false">
      <c r="A5443" s="2" t="s">
        <v>11070</v>
      </c>
      <c r="B5443" s="2" t="s">
        <v>11071</v>
      </c>
      <c r="C5443" s="2" t="n">
        <v>5</v>
      </c>
      <c r="D5443" s="2" t="s">
        <v>3104</v>
      </c>
      <c r="E5443" s="2" t="s">
        <v>8083</v>
      </c>
      <c r="F5443" s="3" t="n">
        <v>46184.9284722222</v>
      </c>
      <c r="G5443" s="2" t="s">
        <v>10878</v>
      </c>
      <c r="H5443" s="4" t="n">
        <v>0.3089</v>
      </c>
      <c r="I5443" s="2" t="s">
        <v>23</v>
      </c>
      <c r="J5443" s="2" t="s">
        <v>19</v>
      </c>
      <c r="K5443" s="2" t="n">
        <v>1</v>
      </c>
      <c r="L5443" s="2" t="n">
        <v>0</v>
      </c>
      <c r="M5443" s="2" t="n">
        <v>0</v>
      </c>
    </row>
    <row r="5444" customFormat="false" ht="15" hidden="false" customHeight="false" outlineLevel="0" collapsed="false">
      <c r="A5444" s="2" t="s">
        <v>11072</v>
      </c>
      <c r="B5444" s="2" t="s">
        <v>11073</v>
      </c>
      <c r="C5444" s="2" t="n">
        <v>4</v>
      </c>
      <c r="D5444" s="2" t="s">
        <v>96</v>
      </c>
      <c r="E5444" s="2" t="s">
        <v>8083</v>
      </c>
      <c r="F5444" s="3" t="n">
        <v>46185.0631944445</v>
      </c>
      <c r="G5444" s="2" t="s">
        <v>10878</v>
      </c>
      <c r="H5444" s="4" t="n">
        <v>0.6369</v>
      </c>
      <c r="I5444" s="2" t="s">
        <v>23</v>
      </c>
      <c r="J5444" s="2" t="s">
        <v>19</v>
      </c>
      <c r="K5444" s="2" t="n">
        <v>8</v>
      </c>
      <c r="L5444" s="2" t="n">
        <v>0</v>
      </c>
      <c r="M5444" s="2" t="n">
        <v>0</v>
      </c>
    </row>
    <row r="5445" customFormat="false" ht="15" hidden="false" customHeight="false" outlineLevel="0" collapsed="false">
      <c r="A5445" s="2" t="s">
        <v>11074</v>
      </c>
      <c r="B5445" s="2" t="s">
        <v>11075</v>
      </c>
      <c r="C5445" s="2" t="n">
        <v>5</v>
      </c>
      <c r="D5445" s="2" t="s">
        <v>3798</v>
      </c>
      <c r="E5445" s="2" t="s">
        <v>8083</v>
      </c>
      <c r="F5445" s="3" t="n">
        <v>46185.0763888889</v>
      </c>
      <c r="G5445" s="2" t="s">
        <v>10878</v>
      </c>
      <c r="H5445" s="4" t="n">
        <v>0.7549</v>
      </c>
      <c r="I5445" s="2" t="s">
        <v>23</v>
      </c>
      <c r="J5445" s="2" t="s">
        <v>19</v>
      </c>
      <c r="K5445" s="2" t="n">
        <v>0</v>
      </c>
      <c r="L5445" s="2" t="n">
        <v>0</v>
      </c>
      <c r="M5445" s="2" t="n">
        <v>0</v>
      </c>
    </row>
    <row r="5446" customFormat="false" ht="15" hidden="false" customHeight="false" outlineLevel="0" collapsed="false">
      <c r="A5446" s="2" t="s">
        <v>11076</v>
      </c>
      <c r="B5446" s="2" t="s">
        <v>11077</v>
      </c>
      <c r="C5446" s="2" t="n">
        <v>1</v>
      </c>
      <c r="D5446" s="2" t="s">
        <v>2056</v>
      </c>
      <c r="E5446" s="2" t="s">
        <v>8083</v>
      </c>
      <c r="F5446" s="3" t="n">
        <v>46185.0777777778</v>
      </c>
      <c r="G5446" s="2" t="s">
        <v>10878</v>
      </c>
      <c r="H5446" s="4" t="n">
        <v>-0.2846</v>
      </c>
      <c r="I5446" s="2" t="s">
        <v>84</v>
      </c>
      <c r="J5446" s="2" t="s">
        <v>37</v>
      </c>
      <c r="K5446" s="2" t="n">
        <v>1</v>
      </c>
      <c r="L5446" s="2" t="n">
        <v>0</v>
      </c>
      <c r="M5446" s="2" t="n">
        <v>0</v>
      </c>
    </row>
    <row r="5447" customFormat="false" ht="15" hidden="false" customHeight="false" outlineLevel="0" collapsed="false">
      <c r="A5447" s="2" t="s">
        <v>11078</v>
      </c>
      <c r="B5447" s="2" t="s">
        <v>11079</v>
      </c>
      <c r="C5447" s="2" t="n">
        <v>4</v>
      </c>
      <c r="D5447" s="2" t="s">
        <v>47</v>
      </c>
      <c r="E5447" s="2" t="s">
        <v>8083</v>
      </c>
      <c r="F5447" s="3" t="n">
        <v>46185.3777777778</v>
      </c>
      <c r="G5447" s="2" t="s">
        <v>10878</v>
      </c>
      <c r="H5447" s="4" t="n">
        <v>0.3089</v>
      </c>
      <c r="I5447" s="2" t="s">
        <v>23</v>
      </c>
      <c r="J5447" s="2" t="s">
        <v>19</v>
      </c>
      <c r="K5447" s="2" t="n">
        <v>6</v>
      </c>
      <c r="L5447" s="2" t="n">
        <v>0</v>
      </c>
      <c r="M5447" s="2" t="n">
        <v>0</v>
      </c>
    </row>
    <row r="5448" customFormat="false" ht="15" hidden="false" customHeight="false" outlineLevel="0" collapsed="false">
      <c r="A5448" s="2" t="s">
        <v>11080</v>
      </c>
      <c r="B5448" s="2" t="s">
        <v>11081</v>
      </c>
      <c r="C5448" s="2" t="n">
        <v>4</v>
      </c>
      <c r="D5448" s="2" t="s">
        <v>52</v>
      </c>
      <c r="E5448" s="2" t="s">
        <v>8083</v>
      </c>
      <c r="F5448" s="3" t="n">
        <v>46185.6298611111</v>
      </c>
      <c r="G5448" s="2" t="s">
        <v>10878</v>
      </c>
      <c r="H5448" s="4" t="n">
        <v>0.6369</v>
      </c>
      <c r="I5448" s="2" t="s">
        <v>23</v>
      </c>
      <c r="J5448" s="2" t="s">
        <v>19</v>
      </c>
      <c r="K5448" s="2" t="n">
        <v>5</v>
      </c>
      <c r="L5448" s="2" t="n">
        <v>0</v>
      </c>
      <c r="M5448" s="2" t="n">
        <v>0</v>
      </c>
    </row>
    <row r="5449" customFormat="false" ht="15" hidden="false" customHeight="false" outlineLevel="0" collapsed="false">
      <c r="A5449" s="2" t="s">
        <v>11082</v>
      </c>
      <c r="B5449" s="2" t="s">
        <v>11083</v>
      </c>
      <c r="C5449" s="2" t="n">
        <v>4</v>
      </c>
      <c r="D5449" s="2" t="s">
        <v>301</v>
      </c>
      <c r="E5449" s="2" t="s">
        <v>8083</v>
      </c>
      <c r="F5449" s="3" t="n">
        <v>46185.9673611111</v>
      </c>
      <c r="G5449" s="2" t="s">
        <v>10878</v>
      </c>
      <c r="H5449" s="4" t="n">
        <v>0.2263</v>
      </c>
      <c r="I5449" s="2" t="s">
        <v>23</v>
      </c>
      <c r="J5449" s="2" t="s">
        <v>19</v>
      </c>
      <c r="K5449" s="2" t="n">
        <v>1</v>
      </c>
      <c r="L5449" s="2" t="n">
        <v>0</v>
      </c>
      <c r="M5449" s="2" t="n">
        <v>0</v>
      </c>
    </row>
    <row r="5450" customFormat="false" ht="15" hidden="false" customHeight="false" outlineLevel="0" collapsed="false">
      <c r="A5450" s="2" t="s">
        <v>11084</v>
      </c>
      <c r="B5450" s="2" t="s">
        <v>11085</v>
      </c>
      <c r="C5450" s="2" t="n">
        <v>5</v>
      </c>
      <c r="D5450" s="2" t="s">
        <v>62</v>
      </c>
      <c r="E5450" s="2" t="s">
        <v>8083</v>
      </c>
      <c r="F5450" s="3" t="n">
        <v>46185.98125</v>
      </c>
      <c r="G5450" s="2" t="s">
        <v>10878</v>
      </c>
      <c r="H5450" s="4" t="n">
        <v>0.7088</v>
      </c>
      <c r="I5450" s="2" t="s">
        <v>23</v>
      </c>
      <c r="J5450" s="2" t="s">
        <v>19</v>
      </c>
      <c r="K5450" s="2" t="n">
        <v>10</v>
      </c>
      <c r="L5450" s="2" t="n">
        <v>0</v>
      </c>
      <c r="M5450" s="2" t="n">
        <v>0</v>
      </c>
    </row>
    <row r="5451" customFormat="false" ht="15" hidden="false" customHeight="false" outlineLevel="0" collapsed="false">
      <c r="A5451" s="2" t="s">
        <v>11086</v>
      </c>
      <c r="B5451" s="2" t="s">
        <v>11087</v>
      </c>
      <c r="C5451" s="2" t="n">
        <v>5</v>
      </c>
      <c r="D5451" s="2" t="s">
        <v>40</v>
      </c>
      <c r="E5451" s="2" t="s">
        <v>8083</v>
      </c>
      <c r="F5451" s="3" t="n">
        <v>46186.0819444444</v>
      </c>
      <c r="G5451" s="2" t="s">
        <v>10878</v>
      </c>
      <c r="H5451" s="4" t="n">
        <v>0.4019</v>
      </c>
      <c r="I5451" s="2" t="s">
        <v>23</v>
      </c>
      <c r="J5451" s="2" t="s">
        <v>33</v>
      </c>
      <c r="K5451" s="2" t="n">
        <v>1</v>
      </c>
      <c r="L5451" s="2" t="n">
        <v>0</v>
      </c>
      <c r="M5451" s="2" t="n">
        <v>0</v>
      </c>
    </row>
    <row r="5452" customFormat="false" ht="15" hidden="false" customHeight="false" outlineLevel="0" collapsed="false">
      <c r="A5452" s="2" t="s">
        <v>11088</v>
      </c>
      <c r="B5452" s="2" t="s">
        <v>11089</v>
      </c>
      <c r="C5452" s="2" t="n">
        <v>5</v>
      </c>
      <c r="D5452" s="2" t="s">
        <v>62</v>
      </c>
      <c r="E5452" s="2" t="s">
        <v>8083</v>
      </c>
      <c r="F5452" s="3" t="n">
        <v>46186.0972222222</v>
      </c>
      <c r="G5452" s="2" t="s">
        <v>10878</v>
      </c>
      <c r="H5452" s="4" t="n">
        <v>0.7088</v>
      </c>
      <c r="I5452" s="2" t="s">
        <v>23</v>
      </c>
      <c r="J5452" s="2" t="s">
        <v>19</v>
      </c>
      <c r="K5452" s="2" t="n">
        <v>3</v>
      </c>
      <c r="L5452" s="2" t="n">
        <v>0</v>
      </c>
      <c r="M5452" s="2" t="n">
        <v>0</v>
      </c>
    </row>
    <row r="5453" customFormat="false" ht="15" hidden="false" customHeight="false" outlineLevel="0" collapsed="false">
      <c r="A5453" s="2" t="s">
        <v>11090</v>
      </c>
      <c r="B5453" s="2" t="s">
        <v>11091</v>
      </c>
      <c r="C5453" s="2" t="n">
        <v>5</v>
      </c>
      <c r="D5453" s="2" t="s">
        <v>3798</v>
      </c>
      <c r="E5453" s="2" t="s">
        <v>8083</v>
      </c>
      <c r="F5453" s="3" t="n">
        <v>46186.2138888889</v>
      </c>
      <c r="G5453" s="2" t="s">
        <v>10878</v>
      </c>
      <c r="H5453" s="4" t="n">
        <v>0.7549</v>
      </c>
      <c r="I5453" s="2" t="s">
        <v>23</v>
      </c>
      <c r="J5453" s="2" t="s">
        <v>19</v>
      </c>
      <c r="K5453" s="2" t="n">
        <v>6</v>
      </c>
      <c r="L5453" s="2" t="n">
        <v>0</v>
      </c>
      <c r="M5453" s="2" t="n">
        <v>0</v>
      </c>
    </row>
    <row r="5454" customFormat="false" ht="15" hidden="false" customHeight="false" outlineLevel="0" collapsed="false">
      <c r="A5454" s="2" t="s">
        <v>11092</v>
      </c>
      <c r="B5454" s="2" t="s">
        <v>11093</v>
      </c>
      <c r="C5454" s="2" t="n">
        <v>5</v>
      </c>
      <c r="D5454" s="2" t="s">
        <v>787</v>
      </c>
      <c r="E5454" s="2" t="s">
        <v>8083</v>
      </c>
      <c r="F5454" s="3" t="n">
        <v>46186.3743055556</v>
      </c>
      <c r="G5454" s="2" t="s">
        <v>10878</v>
      </c>
      <c r="H5454" s="4" t="n">
        <v>0.7475</v>
      </c>
      <c r="I5454" s="2" t="s">
        <v>23</v>
      </c>
      <c r="J5454" s="2" t="s">
        <v>37</v>
      </c>
      <c r="K5454" s="2" t="n">
        <v>1</v>
      </c>
      <c r="L5454" s="2" t="n">
        <v>0</v>
      </c>
      <c r="M5454" s="2" t="n">
        <v>0</v>
      </c>
    </row>
    <row r="5455" customFormat="false" ht="15" hidden="false" customHeight="false" outlineLevel="0" collapsed="false">
      <c r="A5455" s="2" t="s">
        <v>11094</v>
      </c>
      <c r="B5455" s="2" t="s">
        <v>11095</v>
      </c>
      <c r="C5455" s="2" t="n">
        <v>4</v>
      </c>
      <c r="D5455" s="2" t="s">
        <v>9854</v>
      </c>
      <c r="E5455" s="2" t="s">
        <v>8083</v>
      </c>
      <c r="F5455" s="3" t="n">
        <v>46186.5604166667</v>
      </c>
      <c r="G5455" s="2" t="s">
        <v>10878</v>
      </c>
      <c r="H5455" s="4" t="n">
        <v>0.6319</v>
      </c>
      <c r="I5455" s="2" t="s">
        <v>23</v>
      </c>
      <c r="J5455" s="2" t="s">
        <v>37</v>
      </c>
      <c r="K5455" s="2" t="n">
        <v>0</v>
      </c>
      <c r="L5455" s="2" t="n">
        <v>0</v>
      </c>
      <c r="M5455" s="2" t="n">
        <v>0</v>
      </c>
    </row>
    <row r="5456" customFormat="false" ht="15" hidden="false" customHeight="false" outlineLevel="0" collapsed="false">
      <c r="A5456" s="2" t="s">
        <v>11096</v>
      </c>
      <c r="B5456" s="2" t="s">
        <v>11097</v>
      </c>
      <c r="C5456" s="2" t="n">
        <v>4</v>
      </c>
      <c r="D5456" s="2" t="s">
        <v>52</v>
      </c>
      <c r="E5456" s="2" t="s">
        <v>8083</v>
      </c>
      <c r="F5456" s="3" t="n">
        <v>46186.6201388889</v>
      </c>
      <c r="G5456" s="2" t="s">
        <v>10878</v>
      </c>
      <c r="H5456" s="4" t="n">
        <v>0.6369</v>
      </c>
      <c r="I5456" s="2" t="s">
        <v>23</v>
      </c>
      <c r="J5456" s="2" t="s">
        <v>19</v>
      </c>
      <c r="K5456" s="2" t="n">
        <v>1</v>
      </c>
      <c r="L5456" s="2" t="n">
        <v>0</v>
      </c>
      <c r="M5456" s="2" t="n">
        <v>0</v>
      </c>
    </row>
    <row r="5457" customFormat="false" ht="15" hidden="false" customHeight="false" outlineLevel="0" collapsed="false">
      <c r="A5457" s="2" t="s">
        <v>11098</v>
      </c>
      <c r="B5457" s="2" t="s">
        <v>11099</v>
      </c>
      <c r="C5457" s="2" t="n">
        <v>3</v>
      </c>
      <c r="D5457" s="2" t="s">
        <v>231</v>
      </c>
      <c r="E5457" s="2" t="s">
        <v>8083</v>
      </c>
      <c r="F5457" s="3" t="n">
        <v>46187.0326388889</v>
      </c>
      <c r="G5457" s="2" t="s">
        <v>10878</v>
      </c>
      <c r="H5457" s="4" t="n">
        <v>-0.3593</v>
      </c>
      <c r="I5457" s="2" t="s">
        <v>84</v>
      </c>
      <c r="J5457" s="2" t="s">
        <v>33</v>
      </c>
      <c r="K5457" s="2" t="n">
        <v>0</v>
      </c>
      <c r="L5457" s="2" t="n">
        <v>0</v>
      </c>
      <c r="M5457" s="2" t="n">
        <v>0</v>
      </c>
    </row>
    <row r="5458" customFormat="false" ht="15" hidden="false" customHeight="false" outlineLevel="0" collapsed="false">
      <c r="A5458" s="2" t="s">
        <v>11100</v>
      </c>
      <c r="B5458" s="2" t="s">
        <v>11101</v>
      </c>
      <c r="C5458" s="2" t="n">
        <v>5</v>
      </c>
      <c r="D5458" s="2" t="s">
        <v>565</v>
      </c>
      <c r="E5458" s="2" t="s">
        <v>8083</v>
      </c>
      <c r="F5458" s="3" t="n">
        <v>46187.1736111111</v>
      </c>
      <c r="G5458" s="2" t="s">
        <v>10878</v>
      </c>
      <c r="H5458" s="4" t="n">
        <v>0.7549</v>
      </c>
      <c r="I5458" s="2" t="s">
        <v>23</v>
      </c>
      <c r="J5458" s="2" t="s">
        <v>19</v>
      </c>
      <c r="K5458" s="2" t="n">
        <v>4</v>
      </c>
      <c r="L5458" s="2" t="n">
        <v>0</v>
      </c>
      <c r="M5458" s="2" t="n">
        <v>0</v>
      </c>
    </row>
    <row r="5459" customFormat="false" ht="15" hidden="false" customHeight="false" outlineLevel="0" collapsed="false">
      <c r="A5459" s="2" t="s">
        <v>11102</v>
      </c>
      <c r="B5459" s="2" t="s">
        <v>11103</v>
      </c>
      <c r="C5459" s="2" t="n">
        <v>5</v>
      </c>
      <c r="D5459" s="2" t="s">
        <v>15</v>
      </c>
      <c r="E5459" s="2" t="s">
        <v>8083</v>
      </c>
      <c r="F5459" s="3" t="n">
        <v>46187.2895833333</v>
      </c>
      <c r="G5459" s="2" t="s">
        <v>10878</v>
      </c>
      <c r="H5459" s="4" t="n">
        <v>0</v>
      </c>
      <c r="I5459" s="2" t="s">
        <v>18</v>
      </c>
      <c r="J5459" s="2" t="s">
        <v>19</v>
      </c>
      <c r="K5459" s="2" t="n">
        <v>2</v>
      </c>
      <c r="L5459" s="2" t="n">
        <v>0</v>
      </c>
      <c r="M5459" s="2" t="n">
        <v>0</v>
      </c>
    </row>
    <row r="5460" customFormat="false" ht="15" hidden="false" customHeight="false" outlineLevel="0" collapsed="false">
      <c r="A5460" s="2" t="s">
        <v>11104</v>
      </c>
      <c r="B5460" s="2" t="s">
        <v>11105</v>
      </c>
      <c r="C5460" s="2" t="n">
        <v>5</v>
      </c>
      <c r="D5460" s="2" t="s">
        <v>90</v>
      </c>
      <c r="E5460" s="2" t="s">
        <v>8083</v>
      </c>
      <c r="F5460" s="3" t="n">
        <v>46187.4361111111</v>
      </c>
      <c r="G5460" s="2" t="s">
        <v>10878</v>
      </c>
      <c r="H5460" s="4" t="n">
        <v>0.6249</v>
      </c>
      <c r="I5460" s="2" t="s">
        <v>23</v>
      </c>
      <c r="J5460" s="2" t="s">
        <v>37</v>
      </c>
      <c r="K5460" s="2" t="n">
        <v>7</v>
      </c>
      <c r="L5460" s="2" t="n">
        <v>0</v>
      </c>
      <c r="M5460" s="2" t="n">
        <v>0</v>
      </c>
    </row>
    <row r="5461" customFormat="false" ht="15" hidden="false" customHeight="false" outlineLevel="0" collapsed="false">
      <c r="A5461" s="2" t="s">
        <v>11106</v>
      </c>
      <c r="B5461" s="2" t="s">
        <v>11107</v>
      </c>
      <c r="C5461" s="2" t="n">
        <v>2</v>
      </c>
      <c r="D5461" s="2" t="s">
        <v>83</v>
      </c>
      <c r="E5461" s="2" t="s">
        <v>8083</v>
      </c>
      <c r="F5461" s="3" t="n">
        <v>46187.4680555556</v>
      </c>
      <c r="G5461" s="2" t="s">
        <v>10878</v>
      </c>
      <c r="H5461" s="4" t="n">
        <v>-0.6166</v>
      </c>
      <c r="I5461" s="2" t="s">
        <v>84</v>
      </c>
      <c r="J5461" s="2" t="s">
        <v>59</v>
      </c>
      <c r="K5461" s="2" t="n">
        <v>2</v>
      </c>
      <c r="L5461" s="2" t="n">
        <v>1</v>
      </c>
      <c r="M5461" s="2" t="n">
        <v>0</v>
      </c>
    </row>
    <row r="5462" customFormat="false" ht="15" hidden="false" customHeight="false" outlineLevel="0" collapsed="false">
      <c r="A5462" s="2" t="s">
        <v>11108</v>
      </c>
      <c r="B5462" s="2" t="s">
        <v>11109</v>
      </c>
      <c r="C5462" s="2" t="n">
        <v>5</v>
      </c>
      <c r="D5462" s="2" t="s">
        <v>62</v>
      </c>
      <c r="E5462" s="2" t="s">
        <v>8083</v>
      </c>
      <c r="F5462" s="3" t="n">
        <v>46187.6055555556</v>
      </c>
      <c r="G5462" s="2" t="s">
        <v>10878</v>
      </c>
      <c r="H5462" s="4" t="n">
        <v>0.7088</v>
      </c>
      <c r="I5462" s="2" t="s">
        <v>23</v>
      </c>
      <c r="J5462" s="2" t="s">
        <v>19</v>
      </c>
      <c r="K5462" s="2" t="n">
        <v>5</v>
      </c>
      <c r="L5462" s="2" t="n">
        <v>0</v>
      </c>
      <c r="M5462" s="2" t="n">
        <v>0</v>
      </c>
    </row>
    <row r="5463" customFormat="false" ht="15" hidden="false" customHeight="false" outlineLevel="0" collapsed="false">
      <c r="A5463" s="2" t="s">
        <v>11110</v>
      </c>
      <c r="B5463" s="2" t="s">
        <v>11111</v>
      </c>
      <c r="C5463" s="2" t="n">
        <v>4</v>
      </c>
      <c r="D5463" s="2" t="s">
        <v>15</v>
      </c>
      <c r="E5463" s="2" t="s">
        <v>8083</v>
      </c>
      <c r="F5463" s="3" t="n">
        <v>46187.7208333333</v>
      </c>
      <c r="G5463" s="2" t="s">
        <v>10878</v>
      </c>
      <c r="H5463" s="4" t="n">
        <v>0</v>
      </c>
      <c r="I5463" s="2" t="s">
        <v>18</v>
      </c>
      <c r="J5463" s="2" t="s">
        <v>19</v>
      </c>
      <c r="K5463" s="2" t="n">
        <v>0</v>
      </c>
      <c r="L5463" s="2" t="n">
        <v>0</v>
      </c>
      <c r="M5463" s="2" t="n">
        <v>0</v>
      </c>
    </row>
    <row r="5464" customFormat="false" ht="15" hidden="false" customHeight="false" outlineLevel="0" collapsed="false">
      <c r="A5464" s="2" t="s">
        <v>11112</v>
      </c>
      <c r="B5464" s="2" t="s">
        <v>11113</v>
      </c>
      <c r="C5464" s="2" t="n">
        <v>4</v>
      </c>
      <c r="D5464" s="2" t="s">
        <v>96</v>
      </c>
      <c r="E5464" s="2" t="s">
        <v>8083</v>
      </c>
      <c r="F5464" s="3" t="n">
        <v>46187.9513888889</v>
      </c>
      <c r="G5464" s="2" t="s">
        <v>10878</v>
      </c>
      <c r="H5464" s="4" t="n">
        <v>0.6369</v>
      </c>
      <c r="I5464" s="2" t="s">
        <v>23</v>
      </c>
      <c r="J5464" s="2" t="s">
        <v>19</v>
      </c>
      <c r="K5464" s="2" t="n">
        <v>0</v>
      </c>
      <c r="L5464" s="2" t="n">
        <v>0</v>
      </c>
      <c r="M5464" s="2" t="n">
        <v>0</v>
      </c>
    </row>
    <row r="5465" customFormat="false" ht="15" hidden="false" customHeight="false" outlineLevel="0" collapsed="false">
      <c r="A5465" s="2" t="s">
        <v>11114</v>
      </c>
      <c r="B5465" s="2" t="s">
        <v>11115</v>
      </c>
      <c r="C5465" s="2" t="n">
        <v>5</v>
      </c>
      <c r="D5465" s="2" t="s">
        <v>47</v>
      </c>
      <c r="E5465" s="2" t="s">
        <v>8083</v>
      </c>
      <c r="F5465" s="3" t="n">
        <v>46188.3722222222</v>
      </c>
      <c r="G5465" s="2" t="s">
        <v>10878</v>
      </c>
      <c r="H5465" s="4" t="n">
        <v>0.3089</v>
      </c>
      <c r="I5465" s="2" t="s">
        <v>23</v>
      </c>
      <c r="J5465" s="2" t="s">
        <v>19</v>
      </c>
      <c r="K5465" s="2" t="n">
        <v>4</v>
      </c>
      <c r="L5465" s="2" t="n">
        <v>0</v>
      </c>
      <c r="M5465" s="2" t="n">
        <v>0</v>
      </c>
    </row>
    <row r="5466" customFormat="false" ht="15" hidden="false" customHeight="false" outlineLevel="0" collapsed="false">
      <c r="A5466" s="2" t="s">
        <v>11116</v>
      </c>
      <c r="B5466" s="2" t="s">
        <v>11117</v>
      </c>
      <c r="C5466" s="2" t="n">
        <v>5</v>
      </c>
      <c r="D5466" s="2" t="s">
        <v>127</v>
      </c>
      <c r="E5466" s="2" t="s">
        <v>8083</v>
      </c>
      <c r="F5466" s="3" t="n">
        <v>46188.6076388889</v>
      </c>
      <c r="G5466" s="2" t="s">
        <v>10878</v>
      </c>
      <c r="H5466" s="4" t="n">
        <v>0.9359</v>
      </c>
      <c r="I5466" s="2" t="s">
        <v>23</v>
      </c>
      <c r="J5466" s="2" t="s">
        <v>37</v>
      </c>
      <c r="K5466" s="2" t="n">
        <v>12</v>
      </c>
      <c r="L5466" s="2" t="n">
        <v>0</v>
      </c>
      <c r="M5466" s="2" t="n">
        <v>0</v>
      </c>
    </row>
    <row r="5467" customFormat="false" ht="15" hidden="false" customHeight="false" outlineLevel="0" collapsed="false">
      <c r="A5467" s="2" t="s">
        <v>11118</v>
      </c>
      <c r="B5467" s="2" t="s">
        <v>11119</v>
      </c>
      <c r="C5467" s="2" t="n">
        <v>5</v>
      </c>
      <c r="D5467" s="2" t="s">
        <v>52</v>
      </c>
      <c r="E5467" s="2" t="s">
        <v>8083</v>
      </c>
      <c r="F5467" s="3" t="n">
        <v>46188.6805555556</v>
      </c>
      <c r="G5467" s="2" t="s">
        <v>10878</v>
      </c>
      <c r="H5467" s="4" t="n">
        <v>0.6369</v>
      </c>
      <c r="I5467" s="2" t="s">
        <v>23</v>
      </c>
      <c r="J5467" s="2" t="s">
        <v>19</v>
      </c>
      <c r="K5467" s="2" t="n">
        <v>3</v>
      </c>
      <c r="L5467" s="2" t="n">
        <v>0</v>
      </c>
      <c r="M5467" s="2" t="n">
        <v>0</v>
      </c>
    </row>
    <row r="5468" customFormat="false" ht="15" hidden="false" customHeight="false" outlineLevel="0" collapsed="false">
      <c r="A5468" s="2" t="s">
        <v>11120</v>
      </c>
      <c r="B5468" s="2" t="s">
        <v>11121</v>
      </c>
      <c r="C5468" s="2" t="n">
        <v>1</v>
      </c>
      <c r="D5468" s="2" t="s">
        <v>823</v>
      </c>
      <c r="E5468" s="2" t="s">
        <v>8083</v>
      </c>
      <c r="F5468" s="3" t="n">
        <v>46188.9006944444</v>
      </c>
      <c r="G5468" s="2" t="s">
        <v>10878</v>
      </c>
      <c r="H5468" s="4" t="n">
        <v>-0.6997</v>
      </c>
      <c r="I5468" s="2" t="s">
        <v>84</v>
      </c>
      <c r="J5468" s="2" t="s">
        <v>19</v>
      </c>
      <c r="K5468" s="2" t="n">
        <v>4</v>
      </c>
      <c r="L5468" s="2" t="n">
        <v>1</v>
      </c>
      <c r="M5468" s="2" t="n">
        <v>0</v>
      </c>
    </row>
    <row r="5469" customFormat="false" ht="15" hidden="false" customHeight="false" outlineLevel="0" collapsed="false">
      <c r="A5469" s="2" t="s">
        <v>11122</v>
      </c>
      <c r="B5469" s="2" t="s">
        <v>11123</v>
      </c>
      <c r="C5469" s="2" t="n">
        <v>5</v>
      </c>
      <c r="D5469" s="2" t="s">
        <v>555</v>
      </c>
      <c r="E5469" s="2" t="s">
        <v>8083</v>
      </c>
      <c r="F5469" s="3" t="n">
        <v>46188.9138888889</v>
      </c>
      <c r="G5469" s="2" t="s">
        <v>10878</v>
      </c>
      <c r="H5469" s="4" t="n">
        <v>0.8221</v>
      </c>
      <c r="I5469" s="2" t="s">
        <v>23</v>
      </c>
      <c r="J5469" s="2" t="s">
        <v>33</v>
      </c>
      <c r="K5469" s="2" t="n">
        <v>2</v>
      </c>
      <c r="L5469" s="2" t="n">
        <v>0</v>
      </c>
      <c r="M5469" s="2" t="n">
        <v>0</v>
      </c>
    </row>
    <row r="5470" customFormat="false" ht="15" hidden="false" customHeight="false" outlineLevel="0" collapsed="false">
      <c r="A5470" s="2" t="s">
        <v>11124</v>
      </c>
      <c r="B5470" s="2" t="s">
        <v>11125</v>
      </c>
      <c r="C5470" s="2" t="n">
        <v>5</v>
      </c>
      <c r="D5470" s="2" t="s">
        <v>93</v>
      </c>
      <c r="E5470" s="2" t="s">
        <v>8083</v>
      </c>
      <c r="F5470" s="3" t="n">
        <v>46188.925</v>
      </c>
      <c r="G5470" s="2" t="s">
        <v>10878</v>
      </c>
      <c r="H5470" s="4" t="n">
        <v>0.8008</v>
      </c>
      <c r="I5470" s="2" t="s">
        <v>23</v>
      </c>
      <c r="J5470" s="2" t="s">
        <v>33</v>
      </c>
      <c r="K5470" s="2" t="n">
        <v>1</v>
      </c>
      <c r="L5470" s="2" t="n">
        <v>1</v>
      </c>
      <c r="M5470" s="2" t="n">
        <v>0</v>
      </c>
    </row>
    <row r="5471" customFormat="false" ht="15" hidden="false" customHeight="false" outlineLevel="0" collapsed="false">
      <c r="A5471" s="2" t="s">
        <v>11126</v>
      </c>
      <c r="B5471" s="2" t="s">
        <v>11127</v>
      </c>
      <c r="C5471" s="2" t="n">
        <v>5</v>
      </c>
      <c r="D5471" s="2" t="s">
        <v>40</v>
      </c>
      <c r="E5471" s="2" t="s">
        <v>8083</v>
      </c>
      <c r="F5471" s="3" t="n">
        <v>46189.1263888889</v>
      </c>
      <c r="G5471" s="2" t="s">
        <v>10878</v>
      </c>
      <c r="H5471" s="4" t="n">
        <v>0.4019</v>
      </c>
      <c r="I5471" s="2" t="s">
        <v>23</v>
      </c>
      <c r="J5471" s="2" t="s">
        <v>33</v>
      </c>
      <c r="K5471" s="2" t="n">
        <v>2</v>
      </c>
      <c r="L5471" s="2" t="n">
        <v>0</v>
      </c>
      <c r="M5471" s="2" t="n">
        <v>0</v>
      </c>
    </row>
    <row r="5472" customFormat="false" ht="15" hidden="false" customHeight="false" outlineLevel="0" collapsed="false">
      <c r="A5472" s="2" t="s">
        <v>11128</v>
      </c>
      <c r="B5472" s="2" t="s">
        <v>11129</v>
      </c>
      <c r="C5472" s="2" t="n">
        <v>5</v>
      </c>
      <c r="D5472" s="2" t="s">
        <v>127</v>
      </c>
      <c r="E5472" s="2" t="s">
        <v>8083</v>
      </c>
      <c r="F5472" s="3" t="n">
        <v>46189.4659722222</v>
      </c>
      <c r="G5472" s="2" t="s">
        <v>10878</v>
      </c>
      <c r="H5472" s="4" t="n">
        <v>0.9359</v>
      </c>
      <c r="I5472" s="2" t="s">
        <v>23</v>
      </c>
      <c r="J5472" s="2" t="s">
        <v>37</v>
      </c>
      <c r="K5472" s="2" t="n">
        <v>11</v>
      </c>
      <c r="L5472" s="2" t="n">
        <v>0</v>
      </c>
      <c r="M5472" s="2" t="n">
        <v>0</v>
      </c>
    </row>
    <row r="5473" customFormat="false" ht="15" hidden="false" customHeight="false" outlineLevel="0" collapsed="false">
      <c r="A5473" s="2" t="s">
        <v>11130</v>
      </c>
      <c r="B5473" s="2" t="s">
        <v>11131</v>
      </c>
      <c r="C5473" s="2" t="n">
        <v>1</v>
      </c>
      <c r="D5473" s="2" t="s">
        <v>133</v>
      </c>
      <c r="E5473" s="2" t="s">
        <v>8083</v>
      </c>
      <c r="F5473" s="3" t="n">
        <v>46189.8930555556</v>
      </c>
      <c r="G5473" s="2" t="s">
        <v>10878</v>
      </c>
      <c r="H5473" s="4" t="n">
        <v>-0.5719</v>
      </c>
      <c r="I5473" s="2" t="s">
        <v>84</v>
      </c>
      <c r="J5473" s="2" t="s">
        <v>33</v>
      </c>
      <c r="K5473" s="2" t="n">
        <v>3</v>
      </c>
      <c r="L5473" s="2" t="n">
        <v>0</v>
      </c>
      <c r="M5473" s="2" t="n">
        <v>0</v>
      </c>
    </row>
    <row r="5474" customFormat="false" ht="15" hidden="false" customHeight="false" outlineLevel="0" collapsed="false">
      <c r="A5474" s="2" t="s">
        <v>11132</v>
      </c>
      <c r="B5474" s="2" t="s">
        <v>11133</v>
      </c>
      <c r="C5474" s="2" t="n">
        <v>1</v>
      </c>
      <c r="D5474" s="2" t="s">
        <v>402</v>
      </c>
      <c r="E5474" s="2" t="s">
        <v>8083</v>
      </c>
      <c r="F5474" s="3" t="n">
        <v>46190.0520833333</v>
      </c>
      <c r="G5474" s="2" t="s">
        <v>10878</v>
      </c>
      <c r="H5474" s="4" t="n">
        <v>0</v>
      </c>
      <c r="I5474" s="2" t="s">
        <v>18</v>
      </c>
      <c r="J5474" s="2" t="s">
        <v>59</v>
      </c>
      <c r="K5474" s="2" t="n">
        <v>1</v>
      </c>
      <c r="L5474" s="2" t="n">
        <v>0</v>
      </c>
      <c r="M5474" s="2" t="n">
        <v>0</v>
      </c>
    </row>
    <row r="5475" customFormat="false" ht="15" hidden="false" customHeight="false" outlineLevel="0" collapsed="false">
      <c r="A5475" s="2" t="s">
        <v>11134</v>
      </c>
      <c r="B5475" s="2" t="s">
        <v>11135</v>
      </c>
      <c r="C5475" s="2" t="n">
        <v>5</v>
      </c>
      <c r="D5475" s="2" t="s">
        <v>799</v>
      </c>
      <c r="E5475" s="2" t="s">
        <v>8083</v>
      </c>
      <c r="F5475" s="3" t="n">
        <v>46190.0826388889</v>
      </c>
      <c r="G5475" s="2" t="s">
        <v>10878</v>
      </c>
      <c r="H5475" s="4" t="n">
        <v>0.9606</v>
      </c>
      <c r="I5475" s="2" t="s">
        <v>23</v>
      </c>
      <c r="J5475" s="2" t="s">
        <v>37</v>
      </c>
      <c r="K5475" s="2" t="n">
        <v>1</v>
      </c>
      <c r="L5475" s="2" t="n">
        <v>0</v>
      </c>
      <c r="M5475" s="2" t="n">
        <v>0</v>
      </c>
    </row>
    <row r="5476" customFormat="false" ht="15" hidden="false" customHeight="false" outlineLevel="0" collapsed="false">
      <c r="A5476" s="2" t="s">
        <v>11136</v>
      </c>
      <c r="B5476" s="2" t="s">
        <v>11137</v>
      </c>
      <c r="C5476" s="2" t="n">
        <v>5</v>
      </c>
      <c r="D5476" s="2" t="s">
        <v>127</v>
      </c>
      <c r="E5476" s="2" t="s">
        <v>8083</v>
      </c>
      <c r="F5476" s="3" t="n">
        <v>46190.1465277778</v>
      </c>
      <c r="G5476" s="2" t="s">
        <v>10878</v>
      </c>
      <c r="H5476" s="4" t="n">
        <v>0.9359</v>
      </c>
      <c r="I5476" s="2" t="s">
        <v>23</v>
      </c>
      <c r="J5476" s="2" t="s">
        <v>37</v>
      </c>
      <c r="K5476" s="2" t="n">
        <v>0</v>
      </c>
      <c r="L5476" s="2" t="n">
        <v>0</v>
      </c>
      <c r="M5476" s="2" t="n">
        <v>0</v>
      </c>
    </row>
    <row r="5477" customFormat="false" ht="15" hidden="false" customHeight="false" outlineLevel="0" collapsed="false">
      <c r="A5477" s="2" t="s">
        <v>11138</v>
      </c>
      <c r="B5477" s="2" t="s">
        <v>11139</v>
      </c>
      <c r="C5477" s="2" t="n">
        <v>5</v>
      </c>
      <c r="D5477" s="2" t="s">
        <v>40</v>
      </c>
      <c r="E5477" s="2" t="s">
        <v>8083</v>
      </c>
      <c r="F5477" s="3" t="n">
        <v>46190.2138888889</v>
      </c>
      <c r="G5477" s="2" t="s">
        <v>10878</v>
      </c>
      <c r="H5477" s="4" t="n">
        <v>0.4019</v>
      </c>
      <c r="I5477" s="2" t="s">
        <v>23</v>
      </c>
      <c r="J5477" s="2" t="s">
        <v>33</v>
      </c>
      <c r="K5477" s="2" t="n">
        <v>6</v>
      </c>
      <c r="L5477" s="2" t="n">
        <v>0</v>
      </c>
      <c r="M5477" s="2" t="n">
        <v>0</v>
      </c>
    </row>
    <row r="5478" customFormat="false" ht="15" hidden="false" customHeight="false" outlineLevel="0" collapsed="false">
      <c r="A5478" s="2" t="s">
        <v>11140</v>
      </c>
      <c r="B5478" s="2" t="s">
        <v>11141</v>
      </c>
      <c r="C5478" s="2" t="n">
        <v>4</v>
      </c>
      <c r="D5478" s="2" t="s">
        <v>47</v>
      </c>
      <c r="E5478" s="2" t="s">
        <v>8083</v>
      </c>
      <c r="F5478" s="3" t="n">
        <v>46190.5868055556</v>
      </c>
      <c r="G5478" s="2" t="s">
        <v>10878</v>
      </c>
      <c r="H5478" s="4" t="n">
        <v>0.3089</v>
      </c>
      <c r="I5478" s="2" t="s">
        <v>23</v>
      </c>
      <c r="J5478" s="2" t="s">
        <v>19</v>
      </c>
      <c r="K5478" s="2" t="n">
        <v>1</v>
      </c>
      <c r="L5478" s="2" t="n">
        <v>0</v>
      </c>
      <c r="M5478" s="2" t="n">
        <v>0</v>
      </c>
    </row>
    <row r="5479" customFormat="false" ht="15" hidden="false" customHeight="false" outlineLevel="0" collapsed="false">
      <c r="A5479" s="2" t="s">
        <v>11142</v>
      </c>
      <c r="B5479" s="2" t="s">
        <v>11143</v>
      </c>
      <c r="C5479" s="2" t="n">
        <v>5</v>
      </c>
      <c r="D5479" s="2" t="s">
        <v>40</v>
      </c>
      <c r="E5479" s="2" t="s">
        <v>8083</v>
      </c>
      <c r="F5479" s="3" t="n">
        <v>46190.5944444445</v>
      </c>
      <c r="G5479" s="2" t="s">
        <v>10878</v>
      </c>
      <c r="H5479" s="4" t="n">
        <v>0.4019</v>
      </c>
      <c r="I5479" s="2" t="s">
        <v>23</v>
      </c>
      <c r="J5479" s="2" t="s">
        <v>33</v>
      </c>
      <c r="K5479" s="2" t="n">
        <v>6</v>
      </c>
      <c r="L5479" s="2" t="n">
        <v>0</v>
      </c>
      <c r="M5479" s="2" t="n">
        <v>0</v>
      </c>
    </row>
    <row r="5480" customFormat="false" ht="15" hidden="false" customHeight="false" outlineLevel="0" collapsed="false">
      <c r="A5480" s="2" t="s">
        <v>11144</v>
      </c>
      <c r="B5480" s="2" t="s">
        <v>11145</v>
      </c>
      <c r="C5480" s="2" t="n">
        <v>4</v>
      </c>
      <c r="D5480" s="2" t="s">
        <v>87</v>
      </c>
      <c r="E5480" s="2" t="s">
        <v>8083</v>
      </c>
      <c r="F5480" s="3" t="n">
        <v>46190.6638888889</v>
      </c>
      <c r="G5480" s="2" t="s">
        <v>10878</v>
      </c>
      <c r="H5480" s="4" t="n">
        <v>0</v>
      </c>
      <c r="I5480" s="2" t="s">
        <v>18</v>
      </c>
      <c r="J5480" s="2" t="s">
        <v>19</v>
      </c>
      <c r="K5480" s="2" t="n">
        <v>1</v>
      </c>
      <c r="L5480" s="2" t="n">
        <v>0</v>
      </c>
      <c r="M5480" s="2" t="n">
        <v>0</v>
      </c>
    </row>
    <row r="5481" customFormat="false" ht="15" hidden="false" customHeight="false" outlineLevel="0" collapsed="false">
      <c r="A5481" s="2" t="s">
        <v>11146</v>
      </c>
      <c r="B5481" s="2" t="s">
        <v>11147</v>
      </c>
      <c r="C5481" s="2" t="n">
        <v>3</v>
      </c>
      <c r="D5481" s="2" t="s">
        <v>99</v>
      </c>
      <c r="E5481" s="2" t="s">
        <v>8083</v>
      </c>
      <c r="F5481" s="3" t="n">
        <v>46190.8236111111</v>
      </c>
      <c r="G5481" s="2" t="s">
        <v>10878</v>
      </c>
      <c r="H5481" s="4" t="n">
        <v>-0.3089</v>
      </c>
      <c r="I5481" s="2" t="s">
        <v>84</v>
      </c>
      <c r="J5481" s="2" t="s">
        <v>19</v>
      </c>
      <c r="K5481" s="2" t="n">
        <v>3</v>
      </c>
      <c r="L5481" s="2" t="n">
        <v>0</v>
      </c>
      <c r="M5481" s="2" t="n">
        <v>0</v>
      </c>
    </row>
    <row r="5482" customFormat="false" ht="15" hidden="false" customHeight="false" outlineLevel="0" collapsed="false">
      <c r="A5482" s="2" t="s">
        <v>11148</v>
      </c>
      <c r="B5482" s="2" t="s">
        <v>11149</v>
      </c>
      <c r="C5482" s="2" t="n">
        <v>5</v>
      </c>
      <c r="D5482" s="2" t="s">
        <v>958</v>
      </c>
      <c r="E5482" s="2" t="s">
        <v>8083</v>
      </c>
      <c r="F5482" s="3" t="n">
        <v>46191.1625</v>
      </c>
      <c r="G5482" s="2" t="s">
        <v>10878</v>
      </c>
      <c r="H5482" s="4" t="n">
        <v>0.6249</v>
      </c>
      <c r="I5482" s="2" t="s">
        <v>23</v>
      </c>
      <c r="J5482" s="2" t="s">
        <v>37</v>
      </c>
      <c r="K5482" s="2" t="n">
        <v>2</v>
      </c>
      <c r="L5482" s="2" t="n">
        <v>0</v>
      </c>
      <c r="M5482" s="2" t="n">
        <v>0</v>
      </c>
    </row>
    <row r="5483" customFormat="false" ht="15" hidden="false" customHeight="false" outlineLevel="0" collapsed="false">
      <c r="A5483" s="2" t="s">
        <v>11150</v>
      </c>
      <c r="B5483" s="2" t="s">
        <v>11151</v>
      </c>
      <c r="C5483" s="2" t="n">
        <v>5</v>
      </c>
      <c r="D5483" s="2" t="s">
        <v>90</v>
      </c>
      <c r="E5483" s="2" t="s">
        <v>8083</v>
      </c>
      <c r="F5483" s="3" t="n">
        <v>46191.4777777778</v>
      </c>
      <c r="G5483" s="2" t="s">
        <v>10878</v>
      </c>
      <c r="H5483" s="4" t="n">
        <v>0.6249</v>
      </c>
      <c r="I5483" s="2" t="s">
        <v>23</v>
      </c>
      <c r="J5483" s="2" t="s">
        <v>37</v>
      </c>
      <c r="K5483" s="2" t="n">
        <v>3</v>
      </c>
      <c r="L5483" s="2" t="n">
        <v>0</v>
      </c>
      <c r="M5483" s="2" t="n">
        <v>0</v>
      </c>
    </row>
    <row r="5484" customFormat="false" ht="15" hidden="false" customHeight="false" outlineLevel="0" collapsed="false">
      <c r="A5484" s="2" t="s">
        <v>11152</v>
      </c>
      <c r="B5484" s="2" t="s">
        <v>11153</v>
      </c>
      <c r="C5484" s="2" t="n">
        <v>4</v>
      </c>
      <c r="D5484" s="2" t="s">
        <v>738</v>
      </c>
      <c r="E5484" s="2" t="s">
        <v>8083</v>
      </c>
      <c r="F5484" s="3" t="n">
        <v>46191.5006944445</v>
      </c>
      <c r="G5484" s="2" t="s">
        <v>10878</v>
      </c>
      <c r="H5484" s="4" t="n">
        <v>0.9612</v>
      </c>
      <c r="I5484" s="2" t="s">
        <v>23</v>
      </c>
      <c r="J5484" s="2" t="s">
        <v>37</v>
      </c>
      <c r="K5484" s="2" t="n">
        <v>2</v>
      </c>
      <c r="L5484" s="2" t="n">
        <v>0</v>
      </c>
      <c r="M5484" s="2" t="n">
        <v>0</v>
      </c>
    </row>
    <row r="5485" customFormat="false" ht="15" hidden="false" customHeight="false" outlineLevel="0" collapsed="false">
      <c r="A5485" s="2" t="s">
        <v>11154</v>
      </c>
      <c r="B5485" s="2" t="s">
        <v>11155</v>
      </c>
      <c r="C5485" s="2" t="n">
        <v>1</v>
      </c>
      <c r="D5485" s="2" t="s">
        <v>701</v>
      </c>
      <c r="E5485" s="2" t="s">
        <v>8083</v>
      </c>
      <c r="F5485" s="3" t="n">
        <v>46191.5423611111</v>
      </c>
      <c r="G5485" s="2" t="s">
        <v>10878</v>
      </c>
      <c r="H5485" s="4" t="n">
        <v>-0.7184</v>
      </c>
      <c r="I5485" s="2" t="s">
        <v>84</v>
      </c>
      <c r="J5485" s="2" t="s">
        <v>37</v>
      </c>
      <c r="K5485" s="2" t="n">
        <v>1</v>
      </c>
      <c r="L5485" s="2" t="n">
        <v>1</v>
      </c>
      <c r="M5485" s="2" t="n">
        <v>0</v>
      </c>
    </row>
    <row r="5486" customFormat="false" ht="15" hidden="false" customHeight="false" outlineLevel="0" collapsed="false">
      <c r="A5486" s="2" t="s">
        <v>11156</v>
      </c>
      <c r="B5486" s="2" t="s">
        <v>11157</v>
      </c>
      <c r="C5486" s="2" t="n">
        <v>5</v>
      </c>
      <c r="D5486" s="2" t="s">
        <v>210</v>
      </c>
      <c r="E5486" s="2" t="s">
        <v>8083</v>
      </c>
      <c r="F5486" s="3" t="n">
        <v>46191.6402777778</v>
      </c>
      <c r="G5486" s="2" t="s">
        <v>10878</v>
      </c>
      <c r="H5486" s="4" t="n">
        <v>0.5448</v>
      </c>
      <c r="I5486" s="2" t="s">
        <v>23</v>
      </c>
      <c r="J5486" s="2" t="s">
        <v>19</v>
      </c>
      <c r="K5486" s="2" t="n">
        <v>3</v>
      </c>
      <c r="L5486" s="2" t="n">
        <v>0</v>
      </c>
      <c r="M5486" s="2" t="n">
        <v>0</v>
      </c>
    </row>
    <row r="5487" customFormat="false" ht="15" hidden="false" customHeight="false" outlineLevel="0" collapsed="false">
      <c r="A5487" s="2" t="s">
        <v>11158</v>
      </c>
      <c r="B5487" s="2" t="s">
        <v>11159</v>
      </c>
      <c r="C5487" s="2" t="n">
        <v>2</v>
      </c>
      <c r="D5487" s="2" t="s">
        <v>295</v>
      </c>
      <c r="E5487" s="2" t="s">
        <v>8083</v>
      </c>
      <c r="F5487" s="3" t="n">
        <v>46191.7923611111</v>
      </c>
      <c r="G5487" s="2" t="s">
        <v>10878</v>
      </c>
      <c r="H5487" s="4" t="n">
        <v>-0.5023</v>
      </c>
      <c r="I5487" s="2" t="s">
        <v>84</v>
      </c>
      <c r="J5487" s="2" t="s">
        <v>33</v>
      </c>
      <c r="K5487" s="2" t="n">
        <v>3</v>
      </c>
      <c r="L5487" s="2" t="n">
        <v>1</v>
      </c>
      <c r="M5487" s="2" t="n">
        <v>0</v>
      </c>
    </row>
    <row r="5488" customFormat="false" ht="15" hidden="false" customHeight="false" outlineLevel="0" collapsed="false">
      <c r="A5488" s="2" t="s">
        <v>11160</v>
      </c>
      <c r="B5488" s="2" t="s">
        <v>11161</v>
      </c>
      <c r="C5488" s="2" t="n">
        <v>3</v>
      </c>
      <c r="D5488" s="2" t="s">
        <v>4066</v>
      </c>
      <c r="E5488" s="2" t="s">
        <v>8083</v>
      </c>
      <c r="F5488" s="3" t="n">
        <v>46191.7958333333</v>
      </c>
      <c r="G5488" s="2" t="s">
        <v>10878</v>
      </c>
      <c r="H5488" s="4" t="n">
        <v>0.5719</v>
      </c>
      <c r="I5488" s="2" t="s">
        <v>23</v>
      </c>
      <c r="J5488" s="2" t="s">
        <v>37</v>
      </c>
      <c r="K5488" s="2" t="n">
        <v>4</v>
      </c>
      <c r="L5488" s="2" t="n">
        <v>0</v>
      </c>
      <c r="M5488" s="2" t="n">
        <v>0</v>
      </c>
    </row>
    <row r="5489" customFormat="false" ht="15" hidden="false" customHeight="false" outlineLevel="0" collapsed="false">
      <c r="A5489" s="2" t="s">
        <v>11162</v>
      </c>
      <c r="B5489" s="2" t="s">
        <v>11163</v>
      </c>
      <c r="C5489" s="2" t="n">
        <v>5</v>
      </c>
      <c r="D5489" s="2" t="s">
        <v>62</v>
      </c>
      <c r="E5489" s="2" t="s">
        <v>8083</v>
      </c>
      <c r="F5489" s="3" t="n">
        <v>46191.9666666667</v>
      </c>
      <c r="G5489" s="2" t="s">
        <v>10878</v>
      </c>
      <c r="H5489" s="4" t="n">
        <v>0.7088</v>
      </c>
      <c r="I5489" s="2" t="s">
        <v>23</v>
      </c>
      <c r="J5489" s="2" t="s">
        <v>19</v>
      </c>
      <c r="K5489" s="2" t="n">
        <v>4</v>
      </c>
      <c r="L5489" s="2" t="n">
        <v>0</v>
      </c>
      <c r="M5489" s="2" t="n">
        <v>0</v>
      </c>
    </row>
    <row r="5490" customFormat="false" ht="15" hidden="false" customHeight="false" outlineLevel="0" collapsed="false">
      <c r="A5490" s="2" t="s">
        <v>11164</v>
      </c>
      <c r="B5490" s="2" t="s">
        <v>11165</v>
      </c>
      <c r="C5490" s="2" t="n">
        <v>2</v>
      </c>
      <c r="D5490" s="2" t="s">
        <v>58</v>
      </c>
      <c r="E5490" s="2" t="s">
        <v>8083</v>
      </c>
      <c r="F5490" s="3" t="n">
        <v>46191.975</v>
      </c>
      <c r="G5490" s="2" t="s">
        <v>10878</v>
      </c>
      <c r="H5490" s="4" t="n">
        <v>0</v>
      </c>
      <c r="I5490" s="2" t="s">
        <v>18</v>
      </c>
      <c r="J5490" s="2" t="s">
        <v>59</v>
      </c>
      <c r="K5490" s="2" t="n">
        <v>3</v>
      </c>
      <c r="L5490" s="2" t="n">
        <v>0</v>
      </c>
      <c r="M5490" s="2" t="n">
        <v>0</v>
      </c>
    </row>
    <row r="5491" customFormat="false" ht="15" hidden="false" customHeight="false" outlineLevel="0" collapsed="false">
      <c r="A5491" s="2" t="s">
        <v>11166</v>
      </c>
      <c r="B5491" s="2" t="s">
        <v>11167</v>
      </c>
      <c r="C5491" s="2" t="n">
        <v>5</v>
      </c>
      <c r="D5491" s="2" t="s">
        <v>1222</v>
      </c>
      <c r="E5491" s="2" t="s">
        <v>8083</v>
      </c>
      <c r="F5491" s="3" t="n">
        <v>46192.2152777778</v>
      </c>
      <c r="G5491" s="2" t="s">
        <v>10878</v>
      </c>
      <c r="H5491" s="4" t="n">
        <v>0.8221</v>
      </c>
      <c r="I5491" s="2" t="s">
        <v>23</v>
      </c>
      <c r="J5491" s="2" t="s">
        <v>33</v>
      </c>
      <c r="K5491" s="2" t="n">
        <v>10</v>
      </c>
      <c r="L5491" s="2" t="n">
        <v>0</v>
      </c>
      <c r="M5491" s="2" t="n">
        <v>0</v>
      </c>
    </row>
    <row r="5492" customFormat="false" ht="15" hidden="false" customHeight="false" outlineLevel="0" collapsed="false">
      <c r="A5492" s="2" t="s">
        <v>11168</v>
      </c>
      <c r="B5492" s="2" t="s">
        <v>11169</v>
      </c>
      <c r="C5492" s="2" t="n">
        <v>5</v>
      </c>
      <c r="D5492" s="2" t="s">
        <v>96</v>
      </c>
      <c r="E5492" s="2" t="s">
        <v>8083</v>
      </c>
      <c r="F5492" s="3" t="n">
        <v>46192.2215277778</v>
      </c>
      <c r="G5492" s="2" t="s">
        <v>10878</v>
      </c>
      <c r="H5492" s="4" t="n">
        <v>0.6369</v>
      </c>
      <c r="I5492" s="2" t="s">
        <v>23</v>
      </c>
      <c r="J5492" s="2" t="s">
        <v>19</v>
      </c>
      <c r="K5492" s="2" t="n">
        <v>0</v>
      </c>
      <c r="L5492" s="2" t="n">
        <v>0</v>
      </c>
      <c r="M5492" s="2" t="n">
        <v>0</v>
      </c>
    </row>
    <row r="5493" customFormat="false" ht="15" hidden="false" customHeight="false" outlineLevel="0" collapsed="false">
      <c r="A5493" s="2" t="s">
        <v>11170</v>
      </c>
      <c r="B5493" s="2" t="s">
        <v>11171</v>
      </c>
      <c r="C5493" s="2" t="n">
        <v>5</v>
      </c>
      <c r="D5493" s="2" t="s">
        <v>90</v>
      </c>
      <c r="E5493" s="2" t="s">
        <v>8083</v>
      </c>
      <c r="F5493" s="3" t="n">
        <v>46192.5152777778</v>
      </c>
      <c r="G5493" s="2" t="s">
        <v>10878</v>
      </c>
      <c r="H5493" s="4" t="n">
        <v>0.6249</v>
      </c>
      <c r="I5493" s="2" t="s">
        <v>23</v>
      </c>
      <c r="J5493" s="2" t="s">
        <v>37</v>
      </c>
      <c r="K5493" s="2" t="n">
        <v>6</v>
      </c>
      <c r="L5493" s="2" t="n">
        <v>0</v>
      </c>
      <c r="M5493" s="2" t="n">
        <v>0</v>
      </c>
    </row>
    <row r="5494" customFormat="false" ht="15" hidden="false" customHeight="false" outlineLevel="0" collapsed="false">
      <c r="A5494" s="2" t="s">
        <v>11172</v>
      </c>
      <c r="B5494" s="2" t="s">
        <v>11173</v>
      </c>
      <c r="C5494" s="2" t="n">
        <v>4</v>
      </c>
      <c r="D5494" s="2" t="s">
        <v>127</v>
      </c>
      <c r="E5494" s="2" t="s">
        <v>8083</v>
      </c>
      <c r="F5494" s="3" t="n">
        <v>46192.5881944444</v>
      </c>
      <c r="G5494" s="2" t="s">
        <v>10878</v>
      </c>
      <c r="H5494" s="4" t="n">
        <v>0.9359</v>
      </c>
      <c r="I5494" s="2" t="s">
        <v>23</v>
      </c>
      <c r="J5494" s="2" t="s">
        <v>37</v>
      </c>
      <c r="K5494" s="2" t="n">
        <v>5</v>
      </c>
      <c r="L5494" s="2" t="n">
        <v>0</v>
      </c>
      <c r="M5494" s="2" t="n">
        <v>0</v>
      </c>
    </row>
    <row r="5495" customFormat="false" ht="15" hidden="false" customHeight="false" outlineLevel="0" collapsed="false">
      <c r="A5495" s="2" t="s">
        <v>11174</v>
      </c>
      <c r="B5495" s="2" t="s">
        <v>11175</v>
      </c>
      <c r="C5495" s="2" t="n">
        <v>4</v>
      </c>
      <c r="D5495" s="2" t="s">
        <v>52</v>
      </c>
      <c r="E5495" s="2" t="s">
        <v>8083</v>
      </c>
      <c r="F5495" s="3" t="n">
        <v>46192.6854166667</v>
      </c>
      <c r="G5495" s="2" t="s">
        <v>10878</v>
      </c>
      <c r="H5495" s="4" t="n">
        <v>0.6369</v>
      </c>
      <c r="I5495" s="2" t="s">
        <v>23</v>
      </c>
      <c r="J5495" s="2" t="s">
        <v>19</v>
      </c>
      <c r="K5495" s="2" t="n">
        <v>0</v>
      </c>
      <c r="L5495" s="2" t="n">
        <v>0</v>
      </c>
      <c r="M5495" s="2" t="n">
        <v>0</v>
      </c>
    </row>
    <row r="5496" customFormat="false" ht="15" hidden="false" customHeight="false" outlineLevel="0" collapsed="false">
      <c r="A5496" s="2" t="s">
        <v>11176</v>
      </c>
      <c r="B5496" s="2" t="s">
        <v>11177</v>
      </c>
      <c r="C5496" s="2" t="n">
        <v>5</v>
      </c>
      <c r="D5496" s="2" t="s">
        <v>40</v>
      </c>
      <c r="E5496" s="2" t="s">
        <v>8083</v>
      </c>
      <c r="F5496" s="3" t="n">
        <v>46192.8145833333</v>
      </c>
      <c r="G5496" s="2" t="s">
        <v>10878</v>
      </c>
      <c r="H5496" s="4" t="n">
        <v>0.4019</v>
      </c>
      <c r="I5496" s="2" t="s">
        <v>23</v>
      </c>
      <c r="J5496" s="2" t="s">
        <v>33</v>
      </c>
      <c r="K5496" s="2" t="n">
        <v>0</v>
      </c>
      <c r="L5496" s="2" t="n">
        <v>0</v>
      </c>
      <c r="M5496" s="2" t="n">
        <v>0</v>
      </c>
    </row>
    <row r="5497" customFormat="false" ht="15" hidden="false" customHeight="false" outlineLevel="0" collapsed="false">
      <c r="A5497" s="2" t="s">
        <v>11178</v>
      </c>
      <c r="B5497" s="2" t="s">
        <v>11179</v>
      </c>
      <c r="C5497" s="2" t="n">
        <v>5</v>
      </c>
      <c r="D5497" s="2" t="s">
        <v>40</v>
      </c>
      <c r="E5497" s="2" t="s">
        <v>8083</v>
      </c>
      <c r="F5497" s="3" t="n">
        <v>46192.8458333333</v>
      </c>
      <c r="G5497" s="2" t="s">
        <v>10878</v>
      </c>
      <c r="H5497" s="4" t="n">
        <v>0.4019</v>
      </c>
      <c r="I5497" s="2" t="s">
        <v>23</v>
      </c>
      <c r="J5497" s="2" t="s">
        <v>33</v>
      </c>
      <c r="K5497" s="2" t="n">
        <v>6</v>
      </c>
      <c r="L5497" s="2" t="n">
        <v>0</v>
      </c>
      <c r="M5497" s="2" t="n">
        <v>0</v>
      </c>
    </row>
    <row r="5498" customFormat="false" ht="15" hidden="false" customHeight="false" outlineLevel="0" collapsed="false">
      <c r="A5498" s="2" t="s">
        <v>11180</v>
      </c>
      <c r="B5498" s="2" t="s">
        <v>11181</v>
      </c>
      <c r="C5498" s="2" t="n">
        <v>5</v>
      </c>
      <c r="D5498" s="2" t="s">
        <v>1095</v>
      </c>
      <c r="E5498" s="2" t="s">
        <v>8083</v>
      </c>
      <c r="F5498" s="3" t="n">
        <v>46193.2402777778</v>
      </c>
      <c r="G5498" s="2" t="s">
        <v>10878</v>
      </c>
      <c r="H5498" s="4" t="n">
        <v>0.7475</v>
      </c>
      <c r="I5498" s="2" t="s">
        <v>23</v>
      </c>
      <c r="J5498" s="2" t="s">
        <v>37</v>
      </c>
      <c r="K5498" s="2" t="n">
        <v>0</v>
      </c>
      <c r="L5498" s="2" t="n">
        <v>0</v>
      </c>
      <c r="M5498" s="2" t="n">
        <v>0</v>
      </c>
    </row>
    <row r="5499" customFormat="false" ht="15" hidden="false" customHeight="false" outlineLevel="0" collapsed="false">
      <c r="A5499" s="2" t="s">
        <v>11182</v>
      </c>
      <c r="B5499" s="2" t="s">
        <v>11183</v>
      </c>
      <c r="C5499" s="2" t="n">
        <v>3</v>
      </c>
      <c r="D5499" s="2" t="s">
        <v>301</v>
      </c>
      <c r="E5499" s="2" t="s">
        <v>8083</v>
      </c>
      <c r="F5499" s="3" t="n">
        <v>46193.34375</v>
      </c>
      <c r="G5499" s="2" t="s">
        <v>10878</v>
      </c>
      <c r="H5499" s="4" t="n">
        <v>0.2263</v>
      </c>
      <c r="I5499" s="2" t="s">
        <v>23</v>
      </c>
      <c r="J5499" s="2" t="s">
        <v>19</v>
      </c>
      <c r="K5499" s="2" t="n">
        <v>4</v>
      </c>
      <c r="L5499" s="2" t="n">
        <v>0</v>
      </c>
      <c r="M5499" s="2" t="n">
        <v>0</v>
      </c>
    </row>
    <row r="5500" customFormat="false" ht="15" hidden="false" customHeight="false" outlineLevel="0" collapsed="false">
      <c r="A5500" s="2" t="s">
        <v>11184</v>
      </c>
      <c r="B5500" s="2" t="s">
        <v>11185</v>
      </c>
      <c r="C5500" s="2" t="n">
        <v>5</v>
      </c>
      <c r="D5500" s="2" t="s">
        <v>374</v>
      </c>
      <c r="E5500" s="2" t="s">
        <v>8083</v>
      </c>
      <c r="F5500" s="3" t="n">
        <v>46193.6902777778</v>
      </c>
      <c r="G5500" s="2" t="s">
        <v>10878</v>
      </c>
      <c r="H5500" s="4" t="n">
        <v>0.6369</v>
      </c>
      <c r="I5500" s="2" t="s">
        <v>23</v>
      </c>
      <c r="J5500" s="2" t="s">
        <v>19</v>
      </c>
      <c r="K5500" s="2" t="n">
        <v>4</v>
      </c>
      <c r="L5500" s="2" t="n">
        <v>0</v>
      </c>
      <c r="M5500" s="2" t="n">
        <v>0</v>
      </c>
    </row>
    <row r="5501" customFormat="false" ht="15" hidden="false" customHeight="false" outlineLevel="0" collapsed="false">
      <c r="A5501" s="2" t="s">
        <v>11186</v>
      </c>
      <c r="B5501" s="2" t="s">
        <v>11187</v>
      </c>
      <c r="C5501" s="2" t="n">
        <v>5</v>
      </c>
      <c r="D5501" s="2" t="s">
        <v>47</v>
      </c>
      <c r="E5501" s="2" t="s">
        <v>8083</v>
      </c>
      <c r="F5501" s="3" t="n">
        <v>46193.6923611111</v>
      </c>
      <c r="G5501" s="2" t="s">
        <v>10878</v>
      </c>
      <c r="H5501" s="4" t="n">
        <v>0.3089</v>
      </c>
      <c r="I5501" s="2" t="s">
        <v>23</v>
      </c>
      <c r="J5501" s="2" t="s">
        <v>19</v>
      </c>
      <c r="K5501" s="2" t="n">
        <v>0</v>
      </c>
      <c r="L5501" s="2" t="n">
        <v>0</v>
      </c>
      <c r="M5501" s="2" t="n">
        <v>0</v>
      </c>
    </row>
    <row r="5502" customFormat="false" ht="15" hidden="false" customHeight="false" outlineLevel="0" collapsed="false">
      <c r="A5502" s="2" t="s">
        <v>11188</v>
      </c>
      <c r="B5502" s="2" t="s">
        <v>11189</v>
      </c>
      <c r="C5502" s="2" t="n">
        <v>3</v>
      </c>
      <c r="D5502" s="2" t="s">
        <v>99</v>
      </c>
      <c r="E5502" s="2" t="s">
        <v>8083</v>
      </c>
      <c r="F5502" s="3" t="n">
        <v>46193.7145833333</v>
      </c>
      <c r="G5502" s="2" t="s">
        <v>10878</v>
      </c>
      <c r="H5502" s="4" t="n">
        <v>-0.3089</v>
      </c>
      <c r="I5502" s="2" t="s">
        <v>84</v>
      </c>
      <c r="J5502" s="2" t="s">
        <v>19</v>
      </c>
      <c r="K5502" s="2" t="n">
        <v>4</v>
      </c>
      <c r="L5502" s="2" t="n">
        <v>0</v>
      </c>
      <c r="M5502" s="2" t="n">
        <v>0</v>
      </c>
    </row>
    <row r="5503" customFormat="false" ht="15" hidden="false" customHeight="false" outlineLevel="0" collapsed="false">
      <c r="A5503" s="2" t="s">
        <v>11190</v>
      </c>
      <c r="B5503" s="2" t="s">
        <v>11191</v>
      </c>
      <c r="C5503" s="2" t="n">
        <v>1</v>
      </c>
      <c r="D5503" s="2" t="s">
        <v>357</v>
      </c>
      <c r="E5503" s="2" t="s">
        <v>8083</v>
      </c>
      <c r="F5503" s="3" t="n">
        <v>46193.7291666667</v>
      </c>
      <c r="G5503" s="2" t="s">
        <v>10878</v>
      </c>
      <c r="H5503" s="4" t="n">
        <v>0</v>
      </c>
      <c r="I5503" s="2" t="s">
        <v>18</v>
      </c>
      <c r="J5503" s="2" t="s">
        <v>165</v>
      </c>
      <c r="K5503" s="2" t="n">
        <v>0</v>
      </c>
      <c r="L5503" s="2" t="n">
        <v>0</v>
      </c>
      <c r="M5503" s="2" t="n">
        <v>0</v>
      </c>
    </row>
    <row r="5504" customFormat="false" ht="15" hidden="false" customHeight="false" outlineLevel="0" collapsed="false">
      <c r="A5504" s="2" t="s">
        <v>11192</v>
      </c>
      <c r="B5504" s="2" t="s">
        <v>11193</v>
      </c>
      <c r="C5504" s="2" t="n">
        <v>4</v>
      </c>
      <c r="D5504" s="2" t="s">
        <v>834</v>
      </c>
      <c r="E5504" s="2" t="s">
        <v>8083</v>
      </c>
      <c r="F5504" s="3" t="n">
        <v>46193.9298611111</v>
      </c>
      <c r="G5504" s="2" t="s">
        <v>10878</v>
      </c>
      <c r="H5504" s="4" t="n">
        <v>0.9481</v>
      </c>
      <c r="I5504" s="2" t="s">
        <v>23</v>
      </c>
      <c r="J5504" s="2" t="s">
        <v>37</v>
      </c>
      <c r="K5504" s="2" t="n">
        <v>7</v>
      </c>
      <c r="L5504" s="2" t="n">
        <v>0</v>
      </c>
      <c r="M5504" s="2" t="n">
        <v>0</v>
      </c>
    </row>
    <row r="5505" customFormat="false" ht="15" hidden="false" customHeight="false" outlineLevel="0" collapsed="false">
      <c r="A5505" s="2" t="s">
        <v>11194</v>
      </c>
      <c r="B5505" s="2" t="s">
        <v>11195</v>
      </c>
      <c r="C5505" s="2" t="n">
        <v>3</v>
      </c>
      <c r="D5505" s="2" t="s">
        <v>2143</v>
      </c>
      <c r="E5505" s="2" t="s">
        <v>8083</v>
      </c>
      <c r="F5505" s="3" t="n">
        <v>46193.9631944444</v>
      </c>
      <c r="G5505" s="2" t="s">
        <v>10878</v>
      </c>
      <c r="H5505" s="4" t="n">
        <v>0.6448</v>
      </c>
      <c r="I5505" s="2" t="s">
        <v>23</v>
      </c>
      <c r="J5505" s="2" t="s">
        <v>37</v>
      </c>
      <c r="K5505" s="2" t="n">
        <v>4</v>
      </c>
      <c r="L5505" s="2" t="n">
        <v>0</v>
      </c>
      <c r="M5505" s="2" t="n">
        <v>0</v>
      </c>
    </row>
    <row r="5506" customFormat="false" ht="15" hidden="false" customHeight="false" outlineLevel="0" collapsed="false">
      <c r="A5506" s="2" t="s">
        <v>11196</v>
      </c>
      <c r="B5506" s="2" t="s">
        <v>11197</v>
      </c>
      <c r="C5506" s="2" t="n">
        <v>5</v>
      </c>
      <c r="D5506" s="2" t="s">
        <v>127</v>
      </c>
      <c r="E5506" s="2" t="s">
        <v>8083</v>
      </c>
      <c r="F5506" s="3" t="n">
        <v>46193.9944444444</v>
      </c>
      <c r="G5506" s="2" t="s">
        <v>10878</v>
      </c>
      <c r="H5506" s="4" t="n">
        <v>0.9359</v>
      </c>
      <c r="I5506" s="2" t="s">
        <v>23</v>
      </c>
      <c r="J5506" s="2" t="s">
        <v>37</v>
      </c>
      <c r="K5506" s="2" t="n">
        <v>10</v>
      </c>
      <c r="L5506" s="2" t="n">
        <v>0</v>
      </c>
      <c r="M5506" s="2" t="n">
        <v>0</v>
      </c>
    </row>
    <row r="5507" customFormat="false" ht="15" hidden="false" customHeight="false" outlineLevel="0" collapsed="false">
      <c r="A5507" s="2" t="s">
        <v>11198</v>
      </c>
      <c r="B5507" s="2" t="s">
        <v>11199</v>
      </c>
      <c r="C5507" s="2" t="n">
        <v>3</v>
      </c>
      <c r="D5507" s="2" t="s">
        <v>231</v>
      </c>
      <c r="E5507" s="2" t="s">
        <v>8083</v>
      </c>
      <c r="F5507" s="3" t="n">
        <v>46194.1229166667</v>
      </c>
      <c r="G5507" s="2" t="s">
        <v>10878</v>
      </c>
      <c r="H5507" s="4" t="n">
        <v>-0.3593</v>
      </c>
      <c r="I5507" s="2" t="s">
        <v>84</v>
      </c>
      <c r="J5507" s="2" t="s">
        <v>33</v>
      </c>
      <c r="K5507" s="2" t="n">
        <v>10</v>
      </c>
      <c r="L5507" s="2" t="n">
        <v>0</v>
      </c>
      <c r="M5507" s="2" t="n">
        <v>0</v>
      </c>
    </row>
    <row r="5508" customFormat="false" ht="15" hidden="false" customHeight="false" outlineLevel="0" collapsed="false">
      <c r="A5508" s="2" t="s">
        <v>11200</v>
      </c>
      <c r="B5508" s="2" t="s">
        <v>11201</v>
      </c>
      <c r="C5508" s="2" t="n">
        <v>5</v>
      </c>
      <c r="D5508" s="2" t="s">
        <v>26</v>
      </c>
      <c r="E5508" s="2" t="s">
        <v>8083</v>
      </c>
      <c r="F5508" s="3" t="n">
        <v>46194.1416666667</v>
      </c>
      <c r="G5508" s="2" t="s">
        <v>10878</v>
      </c>
      <c r="H5508" s="4" t="n">
        <v>0.8848</v>
      </c>
      <c r="I5508" s="2" t="s">
        <v>23</v>
      </c>
      <c r="J5508" s="2" t="s">
        <v>19</v>
      </c>
      <c r="K5508" s="2" t="n">
        <v>0</v>
      </c>
      <c r="L5508" s="2" t="n">
        <v>0</v>
      </c>
      <c r="M5508" s="2" t="n">
        <v>0</v>
      </c>
    </row>
    <row r="5509" customFormat="false" ht="15" hidden="false" customHeight="false" outlineLevel="0" collapsed="false">
      <c r="A5509" s="2" t="s">
        <v>11202</v>
      </c>
      <c r="B5509" s="2" t="s">
        <v>11203</v>
      </c>
      <c r="C5509" s="2" t="n">
        <v>4</v>
      </c>
      <c r="D5509" s="2" t="s">
        <v>96</v>
      </c>
      <c r="E5509" s="2" t="s">
        <v>8083</v>
      </c>
      <c r="F5509" s="3" t="n">
        <v>46194.2041666667</v>
      </c>
      <c r="G5509" s="2" t="s">
        <v>10878</v>
      </c>
      <c r="H5509" s="4" t="n">
        <v>0.6369</v>
      </c>
      <c r="I5509" s="2" t="s">
        <v>23</v>
      </c>
      <c r="J5509" s="2" t="s">
        <v>19</v>
      </c>
      <c r="K5509" s="2" t="n">
        <v>0</v>
      </c>
      <c r="L5509" s="2" t="n">
        <v>0</v>
      </c>
      <c r="M5509" s="2" t="n">
        <v>0</v>
      </c>
    </row>
    <row r="5510" customFormat="false" ht="15" hidden="false" customHeight="false" outlineLevel="0" collapsed="false">
      <c r="A5510" s="2" t="s">
        <v>11204</v>
      </c>
      <c r="B5510" s="2" t="s">
        <v>11205</v>
      </c>
      <c r="C5510" s="2" t="n">
        <v>3</v>
      </c>
      <c r="D5510" s="2" t="s">
        <v>440</v>
      </c>
      <c r="E5510" s="2" t="s">
        <v>8083</v>
      </c>
      <c r="F5510" s="3" t="n">
        <v>46194.3402777778</v>
      </c>
      <c r="G5510" s="2" t="s">
        <v>10878</v>
      </c>
      <c r="H5510" s="4" t="n">
        <v>0.4109</v>
      </c>
      <c r="I5510" s="2" t="s">
        <v>23</v>
      </c>
      <c r="J5510" s="2" t="s">
        <v>19</v>
      </c>
      <c r="K5510" s="2" t="n">
        <v>6</v>
      </c>
      <c r="L5510" s="2" t="n">
        <v>0</v>
      </c>
      <c r="M5510" s="2" t="n">
        <v>0</v>
      </c>
    </row>
    <row r="5511" customFormat="false" ht="15" hidden="false" customHeight="false" outlineLevel="0" collapsed="false">
      <c r="A5511" s="2" t="s">
        <v>11206</v>
      </c>
      <c r="B5511" s="2" t="s">
        <v>11207</v>
      </c>
      <c r="C5511" s="2" t="n">
        <v>1</v>
      </c>
      <c r="D5511" s="2" t="s">
        <v>946</v>
      </c>
      <c r="E5511" s="2" t="s">
        <v>8083</v>
      </c>
      <c r="F5511" s="3" t="n">
        <v>46194.36875</v>
      </c>
      <c r="G5511" s="2" t="s">
        <v>10878</v>
      </c>
      <c r="H5511" s="4" t="n">
        <v>-0.25</v>
      </c>
      <c r="I5511" s="2" t="s">
        <v>84</v>
      </c>
      <c r="J5511" s="2" t="s">
        <v>37</v>
      </c>
      <c r="K5511" s="2" t="n">
        <v>4</v>
      </c>
      <c r="L5511" s="2" t="n">
        <v>1</v>
      </c>
      <c r="M5511" s="2" t="n">
        <v>0</v>
      </c>
    </row>
    <row r="5512" customFormat="false" ht="15" hidden="false" customHeight="false" outlineLevel="0" collapsed="false">
      <c r="A5512" s="2" t="s">
        <v>11208</v>
      </c>
      <c r="B5512" s="2" t="s">
        <v>11209</v>
      </c>
      <c r="C5512" s="2" t="n">
        <v>4</v>
      </c>
      <c r="D5512" s="2" t="s">
        <v>62</v>
      </c>
      <c r="E5512" s="2" t="s">
        <v>8083</v>
      </c>
      <c r="F5512" s="3" t="n">
        <v>46194.3909722222</v>
      </c>
      <c r="G5512" s="2" t="s">
        <v>10878</v>
      </c>
      <c r="H5512" s="4" t="n">
        <v>0.7088</v>
      </c>
      <c r="I5512" s="2" t="s">
        <v>23</v>
      </c>
      <c r="J5512" s="2" t="s">
        <v>19</v>
      </c>
      <c r="K5512" s="2" t="n">
        <v>3</v>
      </c>
      <c r="L5512" s="2" t="n">
        <v>0</v>
      </c>
      <c r="M5512" s="2" t="n">
        <v>0</v>
      </c>
    </row>
    <row r="5513" customFormat="false" ht="15" hidden="false" customHeight="false" outlineLevel="0" collapsed="false">
      <c r="A5513" s="2" t="s">
        <v>11210</v>
      </c>
      <c r="B5513" s="2" t="s">
        <v>11211</v>
      </c>
      <c r="C5513" s="2" t="n">
        <v>4</v>
      </c>
      <c r="D5513" s="2" t="s">
        <v>90</v>
      </c>
      <c r="E5513" s="2" t="s">
        <v>8083</v>
      </c>
      <c r="F5513" s="3" t="n">
        <v>46194.4041666667</v>
      </c>
      <c r="G5513" s="2" t="s">
        <v>10878</v>
      </c>
      <c r="H5513" s="4" t="n">
        <v>0.6249</v>
      </c>
      <c r="I5513" s="2" t="s">
        <v>23</v>
      </c>
      <c r="J5513" s="2" t="s">
        <v>37</v>
      </c>
      <c r="K5513" s="2" t="n">
        <v>4</v>
      </c>
      <c r="L5513" s="2" t="n">
        <v>0</v>
      </c>
      <c r="M5513" s="2" t="n">
        <v>0</v>
      </c>
    </row>
    <row r="5514" customFormat="false" ht="15" hidden="false" customHeight="false" outlineLevel="0" collapsed="false">
      <c r="A5514" s="2" t="s">
        <v>11212</v>
      </c>
      <c r="B5514" s="2" t="s">
        <v>9183</v>
      </c>
      <c r="C5514" s="2" t="n">
        <v>3</v>
      </c>
      <c r="D5514" s="2" t="s">
        <v>22</v>
      </c>
      <c r="E5514" s="2" t="s">
        <v>8083</v>
      </c>
      <c r="F5514" s="3" t="n">
        <v>46194.5493055556</v>
      </c>
      <c r="G5514" s="2" t="s">
        <v>10878</v>
      </c>
      <c r="H5514" s="4" t="n">
        <v>0.2023</v>
      </c>
      <c r="I5514" s="2" t="s">
        <v>23</v>
      </c>
      <c r="J5514" s="2" t="s">
        <v>19</v>
      </c>
      <c r="K5514" s="2" t="n">
        <v>2</v>
      </c>
      <c r="L5514" s="2" t="n">
        <v>0</v>
      </c>
      <c r="M5514" s="2" t="n">
        <v>0</v>
      </c>
    </row>
    <row r="5515" customFormat="false" ht="15" hidden="false" customHeight="false" outlineLevel="0" collapsed="false">
      <c r="A5515" s="2" t="s">
        <v>11213</v>
      </c>
      <c r="B5515" s="2" t="s">
        <v>11214</v>
      </c>
      <c r="C5515" s="2" t="n">
        <v>4</v>
      </c>
      <c r="D5515" s="2" t="s">
        <v>1363</v>
      </c>
      <c r="E5515" s="2" t="s">
        <v>8083</v>
      </c>
      <c r="F5515" s="3" t="n">
        <v>46194.9847222222</v>
      </c>
      <c r="G5515" s="2" t="s">
        <v>10878</v>
      </c>
      <c r="H5515" s="4" t="n">
        <v>0.6597</v>
      </c>
      <c r="I5515" s="2" t="s">
        <v>23</v>
      </c>
      <c r="J5515" s="2" t="s">
        <v>33</v>
      </c>
      <c r="K5515" s="2" t="n">
        <v>5</v>
      </c>
      <c r="L5515" s="2" t="n">
        <v>0</v>
      </c>
      <c r="M5515" s="2" t="n">
        <v>0</v>
      </c>
    </row>
    <row r="5516" customFormat="false" ht="15" hidden="false" customHeight="false" outlineLevel="0" collapsed="false">
      <c r="A5516" s="2" t="s">
        <v>11215</v>
      </c>
      <c r="B5516" s="2" t="s">
        <v>11216</v>
      </c>
      <c r="C5516" s="2" t="n">
        <v>5</v>
      </c>
      <c r="D5516" s="2" t="s">
        <v>127</v>
      </c>
      <c r="E5516" s="2" t="s">
        <v>8083</v>
      </c>
      <c r="F5516" s="3" t="n">
        <v>46195.0083333333</v>
      </c>
      <c r="G5516" s="2" t="s">
        <v>10878</v>
      </c>
      <c r="H5516" s="4" t="n">
        <v>0.9359</v>
      </c>
      <c r="I5516" s="2" t="s">
        <v>23</v>
      </c>
      <c r="J5516" s="2" t="s">
        <v>37</v>
      </c>
      <c r="K5516" s="2" t="n">
        <v>6</v>
      </c>
      <c r="L5516" s="2" t="n">
        <v>0</v>
      </c>
      <c r="M5516" s="2" t="n">
        <v>0</v>
      </c>
    </row>
    <row r="5517" customFormat="false" ht="15" hidden="false" customHeight="false" outlineLevel="0" collapsed="false">
      <c r="A5517" s="2" t="s">
        <v>11217</v>
      </c>
      <c r="B5517" s="2" t="s">
        <v>11218</v>
      </c>
      <c r="C5517" s="2" t="n">
        <v>5</v>
      </c>
      <c r="D5517" s="2" t="s">
        <v>15</v>
      </c>
      <c r="E5517" s="2" t="s">
        <v>8083</v>
      </c>
      <c r="F5517" s="3" t="n">
        <v>46195.0138888889</v>
      </c>
      <c r="G5517" s="2" t="s">
        <v>10878</v>
      </c>
      <c r="H5517" s="4" t="n">
        <v>0</v>
      </c>
      <c r="I5517" s="2" t="s">
        <v>18</v>
      </c>
      <c r="J5517" s="2" t="s">
        <v>19</v>
      </c>
      <c r="K5517" s="2" t="n">
        <v>6</v>
      </c>
      <c r="L5517" s="2" t="n">
        <v>0</v>
      </c>
      <c r="M5517" s="2" t="n">
        <v>0</v>
      </c>
    </row>
    <row r="5518" customFormat="false" ht="15" hidden="false" customHeight="false" outlineLevel="0" collapsed="false">
      <c r="A5518" s="2" t="s">
        <v>11219</v>
      </c>
      <c r="B5518" s="2" t="s">
        <v>11220</v>
      </c>
      <c r="C5518" s="2" t="n">
        <v>5</v>
      </c>
      <c r="D5518" s="2" t="s">
        <v>15</v>
      </c>
      <c r="E5518" s="2" t="s">
        <v>8083</v>
      </c>
      <c r="F5518" s="3" t="n">
        <v>46195.0833333333</v>
      </c>
      <c r="G5518" s="2" t="s">
        <v>10878</v>
      </c>
      <c r="H5518" s="4" t="n">
        <v>0</v>
      </c>
      <c r="I5518" s="2" t="s">
        <v>18</v>
      </c>
      <c r="J5518" s="2" t="s">
        <v>19</v>
      </c>
      <c r="K5518" s="2" t="n">
        <v>5</v>
      </c>
      <c r="L5518" s="2" t="n">
        <v>0</v>
      </c>
      <c r="M5518" s="2" t="n">
        <v>0</v>
      </c>
    </row>
    <row r="5519" customFormat="false" ht="15" hidden="false" customHeight="false" outlineLevel="0" collapsed="false">
      <c r="A5519" s="2" t="s">
        <v>11221</v>
      </c>
      <c r="B5519" s="2" t="s">
        <v>636</v>
      </c>
      <c r="C5519" s="2" t="n">
        <v>2</v>
      </c>
      <c r="D5519" s="2" t="s">
        <v>231</v>
      </c>
      <c r="E5519" s="2" t="s">
        <v>8083</v>
      </c>
      <c r="F5519" s="3" t="n">
        <v>46195.3118055556</v>
      </c>
      <c r="G5519" s="2" t="s">
        <v>10878</v>
      </c>
      <c r="H5519" s="4" t="n">
        <v>-0.3593</v>
      </c>
      <c r="I5519" s="2" t="s">
        <v>84</v>
      </c>
      <c r="J5519" s="2" t="s">
        <v>33</v>
      </c>
      <c r="K5519" s="2" t="n">
        <v>1</v>
      </c>
      <c r="L5519" s="2" t="n">
        <v>1</v>
      </c>
      <c r="M5519" s="2" t="n">
        <v>0</v>
      </c>
    </row>
    <row r="5520" customFormat="false" ht="15" hidden="false" customHeight="false" outlineLevel="0" collapsed="false">
      <c r="A5520" s="2" t="s">
        <v>11222</v>
      </c>
      <c r="B5520" s="2" t="s">
        <v>11223</v>
      </c>
      <c r="C5520" s="2" t="n">
        <v>1</v>
      </c>
      <c r="D5520" s="2" t="s">
        <v>661</v>
      </c>
      <c r="E5520" s="2" t="s">
        <v>8083</v>
      </c>
      <c r="F5520" s="3" t="n">
        <v>46195.55</v>
      </c>
      <c r="G5520" s="2" t="s">
        <v>10878</v>
      </c>
      <c r="H5520" s="4" t="n">
        <v>0</v>
      </c>
      <c r="I5520" s="2" t="s">
        <v>18</v>
      </c>
      <c r="J5520" s="2" t="s">
        <v>59</v>
      </c>
      <c r="K5520" s="2" t="n">
        <v>0</v>
      </c>
      <c r="L5520" s="2" t="n">
        <v>1</v>
      </c>
      <c r="M5520" s="2" t="n">
        <v>0</v>
      </c>
    </row>
    <row r="5521" customFormat="false" ht="15" hidden="false" customHeight="false" outlineLevel="0" collapsed="false">
      <c r="A5521" s="2" t="s">
        <v>11224</v>
      </c>
      <c r="B5521" s="2" t="s">
        <v>11225</v>
      </c>
      <c r="C5521" s="2" t="n">
        <v>5</v>
      </c>
      <c r="D5521" s="2" t="s">
        <v>8904</v>
      </c>
      <c r="E5521" s="2" t="s">
        <v>8083</v>
      </c>
      <c r="F5521" s="3" t="n">
        <v>46195.5881944444</v>
      </c>
      <c r="G5521" s="2" t="s">
        <v>10878</v>
      </c>
      <c r="H5521" s="4" t="n">
        <v>0.8481</v>
      </c>
      <c r="I5521" s="2" t="s">
        <v>23</v>
      </c>
      <c r="J5521" s="2" t="s">
        <v>37</v>
      </c>
      <c r="K5521" s="2" t="n">
        <v>3</v>
      </c>
      <c r="L5521" s="2" t="n">
        <v>0</v>
      </c>
      <c r="M5521" s="2" t="n">
        <v>0</v>
      </c>
    </row>
    <row r="5522" customFormat="false" ht="15" hidden="false" customHeight="false" outlineLevel="0" collapsed="false">
      <c r="A5522" s="2" t="s">
        <v>11226</v>
      </c>
      <c r="B5522" s="2" t="s">
        <v>11227</v>
      </c>
      <c r="C5522" s="2" t="n">
        <v>2</v>
      </c>
      <c r="D5522" s="2" t="s">
        <v>498</v>
      </c>
      <c r="E5522" s="2" t="s">
        <v>8083</v>
      </c>
      <c r="F5522" s="3" t="n">
        <v>46195.7055555556</v>
      </c>
      <c r="G5522" s="2" t="s">
        <v>10878</v>
      </c>
      <c r="H5522" s="4" t="n">
        <v>0</v>
      </c>
      <c r="I5522" s="2" t="s">
        <v>18</v>
      </c>
      <c r="J5522" s="2" t="s">
        <v>165</v>
      </c>
      <c r="K5522" s="2" t="n">
        <v>7</v>
      </c>
      <c r="L5522" s="2" t="n">
        <v>0</v>
      </c>
      <c r="M5522" s="2" t="n">
        <v>0</v>
      </c>
    </row>
    <row r="5523" customFormat="false" ht="15" hidden="false" customHeight="false" outlineLevel="0" collapsed="false">
      <c r="A5523" s="2" t="s">
        <v>11228</v>
      </c>
      <c r="B5523" s="2" t="s">
        <v>11229</v>
      </c>
      <c r="C5523" s="2" t="n">
        <v>5</v>
      </c>
      <c r="D5523" s="2" t="s">
        <v>47</v>
      </c>
      <c r="E5523" s="2" t="s">
        <v>8083</v>
      </c>
      <c r="F5523" s="3" t="n">
        <v>46195.7208333333</v>
      </c>
      <c r="G5523" s="2" t="s">
        <v>10878</v>
      </c>
      <c r="H5523" s="4" t="n">
        <v>0.3089</v>
      </c>
      <c r="I5523" s="2" t="s">
        <v>23</v>
      </c>
      <c r="J5523" s="2" t="s">
        <v>19</v>
      </c>
      <c r="K5523" s="2" t="n">
        <v>11</v>
      </c>
      <c r="L5523" s="2" t="n">
        <v>0</v>
      </c>
      <c r="M5523" s="2" t="n">
        <v>0</v>
      </c>
    </row>
    <row r="5524" customFormat="false" ht="15" hidden="false" customHeight="false" outlineLevel="0" collapsed="false">
      <c r="A5524" s="2" t="s">
        <v>11230</v>
      </c>
      <c r="B5524" s="2" t="s">
        <v>11231</v>
      </c>
      <c r="C5524" s="2" t="n">
        <v>5</v>
      </c>
      <c r="D5524" s="2" t="s">
        <v>96</v>
      </c>
      <c r="E5524" s="2" t="s">
        <v>8083</v>
      </c>
      <c r="F5524" s="3" t="n">
        <v>46195.8173611111</v>
      </c>
      <c r="G5524" s="2" t="s">
        <v>10878</v>
      </c>
      <c r="H5524" s="4" t="n">
        <v>0.6369</v>
      </c>
      <c r="I5524" s="2" t="s">
        <v>23</v>
      </c>
      <c r="J5524" s="2" t="s">
        <v>19</v>
      </c>
      <c r="K5524" s="2" t="n">
        <v>1</v>
      </c>
      <c r="L5524" s="2" t="n">
        <v>0</v>
      </c>
      <c r="M5524" s="2" t="n">
        <v>0</v>
      </c>
    </row>
    <row r="5525" customFormat="false" ht="15" hidden="false" customHeight="false" outlineLevel="0" collapsed="false">
      <c r="A5525" s="2" t="s">
        <v>11232</v>
      </c>
      <c r="B5525" s="2" t="s">
        <v>11233</v>
      </c>
      <c r="C5525" s="2" t="n">
        <v>5</v>
      </c>
      <c r="D5525" s="2" t="s">
        <v>52</v>
      </c>
      <c r="E5525" s="2" t="s">
        <v>8083</v>
      </c>
      <c r="F5525" s="3" t="n">
        <v>46195.8229166667</v>
      </c>
      <c r="G5525" s="2" t="s">
        <v>10878</v>
      </c>
      <c r="H5525" s="4" t="n">
        <v>0.6369</v>
      </c>
      <c r="I5525" s="2" t="s">
        <v>23</v>
      </c>
      <c r="J5525" s="2" t="s">
        <v>19</v>
      </c>
      <c r="K5525" s="2" t="n">
        <v>0</v>
      </c>
      <c r="L5525" s="2" t="n">
        <v>0</v>
      </c>
      <c r="M5525" s="2" t="n">
        <v>0</v>
      </c>
    </row>
    <row r="5526" customFormat="false" ht="15" hidden="false" customHeight="false" outlineLevel="0" collapsed="false">
      <c r="A5526" s="2" t="s">
        <v>11234</v>
      </c>
      <c r="B5526" s="2" t="s">
        <v>11235</v>
      </c>
      <c r="C5526" s="2" t="n">
        <v>5</v>
      </c>
      <c r="D5526" s="2" t="s">
        <v>40</v>
      </c>
      <c r="E5526" s="2" t="s">
        <v>8083</v>
      </c>
      <c r="F5526" s="3" t="n">
        <v>46196.0944444445</v>
      </c>
      <c r="G5526" s="2" t="s">
        <v>10878</v>
      </c>
      <c r="H5526" s="4" t="n">
        <v>0.4019</v>
      </c>
      <c r="I5526" s="2" t="s">
        <v>23</v>
      </c>
      <c r="J5526" s="2" t="s">
        <v>33</v>
      </c>
      <c r="K5526" s="2" t="n">
        <v>2</v>
      </c>
      <c r="L5526" s="2" t="n">
        <v>0</v>
      </c>
      <c r="M5526" s="2" t="n">
        <v>0</v>
      </c>
    </row>
    <row r="5527" customFormat="false" ht="15" hidden="false" customHeight="false" outlineLevel="0" collapsed="false">
      <c r="A5527" s="2" t="s">
        <v>11236</v>
      </c>
      <c r="B5527" s="2" t="s">
        <v>11237</v>
      </c>
      <c r="C5527" s="2" t="n">
        <v>5</v>
      </c>
      <c r="D5527" s="2" t="s">
        <v>1197</v>
      </c>
      <c r="E5527" s="2" t="s">
        <v>8083</v>
      </c>
      <c r="F5527" s="3" t="n">
        <v>46196.1381944444</v>
      </c>
      <c r="G5527" s="2" t="s">
        <v>10878</v>
      </c>
      <c r="H5527" s="4" t="n">
        <v>0.3089</v>
      </c>
      <c r="I5527" s="2" t="s">
        <v>23</v>
      </c>
      <c r="J5527" s="2" t="s">
        <v>19</v>
      </c>
      <c r="K5527" s="2" t="n">
        <v>1</v>
      </c>
      <c r="L5527" s="2" t="n">
        <v>1</v>
      </c>
      <c r="M5527" s="2" t="n">
        <v>0</v>
      </c>
    </row>
    <row r="5528" customFormat="false" ht="15" hidden="false" customHeight="false" outlineLevel="0" collapsed="false">
      <c r="A5528" s="2" t="s">
        <v>11238</v>
      </c>
      <c r="B5528" s="2" t="s">
        <v>11239</v>
      </c>
      <c r="C5528" s="2" t="n">
        <v>5</v>
      </c>
      <c r="D5528" s="2" t="s">
        <v>127</v>
      </c>
      <c r="E5528" s="2" t="s">
        <v>8083</v>
      </c>
      <c r="F5528" s="3" t="n">
        <v>46196.6611111111</v>
      </c>
      <c r="G5528" s="2" t="s">
        <v>10878</v>
      </c>
      <c r="H5528" s="4" t="n">
        <v>0.9359</v>
      </c>
      <c r="I5528" s="2" t="s">
        <v>23</v>
      </c>
      <c r="J5528" s="2" t="s">
        <v>37</v>
      </c>
      <c r="K5528" s="2" t="n">
        <v>7</v>
      </c>
      <c r="L5528" s="2" t="n">
        <v>0</v>
      </c>
      <c r="M5528" s="2" t="n">
        <v>0</v>
      </c>
    </row>
    <row r="5529" customFormat="false" ht="15" hidden="false" customHeight="false" outlineLevel="0" collapsed="false">
      <c r="A5529" s="2" t="s">
        <v>11240</v>
      </c>
      <c r="B5529" s="2" t="s">
        <v>11241</v>
      </c>
      <c r="C5529" s="2" t="n">
        <v>4</v>
      </c>
      <c r="D5529" s="2" t="s">
        <v>47</v>
      </c>
      <c r="E5529" s="2" t="s">
        <v>8083</v>
      </c>
      <c r="F5529" s="3" t="n">
        <v>46196.7055555556</v>
      </c>
      <c r="G5529" s="2" t="s">
        <v>10878</v>
      </c>
      <c r="H5529" s="4" t="n">
        <v>0.3089</v>
      </c>
      <c r="I5529" s="2" t="s">
        <v>23</v>
      </c>
      <c r="J5529" s="2" t="s">
        <v>19</v>
      </c>
      <c r="K5529" s="2" t="n">
        <v>0</v>
      </c>
      <c r="L5529" s="2" t="n">
        <v>0</v>
      </c>
      <c r="M5529" s="2" t="n">
        <v>0</v>
      </c>
    </row>
    <row r="5530" customFormat="false" ht="15" hidden="false" customHeight="false" outlineLevel="0" collapsed="false">
      <c r="A5530" s="2" t="s">
        <v>11242</v>
      </c>
      <c r="B5530" s="2" t="s">
        <v>11243</v>
      </c>
      <c r="C5530" s="2" t="n">
        <v>5</v>
      </c>
      <c r="D5530" s="2" t="s">
        <v>40</v>
      </c>
      <c r="E5530" s="2" t="s">
        <v>8083</v>
      </c>
      <c r="F5530" s="3" t="n">
        <v>46196.7097222222</v>
      </c>
      <c r="G5530" s="2" t="s">
        <v>10878</v>
      </c>
      <c r="H5530" s="4" t="n">
        <v>0.4019</v>
      </c>
      <c r="I5530" s="2" t="s">
        <v>23</v>
      </c>
      <c r="J5530" s="2" t="s">
        <v>33</v>
      </c>
      <c r="K5530" s="2" t="n">
        <v>0</v>
      </c>
      <c r="L5530" s="2" t="n">
        <v>0</v>
      </c>
      <c r="M5530" s="2" t="n">
        <v>0</v>
      </c>
    </row>
    <row r="5531" customFormat="false" ht="15" hidden="false" customHeight="false" outlineLevel="0" collapsed="false">
      <c r="A5531" s="2" t="s">
        <v>11244</v>
      </c>
      <c r="B5531" s="2" t="s">
        <v>11245</v>
      </c>
      <c r="C5531" s="2" t="n">
        <v>5</v>
      </c>
      <c r="D5531" s="2" t="s">
        <v>62</v>
      </c>
      <c r="E5531" s="2" t="s">
        <v>8083</v>
      </c>
      <c r="F5531" s="3" t="n">
        <v>46196.8680555556</v>
      </c>
      <c r="G5531" s="2" t="s">
        <v>10878</v>
      </c>
      <c r="H5531" s="4" t="n">
        <v>0.7088</v>
      </c>
      <c r="I5531" s="2" t="s">
        <v>23</v>
      </c>
      <c r="J5531" s="2" t="s">
        <v>19</v>
      </c>
      <c r="K5531" s="2" t="n">
        <v>0</v>
      </c>
      <c r="L5531" s="2" t="n">
        <v>0</v>
      </c>
      <c r="M5531" s="2" t="n">
        <v>0</v>
      </c>
    </row>
    <row r="5532" customFormat="false" ht="15" hidden="false" customHeight="false" outlineLevel="0" collapsed="false">
      <c r="A5532" s="2" t="s">
        <v>11246</v>
      </c>
      <c r="B5532" s="2" t="s">
        <v>11247</v>
      </c>
      <c r="C5532" s="2" t="n">
        <v>5</v>
      </c>
      <c r="D5532" s="2" t="s">
        <v>52</v>
      </c>
      <c r="E5532" s="2" t="s">
        <v>8083</v>
      </c>
      <c r="F5532" s="3" t="n">
        <v>46196.8701388889</v>
      </c>
      <c r="G5532" s="2" t="s">
        <v>10878</v>
      </c>
      <c r="H5532" s="4" t="n">
        <v>0.6369</v>
      </c>
      <c r="I5532" s="2" t="s">
        <v>23</v>
      </c>
      <c r="J5532" s="2" t="s">
        <v>19</v>
      </c>
      <c r="K5532" s="2" t="n">
        <v>4</v>
      </c>
      <c r="L5532" s="2" t="n">
        <v>0</v>
      </c>
      <c r="M5532" s="2" t="n">
        <v>0</v>
      </c>
    </row>
    <row r="5533" customFormat="false" ht="15" hidden="false" customHeight="false" outlineLevel="0" collapsed="false">
      <c r="A5533" s="2" t="s">
        <v>11248</v>
      </c>
      <c r="B5533" s="2" t="s">
        <v>11249</v>
      </c>
      <c r="C5533" s="2" t="n">
        <v>5</v>
      </c>
      <c r="D5533" s="2" t="s">
        <v>127</v>
      </c>
      <c r="E5533" s="2" t="s">
        <v>8083</v>
      </c>
      <c r="F5533" s="3" t="n">
        <v>46196.8875</v>
      </c>
      <c r="G5533" s="2" t="s">
        <v>10878</v>
      </c>
      <c r="H5533" s="4" t="n">
        <v>0.9359</v>
      </c>
      <c r="I5533" s="2" t="s">
        <v>23</v>
      </c>
      <c r="J5533" s="2" t="s">
        <v>37</v>
      </c>
      <c r="K5533" s="2" t="n">
        <v>4</v>
      </c>
      <c r="L5533" s="2" t="n">
        <v>0</v>
      </c>
      <c r="M5533" s="2" t="n">
        <v>0</v>
      </c>
    </row>
    <row r="5534" customFormat="false" ht="15" hidden="false" customHeight="false" outlineLevel="0" collapsed="false">
      <c r="A5534" s="2" t="s">
        <v>11250</v>
      </c>
      <c r="B5534" s="2" t="s">
        <v>11251</v>
      </c>
      <c r="C5534" s="2" t="n">
        <v>5</v>
      </c>
      <c r="D5534" s="2" t="s">
        <v>52</v>
      </c>
      <c r="E5534" s="2" t="s">
        <v>8083</v>
      </c>
      <c r="F5534" s="3" t="n">
        <v>46197.0763888889</v>
      </c>
      <c r="G5534" s="2" t="s">
        <v>10878</v>
      </c>
      <c r="H5534" s="4" t="n">
        <v>0.6369</v>
      </c>
      <c r="I5534" s="2" t="s">
        <v>23</v>
      </c>
      <c r="J5534" s="2" t="s">
        <v>19</v>
      </c>
      <c r="K5534" s="2" t="n">
        <v>0</v>
      </c>
      <c r="L5534" s="2" t="n">
        <v>0</v>
      </c>
      <c r="M5534" s="2" t="n">
        <v>0</v>
      </c>
    </row>
    <row r="5535" customFormat="false" ht="15" hidden="false" customHeight="false" outlineLevel="0" collapsed="false">
      <c r="A5535" s="2" t="s">
        <v>11252</v>
      </c>
      <c r="B5535" s="2" t="s">
        <v>11253</v>
      </c>
      <c r="C5535" s="2" t="n">
        <v>4</v>
      </c>
      <c r="D5535" s="2" t="s">
        <v>96</v>
      </c>
      <c r="E5535" s="2" t="s">
        <v>8083</v>
      </c>
      <c r="F5535" s="3" t="n">
        <v>46197.125</v>
      </c>
      <c r="G5535" s="2" t="s">
        <v>10878</v>
      </c>
      <c r="H5535" s="4" t="n">
        <v>0.6369</v>
      </c>
      <c r="I5535" s="2" t="s">
        <v>23</v>
      </c>
      <c r="J5535" s="2" t="s">
        <v>19</v>
      </c>
      <c r="K5535" s="2" t="n">
        <v>0</v>
      </c>
      <c r="L5535" s="2" t="n">
        <v>0</v>
      </c>
      <c r="M5535" s="2" t="n">
        <v>0</v>
      </c>
    </row>
    <row r="5536" customFormat="false" ht="15" hidden="false" customHeight="false" outlineLevel="0" collapsed="false">
      <c r="A5536" s="2" t="s">
        <v>11254</v>
      </c>
      <c r="B5536" s="2" t="s">
        <v>11255</v>
      </c>
      <c r="C5536" s="2" t="n">
        <v>5</v>
      </c>
      <c r="D5536" s="2" t="s">
        <v>1698</v>
      </c>
      <c r="E5536" s="2" t="s">
        <v>8083</v>
      </c>
      <c r="F5536" s="3" t="n">
        <v>46197.3305555556</v>
      </c>
      <c r="G5536" s="2" t="s">
        <v>10878</v>
      </c>
      <c r="H5536" s="4" t="n">
        <v>0.7845</v>
      </c>
      <c r="I5536" s="2" t="s">
        <v>23</v>
      </c>
      <c r="J5536" s="2" t="s">
        <v>33</v>
      </c>
      <c r="K5536" s="2" t="n">
        <v>2</v>
      </c>
      <c r="L5536" s="2" t="n">
        <v>0</v>
      </c>
      <c r="M5536" s="2" t="n">
        <v>0</v>
      </c>
    </row>
    <row r="5537" customFormat="false" ht="15" hidden="false" customHeight="false" outlineLevel="0" collapsed="false">
      <c r="A5537" s="2" t="s">
        <v>11256</v>
      </c>
      <c r="B5537" s="2" t="s">
        <v>11257</v>
      </c>
      <c r="C5537" s="2" t="n">
        <v>4</v>
      </c>
      <c r="D5537" s="2" t="s">
        <v>407</v>
      </c>
      <c r="E5537" s="2" t="s">
        <v>8083</v>
      </c>
      <c r="F5537" s="3" t="n">
        <v>46197.6159722222</v>
      </c>
      <c r="G5537" s="2" t="s">
        <v>10878</v>
      </c>
      <c r="H5537" s="4" t="n">
        <v>0.7783</v>
      </c>
      <c r="I5537" s="2" t="s">
        <v>23</v>
      </c>
      <c r="J5537" s="2" t="s">
        <v>37</v>
      </c>
      <c r="K5537" s="2" t="n">
        <v>0</v>
      </c>
      <c r="L5537" s="2" t="n">
        <v>0</v>
      </c>
      <c r="M5537" s="2" t="n">
        <v>0</v>
      </c>
    </row>
    <row r="5538" customFormat="false" ht="15" hidden="false" customHeight="false" outlineLevel="0" collapsed="false">
      <c r="A5538" s="2" t="s">
        <v>11258</v>
      </c>
      <c r="B5538" s="2" t="s">
        <v>11259</v>
      </c>
      <c r="C5538" s="2" t="n">
        <v>5</v>
      </c>
      <c r="D5538" s="2" t="s">
        <v>127</v>
      </c>
      <c r="E5538" s="2" t="s">
        <v>8083</v>
      </c>
      <c r="F5538" s="3" t="n">
        <v>46197.7493055556</v>
      </c>
      <c r="G5538" s="2" t="s">
        <v>10878</v>
      </c>
      <c r="H5538" s="4" t="n">
        <v>0.9359</v>
      </c>
      <c r="I5538" s="2" t="s">
        <v>23</v>
      </c>
      <c r="J5538" s="2" t="s">
        <v>37</v>
      </c>
      <c r="K5538" s="2" t="n">
        <v>3</v>
      </c>
      <c r="L5538" s="2" t="n">
        <v>0</v>
      </c>
      <c r="M5538" s="2" t="n">
        <v>0</v>
      </c>
    </row>
    <row r="5539" customFormat="false" ht="15" hidden="false" customHeight="false" outlineLevel="0" collapsed="false">
      <c r="A5539" s="2" t="s">
        <v>11260</v>
      </c>
      <c r="B5539" s="2" t="s">
        <v>11261</v>
      </c>
      <c r="C5539" s="2" t="n">
        <v>5</v>
      </c>
      <c r="D5539" s="2" t="s">
        <v>47</v>
      </c>
      <c r="E5539" s="2" t="s">
        <v>8083</v>
      </c>
      <c r="F5539" s="3" t="n">
        <v>46197.8916666667</v>
      </c>
      <c r="G5539" s="2" t="s">
        <v>10878</v>
      </c>
      <c r="H5539" s="4" t="n">
        <v>0.3089</v>
      </c>
      <c r="I5539" s="2" t="s">
        <v>23</v>
      </c>
      <c r="J5539" s="2" t="s">
        <v>19</v>
      </c>
      <c r="K5539" s="2" t="n">
        <v>0</v>
      </c>
      <c r="L5539" s="2" t="n">
        <v>0</v>
      </c>
      <c r="M5539" s="2" t="n">
        <v>0</v>
      </c>
    </row>
    <row r="5540" customFormat="false" ht="15" hidden="false" customHeight="false" outlineLevel="0" collapsed="false">
      <c r="A5540" s="2" t="s">
        <v>11262</v>
      </c>
      <c r="B5540" s="2" t="s">
        <v>11263</v>
      </c>
      <c r="C5540" s="2" t="n">
        <v>2</v>
      </c>
      <c r="D5540" s="2" t="s">
        <v>721</v>
      </c>
      <c r="E5540" s="2" t="s">
        <v>8083</v>
      </c>
      <c r="F5540" s="3" t="n">
        <v>46197.9083333333</v>
      </c>
      <c r="G5540" s="2" t="s">
        <v>10878</v>
      </c>
      <c r="H5540" s="4" t="n">
        <v>-0.4588</v>
      </c>
      <c r="I5540" s="2" t="s">
        <v>84</v>
      </c>
      <c r="J5540" s="2" t="s">
        <v>37</v>
      </c>
      <c r="K5540" s="2" t="n">
        <v>1</v>
      </c>
      <c r="L5540" s="2" t="n">
        <v>1</v>
      </c>
      <c r="M5540" s="2" t="n">
        <v>0</v>
      </c>
    </row>
    <row r="5541" customFormat="false" ht="15" hidden="false" customHeight="false" outlineLevel="0" collapsed="false">
      <c r="A5541" s="2" t="s">
        <v>11264</v>
      </c>
      <c r="B5541" s="2" t="s">
        <v>11265</v>
      </c>
      <c r="C5541" s="2" t="n">
        <v>4</v>
      </c>
      <c r="D5541" s="2" t="s">
        <v>15</v>
      </c>
      <c r="E5541" s="2" t="s">
        <v>8083</v>
      </c>
      <c r="F5541" s="3" t="n">
        <v>46197.9513888889</v>
      </c>
      <c r="G5541" s="2" t="s">
        <v>10878</v>
      </c>
      <c r="H5541" s="4" t="n">
        <v>0</v>
      </c>
      <c r="I5541" s="2" t="s">
        <v>18</v>
      </c>
      <c r="J5541" s="2" t="s">
        <v>19</v>
      </c>
      <c r="K5541" s="2" t="n">
        <v>1</v>
      </c>
      <c r="L5541" s="2" t="n">
        <v>1</v>
      </c>
      <c r="M5541" s="2" t="n">
        <v>0</v>
      </c>
    </row>
    <row r="5542" customFormat="false" ht="15" hidden="false" customHeight="false" outlineLevel="0" collapsed="false">
      <c r="A5542" s="2" t="s">
        <v>11266</v>
      </c>
      <c r="B5542" s="2" t="s">
        <v>11267</v>
      </c>
      <c r="C5542" s="2" t="n">
        <v>5</v>
      </c>
      <c r="D5542" s="2" t="s">
        <v>565</v>
      </c>
      <c r="E5542" s="2" t="s">
        <v>8083</v>
      </c>
      <c r="F5542" s="3" t="n">
        <v>46198.08125</v>
      </c>
      <c r="G5542" s="2" t="s">
        <v>10878</v>
      </c>
      <c r="H5542" s="4" t="n">
        <v>0.7549</v>
      </c>
      <c r="I5542" s="2" t="s">
        <v>23</v>
      </c>
      <c r="J5542" s="2" t="s">
        <v>19</v>
      </c>
      <c r="K5542" s="2" t="n">
        <v>1</v>
      </c>
      <c r="L5542" s="2" t="n">
        <v>0</v>
      </c>
      <c r="M5542" s="2" t="n">
        <v>0</v>
      </c>
    </row>
    <row r="5543" customFormat="false" ht="15" hidden="false" customHeight="false" outlineLevel="0" collapsed="false">
      <c r="A5543" s="2" t="s">
        <v>11268</v>
      </c>
      <c r="B5543" s="2" t="s">
        <v>11269</v>
      </c>
      <c r="C5543" s="2" t="n">
        <v>1</v>
      </c>
      <c r="D5543" s="2" t="s">
        <v>946</v>
      </c>
      <c r="E5543" s="2" t="s">
        <v>8083</v>
      </c>
      <c r="F5543" s="3" t="n">
        <v>46198.1055555556</v>
      </c>
      <c r="G5543" s="2" t="s">
        <v>10878</v>
      </c>
      <c r="H5543" s="4" t="n">
        <v>-0.25</v>
      </c>
      <c r="I5543" s="2" t="s">
        <v>84</v>
      </c>
      <c r="J5543" s="2" t="s">
        <v>37</v>
      </c>
      <c r="K5543" s="2" t="n">
        <v>1</v>
      </c>
      <c r="L5543" s="2" t="n">
        <v>1</v>
      </c>
      <c r="M5543" s="2" t="n">
        <v>0</v>
      </c>
    </row>
    <row r="5544" customFormat="false" ht="15" hidden="false" customHeight="false" outlineLevel="0" collapsed="false">
      <c r="A5544" s="2" t="s">
        <v>11270</v>
      </c>
      <c r="B5544" s="2" t="s">
        <v>11271</v>
      </c>
      <c r="C5544" s="2" t="n">
        <v>4</v>
      </c>
      <c r="D5544" s="2" t="s">
        <v>1387</v>
      </c>
      <c r="E5544" s="2" t="s">
        <v>8083</v>
      </c>
      <c r="F5544" s="3" t="n">
        <v>46198.1284722222</v>
      </c>
      <c r="G5544" s="2" t="s">
        <v>10878</v>
      </c>
      <c r="H5544" s="4" t="n">
        <v>0.9359</v>
      </c>
      <c r="I5544" s="2" t="s">
        <v>23</v>
      </c>
      <c r="J5544" s="2" t="s">
        <v>37</v>
      </c>
      <c r="K5544" s="2" t="n">
        <v>0</v>
      </c>
      <c r="L5544" s="2" t="n">
        <v>0</v>
      </c>
      <c r="M5544" s="2" t="n">
        <v>0</v>
      </c>
    </row>
    <row r="5545" customFormat="false" ht="15" hidden="false" customHeight="false" outlineLevel="0" collapsed="false">
      <c r="A5545" s="2" t="s">
        <v>11272</v>
      </c>
      <c r="B5545" s="2" t="s">
        <v>11273</v>
      </c>
      <c r="C5545" s="2" t="n">
        <v>4</v>
      </c>
      <c r="D5545" s="2" t="s">
        <v>1279</v>
      </c>
      <c r="E5545" s="2" t="s">
        <v>8083</v>
      </c>
      <c r="F5545" s="3" t="n">
        <v>46198.3451388889</v>
      </c>
      <c r="G5545" s="2" t="s">
        <v>10878</v>
      </c>
      <c r="H5545" s="4" t="n">
        <v>0.7783</v>
      </c>
      <c r="I5545" s="2" t="s">
        <v>23</v>
      </c>
      <c r="J5545" s="2" t="s">
        <v>37</v>
      </c>
      <c r="K5545" s="2" t="n">
        <v>2</v>
      </c>
      <c r="L5545" s="2" t="n">
        <v>0</v>
      </c>
      <c r="M5545" s="2" t="n">
        <v>0</v>
      </c>
    </row>
    <row r="5546" customFormat="false" ht="15" hidden="false" customHeight="false" outlineLevel="0" collapsed="false">
      <c r="A5546" s="2" t="s">
        <v>11274</v>
      </c>
      <c r="B5546" s="2" t="s">
        <v>11275</v>
      </c>
      <c r="C5546" s="2" t="n">
        <v>4</v>
      </c>
      <c r="D5546" s="2" t="s">
        <v>15</v>
      </c>
      <c r="E5546" s="2" t="s">
        <v>8083</v>
      </c>
      <c r="F5546" s="3" t="n">
        <v>46198.3625</v>
      </c>
      <c r="G5546" s="2" t="s">
        <v>10878</v>
      </c>
      <c r="H5546" s="4" t="n">
        <v>0</v>
      </c>
      <c r="I5546" s="2" t="s">
        <v>18</v>
      </c>
      <c r="J5546" s="2" t="s">
        <v>19</v>
      </c>
      <c r="K5546" s="2" t="n">
        <v>1</v>
      </c>
      <c r="L5546" s="2" t="n">
        <v>0</v>
      </c>
      <c r="M5546" s="2" t="n">
        <v>0</v>
      </c>
    </row>
    <row r="5547" customFormat="false" ht="15" hidden="false" customHeight="false" outlineLevel="0" collapsed="false">
      <c r="A5547" s="2" t="s">
        <v>11276</v>
      </c>
      <c r="B5547" s="2" t="s">
        <v>11277</v>
      </c>
      <c r="C5547" s="2" t="n">
        <v>5</v>
      </c>
      <c r="D5547" s="2" t="s">
        <v>127</v>
      </c>
      <c r="E5547" s="2" t="s">
        <v>8083</v>
      </c>
      <c r="F5547" s="3" t="n">
        <v>46198.3923611111</v>
      </c>
      <c r="G5547" s="2" t="s">
        <v>10878</v>
      </c>
      <c r="H5547" s="4" t="n">
        <v>0.9359</v>
      </c>
      <c r="I5547" s="2" t="s">
        <v>23</v>
      </c>
      <c r="J5547" s="2" t="s">
        <v>37</v>
      </c>
      <c r="K5547" s="2" t="n">
        <v>2</v>
      </c>
      <c r="L5547" s="2" t="n">
        <v>0</v>
      </c>
      <c r="M5547" s="2" t="n">
        <v>0</v>
      </c>
    </row>
    <row r="5548" customFormat="false" ht="15" hidden="false" customHeight="false" outlineLevel="0" collapsed="false">
      <c r="A5548" s="2" t="s">
        <v>11278</v>
      </c>
      <c r="B5548" s="2" t="s">
        <v>11279</v>
      </c>
      <c r="C5548" s="2" t="n">
        <v>5</v>
      </c>
      <c r="D5548" s="2" t="s">
        <v>90</v>
      </c>
      <c r="E5548" s="2" t="s">
        <v>8083</v>
      </c>
      <c r="F5548" s="3" t="n">
        <v>46198.5138888889</v>
      </c>
      <c r="G5548" s="2" t="s">
        <v>10878</v>
      </c>
      <c r="H5548" s="4" t="n">
        <v>0.6249</v>
      </c>
      <c r="I5548" s="2" t="s">
        <v>23</v>
      </c>
      <c r="J5548" s="2" t="s">
        <v>37</v>
      </c>
      <c r="K5548" s="2" t="n">
        <v>0</v>
      </c>
      <c r="L5548" s="2" t="n">
        <v>0</v>
      </c>
      <c r="M5548" s="2" t="n">
        <v>0</v>
      </c>
    </row>
    <row r="5549" customFormat="false" ht="15" hidden="false" customHeight="false" outlineLevel="0" collapsed="false">
      <c r="A5549" s="2" t="s">
        <v>11280</v>
      </c>
      <c r="B5549" s="2" t="s">
        <v>11281</v>
      </c>
      <c r="C5549" s="2" t="n">
        <v>5</v>
      </c>
      <c r="D5549" s="2" t="s">
        <v>47</v>
      </c>
      <c r="E5549" s="2" t="s">
        <v>8083</v>
      </c>
      <c r="F5549" s="3" t="n">
        <v>46198.60625</v>
      </c>
      <c r="G5549" s="2" t="s">
        <v>10878</v>
      </c>
      <c r="H5549" s="4" t="n">
        <v>0.3089</v>
      </c>
      <c r="I5549" s="2" t="s">
        <v>23</v>
      </c>
      <c r="J5549" s="2" t="s">
        <v>19</v>
      </c>
      <c r="K5549" s="2" t="n">
        <v>0</v>
      </c>
      <c r="L5549" s="2" t="n">
        <v>0</v>
      </c>
      <c r="M5549" s="2" t="n">
        <v>0</v>
      </c>
    </row>
    <row r="5550" customFormat="false" ht="15" hidden="false" customHeight="false" outlineLevel="0" collapsed="false">
      <c r="A5550" s="2" t="s">
        <v>11282</v>
      </c>
      <c r="B5550" s="2" t="s">
        <v>11283</v>
      </c>
      <c r="C5550" s="2" t="n">
        <v>4</v>
      </c>
      <c r="D5550" s="2" t="s">
        <v>1424</v>
      </c>
      <c r="E5550" s="2" t="s">
        <v>8083</v>
      </c>
      <c r="F5550" s="3" t="n">
        <v>46198.7013888889</v>
      </c>
      <c r="G5550" s="2" t="s">
        <v>10878</v>
      </c>
      <c r="H5550" s="4" t="n">
        <v>0.3089</v>
      </c>
      <c r="I5550" s="2" t="s">
        <v>23</v>
      </c>
      <c r="J5550" s="2" t="s">
        <v>19</v>
      </c>
      <c r="K5550" s="2" t="n">
        <v>0</v>
      </c>
      <c r="L5550" s="2" t="n">
        <v>0</v>
      </c>
      <c r="M5550" s="2" t="n">
        <v>0</v>
      </c>
    </row>
    <row r="5551" customFormat="false" ht="15" hidden="false" customHeight="false" outlineLevel="0" collapsed="false">
      <c r="A5551" s="2" t="s">
        <v>11284</v>
      </c>
      <c r="B5551" s="2" t="s">
        <v>11285</v>
      </c>
      <c r="C5551" s="2" t="n">
        <v>5</v>
      </c>
      <c r="D5551" s="2" t="s">
        <v>304</v>
      </c>
      <c r="E5551" s="2" t="s">
        <v>8083</v>
      </c>
      <c r="F5551" s="3" t="n">
        <v>46198.8048611111</v>
      </c>
      <c r="G5551" s="2" t="s">
        <v>10878</v>
      </c>
      <c r="H5551" s="4" t="n">
        <v>0.6249</v>
      </c>
      <c r="I5551" s="2" t="s">
        <v>23</v>
      </c>
      <c r="J5551" s="2" t="s">
        <v>37</v>
      </c>
      <c r="K5551" s="2" t="n">
        <v>0</v>
      </c>
      <c r="L5551" s="2" t="n">
        <v>0</v>
      </c>
      <c r="M5551" s="2" t="n">
        <v>0</v>
      </c>
    </row>
    <row r="5552" customFormat="false" ht="15" hidden="false" customHeight="false" outlineLevel="0" collapsed="false">
      <c r="A5552" s="2" t="s">
        <v>11286</v>
      </c>
      <c r="B5552" s="2" t="s">
        <v>11287</v>
      </c>
      <c r="C5552" s="2" t="n">
        <v>5</v>
      </c>
      <c r="D5552" s="2" t="s">
        <v>90</v>
      </c>
      <c r="E5552" s="2" t="s">
        <v>8083</v>
      </c>
      <c r="F5552" s="3" t="n">
        <v>46198.8076388889</v>
      </c>
      <c r="G5552" s="2" t="s">
        <v>10878</v>
      </c>
      <c r="H5552" s="4" t="n">
        <v>0.6249</v>
      </c>
      <c r="I5552" s="2" t="s">
        <v>23</v>
      </c>
      <c r="J5552" s="2" t="s">
        <v>37</v>
      </c>
      <c r="K5552" s="2" t="n">
        <v>1</v>
      </c>
      <c r="L5552" s="2" t="n">
        <v>0</v>
      </c>
      <c r="M5552" s="2" t="n">
        <v>0</v>
      </c>
    </row>
    <row r="5553" customFormat="false" ht="15" hidden="false" customHeight="false" outlineLevel="0" collapsed="false">
      <c r="A5553" s="2" t="s">
        <v>11288</v>
      </c>
      <c r="B5553" s="2" t="s">
        <v>11289</v>
      </c>
      <c r="C5553" s="2" t="n">
        <v>5</v>
      </c>
      <c r="D5553" s="2" t="s">
        <v>127</v>
      </c>
      <c r="E5553" s="2" t="s">
        <v>8083</v>
      </c>
      <c r="F5553" s="3" t="n">
        <v>46198.9583333333</v>
      </c>
      <c r="G5553" s="2" t="s">
        <v>10878</v>
      </c>
      <c r="H5553" s="4" t="n">
        <v>0.9359</v>
      </c>
      <c r="I5553" s="2" t="s">
        <v>23</v>
      </c>
      <c r="J5553" s="2" t="s">
        <v>37</v>
      </c>
      <c r="K5553" s="2" t="n">
        <v>0</v>
      </c>
      <c r="L5553" s="2" t="n">
        <v>0</v>
      </c>
      <c r="M5553" s="2" t="n">
        <v>0</v>
      </c>
    </row>
    <row r="5554" customFormat="false" ht="15" hidden="false" customHeight="false" outlineLevel="0" collapsed="false">
      <c r="A5554" s="2" t="s">
        <v>11290</v>
      </c>
      <c r="B5554" s="2" t="s">
        <v>11291</v>
      </c>
      <c r="C5554" s="2" t="n">
        <v>5</v>
      </c>
      <c r="D5554" s="2" t="s">
        <v>565</v>
      </c>
      <c r="E5554" s="2" t="s">
        <v>8083</v>
      </c>
      <c r="F5554" s="3" t="n">
        <v>46199.1791666667</v>
      </c>
      <c r="G5554" s="2" t="s">
        <v>10878</v>
      </c>
      <c r="H5554" s="4" t="n">
        <v>0.7549</v>
      </c>
      <c r="I5554" s="2" t="s">
        <v>23</v>
      </c>
      <c r="J5554" s="2" t="s">
        <v>19</v>
      </c>
      <c r="K5554" s="2" t="n">
        <v>2</v>
      </c>
      <c r="L5554" s="2" t="n">
        <v>0</v>
      </c>
      <c r="M5554" s="2" t="n">
        <v>0</v>
      </c>
    </row>
    <row r="5555" customFormat="false" ht="15" hidden="false" customHeight="false" outlineLevel="0" collapsed="false">
      <c r="A5555" s="2" t="s">
        <v>11292</v>
      </c>
      <c r="B5555" s="2" t="s">
        <v>11293</v>
      </c>
      <c r="C5555" s="2" t="n">
        <v>4</v>
      </c>
      <c r="D5555" s="2" t="s">
        <v>47</v>
      </c>
      <c r="E5555" s="2" t="s">
        <v>8083</v>
      </c>
      <c r="F5555" s="3" t="n">
        <v>46199.2673611111</v>
      </c>
      <c r="G5555" s="2" t="s">
        <v>10878</v>
      </c>
      <c r="H5555" s="4" t="n">
        <v>0.3089</v>
      </c>
      <c r="I5555" s="2" t="s">
        <v>23</v>
      </c>
      <c r="J5555" s="2" t="s">
        <v>19</v>
      </c>
      <c r="K5555" s="2" t="n">
        <v>5</v>
      </c>
      <c r="L5555" s="2" t="n">
        <v>0</v>
      </c>
      <c r="M5555" s="2" t="n">
        <v>0</v>
      </c>
    </row>
    <row r="5556" customFormat="false" ht="15" hidden="false" customHeight="false" outlineLevel="0" collapsed="false">
      <c r="A5556" s="2" t="s">
        <v>11294</v>
      </c>
      <c r="B5556" s="2" t="s">
        <v>11295</v>
      </c>
      <c r="C5556" s="2" t="n">
        <v>5</v>
      </c>
      <c r="D5556" s="2" t="s">
        <v>127</v>
      </c>
      <c r="E5556" s="2" t="s">
        <v>8083</v>
      </c>
      <c r="F5556" s="3" t="n">
        <v>46199.4555555556</v>
      </c>
      <c r="G5556" s="2" t="s">
        <v>10878</v>
      </c>
      <c r="H5556" s="4" t="n">
        <v>0.9359</v>
      </c>
      <c r="I5556" s="2" t="s">
        <v>23</v>
      </c>
      <c r="J5556" s="2" t="s">
        <v>37</v>
      </c>
      <c r="K5556" s="2" t="n">
        <v>7</v>
      </c>
      <c r="L5556" s="2" t="n">
        <v>0</v>
      </c>
      <c r="M5556" s="2" t="n">
        <v>0</v>
      </c>
    </row>
    <row r="5557" customFormat="false" ht="15" hidden="false" customHeight="false" outlineLevel="0" collapsed="false">
      <c r="A5557" s="2" t="s">
        <v>11296</v>
      </c>
      <c r="B5557" s="2" t="s">
        <v>11297</v>
      </c>
      <c r="C5557" s="2" t="n">
        <v>5</v>
      </c>
      <c r="D5557" s="2" t="s">
        <v>90</v>
      </c>
      <c r="E5557" s="2" t="s">
        <v>8083</v>
      </c>
      <c r="F5557" s="3" t="n">
        <v>46199.5611111111</v>
      </c>
      <c r="G5557" s="2" t="s">
        <v>10878</v>
      </c>
      <c r="H5557" s="4" t="n">
        <v>0.6249</v>
      </c>
      <c r="I5557" s="2" t="s">
        <v>23</v>
      </c>
      <c r="J5557" s="2" t="s">
        <v>37</v>
      </c>
      <c r="K5557" s="2" t="n">
        <v>0</v>
      </c>
      <c r="L5557" s="2" t="n">
        <v>0</v>
      </c>
      <c r="M5557" s="2" t="n">
        <v>0</v>
      </c>
    </row>
    <row r="5558" customFormat="false" ht="15" hidden="false" customHeight="false" outlineLevel="0" collapsed="false">
      <c r="A5558" s="2" t="s">
        <v>11298</v>
      </c>
      <c r="B5558" s="2" t="s">
        <v>11299</v>
      </c>
      <c r="C5558" s="2" t="n">
        <v>4</v>
      </c>
      <c r="D5558" s="2" t="s">
        <v>36</v>
      </c>
      <c r="E5558" s="2" t="s">
        <v>8083</v>
      </c>
      <c r="F5558" s="3" t="n">
        <v>46199.5756944444</v>
      </c>
      <c r="G5558" s="2" t="s">
        <v>10878</v>
      </c>
      <c r="H5558" s="4" t="n">
        <v>0.4404</v>
      </c>
      <c r="I5558" s="2" t="s">
        <v>23</v>
      </c>
      <c r="J5558" s="2" t="s">
        <v>37</v>
      </c>
      <c r="K5558" s="2" t="n">
        <v>11</v>
      </c>
      <c r="L5558" s="2" t="n">
        <v>0</v>
      </c>
      <c r="M5558" s="2" t="n">
        <v>0</v>
      </c>
    </row>
    <row r="5559" customFormat="false" ht="15" hidden="false" customHeight="false" outlineLevel="0" collapsed="false">
      <c r="A5559" s="2" t="s">
        <v>11300</v>
      </c>
      <c r="B5559" s="2" t="s">
        <v>11301</v>
      </c>
      <c r="C5559" s="2" t="n">
        <v>5</v>
      </c>
      <c r="D5559" s="2" t="s">
        <v>251</v>
      </c>
      <c r="E5559" s="2" t="s">
        <v>8083</v>
      </c>
      <c r="F5559" s="3" t="n">
        <v>46199.5784722222</v>
      </c>
      <c r="G5559" s="2" t="s">
        <v>10878</v>
      </c>
      <c r="H5559" s="4" t="n">
        <v>0.8651</v>
      </c>
      <c r="I5559" s="2" t="s">
        <v>23</v>
      </c>
      <c r="J5559" s="2" t="s">
        <v>19</v>
      </c>
      <c r="K5559" s="2" t="n">
        <v>1</v>
      </c>
      <c r="L5559" s="2" t="n">
        <v>0</v>
      </c>
      <c r="M5559" s="2" t="n">
        <v>0</v>
      </c>
    </row>
    <row r="5560" customFormat="false" ht="15" hidden="false" customHeight="false" outlineLevel="0" collapsed="false">
      <c r="A5560" s="2" t="s">
        <v>11302</v>
      </c>
      <c r="B5560" s="2" t="s">
        <v>11303</v>
      </c>
      <c r="C5560" s="2" t="n">
        <v>4</v>
      </c>
      <c r="D5560" s="2" t="s">
        <v>47</v>
      </c>
      <c r="E5560" s="2" t="s">
        <v>8083</v>
      </c>
      <c r="F5560" s="3" t="n">
        <v>46199.8090277778</v>
      </c>
      <c r="G5560" s="2" t="s">
        <v>10878</v>
      </c>
      <c r="H5560" s="4" t="n">
        <v>0.3089</v>
      </c>
      <c r="I5560" s="2" t="s">
        <v>23</v>
      </c>
      <c r="J5560" s="2" t="s">
        <v>19</v>
      </c>
      <c r="K5560" s="2" t="n">
        <v>4</v>
      </c>
      <c r="L5560" s="2" t="n">
        <v>0</v>
      </c>
      <c r="M5560" s="2" t="n">
        <v>0</v>
      </c>
    </row>
    <row r="5561" customFormat="false" ht="15" hidden="false" customHeight="false" outlineLevel="0" collapsed="false">
      <c r="A5561" s="2" t="s">
        <v>11304</v>
      </c>
      <c r="B5561" s="2" t="s">
        <v>11305</v>
      </c>
      <c r="C5561" s="2" t="n">
        <v>5</v>
      </c>
      <c r="D5561" s="2" t="s">
        <v>3476</v>
      </c>
      <c r="E5561" s="2" t="s">
        <v>8083</v>
      </c>
      <c r="F5561" s="3" t="n">
        <v>46199.8270833333</v>
      </c>
      <c r="G5561" s="2" t="s">
        <v>10878</v>
      </c>
      <c r="H5561" s="4" t="n">
        <v>0.8777</v>
      </c>
      <c r="I5561" s="2" t="s">
        <v>23</v>
      </c>
      <c r="J5561" s="2" t="s">
        <v>19</v>
      </c>
      <c r="K5561" s="2" t="n">
        <v>1</v>
      </c>
      <c r="L5561" s="2" t="n">
        <v>0</v>
      </c>
      <c r="M5561" s="2" t="n">
        <v>0</v>
      </c>
    </row>
    <row r="5562" customFormat="false" ht="15" hidden="false" customHeight="false" outlineLevel="0" collapsed="false">
      <c r="A5562" s="2" t="s">
        <v>11306</v>
      </c>
      <c r="B5562" s="2" t="s">
        <v>11307</v>
      </c>
      <c r="C5562" s="2" t="n">
        <v>2</v>
      </c>
      <c r="D5562" s="2" t="s">
        <v>109</v>
      </c>
      <c r="E5562" s="2" t="s">
        <v>8083</v>
      </c>
      <c r="F5562" s="3" t="n">
        <v>46199.9652777778</v>
      </c>
      <c r="G5562" s="2" t="s">
        <v>10878</v>
      </c>
      <c r="H5562" s="4" t="n">
        <v>0</v>
      </c>
      <c r="I5562" s="2" t="s">
        <v>18</v>
      </c>
      <c r="J5562" s="2" t="s">
        <v>110</v>
      </c>
      <c r="K5562" s="2" t="n">
        <v>0</v>
      </c>
      <c r="L5562" s="2" t="n">
        <v>1</v>
      </c>
      <c r="M5562" s="2" t="n">
        <v>0</v>
      </c>
    </row>
    <row r="5563" customFormat="false" ht="15" hidden="false" customHeight="false" outlineLevel="0" collapsed="false">
      <c r="A5563" s="2" t="s">
        <v>11308</v>
      </c>
      <c r="B5563" s="2" t="s">
        <v>11309</v>
      </c>
      <c r="C5563" s="2" t="n">
        <v>4</v>
      </c>
      <c r="D5563" s="2" t="s">
        <v>62</v>
      </c>
      <c r="E5563" s="2" t="s">
        <v>8083</v>
      </c>
      <c r="F5563" s="3" t="n">
        <v>46200.0527777778</v>
      </c>
      <c r="G5563" s="2" t="s">
        <v>10878</v>
      </c>
      <c r="H5563" s="4" t="n">
        <v>0.7088</v>
      </c>
      <c r="I5563" s="2" t="s">
        <v>23</v>
      </c>
      <c r="J5563" s="2" t="s">
        <v>19</v>
      </c>
      <c r="K5563" s="2" t="n">
        <v>3</v>
      </c>
      <c r="L5563" s="2" t="n">
        <v>0</v>
      </c>
      <c r="M5563" s="2" t="n">
        <v>0</v>
      </c>
    </row>
    <row r="5564" customFormat="false" ht="15" hidden="false" customHeight="false" outlineLevel="0" collapsed="false">
      <c r="A5564" s="2" t="s">
        <v>11310</v>
      </c>
      <c r="B5564" s="2" t="s">
        <v>11311</v>
      </c>
      <c r="C5564" s="2" t="n">
        <v>4</v>
      </c>
      <c r="D5564" s="2" t="s">
        <v>15</v>
      </c>
      <c r="E5564" s="2" t="s">
        <v>8083</v>
      </c>
      <c r="F5564" s="3" t="n">
        <v>46200.2076388889</v>
      </c>
      <c r="G5564" s="2" t="s">
        <v>10878</v>
      </c>
      <c r="H5564" s="4" t="n">
        <v>0</v>
      </c>
      <c r="I5564" s="2" t="s">
        <v>18</v>
      </c>
      <c r="J5564" s="2" t="s">
        <v>19</v>
      </c>
      <c r="K5564" s="2" t="n">
        <v>1</v>
      </c>
      <c r="L5564" s="2" t="n">
        <v>0</v>
      </c>
      <c r="M5564" s="2" t="n">
        <v>0</v>
      </c>
    </row>
    <row r="5565" customFormat="false" ht="15" hidden="false" customHeight="false" outlineLevel="0" collapsed="false">
      <c r="A5565" s="2" t="s">
        <v>11312</v>
      </c>
      <c r="B5565" s="2" t="s">
        <v>11313</v>
      </c>
      <c r="C5565" s="2" t="n">
        <v>1</v>
      </c>
      <c r="D5565" s="2" t="s">
        <v>591</v>
      </c>
      <c r="E5565" s="2" t="s">
        <v>8083</v>
      </c>
      <c r="F5565" s="3" t="n">
        <v>46200.2534722222</v>
      </c>
      <c r="G5565" s="2" t="s">
        <v>10878</v>
      </c>
      <c r="H5565" s="4" t="n">
        <v>0</v>
      </c>
      <c r="I5565" s="2" t="s">
        <v>18</v>
      </c>
      <c r="J5565" s="2" t="s">
        <v>37</v>
      </c>
      <c r="K5565" s="2" t="n">
        <v>4</v>
      </c>
      <c r="L5565" s="2" t="n">
        <v>1</v>
      </c>
      <c r="M5565" s="2" t="n">
        <v>0</v>
      </c>
    </row>
    <row r="5566" customFormat="false" ht="15" hidden="false" customHeight="false" outlineLevel="0" collapsed="false">
      <c r="A5566" s="2" t="s">
        <v>11314</v>
      </c>
      <c r="B5566" s="2" t="s">
        <v>11315</v>
      </c>
      <c r="C5566" s="2" t="n">
        <v>3</v>
      </c>
      <c r="D5566" s="2" t="s">
        <v>22</v>
      </c>
      <c r="E5566" s="2" t="s">
        <v>8083</v>
      </c>
      <c r="F5566" s="3" t="n">
        <v>46200.3465277778</v>
      </c>
      <c r="G5566" s="2" t="s">
        <v>10878</v>
      </c>
      <c r="H5566" s="4" t="n">
        <v>0.2023</v>
      </c>
      <c r="I5566" s="2" t="s">
        <v>23</v>
      </c>
      <c r="J5566" s="2" t="s">
        <v>19</v>
      </c>
      <c r="K5566" s="2" t="n">
        <v>0</v>
      </c>
      <c r="L5566" s="2" t="n">
        <v>0</v>
      </c>
      <c r="M5566" s="2" t="n">
        <v>0</v>
      </c>
    </row>
    <row r="5567" customFormat="false" ht="15" hidden="false" customHeight="false" outlineLevel="0" collapsed="false">
      <c r="A5567" s="2" t="s">
        <v>11316</v>
      </c>
      <c r="B5567" s="2" t="s">
        <v>11317</v>
      </c>
      <c r="C5567" s="2" t="n">
        <v>1</v>
      </c>
      <c r="D5567" s="2" t="s">
        <v>683</v>
      </c>
      <c r="E5567" s="2" t="s">
        <v>8083</v>
      </c>
      <c r="F5567" s="3" t="n">
        <v>46200.5076388889</v>
      </c>
      <c r="G5567" s="2" t="s">
        <v>10878</v>
      </c>
      <c r="H5567" s="4" t="n">
        <v>-0.7819</v>
      </c>
      <c r="I5567" s="2" t="s">
        <v>84</v>
      </c>
      <c r="J5567" s="2" t="s">
        <v>110</v>
      </c>
      <c r="K5567" s="2" t="n">
        <v>2</v>
      </c>
      <c r="L5567" s="2" t="n">
        <v>0</v>
      </c>
      <c r="M5567" s="2" t="n">
        <v>0</v>
      </c>
    </row>
    <row r="5568" customFormat="false" ht="15" hidden="false" customHeight="false" outlineLevel="0" collapsed="false">
      <c r="A5568" s="2" t="s">
        <v>11318</v>
      </c>
      <c r="B5568" s="2" t="s">
        <v>11319</v>
      </c>
      <c r="C5568" s="2" t="n">
        <v>4</v>
      </c>
      <c r="D5568" s="2" t="s">
        <v>96</v>
      </c>
      <c r="E5568" s="2" t="s">
        <v>8083</v>
      </c>
      <c r="F5568" s="3" t="n">
        <v>46200.56875</v>
      </c>
      <c r="G5568" s="2" t="s">
        <v>10878</v>
      </c>
      <c r="H5568" s="4" t="n">
        <v>0.6369</v>
      </c>
      <c r="I5568" s="2" t="s">
        <v>23</v>
      </c>
      <c r="J5568" s="2" t="s">
        <v>19</v>
      </c>
      <c r="K5568" s="2" t="n">
        <v>1</v>
      </c>
      <c r="L5568" s="2" t="n">
        <v>0</v>
      </c>
      <c r="M5568" s="2" t="n">
        <v>0</v>
      </c>
    </row>
    <row r="5569" customFormat="false" ht="15" hidden="false" customHeight="false" outlineLevel="0" collapsed="false">
      <c r="A5569" s="2" t="s">
        <v>11320</v>
      </c>
      <c r="B5569" s="2" t="s">
        <v>11321</v>
      </c>
      <c r="C5569" s="2" t="n">
        <v>4</v>
      </c>
      <c r="D5569" s="2" t="s">
        <v>22</v>
      </c>
      <c r="E5569" s="2" t="s">
        <v>8083</v>
      </c>
      <c r="F5569" s="3" t="n">
        <v>46200.5819444444</v>
      </c>
      <c r="G5569" s="2" t="s">
        <v>10878</v>
      </c>
      <c r="H5569" s="4" t="n">
        <v>0.2023</v>
      </c>
      <c r="I5569" s="2" t="s">
        <v>23</v>
      </c>
      <c r="J5569" s="2" t="s">
        <v>19</v>
      </c>
      <c r="K5569" s="2" t="n">
        <v>5</v>
      </c>
      <c r="L5569" s="2" t="n">
        <v>0</v>
      </c>
      <c r="M5569" s="2" t="n">
        <v>0</v>
      </c>
    </row>
    <row r="5570" customFormat="false" ht="15" hidden="false" customHeight="false" outlineLevel="0" collapsed="false">
      <c r="A5570" s="2" t="s">
        <v>11322</v>
      </c>
      <c r="B5570" s="2" t="s">
        <v>11323</v>
      </c>
      <c r="C5570" s="2" t="n">
        <v>5</v>
      </c>
      <c r="D5570" s="2" t="s">
        <v>62</v>
      </c>
      <c r="E5570" s="2" t="s">
        <v>8083</v>
      </c>
      <c r="F5570" s="3" t="n">
        <v>46200.6520833333</v>
      </c>
      <c r="G5570" s="2" t="s">
        <v>10878</v>
      </c>
      <c r="H5570" s="4" t="n">
        <v>0.7088</v>
      </c>
      <c r="I5570" s="2" t="s">
        <v>23</v>
      </c>
      <c r="J5570" s="2" t="s">
        <v>19</v>
      </c>
      <c r="K5570" s="2" t="n">
        <v>2</v>
      </c>
      <c r="L5570" s="2" t="n">
        <v>0</v>
      </c>
      <c r="M5570" s="2" t="n">
        <v>0</v>
      </c>
    </row>
    <row r="5571" customFormat="false" ht="15" hidden="false" customHeight="false" outlineLevel="0" collapsed="false">
      <c r="A5571" s="2" t="s">
        <v>11324</v>
      </c>
      <c r="B5571" s="2" t="s">
        <v>11325</v>
      </c>
      <c r="C5571" s="2" t="n">
        <v>5</v>
      </c>
      <c r="D5571" s="2" t="s">
        <v>52</v>
      </c>
      <c r="E5571" s="2" t="s">
        <v>8083</v>
      </c>
      <c r="F5571" s="3" t="n">
        <v>46200.6576388889</v>
      </c>
      <c r="G5571" s="2" t="s">
        <v>10878</v>
      </c>
      <c r="H5571" s="4" t="n">
        <v>0.6369</v>
      </c>
      <c r="I5571" s="2" t="s">
        <v>23</v>
      </c>
      <c r="J5571" s="2" t="s">
        <v>19</v>
      </c>
      <c r="K5571" s="2" t="n">
        <v>6</v>
      </c>
      <c r="L5571" s="2" t="n">
        <v>0</v>
      </c>
      <c r="M5571" s="2" t="n">
        <v>0</v>
      </c>
    </row>
    <row r="5572" customFormat="false" ht="15" hidden="false" customHeight="false" outlineLevel="0" collapsed="false">
      <c r="A5572" s="2" t="s">
        <v>11326</v>
      </c>
      <c r="B5572" s="2" t="s">
        <v>11327</v>
      </c>
      <c r="C5572" s="2" t="n">
        <v>5</v>
      </c>
      <c r="D5572" s="2" t="s">
        <v>127</v>
      </c>
      <c r="E5572" s="2" t="s">
        <v>8083</v>
      </c>
      <c r="F5572" s="3" t="n">
        <v>46200.7333333333</v>
      </c>
      <c r="G5572" s="2" t="s">
        <v>10878</v>
      </c>
      <c r="H5572" s="4" t="n">
        <v>0.9359</v>
      </c>
      <c r="I5572" s="2" t="s">
        <v>23</v>
      </c>
      <c r="J5572" s="2" t="s">
        <v>37</v>
      </c>
      <c r="K5572" s="2" t="n">
        <v>0</v>
      </c>
      <c r="L5572" s="2" t="n">
        <v>0</v>
      </c>
      <c r="M5572" s="2" t="n">
        <v>0</v>
      </c>
    </row>
    <row r="5573" customFormat="false" ht="15" hidden="false" customHeight="false" outlineLevel="0" collapsed="false">
      <c r="A5573" s="2" t="s">
        <v>11328</v>
      </c>
      <c r="B5573" s="2" t="s">
        <v>11329</v>
      </c>
      <c r="C5573" s="2" t="n">
        <v>3</v>
      </c>
      <c r="D5573" s="2" t="s">
        <v>498</v>
      </c>
      <c r="E5573" s="2" t="s">
        <v>8083</v>
      </c>
      <c r="F5573" s="3" t="n">
        <v>46200.9631944444</v>
      </c>
      <c r="G5573" s="2" t="s">
        <v>10878</v>
      </c>
      <c r="H5573" s="4" t="n">
        <v>0</v>
      </c>
      <c r="I5573" s="2" t="s">
        <v>18</v>
      </c>
      <c r="J5573" s="2" t="s">
        <v>165</v>
      </c>
      <c r="K5573" s="2" t="n">
        <v>7</v>
      </c>
      <c r="L5573" s="2" t="n">
        <v>0</v>
      </c>
      <c r="M5573" s="2" t="n">
        <v>0</v>
      </c>
    </row>
    <row r="5574" customFormat="false" ht="15" hidden="false" customHeight="false" outlineLevel="0" collapsed="false">
      <c r="A5574" s="2" t="s">
        <v>11330</v>
      </c>
      <c r="B5574" s="2" t="s">
        <v>11331</v>
      </c>
      <c r="C5574" s="2" t="n">
        <v>4</v>
      </c>
      <c r="D5574" s="2" t="s">
        <v>96</v>
      </c>
      <c r="E5574" s="2" t="s">
        <v>8083</v>
      </c>
      <c r="F5574" s="3" t="n">
        <v>46200.9680555556</v>
      </c>
      <c r="G5574" s="2" t="s">
        <v>10878</v>
      </c>
      <c r="H5574" s="4" t="n">
        <v>0.6369</v>
      </c>
      <c r="I5574" s="2" t="s">
        <v>23</v>
      </c>
      <c r="J5574" s="2" t="s">
        <v>19</v>
      </c>
      <c r="K5574" s="2" t="n">
        <v>1</v>
      </c>
      <c r="L5574" s="2" t="n">
        <v>0</v>
      </c>
      <c r="M5574" s="2" t="n">
        <v>0</v>
      </c>
    </row>
    <row r="5575" customFormat="false" ht="15" hidden="false" customHeight="false" outlineLevel="0" collapsed="false">
      <c r="A5575" s="2" t="s">
        <v>11332</v>
      </c>
      <c r="B5575" s="2" t="s">
        <v>11333</v>
      </c>
      <c r="C5575" s="2" t="n">
        <v>1</v>
      </c>
      <c r="D5575" s="2" t="s">
        <v>357</v>
      </c>
      <c r="E5575" s="2" t="s">
        <v>8083</v>
      </c>
      <c r="F5575" s="3" t="n">
        <v>46201.2138888889</v>
      </c>
      <c r="G5575" s="2" t="s">
        <v>10878</v>
      </c>
      <c r="H5575" s="4" t="n">
        <v>0</v>
      </c>
      <c r="I5575" s="2" t="s">
        <v>18</v>
      </c>
      <c r="J5575" s="2" t="s">
        <v>165</v>
      </c>
      <c r="K5575" s="2" t="n">
        <v>1</v>
      </c>
      <c r="L5575" s="2" t="n">
        <v>0</v>
      </c>
      <c r="M5575" s="2" t="n">
        <v>0</v>
      </c>
    </row>
    <row r="5576" customFormat="false" ht="15" hidden="false" customHeight="false" outlineLevel="0" collapsed="false">
      <c r="A5576" s="2" t="s">
        <v>11334</v>
      </c>
      <c r="B5576" s="2" t="s">
        <v>11335</v>
      </c>
      <c r="C5576" s="2" t="n">
        <v>4</v>
      </c>
      <c r="D5576" s="2" t="s">
        <v>47</v>
      </c>
      <c r="E5576" s="2" t="s">
        <v>8083</v>
      </c>
      <c r="F5576" s="3" t="n">
        <v>46201.3388888889</v>
      </c>
      <c r="G5576" s="2" t="s">
        <v>10878</v>
      </c>
      <c r="H5576" s="4" t="n">
        <v>0.3089</v>
      </c>
      <c r="I5576" s="2" t="s">
        <v>23</v>
      </c>
      <c r="J5576" s="2" t="s">
        <v>19</v>
      </c>
      <c r="K5576" s="2" t="n">
        <v>0</v>
      </c>
      <c r="L5576" s="2" t="n">
        <v>0</v>
      </c>
      <c r="M5576" s="2" t="n">
        <v>0</v>
      </c>
    </row>
    <row r="5577" customFormat="false" ht="15" hidden="false" customHeight="false" outlineLevel="0" collapsed="false">
      <c r="A5577" s="2" t="s">
        <v>11336</v>
      </c>
      <c r="B5577" s="2" t="s">
        <v>11337</v>
      </c>
      <c r="C5577" s="2" t="n">
        <v>5</v>
      </c>
      <c r="D5577" s="2" t="s">
        <v>47</v>
      </c>
      <c r="E5577" s="2" t="s">
        <v>8083</v>
      </c>
      <c r="F5577" s="3" t="n">
        <v>46201.3826388889</v>
      </c>
      <c r="G5577" s="2" t="s">
        <v>10878</v>
      </c>
      <c r="H5577" s="4" t="n">
        <v>0.3089</v>
      </c>
      <c r="I5577" s="2" t="s">
        <v>23</v>
      </c>
      <c r="J5577" s="2" t="s">
        <v>19</v>
      </c>
      <c r="K5577" s="2" t="n">
        <v>1</v>
      </c>
      <c r="L5577" s="2" t="n">
        <v>1</v>
      </c>
      <c r="M5577" s="2" t="n">
        <v>0</v>
      </c>
    </row>
    <row r="5578" customFormat="false" ht="15" hidden="false" customHeight="false" outlineLevel="0" collapsed="false">
      <c r="A5578" s="2" t="s">
        <v>11338</v>
      </c>
      <c r="B5578" s="2" t="s">
        <v>11339</v>
      </c>
      <c r="C5578" s="2" t="n">
        <v>5</v>
      </c>
      <c r="D5578" s="2" t="s">
        <v>1797</v>
      </c>
      <c r="E5578" s="2" t="s">
        <v>8083</v>
      </c>
      <c r="F5578" s="3" t="n">
        <v>46201.4055555556</v>
      </c>
      <c r="G5578" s="2" t="s">
        <v>10878</v>
      </c>
      <c r="H5578" s="4" t="n">
        <v>0.4019</v>
      </c>
      <c r="I5578" s="2" t="s">
        <v>23</v>
      </c>
      <c r="J5578" s="2" t="s">
        <v>33</v>
      </c>
      <c r="K5578" s="2" t="n">
        <v>2</v>
      </c>
      <c r="L5578" s="2" t="n">
        <v>0</v>
      </c>
      <c r="M5578" s="2" t="n">
        <v>0</v>
      </c>
    </row>
    <row r="5579" customFormat="false" ht="15" hidden="false" customHeight="false" outlineLevel="0" collapsed="false">
      <c r="A5579" s="2" t="s">
        <v>11340</v>
      </c>
      <c r="B5579" s="2" t="s">
        <v>11341</v>
      </c>
      <c r="C5579" s="2" t="n">
        <v>5</v>
      </c>
      <c r="D5579" s="2" t="s">
        <v>90</v>
      </c>
      <c r="E5579" s="2" t="s">
        <v>8083</v>
      </c>
      <c r="F5579" s="3" t="n">
        <v>46201.5215277778</v>
      </c>
      <c r="G5579" s="2" t="s">
        <v>10878</v>
      </c>
      <c r="H5579" s="4" t="n">
        <v>0.6249</v>
      </c>
      <c r="I5579" s="2" t="s">
        <v>23</v>
      </c>
      <c r="J5579" s="2" t="s">
        <v>37</v>
      </c>
      <c r="K5579" s="2" t="n">
        <v>3</v>
      </c>
      <c r="L5579" s="2" t="n">
        <v>0</v>
      </c>
      <c r="M5579" s="2" t="n">
        <v>0</v>
      </c>
    </row>
    <row r="5580" customFormat="false" ht="15" hidden="false" customHeight="false" outlineLevel="0" collapsed="false">
      <c r="A5580" s="2" t="s">
        <v>11342</v>
      </c>
      <c r="B5580" s="2" t="s">
        <v>11343</v>
      </c>
      <c r="C5580" s="2" t="n">
        <v>5</v>
      </c>
      <c r="D5580" s="2" t="s">
        <v>47</v>
      </c>
      <c r="E5580" s="2" t="s">
        <v>8083</v>
      </c>
      <c r="F5580" s="3" t="n">
        <v>46201.5256944444</v>
      </c>
      <c r="G5580" s="2" t="s">
        <v>10878</v>
      </c>
      <c r="H5580" s="4" t="n">
        <v>0.3089</v>
      </c>
      <c r="I5580" s="2" t="s">
        <v>23</v>
      </c>
      <c r="J5580" s="2" t="s">
        <v>19</v>
      </c>
      <c r="K5580" s="2" t="n">
        <v>2</v>
      </c>
      <c r="L5580" s="2" t="n">
        <v>0</v>
      </c>
      <c r="M5580" s="2" t="n">
        <v>0</v>
      </c>
    </row>
    <row r="5581" customFormat="false" ht="15" hidden="false" customHeight="false" outlineLevel="0" collapsed="false">
      <c r="A5581" s="2" t="s">
        <v>11344</v>
      </c>
      <c r="B5581" s="2" t="s">
        <v>11345</v>
      </c>
      <c r="C5581" s="2" t="n">
        <v>4</v>
      </c>
      <c r="D5581" s="2" t="s">
        <v>2140</v>
      </c>
      <c r="E5581" s="2" t="s">
        <v>8083</v>
      </c>
      <c r="F5581" s="3" t="n">
        <v>46201.60625</v>
      </c>
      <c r="G5581" s="2" t="s">
        <v>10878</v>
      </c>
      <c r="H5581" s="4" t="n">
        <v>0.8777</v>
      </c>
      <c r="I5581" s="2" t="s">
        <v>23</v>
      </c>
      <c r="J5581" s="2" t="s">
        <v>19</v>
      </c>
      <c r="K5581" s="2" t="n">
        <v>0</v>
      </c>
      <c r="L5581" s="2" t="n">
        <v>0</v>
      </c>
      <c r="M5581" s="2" t="n">
        <v>0</v>
      </c>
    </row>
    <row r="5582" customFormat="false" ht="15" hidden="false" customHeight="false" outlineLevel="0" collapsed="false">
      <c r="A5582" s="2" t="s">
        <v>11346</v>
      </c>
      <c r="B5582" s="2" t="s">
        <v>11347</v>
      </c>
      <c r="C5582" s="2" t="n">
        <v>5</v>
      </c>
      <c r="D5582" s="2" t="s">
        <v>96</v>
      </c>
      <c r="E5582" s="2" t="s">
        <v>8083</v>
      </c>
      <c r="F5582" s="3" t="n">
        <v>46201.7395833333</v>
      </c>
      <c r="G5582" s="2" t="s">
        <v>10878</v>
      </c>
      <c r="H5582" s="4" t="n">
        <v>0.6369</v>
      </c>
      <c r="I5582" s="2" t="s">
        <v>23</v>
      </c>
      <c r="J5582" s="2" t="s">
        <v>19</v>
      </c>
      <c r="K5582" s="2" t="n">
        <v>0</v>
      </c>
      <c r="L5582" s="2" t="n">
        <v>0</v>
      </c>
      <c r="M5582" s="2" t="n">
        <v>0</v>
      </c>
    </row>
    <row r="5583" customFormat="false" ht="15" hidden="false" customHeight="false" outlineLevel="0" collapsed="false">
      <c r="A5583" s="2" t="s">
        <v>11348</v>
      </c>
      <c r="B5583" s="2" t="s">
        <v>7046</v>
      </c>
      <c r="C5583" s="2" t="n">
        <v>5</v>
      </c>
      <c r="D5583" s="2" t="s">
        <v>52</v>
      </c>
      <c r="E5583" s="2" t="s">
        <v>8083</v>
      </c>
      <c r="F5583" s="3" t="n">
        <v>46201.74375</v>
      </c>
      <c r="G5583" s="2" t="s">
        <v>10878</v>
      </c>
      <c r="H5583" s="4" t="n">
        <v>0.6369</v>
      </c>
      <c r="I5583" s="2" t="s">
        <v>23</v>
      </c>
      <c r="J5583" s="2" t="s">
        <v>19</v>
      </c>
      <c r="K5583" s="2" t="n">
        <v>0</v>
      </c>
      <c r="L5583" s="2" t="n">
        <v>0</v>
      </c>
      <c r="M5583" s="2" t="n">
        <v>0</v>
      </c>
    </row>
    <row r="5584" customFormat="false" ht="15" hidden="false" customHeight="false" outlineLevel="0" collapsed="false">
      <c r="A5584" s="2" t="s">
        <v>11349</v>
      </c>
      <c r="B5584" s="2" t="s">
        <v>11350</v>
      </c>
      <c r="C5584" s="2" t="n">
        <v>3</v>
      </c>
      <c r="D5584" s="2" t="s">
        <v>2127</v>
      </c>
      <c r="E5584" s="2" t="s">
        <v>8083</v>
      </c>
      <c r="F5584" s="3" t="n">
        <v>46201.7652777778</v>
      </c>
      <c r="G5584" s="2" t="s">
        <v>10878</v>
      </c>
      <c r="H5584" s="4" t="n">
        <v>0.3818</v>
      </c>
      <c r="I5584" s="2" t="s">
        <v>23</v>
      </c>
      <c r="J5584" s="2" t="s">
        <v>19</v>
      </c>
      <c r="K5584" s="2" t="n">
        <v>0</v>
      </c>
      <c r="L5584" s="2" t="n">
        <v>0</v>
      </c>
      <c r="M5584" s="2" t="n">
        <v>0</v>
      </c>
    </row>
    <row r="5585" customFormat="false" ht="15" hidden="false" customHeight="false" outlineLevel="0" collapsed="false">
      <c r="A5585" s="2" t="s">
        <v>11351</v>
      </c>
      <c r="B5585" s="2" t="s">
        <v>11352</v>
      </c>
      <c r="C5585" s="2" t="n">
        <v>2</v>
      </c>
      <c r="D5585" s="2" t="s">
        <v>7096</v>
      </c>
      <c r="E5585" s="2" t="s">
        <v>8083</v>
      </c>
      <c r="F5585" s="3" t="n">
        <v>46201.8256944444</v>
      </c>
      <c r="G5585" s="2" t="s">
        <v>10878</v>
      </c>
      <c r="H5585" s="4" t="n">
        <v>-0.4019</v>
      </c>
      <c r="I5585" s="2" t="s">
        <v>84</v>
      </c>
      <c r="J5585" s="2" t="s">
        <v>37</v>
      </c>
      <c r="K5585" s="2" t="n">
        <v>4</v>
      </c>
      <c r="L5585" s="2" t="n">
        <v>1</v>
      </c>
      <c r="M5585" s="2" t="n">
        <v>0</v>
      </c>
    </row>
    <row r="5586" customFormat="false" ht="15" hidden="false" customHeight="false" outlineLevel="0" collapsed="false">
      <c r="A5586" s="2" t="s">
        <v>11353</v>
      </c>
      <c r="B5586" s="2" t="s">
        <v>11354</v>
      </c>
      <c r="C5586" s="2" t="n">
        <v>4</v>
      </c>
      <c r="D5586" s="2" t="s">
        <v>121</v>
      </c>
      <c r="E5586" s="2" t="s">
        <v>8083</v>
      </c>
      <c r="F5586" s="3" t="n">
        <v>46201.8673611111</v>
      </c>
      <c r="G5586" s="2" t="s">
        <v>10878</v>
      </c>
      <c r="H5586" s="4" t="n">
        <v>0.607</v>
      </c>
      <c r="I5586" s="2" t="s">
        <v>23</v>
      </c>
      <c r="J5586" s="2" t="s">
        <v>33</v>
      </c>
      <c r="K5586" s="2" t="n">
        <v>0</v>
      </c>
      <c r="L5586" s="2" t="n">
        <v>0</v>
      </c>
      <c r="M5586" s="2" t="n">
        <v>0</v>
      </c>
    </row>
    <row r="5587" customFormat="false" ht="15" hidden="false" customHeight="false" outlineLevel="0" collapsed="false">
      <c r="A5587" s="2" t="s">
        <v>11355</v>
      </c>
      <c r="B5587" s="2" t="s">
        <v>11356</v>
      </c>
      <c r="C5587" s="2" t="n">
        <v>5</v>
      </c>
      <c r="D5587" s="2" t="s">
        <v>40</v>
      </c>
      <c r="E5587" s="2" t="s">
        <v>8083</v>
      </c>
      <c r="F5587" s="3" t="n">
        <v>46201.9222222222</v>
      </c>
      <c r="G5587" s="2" t="s">
        <v>10878</v>
      </c>
      <c r="H5587" s="4" t="n">
        <v>0.4019</v>
      </c>
      <c r="I5587" s="2" t="s">
        <v>23</v>
      </c>
      <c r="J5587" s="2" t="s">
        <v>33</v>
      </c>
      <c r="K5587" s="2" t="n">
        <v>1</v>
      </c>
      <c r="L5587" s="2" t="n">
        <v>0</v>
      </c>
      <c r="M5587" s="2" t="n">
        <v>0</v>
      </c>
    </row>
    <row r="5588" customFormat="false" ht="15" hidden="false" customHeight="false" outlineLevel="0" collapsed="false">
      <c r="A5588" s="2" t="s">
        <v>11357</v>
      </c>
      <c r="B5588" s="2" t="s">
        <v>11358</v>
      </c>
      <c r="C5588" s="2" t="n">
        <v>5</v>
      </c>
      <c r="D5588" s="2" t="s">
        <v>90</v>
      </c>
      <c r="E5588" s="2" t="s">
        <v>8083</v>
      </c>
      <c r="F5588" s="3" t="n">
        <v>46202.0631944445</v>
      </c>
      <c r="G5588" s="2" t="s">
        <v>10878</v>
      </c>
      <c r="H5588" s="4" t="n">
        <v>0.6249</v>
      </c>
      <c r="I5588" s="2" t="s">
        <v>23</v>
      </c>
      <c r="J5588" s="2" t="s">
        <v>37</v>
      </c>
      <c r="K5588" s="2" t="n">
        <v>4</v>
      </c>
      <c r="L5588" s="2" t="n">
        <v>0</v>
      </c>
      <c r="M5588" s="2" t="n">
        <v>0</v>
      </c>
    </row>
    <row r="5589" customFormat="false" ht="15" hidden="false" customHeight="false" outlineLevel="0" collapsed="false">
      <c r="A5589" s="2" t="s">
        <v>11359</v>
      </c>
      <c r="B5589" s="2" t="s">
        <v>11360</v>
      </c>
      <c r="C5589" s="2" t="n">
        <v>2</v>
      </c>
      <c r="D5589" s="2" t="s">
        <v>397</v>
      </c>
      <c r="E5589" s="2" t="s">
        <v>8083</v>
      </c>
      <c r="F5589" s="3" t="n">
        <v>46202.1534722222</v>
      </c>
      <c r="G5589" s="2" t="s">
        <v>10878</v>
      </c>
      <c r="H5589" s="4" t="n">
        <v>0</v>
      </c>
      <c r="I5589" s="2" t="s">
        <v>18</v>
      </c>
      <c r="J5589" s="2" t="s">
        <v>110</v>
      </c>
      <c r="K5589" s="2" t="n">
        <v>0</v>
      </c>
      <c r="L5589" s="2" t="n">
        <v>1</v>
      </c>
      <c r="M5589" s="2" t="n">
        <v>0</v>
      </c>
    </row>
    <row r="5590" customFormat="false" ht="15" hidden="false" customHeight="false" outlineLevel="0" collapsed="false">
      <c r="A5590" s="2" t="s">
        <v>11361</v>
      </c>
      <c r="B5590" s="2" t="s">
        <v>11362</v>
      </c>
      <c r="C5590" s="2" t="n">
        <v>4</v>
      </c>
      <c r="D5590" s="2" t="s">
        <v>301</v>
      </c>
      <c r="E5590" s="2" t="s">
        <v>8083</v>
      </c>
      <c r="F5590" s="3" t="n">
        <v>46202.45</v>
      </c>
      <c r="G5590" s="2" t="s">
        <v>10878</v>
      </c>
      <c r="H5590" s="4" t="n">
        <v>0.2263</v>
      </c>
      <c r="I5590" s="2" t="s">
        <v>23</v>
      </c>
      <c r="J5590" s="2" t="s">
        <v>19</v>
      </c>
      <c r="K5590" s="2" t="n">
        <v>6</v>
      </c>
      <c r="L5590" s="2" t="n">
        <v>0</v>
      </c>
      <c r="M5590" s="2" t="n">
        <v>0</v>
      </c>
    </row>
    <row r="5591" customFormat="false" ht="15" hidden="false" customHeight="false" outlineLevel="0" collapsed="false">
      <c r="A5591" s="2" t="s">
        <v>11363</v>
      </c>
      <c r="B5591" s="2" t="s">
        <v>11364</v>
      </c>
      <c r="C5591" s="2" t="n">
        <v>3</v>
      </c>
      <c r="D5591" s="2" t="s">
        <v>99</v>
      </c>
      <c r="E5591" s="2" t="s">
        <v>8083</v>
      </c>
      <c r="F5591" s="3" t="n">
        <v>46202.5208333333</v>
      </c>
      <c r="G5591" s="2" t="s">
        <v>10878</v>
      </c>
      <c r="H5591" s="4" t="n">
        <v>-0.3089</v>
      </c>
      <c r="I5591" s="2" t="s">
        <v>84</v>
      </c>
      <c r="J5591" s="2" t="s">
        <v>19</v>
      </c>
      <c r="K5591" s="2" t="n">
        <v>0</v>
      </c>
      <c r="L5591" s="2" t="n">
        <v>0</v>
      </c>
      <c r="M5591" s="2" t="n">
        <v>0</v>
      </c>
    </row>
    <row r="5592" customFormat="false" ht="15" hidden="false" customHeight="false" outlineLevel="0" collapsed="false">
      <c r="A5592" s="2" t="s">
        <v>11365</v>
      </c>
      <c r="B5592" s="2" t="s">
        <v>11366</v>
      </c>
      <c r="C5592" s="2" t="n">
        <v>2</v>
      </c>
      <c r="D5592" s="2" t="s">
        <v>1659</v>
      </c>
      <c r="E5592" s="2" t="s">
        <v>8083</v>
      </c>
      <c r="F5592" s="3" t="n">
        <v>46202.5583333333</v>
      </c>
      <c r="G5592" s="2" t="s">
        <v>10878</v>
      </c>
      <c r="H5592" s="4" t="n">
        <v>0</v>
      </c>
      <c r="I5592" s="2" t="s">
        <v>18</v>
      </c>
      <c r="J5592" s="2" t="s">
        <v>59</v>
      </c>
      <c r="K5592" s="2" t="n">
        <v>0</v>
      </c>
      <c r="L5592" s="2" t="n">
        <v>1</v>
      </c>
      <c r="M5592" s="2" t="n">
        <v>0</v>
      </c>
    </row>
    <row r="5593" customFormat="false" ht="15" hidden="false" customHeight="false" outlineLevel="0" collapsed="false">
      <c r="A5593" s="2" t="s">
        <v>11367</v>
      </c>
      <c r="B5593" s="2" t="s">
        <v>11368</v>
      </c>
      <c r="C5593" s="2" t="n">
        <v>1</v>
      </c>
      <c r="D5593" s="2" t="s">
        <v>7082</v>
      </c>
      <c r="E5593" s="2" t="s">
        <v>8083</v>
      </c>
      <c r="F5593" s="3" t="n">
        <v>46202.6340277778</v>
      </c>
      <c r="G5593" s="2" t="s">
        <v>10878</v>
      </c>
      <c r="H5593" s="4" t="n">
        <v>0.1027</v>
      </c>
      <c r="I5593" s="2" t="s">
        <v>23</v>
      </c>
      <c r="J5593" s="2" t="s">
        <v>33</v>
      </c>
      <c r="K5593" s="2" t="n">
        <v>5</v>
      </c>
      <c r="L5593" s="2" t="n">
        <v>1</v>
      </c>
      <c r="M5593" s="2" t="n">
        <v>0</v>
      </c>
    </row>
    <row r="5594" customFormat="false" ht="15" hidden="false" customHeight="false" outlineLevel="0" collapsed="false">
      <c r="A5594" s="2" t="s">
        <v>11369</v>
      </c>
      <c r="B5594" s="2" t="s">
        <v>11370</v>
      </c>
      <c r="C5594" s="2" t="n">
        <v>5</v>
      </c>
      <c r="D5594" s="2" t="s">
        <v>90</v>
      </c>
      <c r="E5594" s="2" t="s">
        <v>8083</v>
      </c>
      <c r="F5594" s="3" t="n">
        <v>46202.7243055556</v>
      </c>
      <c r="G5594" s="2" t="s">
        <v>10878</v>
      </c>
      <c r="H5594" s="4" t="n">
        <v>0.6249</v>
      </c>
      <c r="I5594" s="2" t="s">
        <v>23</v>
      </c>
      <c r="J5594" s="2" t="s">
        <v>37</v>
      </c>
      <c r="K5594" s="2" t="n">
        <v>0</v>
      </c>
      <c r="L5594" s="2" t="n">
        <v>0</v>
      </c>
      <c r="M5594" s="2" t="n">
        <v>0</v>
      </c>
    </row>
    <row r="5595" customFormat="false" ht="15" hidden="false" customHeight="false" outlineLevel="0" collapsed="false">
      <c r="A5595" s="2" t="s">
        <v>11371</v>
      </c>
      <c r="B5595" s="2" t="s">
        <v>11372</v>
      </c>
      <c r="C5595" s="2" t="n">
        <v>5</v>
      </c>
      <c r="D5595" s="2" t="s">
        <v>52</v>
      </c>
      <c r="E5595" s="2" t="s">
        <v>8083</v>
      </c>
      <c r="F5595" s="3" t="n">
        <v>46202.7458333333</v>
      </c>
      <c r="G5595" s="2" t="s">
        <v>10878</v>
      </c>
      <c r="H5595" s="4" t="n">
        <v>0.6369</v>
      </c>
      <c r="I5595" s="2" t="s">
        <v>23</v>
      </c>
      <c r="J5595" s="2" t="s">
        <v>19</v>
      </c>
      <c r="K5595" s="2" t="n">
        <v>2</v>
      </c>
      <c r="L5595" s="2" t="n">
        <v>0</v>
      </c>
      <c r="M5595" s="2" t="n">
        <v>0</v>
      </c>
    </row>
    <row r="5596" customFormat="false" ht="15" hidden="false" customHeight="false" outlineLevel="0" collapsed="false">
      <c r="A5596" s="2" t="s">
        <v>11373</v>
      </c>
      <c r="B5596" s="2" t="s">
        <v>11374</v>
      </c>
      <c r="C5596" s="2" t="n">
        <v>3</v>
      </c>
      <c r="D5596" s="2" t="s">
        <v>58</v>
      </c>
      <c r="E5596" s="2" t="s">
        <v>8083</v>
      </c>
      <c r="F5596" s="3" t="n">
        <v>46202.7770833333</v>
      </c>
      <c r="G5596" s="2" t="s">
        <v>10878</v>
      </c>
      <c r="H5596" s="4" t="n">
        <v>0</v>
      </c>
      <c r="I5596" s="2" t="s">
        <v>18</v>
      </c>
      <c r="J5596" s="2" t="s">
        <v>59</v>
      </c>
      <c r="K5596" s="2" t="n">
        <v>4</v>
      </c>
      <c r="L5596" s="2" t="n">
        <v>0</v>
      </c>
      <c r="M5596" s="2" t="n">
        <v>0</v>
      </c>
    </row>
    <row r="5597" customFormat="false" ht="15" hidden="false" customHeight="false" outlineLevel="0" collapsed="false">
      <c r="A5597" s="2" t="s">
        <v>11375</v>
      </c>
      <c r="B5597" s="2" t="s">
        <v>11376</v>
      </c>
      <c r="C5597" s="2" t="n">
        <v>4</v>
      </c>
      <c r="D5597" s="2" t="s">
        <v>15</v>
      </c>
      <c r="E5597" s="2" t="s">
        <v>8083</v>
      </c>
      <c r="F5597" s="3" t="n">
        <v>46202.8555555556</v>
      </c>
      <c r="G5597" s="2" t="s">
        <v>10878</v>
      </c>
      <c r="H5597" s="4" t="n">
        <v>0</v>
      </c>
      <c r="I5597" s="2" t="s">
        <v>18</v>
      </c>
      <c r="J5597" s="2" t="s">
        <v>19</v>
      </c>
      <c r="K5597" s="2" t="n">
        <v>0</v>
      </c>
      <c r="L5597" s="2" t="n">
        <v>0</v>
      </c>
      <c r="M5597" s="2" t="n">
        <v>0</v>
      </c>
    </row>
    <row r="5598" customFormat="false" ht="15" hidden="false" customHeight="false" outlineLevel="0" collapsed="false">
      <c r="A5598" s="2" t="s">
        <v>11377</v>
      </c>
      <c r="B5598" s="2" t="s">
        <v>11378</v>
      </c>
      <c r="C5598" s="2" t="n">
        <v>1</v>
      </c>
      <c r="D5598" s="2" t="s">
        <v>2258</v>
      </c>
      <c r="E5598" s="2" t="s">
        <v>8083</v>
      </c>
      <c r="F5598" s="3" t="n">
        <v>46202.8881944444</v>
      </c>
      <c r="G5598" s="2" t="s">
        <v>10878</v>
      </c>
      <c r="H5598" s="4" t="n">
        <v>-0.1154</v>
      </c>
      <c r="I5598" s="2" t="s">
        <v>84</v>
      </c>
      <c r="J5598" s="2" t="s">
        <v>165</v>
      </c>
      <c r="K5598" s="2" t="n">
        <v>0</v>
      </c>
      <c r="L5598" s="2" t="n">
        <v>1</v>
      </c>
      <c r="M5598" s="2" t="n">
        <v>0</v>
      </c>
    </row>
    <row r="5599" customFormat="false" ht="15" hidden="false" customHeight="false" outlineLevel="0" collapsed="false">
      <c r="A5599" s="2" t="s">
        <v>11379</v>
      </c>
      <c r="B5599" s="2" t="s">
        <v>11380</v>
      </c>
      <c r="C5599" s="2" t="n">
        <v>5</v>
      </c>
      <c r="D5599" s="2" t="s">
        <v>15</v>
      </c>
      <c r="E5599" s="2" t="s">
        <v>8083</v>
      </c>
      <c r="F5599" s="3" t="n">
        <v>46202.8958333333</v>
      </c>
      <c r="G5599" s="2" t="s">
        <v>10878</v>
      </c>
      <c r="H5599" s="4" t="n">
        <v>0</v>
      </c>
      <c r="I5599" s="2" t="s">
        <v>18</v>
      </c>
      <c r="J5599" s="2" t="s">
        <v>19</v>
      </c>
      <c r="K5599" s="2" t="n">
        <v>1</v>
      </c>
      <c r="L5599" s="2" t="n">
        <v>0</v>
      </c>
      <c r="M5599" s="2" t="n">
        <v>0</v>
      </c>
    </row>
    <row r="5600" customFormat="false" ht="15" hidden="false" customHeight="false" outlineLevel="0" collapsed="false">
      <c r="A5600" s="2" t="s">
        <v>11381</v>
      </c>
      <c r="B5600" s="2" t="s">
        <v>11382</v>
      </c>
      <c r="C5600" s="2" t="n">
        <v>4</v>
      </c>
      <c r="D5600" s="2" t="s">
        <v>22</v>
      </c>
      <c r="E5600" s="2" t="s">
        <v>8083</v>
      </c>
      <c r="F5600" s="3" t="n">
        <v>46203.1930555556</v>
      </c>
      <c r="G5600" s="2" t="s">
        <v>10878</v>
      </c>
      <c r="H5600" s="4" t="n">
        <v>0.2023</v>
      </c>
      <c r="I5600" s="2" t="s">
        <v>23</v>
      </c>
      <c r="J5600" s="2" t="s">
        <v>19</v>
      </c>
      <c r="K5600" s="2" t="n">
        <v>1</v>
      </c>
      <c r="L5600" s="2" t="n">
        <v>0</v>
      </c>
      <c r="M5600" s="2" t="n">
        <v>0</v>
      </c>
    </row>
    <row r="5601" customFormat="false" ht="15" hidden="false" customHeight="false" outlineLevel="0" collapsed="false">
      <c r="A5601" s="2" t="s">
        <v>11383</v>
      </c>
      <c r="B5601" s="2" t="s">
        <v>11384</v>
      </c>
      <c r="C5601" s="2" t="n">
        <v>3</v>
      </c>
      <c r="D5601" s="2" t="s">
        <v>2143</v>
      </c>
      <c r="E5601" s="2" t="s">
        <v>8083</v>
      </c>
      <c r="F5601" s="3" t="n">
        <v>46203.5416666667</v>
      </c>
      <c r="G5601" s="2" t="s">
        <v>10878</v>
      </c>
      <c r="H5601" s="4" t="n">
        <v>0.6448</v>
      </c>
      <c r="I5601" s="2" t="s">
        <v>23</v>
      </c>
      <c r="J5601" s="2" t="s">
        <v>37</v>
      </c>
      <c r="K5601" s="2" t="n">
        <v>0</v>
      </c>
      <c r="L5601" s="2" t="n">
        <v>0</v>
      </c>
      <c r="M5601" s="2" t="n">
        <v>0</v>
      </c>
    </row>
    <row r="5602" customFormat="false" ht="15" hidden="false" customHeight="false" outlineLevel="0" collapsed="false">
      <c r="A5602" s="2" t="s">
        <v>11385</v>
      </c>
      <c r="B5602" s="2" t="s">
        <v>11386</v>
      </c>
      <c r="C5602" s="2" t="n">
        <v>4</v>
      </c>
      <c r="D5602" s="2" t="s">
        <v>62</v>
      </c>
      <c r="E5602" s="2" t="s">
        <v>8083</v>
      </c>
      <c r="F5602" s="3" t="n">
        <v>46203.5444444444</v>
      </c>
      <c r="G5602" s="2" t="s">
        <v>10878</v>
      </c>
      <c r="H5602" s="4" t="n">
        <v>0.7088</v>
      </c>
      <c r="I5602" s="2" t="s">
        <v>23</v>
      </c>
      <c r="J5602" s="2" t="s">
        <v>19</v>
      </c>
      <c r="K5602" s="2" t="n">
        <v>8</v>
      </c>
      <c r="L5602" s="2" t="n">
        <v>0</v>
      </c>
      <c r="M5602" s="2" t="n">
        <v>0</v>
      </c>
    </row>
    <row r="5603" customFormat="false" ht="15" hidden="false" customHeight="false" outlineLevel="0" collapsed="false">
      <c r="A5603" s="2" t="s">
        <v>11387</v>
      </c>
      <c r="B5603" s="2" t="s">
        <v>11388</v>
      </c>
      <c r="C5603" s="2" t="n">
        <v>4</v>
      </c>
      <c r="D5603" s="2" t="s">
        <v>738</v>
      </c>
      <c r="E5603" s="2" t="s">
        <v>8083</v>
      </c>
      <c r="F5603" s="3" t="n">
        <v>46203.5555555556</v>
      </c>
      <c r="G5603" s="2" t="s">
        <v>10878</v>
      </c>
      <c r="H5603" s="4" t="n">
        <v>0.9612</v>
      </c>
      <c r="I5603" s="2" t="s">
        <v>23</v>
      </c>
      <c r="J5603" s="2" t="s">
        <v>37</v>
      </c>
      <c r="K5603" s="2" t="n">
        <v>8</v>
      </c>
      <c r="L5603" s="2" t="n">
        <v>0</v>
      </c>
      <c r="M5603" s="2" t="n">
        <v>0</v>
      </c>
    </row>
    <row r="5604" customFormat="false" ht="15" hidden="false" customHeight="false" outlineLevel="0" collapsed="false">
      <c r="A5604" s="2" t="s">
        <v>11389</v>
      </c>
      <c r="B5604" s="2" t="s">
        <v>11390</v>
      </c>
      <c r="C5604" s="2" t="n">
        <v>1</v>
      </c>
      <c r="D5604" s="2" t="s">
        <v>231</v>
      </c>
      <c r="E5604" s="2" t="s">
        <v>8083</v>
      </c>
      <c r="F5604" s="3" t="n">
        <v>46203.5791666667</v>
      </c>
      <c r="G5604" s="2" t="s">
        <v>10878</v>
      </c>
      <c r="H5604" s="4" t="n">
        <v>-0.3593</v>
      </c>
      <c r="I5604" s="2" t="s">
        <v>84</v>
      </c>
      <c r="J5604" s="2" t="s">
        <v>33</v>
      </c>
      <c r="K5604" s="2" t="n">
        <v>0</v>
      </c>
      <c r="L5604" s="2" t="n">
        <v>1</v>
      </c>
      <c r="M5604" s="2" t="n">
        <v>0</v>
      </c>
    </row>
    <row r="5605" customFormat="false" ht="15" hidden="false" customHeight="false" outlineLevel="0" collapsed="false">
      <c r="A5605" s="2" t="s">
        <v>11391</v>
      </c>
      <c r="B5605" s="2" t="s">
        <v>11392</v>
      </c>
      <c r="C5605" s="2" t="n">
        <v>5</v>
      </c>
      <c r="D5605" s="2" t="s">
        <v>15</v>
      </c>
      <c r="E5605" s="2" t="s">
        <v>8083</v>
      </c>
      <c r="F5605" s="3" t="n">
        <v>46203.6256944445</v>
      </c>
      <c r="G5605" s="2" t="s">
        <v>10878</v>
      </c>
      <c r="H5605" s="4" t="n">
        <v>0</v>
      </c>
      <c r="I5605" s="2" t="s">
        <v>18</v>
      </c>
      <c r="J5605" s="2" t="s">
        <v>19</v>
      </c>
      <c r="K5605" s="2" t="n">
        <v>4</v>
      </c>
      <c r="L5605" s="2" t="n">
        <v>0</v>
      </c>
      <c r="M5605" s="2" t="n">
        <v>0</v>
      </c>
    </row>
    <row r="5606" customFormat="false" ht="15" hidden="false" customHeight="false" outlineLevel="0" collapsed="false">
      <c r="A5606" s="2" t="s">
        <v>11393</v>
      </c>
      <c r="B5606" s="2" t="s">
        <v>11394</v>
      </c>
      <c r="C5606" s="2" t="n">
        <v>5</v>
      </c>
      <c r="D5606" s="2" t="s">
        <v>127</v>
      </c>
      <c r="E5606" s="2" t="s">
        <v>8083</v>
      </c>
      <c r="F5606" s="3" t="n">
        <v>46203.6784722222</v>
      </c>
      <c r="G5606" s="2" t="s">
        <v>10878</v>
      </c>
      <c r="H5606" s="4" t="n">
        <v>0.9359</v>
      </c>
      <c r="I5606" s="2" t="s">
        <v>23</v>
      </c>
      <c r="J5606" s="2" t="s">
        <v>37</v>
      </c>
      <c r="K5606" s="2" t="n">
        <v>15</v>
      </c>
      <c r="L5606" s="2" t="n">
        <v>0</v>
      </c>
      <c r="M5606" s="2" t="n">
        <v>0</v>
      </c>
    </row>
    <row r="5607" customFormat="false" ht="15" hidden="false" customHeight="false" outlineLevel="0" collapsed="false">
      <c r="A5607" s="2" t="s">
        <v>11395</v>
      </c>
      <c r="B5607" s="2" t="s">
        <v>11396</v>
      </c>
      <c r="C5607" s="2" t="n">
        <v>1</v>
      </c>
      <c r="D5607" s="2" t="s">
        <v>1034</v>
      </c>
      <c r="E5607" s="2" t="s">
        <v>8083</v>
      </c>
      <c r="F5607" s="3" t="n">
        <v>46203.8319444444</v>
      </c>
      <c r="G5607" s="2" t="s">
        <v>10878</v>
      </c>
      <c r="H5607" s="4" t="n">
        <v>0</v>
      </c>
      <c r="I5607" s="2" t="s">
        <v>18</v>
      </c>
      <c r="J5607" s="2" t="s">
        <v>110</v>
      </c>
      <c r="K5607" s="2" t="n">
        <v>10</v>
      </c>
      <c r="L5607" s="2" t="n">
        <v>0</v>
      </c>
      <c r="M5607" s="2" t="n">
        <v>0</v>
      </c>
    </row>
    <row r="5608" customFormat="false" ht="15" hidden="false" customHeight="false" outlineLevel="0" collapsed="false">
      <c r="A5608" s="2" t="s">
        <v>11397</v>
      </c>
      <c r="B5608" s="2" t="s">
        <v>11398</v>
      </c>
      <c r="C5608" s="2" t="n">
        <v>5</v>
      </c>
      <c r="D5608" s="2" t="s">
        <v>96</v>
      </c>
      <c r="E5608" s="2" t="s">
        <v>8083</v>
      </c>
      <c r="F5608" s="3" t="n">
        <v>46203.8472222222</v>
      </c>
      <c r="G5608" s="2" t="s">
        <v>10878</v>
      </c>
      <c r="H5608" s="4" t="n">
        <v>0.6369</v>
      </c>
      <c r="I5608" s="2" t="s">
        <v>23</v>
      </c>
      <c r="J5608" s="2" t="s">
        <v>19</v>
      </c>
      <c r="K5608" s="2" t="n">
        <v>5</v>
      </c>
      <c r="L5608" s="2" t="n">
        <v>0</v>
      </c>
      <c r="M5608" s="2" t="n">
        <v>0</v>
      </c>
    </row>
    <row r="5609" customFormat="false" ht="15" hidden="false" customHeight="false" outlineLevel="0" collapsed="false">
      <c r="A5609" s="2" t="s">
        <v>11399</v>
      </c>
      <c r="B5609" s="2" t="s">
        <v>11400</v>
      </c>
      <c r="C5609" s="2" t="n">
        <v>1</v>
      </c>
      <c r="D5609" s="2" t="s">
        <v>1942</v>
      </c>
      <c r="E5609" s="2" t="s">
        <v>8083</v>
      </c>
      <c r="F5609" s="3" t="n">
        <v>46203.9013888889</v>
      </c>
      <c r="G5609" s="2" t="s">
        <v>10878</v>
      </c>
      <c r="H5609" s="4" t="n">
        <v>0</v>
      </c>
      <c r="I5609" s="2" t="s">
        <v>18</v>
      </c>
      <c r="J5609" s="2" t="s">
        <v>165</v>
      </c>
      <c r="K5609" s="2" t="n">
        <v>2</v>
      </c>
      <c r="L5609" s="2" t="n">
        <v>0</v>
      </c>
      <c r="M5609" s="2" t="n">
        <v>0</v>
      </c>
    </row>
    <row r="5610" customFormat="false" ht="15" hidden="false" customHeight="false" outlineLevel="0" collapsed="false">
      <c r="A5610" s="2" t="s">
        <v>11401</v>
      </c>
      <c r="B5610" s="2" t="s">
        <v>11402</v>
      </c>
      <c r="C5610" s="2" t="n">
        <v>4</v>
      </c>
      <c r="D5610" s="2" t="s">
        <v>96</v>
      </c>
      <c r="E5610" s="2" t="s">
        <v>8083</v>
      </c>
      <c r="F5610" s="3" t="n">
        <v>46204.0291666667</v>
      </c>
      <c r="G5610" s="2" t="s">
        <v>11403</v>
      </c>
      <c r="H5610" s="4" t="n">
        <v>0.6369</v>
      </c>
      <c r="I5610" s="2" t="s">
        <v>23</v>
      </c>
      <c r="J5610" s="2" t="s">
        <v>19</v>
      </c>
      <c r="K5610" s="2" t="n">
        <v>4</v>
      </c>
      <c r="L5610" s="2" t="n">
        <v>0</v>
      </c>
      <c r="M5610" s="2" t="n">
        <v>0</v>
      </c>
    </row>
    <row r="5611" customFormat="false" ht="15" hidden="false" customHeight="false" outlineLevel="0" collapsed="false">
      <c r="A5611" s="2" t="s">
        <v>11404</v>
      </c>
      <c r="B5611" s="2" t="s">
        <v>11405</v>
      </c>
      <c r="C5611" s="2" t="n">
        <v>4</v>
      </c>
      <c r="D5611" s="2" t="s">
        <v>96</v>
      </c>
      <c r="E5611" s="2" t="s">
        <v>8083</v>
      </c>
      <c r="F5611" s="3" t="n">
        <v>46204.1527777778</v>
      </c>
      <c r="G5611" s="2" t="s">
        <v>11403</v>
      </c>
      <c r="H5611" s="4" t="n">
        <v>0.6369</v>
      </c>
      <c r="I5611" s="2" t="s">
        <v>23</v>
      </c>
      <c r="J5611" s="2" t="s">
        <v>19</v>
      </c>
      <c r="K5611" s="2" t="n">
        <v>2</v>
      </c>
      <c r="L5611" s="2" t="n">
        <v>0</v>
      </c>
      <c r="M5611" s="2" t="n">
        <v>0</v>
      </c>
    </row>
    <row r="5612" customFormat="false" ht="15" hidden="false" customHeight="false" outlineLevel="0" collapsed="false">
      <c r="A5612" s="2" t="s">
        <v>11406</v>
      </c>
      <c r="B5612" s="2" t="s">
        <v>11407</v>
      </c>
      <c r="C5612" s="2" t="n">
        <v>4</v>
      </c>
      <c r="D5612" s="2" t="s">
        <v>40</v>
      </c>
      <c r="E5612" s="2" t="s">
        <v>8083</v>
      </c>
      <c r="F5612" s="3" t="n">
        <v>46204.1868055556</v>
      </c>
      <c r="G5612" s="2" t="s">
        <v>11403</v>
      </c>
      <c r="H5612" s="4" t="n">
        <v>0.4019</v>
      </c>
      <c r="I5612" s="2" t="s">
        <v>23</v>
      </c>
      <c r="J5612" s="2" t="s">
        <v>33</v>
      </c>
      <c r="K5612" s="2" t="n">
        <v>6</v>
      </c>
      <c r="L5612" s="2" t="n">
        <v>0</v>
      </c>
      <c r="M5612" s="2" t="n">
        <v>0</v>
      </c>
    </row>
    <row r="5613" customFormat="false" ht="15" hidden="false" customHeight="false" outlineLevel="0" collapsed="false">
      <c r="A5613" s="2" t="s">
        <v>11408</v>
      </c>
      <c r="B5613" s="2" t="s">
        <v>11409</v>
      </c>
      <c r="C5613" s="2" t="n">
        <v>4</v>
      </c>
      <c r="D5613" s="2" t="s">
        <v>127</v>
      </c>
      <c r="E5613" s="2" t="s">
        <v>8083</v>
      </c>
      <c r="F5613" s="3" t="n">
        <v>46204.28125</v>
      </c>
      <c r="G5613" s="2" t="s">
        <v>11403</v>
      </c>
      <c r="H5613" s="4" t="n">
        <v>0.9359</v>
      </c>
      <c r="I5613" s="2" t="s">
        <v>23</v>
      </c>
      <c r="J5613" s="2" t="s">
        <v>37</v>
      </c>
      <c r="K5613" s="2" t="n">
        <v>1</v>
      </c>
      <c r="L5613" s="2" t="n">
        <v>0</v>
      </c>
      <c r="M5613" s="2" t="n">
        <v>0</v>
      </c>
    </row>
    <row r="5614" customFormat="false" ht="15" hidden="false" customHeight="false" outlineLevel="0" collapsed="false">
      <c r="A5614" s="2" t="s">
        <v>11410</v>
      </c>
      <c r="B5614" s="2" t="s">
        <v>11411</v>
      </c>
      <c r="C5614" s="2" t="n">
        <v>5</v>
      </c>
      <c r="D5614" s="2" t="s">
        <v>90</v>
      </c>
      <c r="E5614" s="2" t="s">
        <v>8083</v>
      </c>
      <c r="F5614" s="3" t="n">
        <v>46204.3833333333</v>
      </c>
      <c r="G5614" s="2" t="s">
        <v>11403</v>
      </c>
      <c r="H5614" s="4" t="n">
        <v>0.6249</v>
      </c>
      <c r="I5614" s="2" t="s">
        <v>23</v>
      </c>
      <c r="J5614" s="2" t="s">
        <v>37</v>
      </c>
      <c r="K5614" s="2" t="n">
        <v>5</v>
      </c>
      <c r="L5614" s="2" t="n">
        <v>0</v>
      </c>
      <c r="M5614" s="2" t="n">
        <v>0</v>
      </c>
    </row>
    <row r="5615" customFormat="false" ht="15" hidden="false" customHeight="false" outlineLevel="0" collapsed="false">
      <c r="A5615" s="2" t="s">
        <v>11412</v>
      </c>
      <c r="B5615" s="2" t="s">
        <v>11413</v>
      </c>
      <c r="C5615" s="2" t="n">
        <v>5</v>
      </c>
      <c r="D5615" s="2" t="s">
        <v>40</v>
      </c>
      <c r="E5615" s="2" t="s">
        <v>8083</v>
      </c>
      <c r="F5615" s="3" t="n">
        <v>46204.4111111111</v>
      </c>
      <c r="G5615" s="2" t="s">
        <v>11403</v>
      </c>
      <c r="H5615" s="4" t="n">
        <v>0.4019</v>
      </c>
      <c r="I5615" s="2" t="s">
        <v>23</v>
      </c>
      <c r="J5615" s="2" t="s">
        <v>33</v>
      </c>
      <c r="K5615" s="2" t="n">
        <v>3</v>
      </c>
      <c r="L5615" s="2" t="n">
        <v>0</v>
      </c>
      <c r="M5615" s="2" t="n">
        <v>0</v>
      </c>
    </row>
    <row r="5616" customFormat="false" ht="15" hidden="false" customHeight="false" outlineLevel="0" collapsed="false">
      <c r="A5616" s="2" t="s">
        <v>11414</v>
      </c>
      <c r="B5616" s="2" t="s">
        <v>11415</v>
      </c>
      <c r="C5616" s="2" t="n">
        <v>5</v>
      </c>
      <c r="D5616" s="2" t="s">
        <v>96</v>
      </c>
      <c r="E5616" s="2" t="s">
        <v>8083</v>
      </c>
      <c r="F5616" s="3" t="n">
        <v>46204.4416666667</v>
      </c>
      <c r="G5616" s="2" t="s">
        <v>11403</v>
      </c>
      <c r="H5616" s="4" t="n">
        <v>0.6369</v>
      </c>
      <c r="I5616" s="2" t="s">
        <v>23</v>
      </c>
      <c r="J5616" s="2" t="s">
        <v>19</v>
      </c>
      <c r="K5616" s="2" t="n">
        <v>1</v>
      </c>
      <c r="L5616" s="2" t="n">
        <v>0</v>
      </c>
      <c r="M5616" s="2" t="n">
        <v>0</v>
      </c>
    </row>
    <row r="5617" customFormat="false" ht="15" hidden="false" customHeight="false" outlineLevel="0" collapsed="false">
      <c r="A5617" s="2" t="s">
        <v>11416</v>
      </c>
      <c r="B5617" s="2" t="s">
        <v>4888</v>
      </c>
      <c r="C5617" s="2" t="n">
        <v>1</v>
      </c>
      <c r="D5617" s="2" t="s">
        <v>455</v>
      </c>
      <c r="E5617" s="2" t="s">
        <v>8083</v>
      </c>
      <c r="F5617" s="3" t="n">
        <v>46204.4805555556</v>
      </c>
      <c r="G5617" s="2" t="s">
        <v>11403</v>
      </c>
      <c r="H5617" s="4" t="n">
        <v>-0.2263</v>
      </c>
      <c r="I5617" s="2" t="s">
        <v>84</v>
      </c>
      <c r="J5617" s="2" t="s">
        <v>165</v>
      </c>
      <c r="K5617" s="2" t="n">
        <v>0</v>
      </c>
      <c r="L5617" s="2" t="n">
        <v>1</v>
      </c>
      <c r="M5617" s="2" t="n">
        <v>0</v>
      </c>
    </row>
    <row r="5618" customFormat="false" ht="15" hidden="false" customHeight="false" outlineLevel="0" collapsed="false">
      <c r="A5618" s="2" t="s">
        <v>11417</v>
      </c>
      <c r="B5618" s="2" t="s">
        <v>11418</v>
      </c>
      <c r="C5618" s="2" t="n">
        <v>4</v>
      </c>
      <c r="D5618" s="2" t="s">
        <v>47</v>
      </c>
      <c r="E5618" s="2" t="s">
        <v>8083</v>
      </c>
      <c r="F5618" s="3" t="n">
        <v>46204.5277777778</v>
      </c>
      <c r="G5618" s="2" t="s">
        <v>11403</v>
      </c>
      <c r="H5618" s="4" t="n">
        <v>0.3089</v>
      </c>
      <c r="I5618" s="2" t="s">
        <v>23</v>
      </c>
      <c r="J5618" s="2" t="s">
        <v>19</v>
      </c>
      <c r="K5618" s="2" t="n">
        <v>3</v>
      </c>
      <c r="L5618" s="2" t="n">
        <v>0</v>
      </c>
      <c r="M5618" s="2" t="n">
        <v>0</v>
      </c>
    </row>
    <row r="5619" customFormat="false" ht="15" hidden="false" customHeight="false" outlineLevel="0" collapsed="false">
      <c r="A5619" s="2" t="s">
        <v>11419</v>
      </c>
      <c r="B5619" s="2" t="s">
        <v>11420</v>
      </c>
      <c r="C5619" s="2" t="n">
        <v>4</v>
      </c>
      <c r="D5619" s="2" t="s">
        <v>47</v>
      </c>
      <c r="E5619" s="2" t="s">
        <v>8083</v>
      </c>
      <c r="F5619" s="3" t="n">
        <v>46204.5541666667</v>
      </c>
      <c r="G5619" s="2" t="s">
        <v>11403</v>
      </c>
      <c r="H5619" s="4" t="n">
        <v>0.3089</v>
      </c>
      <c r="I5619" s="2" t="s">
        <v>23</v>
      </c>
      <c r="J5619" s="2" t="s">
        <v>19</v>
      </c>
      <c r="K5619" s="2" t="n">
        <v>0</v>
      </c>
      <c r="L5619" s="2" t="n">
        <v>0</v>
      </c>
      <c r="M5619" s="2" t="n">
        <v>0</v>
      </c>
    </row>
    <row r="5620" customFormat="false" ht="15" hidden="false" customHeight="false" outlineLevel="0" collapsed="false">
      <c r="A5620" s="2" t="s">
        <v>11421</v>
      </c>
      <c r="B5620" s="2" t="s">
        <v>11422</v>
      </c>
      <c r="C5620" s="2" t="n">
        <v>5</v>
      </c>
      <c r="D5620" s="2" t="s">
        <v>875</v>
      </c>
      <c r="E5620" s="2" t="s">
        <v>8083</v>
      </c>
      <c r="F5620" s="3" t="n">
        <v>46204.6402777778</v>
      </c>
      <c r="G5620" s="2" t="s">
        <v>11403</v>
      </c>
      <c r="H5620" s="4" t="n">
        <v>0.7992</v>
      </c>
      <c r="I5620" s="2" t="s">
        <v>23</v>
      </c>
      <c r="J5620" s="2" t="s">
        <v>19</v>
      </c>
      <c r="K5620" s="2" t="n">
        <v>1</v>
      </c>
      <c r="L5620" s="2" t="n">
        <v>0</v>
      </c>
      <c r="M5620" s="2" t="n">
        <v>0</v>
      </c>
    </row>
    <row r="5621" customFormat="false" ht="15" hidden="false" customHeight="false" outlineLevel="0" collapsed="false">
      <c r="A5621" s="2" t="s">
        <v>11423</v>
      </c>
      <c r="B5621" s="2" t="s">
        <v>11424</v>
      </c>
      <c r="C5621" s="2" t="n">
        <v>3</v>
      </c>
      <c r="D5621" s="2" t="s">
        <v>402</v>
      </c>
      <c r="E5621" s="2" t="s">
        <v>8083</v>
      </c>
      <c r="F5621" s="3" t="n">
        <v>46204.6423611111</v>
      </c>
      <c r="G5621" s="2" t="s">
        <v>11403</v>
      </c>
      <c r="H5621" s="4" t="n">
        <v>0</v>
      </c>
      <c r="I5621" s="2" t="s">
        <v>18</v>
      </c>
      <c r="J5621" s="2" t="s">
        <v>59</v>
      </c>
      <c r="K5621" s="2" t="n">
        <v>8</v>
      </c>
      <c r="L5621" s="2" t="n">
        <v>0</v>
      </c>
      <c r="M5621" s="2" t="n">
        <v>0</v>
      </c>
    </row>
    <row r="5622" customFormat="false" ht="15" hidden="false" customHeight="false" outlineLevel="0" collapsed="false">
      <c r="A5622" s="2" t="s">
        <v>11425</v>
      </c>
      <c r="B5622" s="2" t="s">
        <v>11426</v>
      </c>
      <c r="C5622" s="2" t="n">
        <v>2</v>
      </c>
      <c r="D5622" s="2" t="s">
        <v>83</v>
      </c>
      <c r="E5622" s="2" t="s">
        <v>8083</v>
      </c>
      <c r="F5622" s="3" t="n">
        <v>46204.6631944445</v>
      </c>
      <c r="G5622" s="2" t="s">
        <v>11403</v>
      </c>
      <c r="H5622" s="4" t="n">
        <v>-0.6166</v>
      </c>
      <c r="I5622" s="2" t="s">
        <v>84</v>
      </c>
      <c r="J5622" s="2" t="s">
        <v>59</v>
      </c>
      <c r="K5622" s="2" t="n">
        <v>7</v>
      </c>
      <c r="L5622" s="2" t="n">
        <v>0</v>
      </c>
      <c r="M5622" s="2" t="n">
        <v>0</v>
      </c>
    </row>
    <row r="5623" customFormat="false" ht="15" hidden="false" customHeight="false" outlineLevel="0" collapsed="false">
      <c r="A5623" s="2" t="s">
        <v>11427</v>
      </c>
      <c r="B5623" s="2" t="s">
        <v>11428</v>
      </c>
      <c r="C5623" s="2" t="n">
        <v>4</v>
      </c>
      <c r="D5623" s="2" t="s">
        <v>1698</v>
      </c>
      <c r="E5623" s="2" t="s">
        <v>8083</v>
      </c>
      <c r="F5623" s="3" t="n">
        <v>46204.8076388889</v>
      </c>
      <c r="G5623" s="2" t="s">
        <v>11403</v>
      </c>
      <c r="H5623" s="4" t="n">
        <v>0.7845</v>
      </c>
      <c r="I5623" s="2" t="s">
        <v>23</v>
      </c>
      <c r="J5623" s="2" t="s">
        <v>33</v>
      </c>
      <c r="K5623" s="2" t="n">
        <v>4</v>
      </c>
      <c r="L5623" s="2" t="n">
        <v>0</v>
      </c>
      <c r="M5623" s="2" t="n">
        <v>0</v>
      </c>
    </row>
    <row r="5624" customFormat="false" ht="15" hidden="false" customHeight="false" outlineLevel="0" collapsed="false">
      <c r="A5624" s="2" t="s">
        <v>11429</v>
      </c>
      <c r="B5624" s="2" t="s">
        <v>11430</v>
      </c>
      <c r="C5624" s="2" t="n">
        <v>4</v>
      </c>
      <c r="D5624" s="2" t="s">
        <v>1013</v>
      </c>
      <c r="E5624" s="2" t="s">
        <v>8083</v>
      </c>
      <c r="F5624" s="3" t="n">
        <v>46205.1708333333</v>
      </c>
      <c r="G5624" s="2" t="s">
        <v>11403</v>
      </c>
      <c r="H5624" s="4" t="n">
        <v>0.9606</v>
      </c>
      <c r="I5624" s="2" t="s">
        <v>23</v>
      </c>
      <c r="J5624" s="2" t="s">
        <v>37</v>
      </c>
      <c r="K5624" s="2" t="n">
        <v>4</v>
      </c>
      <c r="L5624" s="2" t="n">
        <v>0</v>
      </c>
      <c r="M5624" s="2" t="n">
        <v>0</v>
      </c>
    </row>
    <row r="5625" customFormat="false" ht="15" hidden="false" customHeight="false" outlineLevel="0" collapsed="false">
      <c r="A5625" s="2" t="s">
        <v>11431</v>
      </c>
      <c r="B5625" s="2" t="s">
        <v>11432</v>
      </c>
      <c r="C5625" s="2" t="n">
        <v>5</v>
      </c>
      <c r="D5625" s="2" t="s">
        <v>62</v>
      </c>
      <c r="E5625" s="2" t="s">
        <v>8083</v>
      </c>
      <c r="F5625" s="3" t="n">
        <v>46205.1819444444</v>
      </c>
      <c r="G5625" s="2" t="s">
        <v>11403</v>
      </c>
      <c r="H5625" s="4" t="n">
        <v>0.7088</v>
      </c>
      <c r="I5625" s="2" t="s">
        <v>23</v>
      </c>
      <c r="J5625" s="2" t="s">
        <v>19</v>
      </c>
      <c r="K5625" s="2" t="n">
        <v>0</v>
      </c>
      <c r="L5625" s="2" t="n">
        <v>0</v>
      </c>
      <c r="M5625" s="2" t="n">
        <v>0</v>
      </c>
    </row>
    <row r="5626" customFormat="false" ht="15" hidden="false" customHeight="false" outlineLevel="0" collapsed="false">
      <c r="A5626" s="2" t="s">
        <v>11433</v>
      </c>
      <c r="B5626" s="2" t="s">
        <v>11434</v>
      </c>
      <c r="C5626" s="2" t="n">
        <v>5</v>
      </c>
      <c r="D5626" s="2" t="s">
        <v>52</v>
      </c>
      <c r="E5626" s="2" t="s">
        <v>8083</v>
      </c>
      <c r="F5626" s="3" t="n">
        <v>46205.3159722222</v>
      </c>
      <c r="G5626" s="2" t="s">
        <v>11403</v>
      </c>
      <c r="H5626" s="4" t="n">
        <v>0.6369</v>
      </c>
      <c r="I5626" s="2" t="s">
        <v>23</v>
      </c>
      <c r="J5626" s="2" t="s">
        <v>19</v>
      </c>
      <c r="K5626" s="2" t="n">
        <v>5</v>
      </c>
      <c r="L5626" s="2" t="n">
        <v>0</v>
      </c>
      <c r="M5626" s="2" t="n">
        <v>0</v>
      </c>
    </row>
    <row r="5627" customFormat="false" ht="15" hidden="false" customHeight="false" outlineLevel="0" collapsed="false">
      <c r="A5627" s="2" t="s">
        <v>11435</v>
      </c>
      <c r="B5627" s="2" t="s">
        <v>11436</v>
      </c>
      <c r="C5627" s="2" t="n">
        <v>3</v>
      </c>
      <c r="D5627" s="2" t="s">
        <v>3902</v>
      </c>
      <c r="E5627" s="2" t="s">
        <v>8083</v>
      </c>
      <c r="F5627" s="3" t="n">
        <v>46205.3166666667</v>
      </c>
      <c r="G5627" s="2" t="s">
        <v>11403</v>
      </c>
      <c r="H5627" s="4" t="n">
        <v>-0.6369</v>
      </c>
      <c r="I5627" s="2" t="s">
        <v>84</v>
      </c>
      <c r="J5627" s="2" t="s">
        <v>37</v>
      </c>
      <c r="K5627" s="2" t="n">
        <v>0</v>
      </c>
      <c r="L5627" s="2" t="n">
        <v>0</v>
      </c>
      <c r="M5627" s="2" t="n">
        <v>0</v>
      </c>
    </row>
    <row r="5628" customFormat="false" ht="15" hidden="false" customHeight="false" outlineLevel="0" collapsed="false">
      <c r="A5628" s="2" t="s">
        <v>11437</v>
      </c>
      <c r="B5628" s="2" t="s">
        <v>11438</v>
      </c>
      <c r="C5628" s="2" t="n">
        <v>5</v>
      </c>
      <c r="D5628" s="2" t="s">
        <v>15</v>
      </c>
      <c r="E5628" s="2" t="s">
        <v>8083</v>
      </c>
      <c r="F5628" s="3" t="n">
        <v>46205.3791666667</v>
      </c>
      <c r="G5628" s="2" t="s">
        <v>11403</v>
      </c>
      <c r="H5628" s="4" t="n">
        <v>0</v>
      </c>
      <c r="I5628" s="2" t="s">
        <v>18</v>
      </c>
      <c r="J5628" s="2" t="s">
        <v>19</v>
      </c>
      <c r="K5628" s="2" t="n">
        <v>3</v>
      </c>
      <c r="L5628" s="2" t="n">
        <v>0</v>
      </c>
      <c r="M5628" s="2" t="n">
        <v>0</v>
      </c>
    </row>
    <row r="5629" customFormat="false" ht="15" hidden="false" customHeight="false" outlineLevel="0" collapsed="false">
      <c r="A5629" s="2" t="s">
        <v>11439</v>
      </c>
      <c r="B5629" s="2" t="s">
        <v>11440</v>
      </c>
      <c r="C5629" s="2" t="n">
        <v>5</v>
      </c>
      <c r="D5629" s="2" t="s">
        <v>127</v>
      </c>
      <c r="E5629" s="2" t="s">
        <v>8083</v>
      </c>
      <c r="F5629" s="3" t="n">
        <v>46205.3895833333</v>
      </c>
      <c r="G5629" s="2" t="s">
        <v>11403</v>
      </c>
      <c r="H5629" s="4" t="n">
        <v>0.9359</v>
      </c>
      <c r="I5629" s="2" t="s">
        <v>23</v>
      </c>
      <c r="J5629" s="2" t="s">
        <v>37</v>
      </c>
      <c r="K5629" s="2" t="n">
        <v>5</v>
      </c>
      <c r="L5629" s="2" t="n">
        <v>0</v>
      </c>
      <c r="M5629" s="2" t="n">
        <v>0</v>
      </c>
    </row>
    <row r="5630" customFormat="false" ht="15" hidden="false" customHeight="false" outlineLevel="0" collapsed="false">
      <c r="A5630" s="2" t="s">
        <v>11441</v>
      </c>
      <c r="B5630" s="2" t="s">
        <v>11442</v>
      </c>
      <c r="C5630" s="2" t="n">
        <v>4</v>
      </c>
      <c r="D5630" s="2" t="s">
        <v>11443</v>
      </c>
      <c r="E5630" s="2" t="s">
        <v>8083</v>
      </c>
      <c r="F5630" s="3" t="n">
        <v>46205.5923611111</v>
      </c>
      <c r="G5630" s="2" t="s">
        <v>11403</v>
      </c>
      <c r="H5630" s="4" t="n">
        <v>0.7964</v>
      </c>
      <c r="I5630" s="2" t="s">
        <v>23</v>
      </c>
      <c r="J5630" s="2" t="s">
        <v>37</v>
      </c>
      <c r="K5630" s="2" t="n">
        <v>1</v>
      </c>
      <c r="L5630" s="2" t="n">
        <v>0</v>
      </c>
      <c r="M5630" s="2" t="n">
        <v>0</v>
      </c>
    </row>
    <row r="5631" customFormat="false" ht="15" hidden="false" customHeight="false" outlineLevel="0" collapsed="false">
      <c r="A5631" s="2" t="s">
        <v>11444</v>
      </c>
      <c r="B5631" s="2" t="s">
        <v>11445</v>
      </c>
      <c r="C5631" s="2" t="n">
        <v>5</v>
      </c>
      <c r="D5631" s="2" t="s">
        <v>96</v>
      </c>
      <c r="E5631" s="2" t="s">
        <v>8083</v>
      </c>
      <c r="F5631" s="3" t="n">
        <v>46205.6277777778</v>
      </c>
      <c r="G5631" s="2" t="s">
        <v>11403</v>
      </c>
      <c r="H5631" s="4" t="n">
        <v>0.6369</v>
      </c>
      <c r="I5631" s="2" t="s">
        <v>23</v>
      </c>
      <c r="J5631" s="2" t="s">
        <v>19</v>
      </c>
      <c r="K5631" s="2" t="n">
        <v>6</v>
      </c>
      <c r="L5631" s="2" t="n">
        <v>0</v>
      </c>
      <c r="M5631" s="2" t="n">
        <v>0</v>
      </c>
    </row>
    <row r="5632" customFormat="false" ht="15" hidden="false" customHeight="false" outlineLevel="0" collapsed="false">
      <c r="A5632" s="2" t="s">
        <v>11446</v>
      </c>
      <c r="B5632" s="2" t="s">
        <v>11447</v>
      </c>
      <c r="C5632" s="2" t="n">
        <v>2</v>
      </c>
      <c r="D5632" s="2" t="s">
        <v>591</v>
      </c>
      <c r="E5632" s="2" t="s">
        <v>8083</v>
      </c>
      <c r="F5632" s="3" t="n">
        <v>46205.8555555556</v>
      </c>
      <c r="G5632" s="2" t="s">
        <v>11403</v>
      </c>
      <c r="H5632" s="4" t="n">
        <v>0</v>
      </c>
      <c r="I5632" s="2" t="s">
        <v>18</v>
      </c>
      <c r="J5632" s="2" t="s">
        <v>37</v>
      </c>
      <c r="K5632" s="2" t="n">
        <v>1</v>
      </c>
      <c r="L5632" s="2" t="n">
        <v>1</v>
      </c>
      <c r="M5632" s="2" t="n">
        <v>0</v>
      </c>
    </row>
    <row r="5633" customFormat="false" ht="15" hidden="false" customHeight="false" outlineLevel="0" collapsed="false">
      <c r="A5633" s="2" t="s">
        <v>11448</v>
      </c>
      <c r="B5633" s="2" t="s">
        <v>11449</v>
      </c>
      <c r="C5633" s="2" t="n">
        <v>1</v>
      </c>
      <c r="D5633" s="2" t="s">
        <v>823</v>
      </c>
      <c r="E5633" s="2" t="s">
        <v>8083</v>
      </c>
      <c r="F5633" s="3" t="n">
        <v>46205.8763888889</v>
      </c>
      <c r="G5633" s="2" t="s">
        <v>11403</v>
      </c>
      <c r="H5633" s="4" t="n">
        <v>-0.6997</v>
      </c>
      <c r="I5633" s="2" t="s">
        <v>84</v>
      </c>
      <c r="J5633" s="2" t="s">
        <v>19</v>
      </c>
      <c r="K5633" s="2" t="n">
        <v>5</v>
      </c>
      <c r="L5633" s="2" t="n">
        <v>0</v>
      </c>
      <c r="M5633" s="2" t="n">
        <v>0</v>
      </c>
    </row>
    <row r="5634" customFormat="false" ht="15" hidden="false" customHeight="false" outlineLevel="0" collapsed="false">
      <c r="A5634" s="2" t="s">
        <v>11450</v>
      </c>
      <c r="B5634" s="2" t="s">
        <v>11451</v>
      </c>
      <c r="C5634" s="2" t="n">
        <v>5</v>
      </c>
      <c r="D5634" s="2" t="s">
        <v>96</v>
      </c>
      <c r="E5634" s="2" t="s">
        <v>8083</v>
      </c>
      <c r="F5634" s="3" t="n">
        <v>46206.0548611111</v>
      </c>
      <c r="G5634" s="2" t="s">
        <v>11403</v>
      </c>
      <c r="H5634" s="4" t="n">
        <v>0.6369</v>
      </c>
      <c r="I5634" s="2" t="s">
        <v>23</v>
      </c>
      <c r="J5634" s="2" t="s">
        <v>19</v>
      </c>
      <c r="K5634" s="2" t="n">
        <v>0</v>
      </c>
      <c r="L5634" s="2" t="n">
        <v>0</v>
      </c>
      <c r="M5634" s="2" t="n">
        <v>0</v>
      </c>
    </row>
    <row r="5635" customFormat="false" ht="15" hidden="false" customHeight="false" outlineLevel="0" collapsed="false">
      <c r="A5635" s="2" t="s">
        <v>11452</v>
      </c>
      <c r="B5635" s="2" t="s">
        <v>11453</v>
      </c>
      <c r="C5635" s="2" t="n">
        <v>3</v>
      </c>
      <c r="D5635" s="2" t="s">
        <v>36</v>
      </c>
      <c r="E5635" s="2" t="s">
        <v>8083</v>
      </c>
      <c r="F5635" s="3" t="n">
        <v>46206.0986111111</v>
      </c>
      <c r="G5635" s="2" t="s">
        <v>11403</v>
      </c>
      <c r="H5635" s="4" t="n">
        <v>0.4404</v>
      </c>
      <c r="I5635" s="2" t="s">
        <v>23</v>
      </c>
      <c r="J5635" s="2" t="s">
        <v>37</v>
      </c>
      <c r="K5635" s="2" t="n">
        <v>2</v>
      </c>
      <c r="L5635" s="2" t="n">
        <v>0</v>
      </c>
      <c r="M5635" s="2" t="n">
        <v>0</v>
      </c>
    </row>
    <row r="5636" customFormat="false" ht="15" hidden="false" customHeight="false" outlineLevel="0" collapsed="false">
      <c r="A5636" s="2" t="s">
        <v>11454</v>
      </c>
      <c r="B5636" s="2" t="s">
        <v>11455</v>
      </c>
      <c r="C5636" s="2" t="n">
        <v>2</v>
      </c>
      <c r="D5636" s="2" t="s">
        <v>2886</v>
      </c>
      <c r="E5636" s="2" t="s">
        <v>8083</v>
      </c>
      <c r="F5636" s="3" t="n">
        <v>46206.2243055556</v>
      </c>
      <c r="G5636" s="2" t="s">
        <v>11403</v>
      </c>
      <c r="H5636" s="4" t="n">
        <v>-0.4215</v>
      </c>
      <c r="I5636" s="2" t="s">
        <v>84</v>
      </c>
      <c r="J5636" s="2" t="s">
        <v>110</v>
      </c>
      <c r="K5636" s="2" t="n">
        <v>1</v>
      </c>
      <c r="L5636" s="2" t="n">
        <v>0</v>
      </c>
      <c r="M5636" s="2" t="n">
        <v>0</v>
      </c>
    </row>
    <row r="5637" customFormat="false" ht="15" hidden="false" customHeight="false" outlineLevel="0" collapsed="false">
      <c r="A5637" s="2" t="s">
        <v>11456</v>
      </c>
      <c r="B5637" s="2" t="s">
        <v>11457</v>
      </c>
      <c r="C5637" s="2" t="n">
        <v>4</v>
      </c>
      <c r="D5637" s="2" t="s">
        <v>11458</v>
      </c>
      <c r="E5637" s="2" t="s">
        <v>8083</v>
      </c>
      <c r="F5637" s="3" t="n">
        <v>46206.6493055556</v>
      </c>
      <c r="G5637" s="2" t="s">
        <v>11403</v>
      </c>
      <c r="H5637" s="4" t="n">
        <v>0.2263</v>
      </c>
      <c r="I5637" s="2" t="s">
        <v>23</v>
      </c>
      <c r="J5637" s="2" t="s">
        <v>19</v>
      </c>
      <c r="K5637" s="2" t="n">
        <v>5</v>
      </c>
      <c r="L5637" s="2" t="n">
        <v>0</v>
      </c>
      <c r="M5637" s="2" t="n">
        <v>0</v>
      </c>
    </row>
    <row r="5638" customFormat="false" ht="15" hidden="false" customHeight="false" outlineLevel="0" collapsed="false">
      <c r="A5638" s="2" t="s">
        <v>11459</v>
      </c>
      <c r="B5638" s="2" t="s">
        <v>11460</v>
      </c>
      <c r="C5638" s="2" t="n">
        <v>5</v>
      </c>
      <c r="D5638" s="2" t="s">
        <v>96</v>
      </c>
      <c r="E5638" s="2" t="s">
        <v>8083</v>
      </c>
      <c r="F5638" s="3" t="n">
        <v>46206.7048611111</v>
      </c>
      <c r="G5638" s="2" t="s">
        <v>11403</v>
      </c>
      <c r="H5638" s="4" t="n">
        <v>0.6369</v>
      </c>
      <c r="I5638" s="2" t="s">
        <v>23</v>
      </c>
      <c r="J5638" s="2" t="s">
        <v>19</v>
      </c>
      <c r="K5638" s="2" t="n">
        <v>2</v>
      </c>
      <c r="L5638" s="2" t="n">
        <v>0</v>
      </c>
      <c r="M5638" s="2" t="n">
        <v>0</v>
      </c>
    </row>
    <row r="5639" customFormat="false" ht="15" hidden="false" customHeight="false" outlineLevel="0" collapsed="false">
      <c r="A5639" s="2" t="s">
        <v>11461</v>
      </c>
      <c r="B5639" s="2" t="s">
        <v>11462</v>
      </c>
      <c r="C5639" s="2" t="n">
        <v>4</v>
      </c>
      <c r="D5639" s="2" t="s">
        <v>301</v>
      </c>
      <c r="E5639" s="2" t="s">
        <v>8083</v>
      </c>
      <c r="F5639" s="3" t="n">
        <v>46206.7069444444</v>
      </c>
      <c r="G5639" s="2" t="s">
        <v>11403</v>
      </c>
      <c r="H5639" s="4" t="n">
        <v>0.2263</v>
      </c>
      <c r="I5639" s="2" t="s">
        <v>23</v>
      </c>
      <c r="J5639" s="2" t="s">
        <v>19</v>
      </c>
      <c r="K5639" s="2" t="n">
        <v>3</v>
      </c>
      <c r="L5639" s="2" t="n">
        <v>0</v>
      </c>
      <c r="M5639" s="2" t="n">
        <v>0</v>
      </c>
    </row>
    <row r="5640" customFormat="false" ht="15" hidden="false" customHeight="false" outlineLevel="0" collapsed="false">
      <c r="A5640" s="2" t="s">
        <v>11463</v>
      </c>
      <c r="B5640" s="2" t="s">
        <v>11464</v>
      </c>
      <c r="C5640" s="2" t="n">
        <v>5</v>
      </c>
      <c r="D5640" s="2" t="s">
        <v>52</v>
      </c>
      <c r="E5640" s="2" t="s">
        <v>8083</v>
      </c>
      <c r="F5640" s="3" t="n">
        <v>46206.7131944444</v>
      </c>
      <c r="G5640" s="2" t="s">
        <v>11403</v>
      </c>
      <c r="H5640" s="4" t="n">
        <v>0.6369</v>
      </c>
      <c r="I5640" s="2" t="s">
        <v>23</v>
      </c>
      <c r="J5640" s="2" t="s">
        <v>19</v>
      </c>
      <c r="K5640" s="2" t="n">
        <v>3</v>
      </c>
      <c r="L5640" s="2" t="n">
        <v>0</v>
      </c>
      <c r="M5640" s="2" t="n">
        <v>0</v>
      </c>
    </row>
    <row r="5641" customFormat="false" ht="15" hidden="false" customHeight="false" outlineLevel="0" collapsed="false">
      <c r="A5641" s="2" t="s">
        <v>11465</v>
      </c>
      <c r="B5641" s="2" t="s">
        <v>11466</v>
      </c>
      <c r="C5641" s="2" t="n">
        <v>5</v>
      </c>
      <c r="D5641" s="2" t="s">
        <v>90</v>
      </c>
      <c r="E5641" s="2" t="s">
        <v>8083</v>
      </c>
      <c r="F5641" s="3" t="n">
        <v>46206.7347222222</v>
      </c>
      <c r="G5641" s="2" t="s">
        <v>11403</v>
      </c>
      <c r="H5641" s="4" t="n">
        <v>0.6249</v>
      </c>
      <c r="I5641" s="2" t="s">
        <v>23</v>
      </c>
      <c r="J5641" s="2" t="s">
        <v>37</v>
      </c>
      <c r="K5641" s="2" t="n">
        <v>3</v>
      </c>
      <c r="L5641" s="2" t="n">
        <v>0</v>
      </c>
      <c r="M5641" s="2" t="n">
        <v>0</v>
      </c>
    </row>
    <row r="5642" customFormat="false" ht="15" hidden="false" customHeight="false" outlineLevel="0" collapsed="false">
      <c r="A5642" s="2" t="s">
        <v>11467</v>
      </c>
      <c r="B5642" s="2" t="s">
        <v>230</v>
      </c>
      <c r="C5642" s="2" t="n">
        <v>5</v>
      </c>
      <c r="D5642" s="2" t="s">
        <v>47</v>
      </c>
      <c r="E5642" s="2" t="s">
        <v>8083</v>
      </c>
      <c r="F5642" s="3" t="n">
        <v>46206.7715277778</v>
      </c>
      <c r="G5642" s="2" t="s">
        <v>11403</v>
      </c>
      <c r="H5642" s="4" t="n">
        <v>0.3089</v>
      </c>
      <c r="I5642" s="2" t="s">
        <v>23</v>
      </c>
      <c r="J5642" s="2" t="s">
        <v>19</v>
      </c>
      <c r="K5642" s="2" t="n">
        <v>2</v>
      </c>
      <c r="L5642" s="2" t="n">
        <v>0</v>
      </c>
      <c r="M5642" s="2" t="n">
        <v>0</v>
      </c>
    </row>
    <row r="5643" customFormat="false" ht="15" hidden="false" customHeight="false" outlineLevel="0" collapsed="false">
      <c r="A5643" s="2" t="s">
        <v>11468</v>
      </c>
      <c r="B5643" s="2" t="s">
        <v>11469</v>
      </c>
      <c r="C5643" s="2" t="n">
        <v>5</v>
      </c>
      <c r="D5643" s="2" t="s">
        <v>52</v>
      </c>
      <c r="E5643" s="2" t="s">
        <v>8083</v>
      </c>
      <c r="F5643" s="3" t="n">
        <v>46206.9756944445</v>
      </c>
      <c r="G5643" s="2" t="s">
        <v>11403</v>
      </c>
      <c r="H5643" s="4" t="n">
        <v>0.6369</v>
      </c>
      <c r="I5643" s="2" t="s">
        <v>23</v>
      </c>
      <c r="J5643" s="2" t="s">
        <v>19</v>
      </c>
      <c r="K5643" s="2" t="n">
        <v>3</v>
      </c>
      <c r="L5643" s="2" t="n">
        <v>0</v>
      </c>
      <c r="M5643" s="2" t="n">
        <v>0</v>
      </c>
    </row>
    <row r="5644" customFormat="false" ht="15" hidden="false" customHeight="false" outlineLevel="0" collapsed="false">
      <c r="A5644" s="2" t="s">
        <v>11470</v>
      </c>
      <c r="B5644" s="2" t="s">
        <v>11471</v>
      </c>
      <c r="C5644" s="2" t="n">
        <v>4</v>
      </c>
      <c r="D5644" s="2" t="s">
        <v>11472</v>
      </c>
      <c r="E5644" s="2" t="s">
        <v>8083</v>
      </c>
      <c r="F5644" s="3" t="n">
        <v>46206.9861111111</v>
      </c>
      <c r="G5644" s="2" t="s">
        <v>11403</v>
      </c>
      <c r="H5644" s="4" t="n">
        <v>0.945</v>
      </c>
      <c r="I5644" s="2" t="s">
        <v>23</v>
      </c>
      <c r="J5644" s="2" t="s">
        <v>37</v>
      </c>
      <c r="K5644" s="2" t="n">
        <v>0</v>
      </c>
      <c r="L5644" s="2" t="n">
        <v>0</v>
      </c>
      <c r="M5644" s="2" t="n">
        <v>0</v>
      </c>
    </row>
    <row r="5645" customFormat="false" ht="15" hidden="false" customHeight="false" outlineLevel="0" collapsed="false">
      <c r="A5645" s="2" t="s">
        <v>11473</v>
      </c>
      <c r="B5645" s="2" t="s">
        <v>11474</v>
      </c>
      <c r="C5645" s="2" t="n">
        <v>5</v>
      </c>
      <c r="D5645" s="2" t="s">
        <v>62</v>
      </c>
      <c r="E5645" s="2" t="s">
        <v>8083</v>
      </c>
      <c r="F5645" s="3" t="n">
        <v>46207.0263888889</v>
      </c>
      <c r="G5645" s="2" t="s">
        <v>11403</v>
      </c>
      <c r="H5645" s="4" t="n">
        <v>0.7088</v>
      </c>
      <c r="I5645" s="2" t="s">
        <v>23</v>
      </c>
      <c r="J5645" s="2" t="s">
        <v>19</v>
      </c>
      <c r="K5645" s="2" t="n">
        <v>1</v>
      </c>
      <c r="L5645" s="2" t="n">
        <v>0</v>
      </c>
      <c r="M5645" s="2" t="n">
        <v>0</v>
      </c>
    </row>
    <row r="5646" customFormat="false" ht="15" hidden="false" customHeight="false" outlineLevel="0" collapsed="false">
      <c r="A5646" s="2" t="s">
        <v>11475</v>
      </c>
      <c r="B5646" s="2" t="s">
        <v>11476</v>
      </c>
      <c r="C5646" s="2" t="n">
        <v>5</v>
      </c>
      <c r="D5646" s="2" t="s">
        <v>52</v>
      </c>
      <c r="E5646" s="2" t="s">
        <v>8083</v>
      </c>
      <c r="F5646" s="3" t="n">
        <v>46207.0388888889</v>
      </c>
      <c r="G5646" s="2" t="s">
        <v>11403</v>
      </c>
      <c r="H5646" s="4" t="n">
        <v>0.6369</v>
      </c>
      <c r="I5646" s="2" t="s">
        <v>23</v>
      </c>
      <c r="J5646" s="2" t="s">
        <v>19</v>
      </c>
      <c r="K5646" s="2" t="n">
        <v>0</v>
      </c>
      <c r="L5646" s="2" t="n">
        <v>0</v>
      </c>
      <c r="M5646" s="2" t="n">
        <v>0</v>
      </c>
    </row>
    <row r="5647" customFormat="false" ht="15" hidden="false" customHeight="false" outlineLevel="0" collapsed="false">
      <c r="A5647" s="2" t="s">
        <v>11477</v>
      </c>
      <c r="B5647" s="2" t="s">
        <v>11478</v>
      </c>
      <c r="C5647" s="2" t="n">
        <v>3</v>
      </c>
      <c r="D5647" s="2" t="s">
        <v>99</v>
      </c>
      <c r="E5647" s="2" t="s">
        <v>8083</v>
      </c>
      <c r="F5647" s="3" t="n">
        <v>46207.2847222222</v>
      </c>
      <c r="G5647" s="2" t="s">
        <v>11403</v>
      </c>
      <c r="H5647" s="4" t="n">
        <v>-0.3089</v>
      </c>
      <c r="I5647" s="2" t="s">
        <v>84</v>
      </c>
      <c r="J5647" s="2" t="s">
        <v>19</v>
      </c>
      <c r="K5647" s="2" t="n">
        <v>4</v>
      </c>
      <c r="L5647" s="2" t="n">
        <v>0</v>
      </c>
      <c r="M5647" s="2" t="n">
        <v>0</v>
      </c>
    </row>
    <row r="5648" customFormat="false" ht="15" hidden="false" customHeight="false" outlineLevel="0" collapsed="false">
      <c r="A5648" s="2" t="s">
        <v>11479</v>
      </c>
      <c r="B5648" s="2" t="s">
        <v>11480</v>
      </c>
      <c r="C5648" s="2" t="n">
        <v>5</v>
      </c>
      <c r="D5648" s="2" t="s">
        <v>96</v>
      </c>
      <c r="E5648" s="2" t="s">
        <v>8083</v>
      </c>
      <c r="F5648" s="3" t="n">
        <v>46207.2861111111</v>
      </c>
      <c r="G5648" s="2" t="s">
        <v>11403</v>
      </c>
      <c r="H5648" s="4" t="n">
        <v>0.6369</v>
      </c>
      <c r="I5648" s="2" t="s">
        <v>23</v>
      </c>
      <c r="J5648" s="2" t="s">
        <v>19</v>
      </c>
      <c r="K5648" s="2" t="n">
        <v>3</v>
      </c>
      <c r="L5648" s="2" t="n">
        <v>0</v>
      </c>
      <c r="M5648" s="2" t="n">
        <v>0</v>
      </c>
    </row>
    <row r="5649" customFormat="false" ht="15" hidden="false" customHeight="false" outlineLevel="0" collapsed="false">
      <c r="A5649" s="2" t="s">
        <v>11481</v>
      </c>
      <c r="B5649" s="2" t="s">
        <v>11482</v>
      </c>
      <c r="C5649" s="2" t="n">
        <v>5</v>
      </c>
      <c r="D5649" s="2" t="s">
        <v>90</v>
      </c>
      <c r="E5649" s="2" t="s">
        <v>8083</v>
      </c>
      <c r="F5649" s="3" t="n">
        <v>46207.4159722222</v>
      </c>
      <c r="G5649" s="2" t="s">
        <v>11403</v>
      </c>
      <c r="H5649" s="4" t="n">
        <v>0.6249</v>
      </c>
      <c r="I5649" s="2" t="s">
        <v>23</v>
      </c>
      <c r="J5649" s="2" t="s">
        <v>37</v>
      </c>
      <c r="K5649" s="2" t="n">
        <v>4</v>
      </c>
      <c r="L5649" s="2" t="n">
        <v>0</v>
      </c>
      <c r="M5649" s="2" t="n">
        <v>0</v>
      </c>
    </row>
    <row r="5650" customFormat="false" ht="15" hidden="false" customHeight="false" outlineLevel="0" collapsed="false">
      <c r="A5650" s="2" t="s">
        <v>11483</v>
      </c>
      <c r="B5650" s="2" t="s">
        <v>11484</v>
      </c>
      <c r="C5650" s="2" t="n">
        <v>5</v>
      </c>
      <c r="D5650" s="2" t="s">
        <v>40</v>
      </c>
      <c r="E5650" s="2" t="s">
        <v>8083</v>
      </c>
      <c r="F5650" s="3" t="n">
        <v>46207.4770833333</v>
      </c>
      <c r="G5650" s="2" t="s">
        <v>11403</v>
      </c>
      <c r="H5650" s="4" t="n">
        <v>0.4019</v>
      </c>
      <c r="I5650" s="2" t="s">
        <v>23</v>
      </c>
      <c r="J5650" s="2" t="s">
        <v>33</v>
      </c>
      <c r="K5650" s="2" t="n">
        <v>2</v>
      </c>
      <c r="L5650" s="2" t="n">
        <v>0</v>
      </c>
      <c r="M5650" s="2" t="n">
        <v>0</v>
      </c>
    </row>
    <row r="5651" customFormat="false" ht="15" hidden="false" customHeight="false" outlineLevel="0" collapsed="false">
      <c r="A5651" s="2" t="s">
        <v>11485</v>
      </c>
      <c r="B5651" s="2" t="s">
        <v>11486</v>
      </c>
      <c r="C5651" s="2" t="n">
        <v>5</v>
      </c>
      <c r="D5651" s="2" t="s">
        <v>47</v>
      </c>
      <c r="E5651" s="2" t="s">
        <v>8083</v>
      </c>
      <c r="F5651" s="3" t="n">
        <v>46207.6840277778</v>
      </c>
      <c r="G5651" s="2" t="s">
        <v>11403</v>
      </c>
      <c r="H5651" s="4" t="n">
        <v>0.3089</v>
      </c>
      <c r="I5651" s="2" t="s">
        <v>23</v>
      </c>
      <c r="J5651" s="2" t="s">
        <v>19</v>
      </c>
      <c r="K5651" s="2" t="n">
        <v>1</v>
      </c>
      <c r="L5651" s="2" t="n">
        <v>0</v>
      </c>
      <c r="M5651" s="2" t="n">
        <v>0</v>
      </c>
    </row>
    <row r="5652" customFormat="false" ht="15" hidden="false" customHeight="false" outlineLevel="0" collapsed="false">
      <c r="A5652" s="2" t="s">
        <v>11487</v>
      </c>
      <c r="B5652" s="2" t="s">
        <v>11488</v>
      </c>
      <c r="C5652" s="2" t="n">
        <v>1</v>
      </c>
      <c r="D5652" s="2" t="s">
        <v>4301</v>
      </c>
      <c r="E5652" s="2" t="s">
        <v>8083</v>
      </c>
      <c r="F5652" s="3" t="n">
        <v>46207.7076388889</v>
      </c>
      <c r="G5652" s="2" t="s">
        <v>11403</v>
      </c>
      <c r="H5652" s="4" t="n">
        <v>-0.1174</v>
      </c>
      <c r="I5652" s="2" t="s">
        <v>84</v>
      </c>
      <c r="J5652" s="2" t="s">
        <v>33</v>
      </c>
      <c r="K5652" s="2" t="n">
        <v>12</v>
      </c>
      <c r="L5652" s="2" t="n">
        <v>1</v>
      </c>
      <c r="M5652" s="2" t="n">
        <v>0</v>
      </c>
    </row>
    <row r="5653" customFormat="false" ht="15" hidden="false" customHeight="false" outlineLevel="0" collapsed="false">
      <c r="A5653" s="2" t="s">
        <v>11489</v>
      </c>
      <c r="B5653" s="2" t="s">
        <v>11490</v>
      </c>
      <c r="C5653" s="2" t="n">
        <v>3</v>
      </c>
      <c r="D5653" s="2" t="s">
        <v>1952</v>
      </c>
      <c r="E5653" s="2" t="s">
        <v>8083</v>
      </c>
      <c r="F5653" s="3" t="n">
        <v>46207.7347222222</v>
      </c>
      <c r="G5653" s="2" t="s">
        <v>11403</v>
      </c>
      <c r="H5653" s="4" t="n">
        <v>0.5859</v>
      </c>
      <c r="I5653" s="2" t="s">
        <v>23</v>
      </c>
      <c r="J5653" s="2" t="s">
        <v>37</v>
      </c>
      <c r="K5653" s="2" t="n">
        <v>7</v>
      </c>
      <c r="L5653" s="2" t="n">
        <v>0</v>
      </c>
      <c r="M5653" s="2" t="n">
        <v>0</v>
      </c>
    </row>
    <row r="5654" customFormat="false" ht="15" hidden="false" customHeight="false" outlineLevel="0" collapsed="false">
      <c r="A5654" s="2" t="s">
        <v>11491</v>
      </c>
      <c r="B5654" s="2" t="s">
        <v>11492</v>
      </c>
      <c r="C5654" s="2" t="n">
        <v>5</v>
      </c>
      <c r="D5654" s="2" t="s">
        <v>52</v>
      </c>
      <c r="E5654" s="2" t="s">
        <v>8083</v>
      </c>
      <c r="F5654" s="3" t="n">
        <v>46208.2041666667</v>
      </c>
      <c r="G5654" s="2" t="s">
        <v>11403</v>
      </c>
      <c r="H5654" s="4" t="n">
        <v>0.6369</v>
      </c>
      <c r="I5654" s="2" t="s">
        <v>23</v>
      </c>
      <c r="J5654" s="2" t="s">
        <v>19</v>
      </c>
      <c r="K5654" s="2" t="n">
        <v>0</v>
      </c>
      <c r="L5654" s="2" t="n">
        <v>0</v>
      </c>
      <c r="M5654" s="2" t="n">
        <v>0</v>
      </c>
    </row>
    <row r="5655" customFormat="false" ht="15" hidden="false" customHeight="false" outlineLevel="0" collapsed="false">
      <c r="A5655" s="2" t="s">
        <v>11493</v>
      </c>
      <c r="B5655" s="2" t="s">
        <v>11494</v>
      </c>
      <c r="C5655" s="2" t="n">
        <v>3</v>
      </c>
      <c r="D5655" s="2" t="s">
        <v>733</v>
      </c>
      <c r="E5655" s="2" t="s">
        <v>8083</v>
      </c>
      <c r="F5655" s="3" t="n">
        <v>46208.3291666667</v>
      </c>
      <c r="G5655" s="2" t="s">
        <v>11403</v>
      </c>
      <c r="H5655" s="4" t="n">
        <v>-0.2846</v>
      </c>
      <c r="I5655" s="2" t="s">
        <v>84</v>
      </c>
      <c r="J5655" s="2" t="s">
        <v>37</v>
      </c>
      <c r="K5655" s="2" t="n">
        <v>2</v>
      </c>
      <c r="L5655" s="2" t="n">
        <v>1</v>
      </c>
      <c r="M5655" s="2" t="n">
        <v>0</v>
      </c>
    </row>
    <row r="5656" customFormat="false" ht="15" hidden="false" customHeight="false" outlineLevel="0" collapsed="false">
      <c r="A5656" s="2" t="s">
        <v>11495</v>
      </c>
      <c r="B5656" s="2" t="s">
        <v>11496</v>
      </c>
      <c r="C5656" s="2" t="n">
        <v>3</v>
      </c>
      <c r="D5656" s="2" t="s">
        <v>2743</v>
      </c>
      <c r="E5656" s="2" t="s">
        <v>8083</v>
      </c>
      <c r="F5656" s="3" t="n">
        <v>46208.3541666667</v>
      </c>
      <c r="G5656" s="2" t="s">
        <v>11403</v>
      </c>
      <c r="H5656" s="4" t="n">
        <v>0.3809</v>
      </c>
      <c r="I5656" s="2" t="s">
        <v>23</v>
      </c>
      <c r="J5656" s="2" t="s">
        <v>19</v>
      </c>
      <c r="K5656" s="2" t="n">
        <v>1</v>
      </c>
      <c r="L5656" s="2" t="n">
        <v>0</v>
      </c>
      <c r="M5656" s="2" t="n">
        <v>0</v>
      </c>
    </row>
    <row r="5657" customFormat="false" ht="15" hidden="false" customHeight="false" outlineLevel="0" collapsed="false">
      <c r="A5657" s="2" t="s">
        <v>11497</v>
      </c>
      <c r="B5657" s="2" t="s">
        <v>11498</v>
      </c>
      <c r="C5657" s="2" t="n">
        <v>4</v>
      </c>
      <c r="D5657" s="2" t="s">
        <v>875</v>
      </c>
      <c r="E5657" s="2" t="s">
        <v>8083</v>
      </c>
      <c r="F5657" s="3" t="n">
        <v>46208.44375</v>
      </c>
      <c r="G5657" s="2" t="s">
        <v>11403</v>
      </c>
      <c r="H5657" s="4" t="n">
        <v>0.7992</v>
      </c>
      <c r="I5657" s="2" t="s">
        <v>23</v>
      </c>
      <c r="J5657" s="2" t="s">
        <v>19</v>
      </c>
      <c r="K5657" s="2" t="n">
        <v>2</v>
      </c>
      <c r="L5657" s="2" t="n">
        <v>0</v>
      </c>
      <c r="M5657" s="2" t="n">
        <v>0</v>
      </c>
    </row>
    <row r="5658" customFormat="false" ht="15" hidden="false" customHeight="false" outlineLevel="0" collapsed="false">
      <c r="A5658" s="2" t="s">
        <v>11499</v>
      </c>
      <c r="B5658" s="2" t="s">
        <v>11500</v>
      </c>
      <c r="C5658" s="2" t="n">
        <v>5</v>
      </c>
      <c r="D5658" s="2" t="s">
        <v>90</v>
      </c>
      <c r="E5658" s="2" t="s">
        <v>8083</v>
      </c>
      <c r="F5658" s="3" t="n">
        <v>46208.5715277778</v>
      </c>
      <c r="G5658" s="2" t="s">
        <v>11403</v>
      </c>
      <c r="H5658" s="4" t="n">
        <v>0.6249</v>
      </c>
      <c r="I5658" s="2" t="s">
        <v>23</v>
      </c>
      <c r="J5658" s="2" t="s">
        <v>37</v>
      </c>
      <c r="K5658" s="2" t="n">
        <v>2</v>
      </c>
      <c r="L5658" s="2" t="n">
        <v>0</v>
      </c>
      <c r="M5658" s="2" t="n">
        <v>0</v>
      </c>
    </row>
    <row r="5659" customFormat="false" ht="15" hidden="false" customHeight="false" outlineLevel="0" collapsed="false">
      <c r="A5659" s="2" t="s">
        <v>11501</v>
      </c>
      <c r="B5659" s="2" t="s">
        <v>11502</v>
      </c>
      <c r="C5659" s="2" t="n">
        <v>4</v>
      </c>
      <c r="D5659" s="2" t="s">
        <v>47</v>
      </c>
      <c r="E5659" s="2" t="s">
        <v>8083</v>
      </c>
      <c r="F5659" s="3" t="n">
        <v>46208.6111111111</v>
      </c>
      <c r="G5659" s="2" t="s">
        <v>11403</v>
      </c>
      <c r="H5659" s="4" t="n">
        <v>0.3089</v>
      </c>
      <c r="I5659" s="2" t="s">
        <v>23</v>
      </c>
      <c r="J5659" s="2" t="s">
        <v>19</v>
      </c>
      <c r="K5659" s="2" t="n">
        <v>6</v>
      </c>
      <c r="L5659" s="2" t="n">
        <v>0</v>
      </c>
      <c r="M5659" s="2" t="n">
        <v>0</v>
      </c>
    </row>
    <row r="5660" customFormat="false" ht="15" hidden="false" customHeight="false" outlineLevel="0" collapsed="false">
      <c r="A5660" s="2" t="s">
        <v>11503</v>
      </c>
      <c r="B5660" s="2" t="s">
        <v>11504</v>
      </c>
      <c r="C5660" s="2" t="n">
        <v>5</v>
      </c>
      <c r="D5660" s="2" t="s">
        <v>1714</v>
      </c>
      <c r="E5660" s="2" t="s">
        <v>8083</v>
      </c>
      <c r="F5660" s="3" t="n">
        <v>46208.7534722222</v>
      </c>
      <c r="G5660" s="2" t="s">
        <v>11403</v>
      </c>
      <c r="H5660" s="4" t="n">
        <v>0.9359</v>
      </c>
      <c r="I5660" s="2" t="s">
        <v>23</v>
      </c>
      <c r="J5660" s="2" t="s">
        <v>37</v>
      </c>
      <c r="K5660" s="2" t="n">
        <v>1</v>
      </c>
      <c r="L5660" s="2" t="n">
        <v>0</v>
      </c>
      <c r="M5660" s="2" t="n">
        <v>0</v>
      </c>
    </row>
    <row r="5661" customFormat="false" ht="15" hidden="false" customHeight="false" outlineLevel="0" collapsed="false">
      <c r="A5661" s="2" t="s">
        <v>11505</v>
      </c>
      <c r="B5661" s="2" t="s">
        <v>11506</v>
      </c>
      <c r="C5661" s="2" t="n">
        <v>5</v>
      </c>
      <c r="D5661" s="2" t="s">
        <v>127</v>
      </c>
      <c r="E5661" s="2" t="s">
        <v>8083</v>
      </c>
      <c r="F5661" s="3" t="n">
        <v>46208.8604166667</v>
      </c>
      <c r="G5661" s="2" t="s">
        <v>11403</v>
      </c>
      <c r="H5661" s="4" t="n">
        <v>0.9359</v>
      </c>
      <c r="I5661" s="2" t="s">
        <v>23</v>
      </c>
      <c r="J5661" s="2" t="s">
        <v>37</v>
      </c>
      <c r="K5661" s="2" t="n">
        <v>0</v>
      </c>
      <c r="L5661" s="2" t="n">
        <v>0</v>
      </c>
      <c r="M5661" s="2" t="n">
        <v>0</v>
      </c>
    </row>
    <row r="5662" customFormat="false" ht="15" hidden="false" customHeight="false" outlineLevel="0" collapsed="false">
      <c r="A5662" s="2" t="s">
        <v>11507</v>
      </c>
      <c r="B5662" s="2" t="s">
        <v>11508</v>
      </c>
      <c r="C5662" s="2" t="n">
        <v>5</v>
      </c>
      <c r="D5662" s="2" t="s">
        <v>1167</v>
      </c>
      <c r="E5662" s="2" t="s">
        <v>8083</v>
      </c>
      <c r="F5662" s="3" t="n">
        <v>46208.9125</v>
      </c>
      <c r="G5662" s="2" t="s">
        <v>11403</v>
      </c>
      <c r="H5662" s="4" t="n">
        <v>0.8519</v>
      </c>
      <c r="I5662" s="2" t="s">
        <v>23</v>
      </c>
      <c r="J5662" s="2" t="s">
        <v>37</v>
      </c>
      <c r="K5662" s="2" t="n">
        <v>0</v>
      </c>
      <c r="L5662" s="2" t="n">
        <v>0</v>
      </c>
      <c r="M5662" s="2" t="n">
        <v>0</v>
      </c>
    </row>
    <row r="5663" customFormat="false" ht="15" hidden="false" customHeight="false" outlineLevel="0" collapsed="false">
      <c r="A5663" s="2" t="s">
        <v>11509</v>
      </c>
      <c r="B5663" s="2" t="s">
        <v>11510</v>
      </c>
      <c r="C5663" s="2" t="n">
        <v>2</v>
      </c>
      <c r="D5663" s="2" t="s">
        <v>58</v>
      </c>
      <c r="E5663" s="2" t="s">
        <v>8083</v>
      </c>
      <c r="F5663" s="3" t="n">
        <v>46208.9326388889</v>
      </c>
      <c r="G5663" s="2" t="s">
        <v>11403</v>
      </c>
      <c r="H5663" s="4" t="n">
        <v>0</v>
      </c>
      <c r="I5663" s="2" t="s">
        <v>18</v>
      </c>
      <c r="J5663" s="2" t="s">
        <v>59</v>
      </c>
      <c r="K5663" s="2" t="n">
        <v>8</v>
      </c>
      <c r="L5663" s="2" t="n">
        <v>1</v>
      </c>
      <c r="M5663" s="2" t="n">
        <v>0</v>
      </c>
    </row>
    <row r="5664" customFormat="false" ht="15" hidden="false" customHeight="false" outlineLevel="0" collapsed="false">
      <c r="A5664" s="2" t="s">
        <v>11511</v>
      </c>
      <c r="B5664" s="2" t="s">
        <v>11512</v>
      </c>
      <c r="C5664" s="2" t="n">
        <v>1</v>
      </c>
      <c r="D5664" s="2" t="s">
        <v>58</v>
      </c>
      <c r="E5664" s="2" t="s">
        <v>8083</v>
      </c>
      <c r="F5664" s="3" t="n">
        <v>46209.1222222222</v>
      </c>
      <c r="G5664" s="2" t="s">
        <v>11403</v>
      </c>
      <c r="H5664" s="4" t="n">
        <v>0</v>
      </c>
      <c r="I5664" s="2" t="s">
        <v>18</v>
      </c>
      <c r="J5664" s="2" t="s">
        <v>59</v>
      </c>
      <c r="K5664" s="2" t="n">
        <v>0</v>
      </c>
      <c r="L5664" s="2" t="n">
        <v>0</v>
      </c>
      <c r="M5664" s="2" t="n">
        <v>0</v>
      </c>
    </row>
    <row r="5665" customFormat="false" ht="15" hidden="false" customHeight="false" outlineLevel="0" collapsed="false">
      <c r="A5665" s="2" t="s">
        <v>11513</v>
      </c>
      <c r="B5665" s="2" t="s">
        <v>11514</v>
      </c>
      <c r="C5665" s="2" t="n">
        <v>3</v>
      </c>
      <c r="D5665" s="2" t="s">
        <v>99</v>
      </c>
      <c r="E5665" s="2" t="s">
        <v>8083</v>
      </c>
      <c r="F5665" s="3" t="n">
        <v>46209.1548611111</v>
      </c>
      <c r="G5665" s="2" t="s">
        <v>11403</v>
      </c>
      <c r="H5665" s="4" t="n">
        <v>-0.3089</v>
      </c>
      <c r="I5665" s="2" t="s">
        <v>84</v>
      </c>
      <c r="J5665" s="2" t="s">
        <v>19</v>
      </c>
      <c r="K5665" s="2" t="n">
        <v>4</v>
      </c>
      <c r="L5665" s="2" t="n">
        <v>0</v>
      </c>
      <c r="M5665" s="2" t="n">
        <v>0</v>
      </c>
    </row>
    <row r="5666" customFormat="false" ht="15" hidden="false" customHeight="false" outlineLevel="0" collapsed="false">
      <c r="A5666" s="2" t="s">
        <v>11515</v>
      </c>
      <c r="B5666" s="2" t="s">
        <v>11516</v>
      </c>
      <c r="C5666" s="2" t="n">
        <v>4</v>
      </c>
      <c r="D5666" s="2" t="s">
        <v>52</v>
      </c>
      <c r="E5666" s="2" t="s">
        <v>8083</v>
      </c>
      <c r="F5666" s="3" t="n">
        <v>46209.44375</v>
      </c>
      <c r="G5666" s="2" t="s">
        <v>11403</v>
      </c>
      <c r="H5666" s="4" t="n">
        <v>0.6369</v>
      </c>
      <c r="I5666" s="2" t="s">
        <v>23</v>
      </c>
      <c r="J5666" s="2" t="s">
        <v>19</v>
      </c>
      <c r="K5666" s="2" t="n">
        <v>0</v>
      </c>
      <c r="L5666" s="2" t="n">
        <v>0</v>
      </c>
      <c r="M5666" s="2" t="n">
        <v>0</v>
      </c>
    </row>
    <row r="5667" customFormat="false" ht="15" hidden="false" customHeight="false" outlineLevel="0" collapsed="false">
      <c r="A5667" s="2" t="s">
        <v>11517</v>
      </c>
      <c r="B5667" s="2" t="s">
        <v>11518</v>
      </c>
      <c r="C5667" s="2" t="n">
        <v>2</v>
      </c>
      <c r="D5667" s="2" t="s">
        <v>482</v>
      </c>
      <c r="E5667" s="2" t="s">
        <v>8083</v>
      </c>
      <c r="F5667" s="3" t="n">
        <v>46209.5333333333</v>
      </c>
      <c r="G5667" s="2" t="s">
        <v>11403</v>
      </c>
      <c r="H5667" s="4" t="n">
        <v>-0.6808</v>
      </c>
      <c r="I5667" s="2" t="s">
        <v>84</v>
      </c>
      <c r="J5667" s="2" t="s">
        <v>110</v>
      </c>
      <c r="K5667" s="2" t="n">
        <v>1</v>
      </c>
      <c r="L5667" s="2" t="n">
        <v>1</v>
      </c>
      <c r="M5667" s="2" t="n">
        <v>0</v>
      </c>
    </row>
    <row r="5668" customFormat="false" ht="15" hidden="false" customHeight="false" outlineLevel="0" collapsed="false">
      <c r="A5668" s="2" t="s">
        <v>11519</v>
      </c>
      <c r="B5668" s="2" t="s">
        <v>11520</v>
      </c>
      <c r="C5668" s="2" t="n">
        <v>4</v>
      </c>
      <c r="D5668" s="2" t="s">
        <v>22</v>
      </c>
      <c r="E5668" s="2" t="s">
        <v>8083</v>
      </c>
      <c r="F5668" s="3" t="n">
        <v>46209.6604166667</v>
      </c>
      <c r="G5668" s="2" t="s">
        <v>11403</v>
      </c>
      <c r="H5668" s="4" t="n">
        <v>0.2023</v>
      </c>
      <c r="I5668" s="2" t="s">
        <v>23</v>
      </c>
      <c r="J5668" s="2" t="s">
        <v>19</v>
      </c>
      <c r="K5668" s="2" t="n">
        <v>5</v>
      </c>
      <c r="L5668" s="2" t="n">
        <v>1</v>
      </c>
      <c r="M5668" s="2" t="n">
        <v>0</v>
      </c>
    </row>
    <row r="5669" customFormat="false" ht="15" hidden="false" customHeight="false" outlineLevel="0" collapsed="false">
      <c r="A5669" s="2" t="s">
        <v>11521</v>
      </c>
      <c r="B5669" s="2" t="s">
        <v>11522</v>
      </c>
      <c r="C5669" s="2" t="n">
        <v>3</v>
      </c>
      <c r="D5669" s="2" t="s">
        <v>36</v>
      </c>
      <c r="E5669" s="2" t="s">
        <v>8083</v>
      </c>
      <c r="F5669" s="3" t="n">
        <v>46209.6826388889</v>
      </c>
      <c r="G5669" s="2" t="s">
        <v>11403</v>
      </c>
      <c r="H5669" s="4" t="n">
        <v>0.4404</v>
      </c>
      <c r="I5669" s="2" t="s">
        <v>23</v>
      </c>
      <c r="J5669" s="2" t="s">
        <v>37</v>
      </c>
      <c r="K5669" s="2" t="n">
        <v>5</v>
      </c>
      <c r="L5669" s="2" t="n">
        <v>0</v>
      </c>
      <c r="M5669" s="2" t="n">
        <v>0</v>
      </c>
    </row>
    <row r="5670" customFormat="false" ht="15" hidden="false" customHeight="false" outlineLevel="0" collapsed="false">
      <c r="A5670" s="2" t="s">
        <v>11523</v>
      </c>
      <c r="B5670" s="2" t="s">
        <v>11524</v>
      </c>
      <c r="C5670" s="2" t="n">
        <v>2</v>
      </c>
      <c r="D5670" s="2" t="s">
        <v>701</v>
      </c>
      <c r="E5670" s="2" t="s">
        <v>8083</v>
      </c>
      <c r="F5670" s="3" t="n">
        <v>46209.7090277778</v>
      </c>
      <c r="G5670" s="2" t="s">
        <v>11403</v>
      </c>
      <c r="H5670" s="4" t="n">
        <v>-0.7184</v>
      </c>
      <c r="I5670" s="2" t="s">
        <v>84</v>
      </c>
      <c r="J5670" s="2" t="s">
        <v>37</v>
      </c>
      <c r="K5670" s="2" t="n">
        <v>0</v>
      </c>
      <c r="L5670" s="2" t="n">
        <v>0</v>
      </c>
      <c r="M5670" s="2" t="n">
        <v>0</v>
      </c>
    </row>
    <row r="5671" customFormat="false" ht="15" hidden="false" customHeight="false" outlineLevel="0" collapsed="false">
      <c r="A5671" s="2" t="s">
        <v>11525</v>
      </c>
      <c r="B5671" s="2" t="s">
        <v>11526</v>
      </c>
      <c r="C5671" s="2" t="n">
        <v>5</v>
      </c>
      <c r="D5671" s="2" t="s">
        <v>90</v>
      </c>
      <c r="E5671" s="2" t="s">
        <v>8083</v>
      </c>
      <c r="F5671" s="3" t="n">
        <v>46209.7944444444</v>
      </c>
      <c r="G5671" s="2" t="s">
        <v>11403</v>
      </c>
      <c r="H5671" s="4" t="n">
        <v>0.6249</v>
      </c>
      <c r="I5671" s="2" t="s">
        <v>23</v>
      </c>
      <c r="J5671" s="2" t="s">
        <v>37</v>
      </c>
      <c r="K5671" s="2" t="n">
        <v>3</v>
      </c>
      <c r="L5671" s="2" t="n">
        <v>0</v>
      </c>
      <c r="M5671" s="2" t="n">
        <v>0</v>
      </c>
    </row>
    <row r="5672" customFormat="false" ht="15" hidden="false" customHeight="false" outlineLevel="0" collapsed="false">
      <c r="A5672" s="2" t="s">
        <v>11527</v>
      </c>
      <c r="B5672" s="2" t="s">
        <v>8990</v>
      </c>
      <c r="C5672" s="2" t="n">
        <v>5</v>
      </c>
      <c r="D5672" s="2" t="s">
        <v>15</v>
      </c>
      <c r="E5672" s="2" t="s">
        <v>8083</v>
      </c>
      <c r="F5672" s="3" t="n">
        <v>46209.8361111111</v>
      </c>
      <c r="G5672" s="2" t="s">
        <v>11403</v>
      </c>
      <c r="H5672" s="4" t="n">
        <v>0</v>
      </c>
      <c r="I5672" s="2" t="s">
        <v>18</v>
      </c>
      <c r="J5672" s="2" t="s">
        <v>19</v>
      </c>
      <c r="K5672" s="2" t="n">
        <v>2</v>
      </c>
      <c r="L5672" s="2" t="n">
        <v>0</v>
      </c>
      <c r="M5672" s="2" t="n">
        <v>0</v>
      </c>
    </row>
    <row r="5673" customFormat="false" ht="15" hidden="false" customHeight="false" outlineLevel="0" collapsed="false">
      <c r="A5673" s="2" t="s">
        <v>11528</v>
      </c>
      <c r="B5673" s="2" t="s">
        <v>11529</v>
      </c>
      <c r="C5673" s="2" t="n">
        <v>4</v>
      </c>
      <c r="D5673" s="2" t="s">
        <v>87</v>
      </c>
      <c r="E5673" s="2" t="s">
        <v>8083</v>
      </c>
      <c r="F5673" s="3" t="n">
        <v>46209.8673611111</v>
      </c>
      <c r="G5673" s="2" t="s">
        <v>11403</v>
      </c>
      <c r="H5673" s="4" t="n">
        <v>0</v>
      </c>
      <c r="I5673" s="2" t="s">
        <v>18</v>
      </c>
      <c r="J5673" s="2" t="s">
        <v>19</v>
      </c>
      <c r="K5673" s="2" t="n">
        <v>9</v>
      </c>
      <c r="L5673" s="2" t="n">
        <v>0</v>
      </c>
      <c r="M5673" s="2" t="n">
        <v>0</v>
      </c>
    </row>
    <row r="5674" customFormat="false" ht="15" hidden="false" customHeight="false" outlineLevel="0" collapsed="false">
      <c r="A5674" s="2" t="s">
        <v>11530</v>
      </c>
      <c r="B5674" s="2" t="s">
        <v>11531</v>
      </c>
      <c r="C5674" s="2" t="n">
        <v>5</v>
      </c>
      <c r="D5674" s="2" t="s">
        <v>15</v>
      </c>
      <c r="E5674" s="2" t="s">
        <v>8083</v>
      </c>
      <c r="F5674" s="3" t="n">
        <v>46210.0270833333</v>
      </c>
      <c r="G5674" s="2" t="s">
        <v>11403</v>
      </c>
      <c r="H5674" s="4" t="n">
        <v>0</v>
      </c>
      <c r="I5674" s="2" t="s">
        <v>18</v>
      </c>
      <c r="J5674" s="2" t="s">
        <v>19</v>
      </c>
      <c r="K5674" s="2" t="n">
        <v>0</v>
      </c>
      <c r="L5674" s="2" t="n">
        <v>0</v>
      </c>
      <c r="M5674" s="2" t="n">
        <v>0</v>
      </c>
    </row>
    <row r="5675" customFormat="false" ht="15" hidden="false" customHeight="false" outlineLevel="0" collapsed="false">
      <c r="A5675" s="2" t="s">
        <v>11532</v>
      </c>
      <c r="B5675" s="2" t="s">
        <v>11533</v>
      </c>
      <c r="C5675" s="2" t="n">
        <v>4</v>
      </c>
      <c r="D5675" s="2" t="s">
        <v>96</v>
      </c>
      <c r="E5675" s="2" t="s">
        <v>8083</v>
      </c>
      <c r="F5675" s="3" t="n">
        <v>46210.2333333333</v>
      </c>
      <c r="G5675" s="2" t="s">
        <v>11403</v>
      </c>
      <c r="H5675" s="4" t="n">
        <v>0.6369</v>
      </c>
      <c r="I5675" s="2" t="s">
        <v>23</v>
      </c>
      <c r="J5675" s="2" t="s">
        <v>19</v>
      </c>
      <c r="K5675" s="2" t="n">
        <v>7</v>
      </c>
      <c r="L5675" s="2" t="n">
        <v>0</v>
      </c>
      <c r="M5675" s="2" t="n">
        <v>0</v>
      </c>
    </row>
    <row r="5676" customFormat="false" ht="15" hidden="false" customHeight="false" outlineLevel="0" collapsed="false">
      <c r="A5676" s="2" t="s">
        <v>11534</v>
      </c>
      <c r="B5676" s="2" t="s">
        <v>11535</v>
      </c>
      <c r="C5676" s="2" t="n">
        <v>4</v>
      </c>
      <c r="D5676" s="2" t="s">
        <v>47</v>
      </c>
      <c r="E5676" s="2" t="s">
        <v>8083</v>
      </c>
      <c r="F5676" s="3" t="n">
        <v>46210.2666666667</v>
      </c>
      <c r="G5676" s="2" t="s">
        <v>11403</v>
      </c>
      <c r="H5676" s="4" t="n">
        <v>0.3089</v>
      </c>
      <c r="I5676" s="2" t="s">
        <v>23</v>
      </c>
      <c r="J5676" s="2" t="s">
        <v>19</v>
      </c>
      <c r="K5676" s="2" t="n">
        <v>2</v>
      </c>
      <c r="L5676" s="2" t="n">
        <v>0</v>
      </c>
      <c r="M5676" s="2" t="n">
        <v>0</v>
      </c>
    </row>
    <row r="5677" customFormat="false" ht="15" hidden="false" customHeight="false" outlineLevel="0" collapsed="false">
      <c r="A5677" s="2" t="s">
        <v>11536</v>
      </c>
      <c r="B5677" s="2" t="s">
        <v>11537</v>
      </c>
      <c r="C5677" s="2" t="n">
        <v>3</v>
      </c>
      <c r="D5677" s="2" t="s">
        <v>99</v>
      </c>
      <c r="E5677" s="2" t="s">
        <v>8083</v>
      </c>
      <c r="F5677" s="3" t="n">
        <v>46210.2930555556</v>
      </c>
      <c r="G5677" s="2" t="s">
        <v>11403</v>
      </c>
      <c r="H5677" s="4" t="n">
        <v>-0.3089</v>
      </c>
      <c r="I5677" s="2" t="s">
        <v>84</v>
      </c>
      <c r="J5677" s="2" t="s">
        <v>19</v>
      </c>
      <c r="K5677" s="2" t="n">
        <v>6</v>
      </c>
      <c r="L5677" s="2" t="n">
        <v>0</v>
      </c>
      <c r="M5677" s="2" t="n">
        <v>0</v>
      </c>
    </row>
    <row r="5678" customFormat="false" ht="15" hidden="false" customHeight="false" outlineLevel="0" collapsed="false">
      <c r="A5678" s="2" t="s">
        <v>11538</v>
      </c>
      <c r="B5678" s="2" t="s">
        <v>11539</v>
      </c>
      <c r="C5678" s="2" t="n">
        <v>4</v>
      </c>
      <c r="D5678" s="2" t="s">
        <v>15</v>
      </c>
      <c r="E5678" s="2" t="s">
        <v>8083</v>
      </c>
      <c r="F5678" s="3" t="n">
        <v>46210.4875</v>
      </c>
      <c r="G5678" s="2" t="s">
        <v>11403</v>
      </c>
      <c r="H5678" s="4" t="n">
        <v>0</v>
      </c>
      <c r="I5678" s="2" t="s">
        <v>18</v>
      </c>
      <c r="J5678" s="2" t="s">
        <v>19</v>
      </c>
      <c r="K5678" s="2" t="n">
        <v>0</v>
      </c>
      <c r="L5678" s="2" t="n">
        <v>0</v>
      </c>
      <c r="M5678" s="2" t="n">
        <v>0</v>
      </c>
    </row>
    <row r="5679" customFormat="false" ht="15" hidden="false" customHeight="false" outlineLevel="0" collapsed="false">
      <c r="A5679" s="2" t="s">
        <v>11540</v>
      </c>
      <c r="B5679" s="2" t="s">
        <v>11541</v>
      </c>
      <c r="C5679" s="2" t="n">
        <v>4</v>
      </c>
      <c r="D5679" s="2" t="s">
        <v>15</v>
      </c>
      <c r="E5679" s="2" t="s">
        <v>8083</v>
      </c>
      <c r="F5679" s="3" t="n">
        <v>46210.5423611111</v>
      </c>
      <c r="G5679" s="2" t="s">
        <v>11403</v>
      </c>
      <c r="H5679" s="4" t="n">
        <v>0</v>
      </c>
      <c r="I5679" s="2" t="s">
        <v>18</v>
      </c>
      <c r="J5679" s="2" t="s">
        <v>19</v>
      </c>
      <c r="K5679" s="2" t="n">
        <v>8</v>
      </c>
      <c r="L5679" s="2" t="n">
        <v>0</v>
      </c>
      <c r="M5679" s="2" t="n">
        <v>0</v>
      </c>
    </row>
    <row r="5680" customFormat="false" ht="15" hidden="false" customHeight="false" outlineLevel="0" collapsed="false">
      <c r="A5680" s="2" t="s">
        <v>11542</v>
      </c>
      <c r="B5680" s="2" t="s">
        <v>11543</v>
      </c>
      <c r="C5680" s="2" t="n">
        <v>1</v>
      </c>
      <c r="D5680" s="2" t="s">
        <v>133</v>
      </c>
      <c r="E5680" s="2" t="s">
        <v>8083</v>
      </c>
      <c r="F5680" s="3" t="n">
        <v>46210.5798611111</v>
      </c>
      <c r="G5680" s="2" t="s">
        <v>11403</v>
      </c>
      <c r="H5680" s="4" t="n">
        <v>-0.5719</v>
      </c>
      <c r="I5680" s="2" t="s">
        <v>84</v>
      </c>
      <c r="J5680" s="2" t="s">
        <v>33</v>
      </c>
      <c r="K5680" s="2" t="n">
        <v>7</v>
      </c>
      <c r="L5680" s="2" t="n">
        <v>1</v>
      </c>
      <c r="M5680" s="2" t="n">
        <v>0</v>
      </c>
    </row>
    <row r="5681" customFormat="false" ht="15" hidden="false" customHeight="false" outlineLevel="0" collapsed="false">
      <c r="A5681" s="2" t="s">
        <v>11544</v>
      </c>
      <c r="B5681" s="2" t="s">
        <v>11545</v>
      </c>
      <c r="C5681" s="2" t="n">
        <v>5</v>
      </c>
      <c r="D5681" s="2" t="s">
        <v>15</v>
      </c>
      <c r="E5681" s="2" t="s">
        <v>8083</v>
      </c>
      <c r="F5681" s="3" t="n">
        <v>46210.8652777778</v>
      </c>
      <c r="G5681" s="2" t="s">
        <v>11403</v>
      </c>
      <c r="H5681" s="4" t="n">
        <v>0</v>
      </c>
      <c r="I5681" s="2" t="s">
        <v>18</v>
      </c>
      <c r="J5681" s="2" t="s">
        <v>19</v>
      </c>
      <c r="K5681" s="2" t="n">
        <v>9</v>
      </c>
      <c r="L5681" s="2" t="n">
        <v>0</v>
      </c>
      <c r="M5681" s="2" t="n">
        <v>0</v>
      </c>
    </row>
    <row r="5682" customFormat="false" ht="15" hidden="false" customHeight="false" outlineLevel="0" collapsed="false">
      <c r="A5682" s="2" t="s">
        <v>11546</v>
      </c>
      <c r="B5682" s="2" t="s">
        <v>11547</v>
      </c>
      <c r="C5682" s="2" t="n">
        <v>5</v>
      </c>
      <c r="D5682" s="2" t="s">
        <v>420</v>
      </c>
      <c r="E5682" s="2" t="s">
        <v>8083</v>
      </c>
      <c r="F5682" s="3" t="n">
        <v>46210.86875</v>
      </c>
      <c r="G5682" s="2" t="s">
        <v>11403</v>
      </c>
      <c r="H5682" s="4" t="n">
        <v>0.7845</v>
      </c>
      <c r="I5682" s="2" t="s">
        <v>23</v>
      </c>
      <c r="J5682" s="2" t="s">
        <v>33</v>
      </c>
      <c r="K5682" s="2" t="n">
        <v>5</v>
      </c>
      <c r="L5682" s="2" t="n">
        <v>0</v>
      </c>
      <c r="M5682" s="2" t="n">
        <v>0</v>
      </c>
    </row>
    <row r="5683" customFormat="false" ht="15" hidden="false" customHeight="false" outlineLevel="0" collapsed="false">
      <c r="A5683" s="2" t="s">
        <v>11548</v>
      </c>
      <c r="B5683" s="2" t="s">
        <v>11549</v>
      </c>
      <c r="C5683" s="2" t="n">
        <v>2</v>
      </c>
      <c r="D5683" s="2" t="s">
        <v>397</v>
      </c>
      <c r="E5683" s="2" t="s">
        <v>8083</v>
      </c>
      <c r="F5683" s="3" t="n">
        <v>46210.9756944445</v>
      </c>
      <c r="G5683" s="2" t="s">
        <v>11403</v>
      </c>
      <c r="H5683" s="4" t="n">
        <v>0</v>
      </c>
      <c r="I5683" s="2" t="s">
        <v>18</v>
      </c>
      <c r="J5683" s="2" t="s">
        <v>110</v>
      </c>
      <c r="K5683" s="2" t="n">
        <v>2</v>
      </c>
      <c r="L5683" s="2" t="n">
        <v>1</v>
      </c>
      <c r="M5683" s="2" t="n">
        <v>0</v>
      </c>
    </row>
    <row r="5684" customFormat="false" ht="15" hidden="false" customHeight="false" outlineLevel="0" collapsed="false">
      <c r="A5684" s="2" t="s">
        <v>11550</v>
      </c>
      <c r="B5684" s="2" t="s">
        <v>11551</v>
      </c>
      <c r="C5684" s="2" t="n">
        <v>5</v>
      </c>
      <c r="D5684" s="2" t="s">
        <v>40</v>
      </c>
      <c r="E5684" s="2" t="s">
        <v>8083</v>
      </c>
      <c r="F5684" s="3" t="n">
        <v>46210.9833333333</v>
      </c>
      <c r="G5684" s="2" t="s">
        <v>11403</v>
      </c>
      <c r="H5684" s="4" t="n">
        <v>0.4019</v>
      </c>
      <c r="I5684" s="2" t="s">
        <v>23</v>
      </c>
      <c r="J5684" s="2" t="s">
        <v>33</v>
      </c>
      <c r="K5684" s="2" t="n">
        <v>3</v>
      </c>
      <c r="L5684" s="2" t="n">
        <v>0</v>
      </c>
      <c r="M5684" s="2" t="n">
        <v>0</v>
      </c>
    </row>
    <row r="5685" customFormat="false" ht="15" hidden="false" customHeight="false" outlineLevel="0" collapsed="false">
      <c r="A5685" s="2" t="s">
        <v>11552</v>
      </c>
      <c r="B5685" s="2" t="s">
        <v>11553</v>
      </c>
      <c r="C5685" s="2" t="n">
        <v>5</v>
      </c>
      <c r="D5685" s="2" t="s">
        <v>90</v>
      </c>
      <c r="E5685" s="2" t="s">
        <v>8083</v>
      </c>
      <c r="F5685" s="3" t="n">
        <v>46211.1305555556</v>
      </c>
      <c r="G5685" s="2" t="s">
        <v>11403</v>
      </c>
      <c r="H5685" s="4" t="n">
        <v>0.6249</v>
      </c>
      <c r="I5685" s="2" t="s">
        <v>23</v>
      </c>
      <c r="J5685" s="2" t="s">
        <v>37</v>
      </c>
      <c r="K5685" s="2" t="n">
        <v>14</v>
      </c>
      <c r="L5685" s="2" t="n">
        <v>0</v>
      </c>
      <c r="M5685" s="2" t="n">
        <v>0</v>
      </c>
    </row>
    <row r="5686" customFormat="false" ht="15" hidden="false" customHeight="false" outlineLevel="0" collapsed="false">
      <c r="A5686" s="2" t="s">
        <v>11554</v>
      </c>
      <c r="B5686" s="2" t="s">
        <v>129</v>
      </c>
      <c r="C5686" s="2" t="n">
        <v>4</v>
      </c>
      <c r="D5686" s="2" t="s">
        <v>99</v>
      </c>
      <c r="E5686" s="2" t="s">
        <v>8083</v>
      </c>
      <c r="F5686" s="3" t="n">
        <v>46211.3604166667</v>
      </c>
      <c r="G5686" s="2" t="s">
        <v>11403</v>
      </c>
      <c r="H5686" s="4" t="n">
        <v>-0.3089</v>
      </c>
      <c r="I5686" s="2" t="s">
        <v>84</v>
      </c>
      <c r="J5686" s="2" t="s">
        <v>19</v>
      </c>
      <c r="K5686" s="2" t="n">
        <v>3</v>
      </c>
      <c r="L5686" s="2" t="n">
        <v>0</v>
      </c>
      <c r="M5686" s="2" t="n">
        <v>0</v>
      </c>
    </row>
    <row r="5687" customFormat="false" ht="15" hidden="false" customHeight="false" outlineLevel="0" collapsed="false">
      <c r="A5687" s="2" t="s">
        <v>11555</v>
      </c>
      <c r="B5687" s="2" t="s">
        <v>11556</v>
      </c>
      <c r="C5687" s="2" t="n">
        <v>5</v>
      </c>
      <c r="D5687" s="2" t="s">
        <v>52</v>
      </c>
      <c r="E5687" s="2" t="s">
        <v>8083</v>
      </c>
      <c r="F5687" s="3" t="n">
        <v>46211.4909722222</v>
      </c>
      <c r="G5687" s="2" t="s">
        <v>11403</v>
      </c>
      <c r="H5687" s="4" t="n">
        <v>0.6369</v>
      </c>
      <c r="I5687" s="2" t="s">
        <v>23</v>
      </c>
      <c r="J5687" s="2" t="s">
        <v>19</v>
      </c>
      <c r="K5687" s="2" t="n">
        <v>1</v>
      </c>
      <c r="L5687" s="2" t="n">
        <v>0</v>
      </c>
      <c r="M5687" s="2" t="n">
        <v>0</v>
      </c>
    </row>
    <row r="5688" customFormat="false" ht="15" hidden="false" customHeight="false" outlineLevel="0" collapsed="false">
      <c r="A5688" s="2" t="s">
        <v>11557</v>
      </c>
      <c r="B5688" s="2" t="s">
        <v>11558</v>
      </c>
      <c r="C5688" s="2" t="n">
        <v>5</v>
      </c>
      <c r="D5688" s="2" t="s">
        <v>62</v>
      </c>
      <c r="E5688" s="2" t="s">
        <v>8083</v>
      </c>
      <c r="F5688" s="3" t="n">
        <v>46211.5125</v>
      </c>
      <c r="G5688" s="2" t="s">
        <v>11403</v>
      </c>
      <c r="H5688" s="4" t="n">
        <v>0.7088</v>
      </c>
      <c r="I5688" s="2" t="s">
        <v>23</v>
      </c>
      <c r="J5688" s="2" t="s">
        <v>19</v>
      </c>
      <c r="K5688" s="2" t="n">
        <v>2</v>
      </c>
      <c r="L5688" s="2" t="n">
        <v>1</v>
      </c>
      <c r="M5688" s="2" t="n">
        <v>0</v>
      </c>
    </row>
    <row r="5689" customFormat="false" ht="15" hidden="false" customHeight="false" outlineLevel="0" collapsed="false">
      <c r="A5689" s="2" t="s">
        <v>11559</v>
      </c>
      <c r="B5689" s="2" t="s">
        <v>11560</v>
      </c>
      <c r="C5689" s="2" t="n">
        <v>4</v>
      </c>
      <c r="D5689" s="2" t="s">
        <v>52</v>
      </c>
      <c r="E5689" s="2" t="s">
        <v>8083</v>
      </c>
      <c r="F5689" s="3" t="n">
        <v>46211.5381944445</v>
      </c>
      <c r="G5689" s="2" t="s">
        <v>11403</v>
      </c>
      <c r="H5689" s="4" t="n">
        <v>0.6369</v>
      </c>
      <c r="I5689" s="2" t="s">
        <v>23</v>
      </c>
      <c r="J5689" s="2" t="s">
        <v>19</v>
      </c>
      <c r="K5689" s="2" t="n">
        <v>1</v>
      </c>
      <c r="L5689" s="2" t="n">
        <v>0</v>
      </c>
      <c r="M5689" s="2" t="n">
        <v>0</v>
      </c>
    </row>
    <row r="5690" customFormat="false" ht="15" hidden="false" customHeight="false" outlineLevel="0" collapsed="false">
      <c r="A5690" s="2" t="s">
        <v>11561</v>
      </c>
      <c r="B5690" s="2" t="s">
        <v>11562</v>
      </c>
      <c r="C5690" s="2" t="n">
        <v>5</v>
      </c>
      <c r="D5690" s="2" t="s">
        <v>40</v>
      </c>
      <c r="E5690" s="2" t="s">
        <v>8083</v>
      </c>
      <c r="F5690" s="3" t="n">
        <v>46211.6527777778</v>
      </c>
      <c r="G5690" s="2" t="s">
        <v>11403</v>
      </c>
      <c r="H5690" s="4" t="n">
        <v>0.4019</v>
      </c>
      <c r="I5690" s="2" t="s">
        <v>23</v>
      </c>
      <c r="J5690" s="2" t="s">
        <v>33</v>
      </c>
      <c r="K5690" s="2" t="n">
        <v>3</v>
      </c>
      <c r="L5690" s="2" t="n">
        <v>0</v>
      </c>
      <c r="M5690" s="2" t="n">
        <v>0</v>
      </c>
    </row>
    <row r="5691" customFormat="false" ht="15" hidden="false" customHeight="false" outlineLevel="0" collapsed="false">
      <c r="A5691" s="2" t="s">
        <v>11563</v>
      </c>
      <c r="B5691" s="2" t="s">
        <v>11564</v>
      </c>
      <c r="C5691" s="2" t="n">
        <v>5</v>
      </c>
      <c r="D5691" s="2" t="s">
        <v>15</v>
      </c>
      <c r="E5691" s="2" t="s">
        <v>8083</v>
      </c>
      <c r="F5691" s="3" t="n">
        <v>46211.8569444444</v>
      </c>
      <c r="G5691" s="2" t="s">
        <v>11403</v>
      </c>
      <c r="H5691" s="4" t="n">
        <v>0</v>
      </c>
      <c r="I5691" s="2" t="s">
        <v>18</v>
      </c>
      <c r="J5691" s="2" t="s">
        <v>19</v>
      </c>
      <c r="K5691" s="2" t="n">
        <v>1</v>
      </c>
      <c r="L5691" s="2" t="n">
        <v>0</v>
      </c>
      <c r="M5691" s="2" t="n">
        <v>0</v>
      </c>
    </row>
    <row r="5692" customFormat="false" ht="15" hidden="false" customHeight="false" outlineLevel="0" collapsed="false">
      <c r="A5692" s="2" t="s">
        <v>11565</v>
      </c>
      <c r="B5692" s="2" t="s">
        <v>11566</v>
      </c>
      <c r="C5692" s="2" t="n">
        <v>5</v>
      </c>
      <c r="D5692" s="2" t="s">
        <v>62</v>
      </c>
      <c r="E5692" s="2" t="s">
        <v>8083</v>
      </c>
      <c r="F5692" s="3" t="n">
        <v>46211.9041666667</v>
      </c>
      <c r="G5692" s="2" t="s">
        <v>11403</v>
      </c>
      <c r="H5692" s="4" t="n">
        <v>0.7088</v>
      </c>
      <c r="I5692" s="2" t="s">
        <v>23</v>
      </c>
      <c r="J5692" s="2" t="s">
        <v>19</v>
      </c>
      <c r="K5692" s="2" t="n">
        <v>0</v>
      </c>
      <c r="L5692" s="2" t="n">
        <v>0</v>
      </c>
      <c r="M5692" s="2" t="n">
        <v>0</v>
      </c>
    </row>
    <row r="5693" customFormat="false" ht="15" hidden="false" customHeight="false" outlineLevel="0" collapsed="false">
      <c r="A5693" s="2" t="s">
        <v>11567</v>
      </c>
      <c r="B5693" s="2" t="s">
        <v>11568</v>
      </c>
      <c r="C5693" s="2" t="n">
        <v>3</v>
      </c>
      <c r="D5693" s="2" t="s">
        <v>2743</v>
      </c>
      <c r="E5693" s="2" t="s">
        <v>8083</v>
      </c>
      <c r="F5693" s="3" t="n">
        <v>46211.9763888889</v>
      </c>
      <c r="G5693" s="2" t="s">
        <v>11403</v>
      </c>
      <c r="H5693" s="4" t="n">
        <v>0.3809</v>
      </c>
      <c r="I5693" s="2" t="s">
        <v>23</v>
      </c>
      <c r="J5693" s="2" t="s">
        <v>19</v>
      </c>
      <c r="K5693" s="2" t="n">
        <v>8</v>
      </c>
      <c r="L5693" s="2" t="n">
        <v>0</v>
      </c>
      <c r="M5693" s="2" t="n">
        <v>0</v>
      </c>
    </row>
    <row r="5694" customFormat="false" ht="15" hidden="false" customHeight="false" outlineLevel="0" collapsed="false">
      <c r="A5694" s="2" t="s">
        <v>11569</v>
      </c>
      <c r="B5694" s="2" t="s">
        <v>11570</v>
      </c>
      <c r="C5694" s="2" t="n">
        <v>5</v>
      </c>
      <c r="D5694" s="2" t="s">
        <v>90</v>
      </c>
      <c r="E5694" s="2" t="s">
        <v>8083</v>
      </c>
      <c r="F5694" s="3" t="n">
        <v>46212.0909722222</v>
      </c>
      <c r="G5694" s="2" t="s">
        <v>11403</v>
      </c>
      <c r="H5694" s="4" t="n">
        <v>0.6249</v>
      </c>
      <c r="I5694" s="2" t="s">
        <v>23</v>
      </c>
      <c r="J5694" s="2" t="s">
        <v>37</v>
      </c>
      <c r="K5694" s="2" t="n">
        <v>6</v>
      </c>
      <c r="L5694" s="2" t="n">
        <v>0</v>
      </c>
      <c r="M5694" s="2" t="n">
        <v>0</v>
      </c>
    </row>
    <row r="5695" customFormat="false" ht="15" hidden="false" customHeight="false" outlineLevel="0" collapsed="false">
      <c r="A5695" s="2" t="s">
        <v>11571</v>
      </c>
      <c r="B5695" s="2" t="s">
        <v>11572</v>
      </c>
      <c r="C5695" s="2" t="n">
        <v>4</v>
      </c>
      <c r="D5695" s="2" t="s">
        <v>1797</v>
      </c>
      <c r="E5695" s="2" t="s">
        <v>8083</v>
      </c>
      <c r="F5695" s="3" t="n">
        <v>46212.2125</v>
      </c>
      <c r="G5695" s="2" t="s">
        <v>11403</v>
      </c>
      <c r="H5695" s="4" t="n">
        <v>0.4019</v>
      </c>
      <c r="I5695" s="2" t="s">
        <v>23</v>
      </c>
      <c r="J5695" s="2" t="s">
        <v>33</v>
      </c>
      <c r="K5695" s="2" t="n">
        <v>3</v>
      </c>
      <c r="L5695" s="2" t="n">
        <v>0</v>
      </c>
      <c r="M5695" s="2" t="n">
        <v>0</v>
      </c>
    </row>
    <row r="5696" customFormat="false" ht="15" hidden="false" customHeight="false" outlineLevel="0" collapsed="false">
      <c r="A5696" s="2" t="s">
        <v>11573</v>
      </c>
      <c r="B5696" s="2" t="s">
        <v>11574</v>
      </c>
      <c r="C5696" s="2" t="n">
        <v>1</v>
      </c>
      <c r="D5696" s="2" t="s">
        <v>168</v>
      </c>
      <c r="E5696" s="2" t="s">
        <v>8083</v>
      </c>
      <c r="F5696" s="3" t="n">
        <v>46212.2298611111</v>
      </c>
      <c r="G5696" s="2" t="s">
        <v>11403</v>
      </c>
      <c r="H5696" s="4" t="n">
        <v>-0.1027</v>
      </c>
      <c r="I5696" s="2" t="s">
        <v>84</v>
      </c>
      <c r="J5696" s="2" t="s">
        <v>33</v>
      </c>
      <c r="K5696" s="2" t="n">
        <v>0</v>
      </c>
      <c r="L5696" s="2" t="n">
        <v>1</v>
      </c>
      <c r="M5696" s="2" t="n">
        <v>0</v>
      </c>
    </row>
    <row r="5697" customFormat="false" ht="15" hidden="false" customHeight="false" outlineLevel="0" collapsed="false">
      <c r="A5697" s="2" t="s">
        <v>11575</v>
      </c>
      <c r="B5697" s="2" t="s">
        <v>11576</v>
      </c>
      <c r="C5697" s="2" t="n">
        <v>4</v>
      </c>
      <c r="D5697" s="2" t="s">
        <v>11577</v>
      </c>
      <c r="E5697" s="2" t="s">
        <v>8083</v>
      </c>
      <c r="F5697" s="3" t="n">
        <v>46212.3375</v>
      </c>
      <c r="G5697" s="2" t="s">
        <v>11403</v>
      </c>
      <c r="H5697" s="4" t="n">
        <v>-0.3089</v>
      </c>
      <c r="I5697" s="2" t="s">
        <v>84</v>
      </c>
      <c r="J5697" s="2" t="s">
        <v>19</v>
      </c>
      <c r="K5697" s="2" t="n">
        <v>0</v>
      </c>
      <c r="L5697" s="2" t="n">
        <v>0</v>
      </c>
      <c r="M5697" s="2" t="n">
        <v>0</v>
      </c>
    </row>
    <row r="5698" customFormat="false" ht="15" hidden="false" customHeight="false" outlineLevel="0" collapsed="false">
      <c r="A5698" s="2" t="s">
        <v>11578</v>
      </c>
      <c r="B5698" s="2" t="s">
        <v>11579</v>
      </c>
      <c r="C5698" s="2" t="n">
        <v>4</v>
      </c>
      <c r="D5698" s="2" t="s">
        <v>1878</v>
      </c>
      <c r="E5698" s="2" t="s">
        <v>8083</v>
      </c>
      <c r="F5698" s="3" t="n">
        <v>46212.3673611111</v>
      </c>
      <c r="G5698" s="2" t="s">
        <v>11403</v>
      </c>
      <c r="H5698" s="4" t="n">
        <v>0.9516</v>
      </c>
      <c r="I5698" s="2" t="s">
        <v>23</v>
      </c>
      <c r="J5698" s="2" t="s">
        <v>37</v>
      </c>
      <c r="K5698" s="2" t="n">
        <v>3</v>
      </c>
      <c r="L5698" s="2" t="n">
        <v>0</v>
      </c>
      <c r="M5698" s="2" t="n">
        <v>0</v>
      </c>
    </row>
    <row r="5699" customFormat="false" ht="15" hidden="false" customHeight="false" outlineLevel="0" collapsed="false">
      <c r="A5699" s="2" t="s">
        <v>11580</v>
      </c>
      <c r="B5699" s="2" t="s">
        <v>11581</v>
      </c>
      <c r="C5699" s="2" t="n">
        <v>3</v>
      </c>
      <c r="D5699" s="2" t="s">
        <v>231</v>
      </c>
      <c r="E5699" s="2" t="s">
        <v>8083</v>
      </c>
      <c r="F5699" s="3" t="n">
        <v>46212.4173611111</v>
      </c>
      <c r="G5699" s="2" t="s">
        <v>11403</v>
      </c>
      <c r="H5699" s="4" t="n">
        <v>-0.3593</v>
      </c>
      <c r="I5699" s="2" t="s">
        <v>84</v>
      </c>
      <c r="J5699" s="2" t="s">
        <v>33</v>
      </c>
      <c r="K5699" s="2" t="n">
        <v>0</v>
      </c>
      <c r="L5699" s="2" t="n">
        <v>0</v>
      </c>
      <c r="M5699" s="2" t="n">
        <v>0</v>
      </c>
    </row>
    <row r="5700" customFormat="false" ht="15" hidden="false" customHeight="false" outlineLevel="0" collapsed="false">
      <c r="A5700" s="2" t="s">
        <v>11582</v>
      </c>
      <c r="B5700" s="2" t="s">
        <v>11583</v>
      </c>
      <c r="C5700" s="2" t="n">
        <v>2</v>
      </c>
      <c r="D5700" s="2" t="s">
        <v>482</v>
      </c>
      <c r="E5700" s="2" t="s">
        <v>8083</v>
      </c>
      <c r="F5700" s="3" t="n">
        <v>46212.4604166667</v>
      </c>
      <c r="G5700" s="2" t="s">
        <v>11403</v>
      </c>
      <c r="H5700" s="4" t="n">
        <v>-0.6808</v>
      </c>
      <c r="I5700" s="2" t="s">
        <v>84</v>
      </c>
      <c r="J5700" s="2" t="s">
        <v>110</v>
      </c>
      <c r="K5700" s="2" t="n">
        <v>2</v>
      </c>
      <c r="L5700" s="2" t="n">
        <v>0</v>
      </c>
      <c r="M5700" s="2" t="n">
        <v>0</v>
      </c>
    </row>
    <row r="5701" customFormat="false" ht="15" hidden="false" customHeight="false" outlineLevel="0" collapsed="false">
      <c r="A5701" s="2" t="s">
        <v>11584</v>
      </c>
      <c r="B5701" s="2" t="s">
        <v>11585</v>
      </c>
      <c r="C5701" s="2" t="n">
        <v>1</v>
      </c>
      <c r="D5701" s="2" t="s">
        <v>498</v>
      </c>
      <c r="E5701" s="2" t="s">
        <v>8083</v>
      </c>
      <c r="F5701" s="3" t="n">
        <v>46212.5541666667</v>
      </c>
      <c r="G5701" s="2" t="s">
        <v>11403</v>
      </c>
      <c r="H5701" s="4" t="n">
        <v>0</v>
      </c>
      <c r="I5701" s="2" t="s">
        <v>18</v>
      </c>
      <c r="J5701" s="2" t="s">
        <v>165</v>
      </c>
      <c r="K5701" s="2" t="n">
        <v>7</v>
      </c>
      <c r="L5701" s="2" t="n">
        <v>1</v>
      </c>
      <c r="M5701" s="2" t="n">
        <v>0</v>
      </c>
    </row>
    <row r="5702" customFormat="false" ht="15" hidden="false" customHeight="false" outlineLevel="0" collapsed="false">
      <c r="A5702" s="2" t="s">
        <v>11586</v>
      </c>
      <c r="B5702" s="2" t="s">
        <v>11587</v>
      </c>
      <c r="C5702" s="2" t="n">
        <v>5</v>
      </c>
      <c r="D5702" s="2" t="s">
        <v>52</v>
      </c>
      <c r="E5702" s="2" t="s">
        <v>8083</v>
      </c>
      <c r="F5702" s="3" t="n">
        <v>46212.5895833333</v>
      </c>
      <c r="G5702" s="2" t="s">
        <v>11403</v>
      </c>
      <c r="H5702" s="4" t="n">
        <v>0.6369</v>
      </c>
      <c r="I5702" s="2" t="s">
        <v>23</v>
      </c>
      <c r="J5702" s="2" t="s">
        <v>19</v>
      </c>
      <c r="K5702" s="2" t="n">
        <v>5</v>
      </c>
      <c r="L5702" s="2" t="n">
        <v>0</v>
      </c>
      <c r="M5702" s="2" t="n">
        <v>0</v>
      </c>
    </row>
    <row r="5703" customFormat="false" ht="15" hidden="false" customHeight="false" outlineLevel="0" collapsed="false">
      <c r="A5703" s="2" t="s">
        <v>11588</v>
      </c>
      <c r="B5703" s="2" t="s">
        <v>11589</v>
      </c>
      <c r="C5703" s="2" t="n">
        <v>3</v>
      </c>
      <c r="D5703" s="2" t="s">
        <v>99</v>
      </c>
      <c r="E5703" s="2" t="s">
        <v>8083</v>
      </c>
      <c r="F5703" s="3" t="n">
        <v>46212.9861111111</v>
      </c>
      <c r="G5703" s="2" t="s">
        <v>11403</v>
      </c>
      <c r="H5703" s="4" t="n">
        <v>-0.3089</v>
      </c>
      <c r="I5703" s="2" t="s">
        <v>84</v>
      </c>
      <c r="J5703" s="2" t="s">
        <v>19</v>
      </c>
      <c r="K5703" s="2" t="n">
        <v>6</v>
      </c>
      <c r="L5703" s="2" t="n">
        <v>0</v>
      </c>
      <c r="M5703" s="2" t="n">
        <v>0</v>
      </c>
    </row>
    <row r="5704" customFormat="false" ht="15" hidden="false" customHeight="false" outlineLevel="0" collapsed="false">
      <c r="A5704" s="2" t="s">
        <v>11590</v>
      </c>
      <c r="B5704" s="2" t="s">
        <v>11591</v>
      </c>
      <c r="C5704" s="2" t="n">
        <v>4</v>
      </c>
      <c r="D5704" s="2" t="s">
        <v>47</v>
      </c>
      <c r="E5704" s="2" t="s">
        <v>8083</v>
      </c>
      <c r="F5704" s="3" t="n">
        <v>46213.0125</v>
      </c>
      <c r="G5704" s="2" t="s">
        <v>11403</v>
      </c>
      <c r="H5704" s="4" t="n">
        <v>0.3089</v>
      </c>
      <c r="I5704" s="2" t="s">
        <v>23</v>
      </c>
      <c r="J5704" s="2" t="s">
        <v>19</v>
      </c>
      <c r="K5704" s="2" t="n">
        <v>10</v>
      </c>
      <c r="L5704" s="2" t="n">
        <v>0</v>
      </c>
      <c r="M5704" s="2" t="n">
        <v>0</v>
      </c>
    </row>
    <row r="5705" customFormat="false" ht="15" hidden="false" customHeight="false" outlineLevel="0" collapsed="false">
      <c r="A5705" s="2" t="s">
        <v>11592</v>
      </c>
      <c r="B5705" s="2" t="s">
        <v>11593</v>
      </c>
      <c r="C5705" s="2" t="n">
        <v>4</v>
      </c>
      <c r="D5705" s="2" t="s">
        <v>674</v>
      </c>
      <c r="E5705" s="2" t="s">
        <v>8083</v>
      </c>
      <c r="F5705" s="3" t="n">
        <v>46213.0409722222</v>
      </c>
      <c r="G5705" s="2" t="s">
        <v>11403</v>
      </c>
      <c r="H5705" s="4" t="n">
        <v>0.9481</v>
      </c>
      <c r="I5705" s="2" t="s">
        <v>23</v>
      </c>
      <c r="J5705" s="2" t="s">
        <v>37</v>
      </c>
      <c r="K5705" s="2" t="n">
        <v>1</v>
      </c>
      <c r="L5705" s="2" t="n">
        <v>0</v>
      </c>
      <c r="M5705" s="2" t="n">
        <v>0</v>
      </c>
    </row>
    <row r="5706" customFormat="false" ht="15" hidden="false" customHeight="false" outlineLevel="0" collapsed="false">
      <c r="A5706" s="2" t="s">
        <v>11594</v>
      </c>
      <c r="B5706" s="2" t="s">
        <v>11595</v>
      </c>
      <c r="C5706" s="2" t="n">
        <v>4</v>
      </c>
      <c r="D5706" s="2" t="s">
        <v>301</v>
      </c>
      <c r="E5706" s="2" t="s">
        <v>8083</v>
      </c>
      <c r="F5706" s="3" t="n">
        <v>46213.1604166667</v>
      </c>
      <c r="G5706" s="2" t="s">
        <v>11403</v>
      </c>
      <c r="H5706" s="4" t="n">
        <v>0.2263</v>
      </c>
      <c r="I5706" s="2" t="s">
        <v>23</v>
      </c>
      <c r="J5706" s="2" t="s">
        <v>19</v>
      </c>
      <c r="K5706" s="2" t="n">
        <v>3</v>
      </c>
      <c r="L5706" s="2" t="n">
        <v>0</v>
      </c>
      <c r="M5706" s="2" t="n">
        <v>0</v>
      </c>
    </row>
    <row r="5707" customFormat="false" ht="15" hidden="false" customHeight="false" outlineLevel="0" collapsed="false">
      <c r="A5707" s="2" t="s">
        <v>11596</v>
      </c>
      <c r="B5707" s="2" t="s">
        <v>11597</v>
      </c>
      <c r="C5707" s="2" t="n">
        <v>4</v>
      </c>
      <c r="D5707" s="2" t="s">
        <v>15</v>
      </c>
      <c r="E5707" s="2" t="s">
        <v>8083</v>
      </c>
      <c r="F5707" s="3" t="n">
        <v>46213.3034722222</v>
      </c>
      <c r="G5707" s="2" t="s">
        <v>11403</v>
      </c>
      <c r="H5707" s="4" t="n">
        <v>0</v>
      </c>
      <c r="I5707" s="2" t="s">
        <v>18</v>
      </c>
      <c r="J5707" s="2" t="s">
        <v>19</v>
      </c>
      <c r="K5707" s="2" t="n">
        <v>6</v>
      </c>
      <c r="L5707" s="2" t="n">
        <v>0</v>
      </c>
      <c r="M5707" s="2" t="n">
        <v>0</v>
      </c>
    </row>
    <row r="5708" customFormat="false" ht="15" hidden="false" customHeight="false" outlineLevel="0" collapsed="false">
      <c r="A5708" s="2" t="s">
        <v>11598</v>
      </c>
      <c r="B5708" s="2" t="s">
        <v>11599</v>
      </c>
      <c r="C5708" s="2" t="n">
        <v>3</v>
      </c>
      <c r="D5708" s="2" t="s">
        <v>87</v>
      </c>
      <c r="E5708" s="2" t="s">
        <v>8083</v>
      </c>
      <c r="F5708" s="3" t="n">
        <v>46213.4777777778</v>
      </c>
      <c r="G5708" s="2" t="s">
        <v>11403</v>
      </c>
      <c r="H5708" s="4" t="n">
        <v>0</v>
      </c>
      <c r="I5708" s="2" t="s">
        <v>18</v>
      </c>
      <c r="J5708" s="2" t="s">
        <v>19</v>
      </c>
      <c r="K5708" s="2" t="n">
        <v>13</v>
      </c>
      <c r="L5708" s="2" t="n">
        <v>0</v>
      </c>
      <c r="M5708" s="2" t="n">
        <v>0</v>
      </c>
    </row>
    <row r="5709" customFormat="false" ht="15" hidden="false" customHeight="false" outlineLevel="0" collapsed="false">
      <c r="A5709" s="2" t="s">
        <v>11600</v>
      </c>
      <c r="B5709" s="2" t="s">
        <v>11601</v>
      </c>
      <c r="C5709" s="2" t="n">
        <v>4</v>
      </c>
      <c r="D5709" s="2" t="s">
        <v>62</v>
      </c>
      <c r="E5709" s="2" t="s">
        <v>8083</v>
      </c>
      <c r="F5709" s="3" t="n">
        <v>46213.7083333333</v>
      </c>
      <c r="G5709" s="2" t="s">
        <v>11403</v>
      </c>
      <c r="H5709" s="4" t="n">
        <v>0.7088</v>
      </c>
      <c r="I5709" s="2" t="s">
        <v>23</v>
      </c>
      <c r="J5709" s="2" t="s">
        <v>19</v>
      </c>
      <c r="K5709" s="2" t="n">
        <v>0</v>
      </c>
      <c r="L5709" s="2" t="n">
        <v>0</v>
      </c>
      <c r="M5709" s="2" t="n">
        <v>0</v>
      </c>
    </row>
    <row r="5710" customFormat="false" ht="15" hidden="false" customHeight="false" outlineLevel="0" collapsed="false">
      <c r="A5710" s="2" t="s">
        <v>11602</v>
      </c>
      <c r="B5710" s="2" t="s">
        <v>11603</v>
      </c>
      <c r="C5710" s="2" t="n">
        <v>3</v>
      </c>
      <c r="D5710" s="2" t="s">
        <v>710</v>
      </c>
      <c r="E5710" s="2" t="s">
        <v>8083</v>
      </c>
      <c r="F5710" s="3" t="n">
        <v>46213.9180555556</v>
      </c>
      <c r="G5710" s="2" t="s">
        <v>11403</v>
      </c>
      <c r="H5710" s="4" t="n">
        <v>0.5719</v>
      </c>
      <c r="I5710" s="2" t="s">
        <v>23</v>
      </c>
      <c r="J5710" s="2" t="s">
        <v>37</v>
      </c>
      <c r="K5710" s="2" t="n">
        <v>0</v>
      </c>
      <c r="L5710" s="2" t="n">
        <v>0</v>
      </c>
      <c r="M5710" s="2" t="n">
        <v>0</v>
      </c>
    </row>
    <row r="5711" customFormat="false" ht="15" hidden="false" customHeight="false" outlineLevel="0" collapsed="false">
      <c r="A5711" s="2" t="s">
        <v>11604</v>
      </c>
      <c r="B5711" s="2" t="s">
        <v>11605</v>
      </c>
      <c r="C5711" s="2" t="n">
        <v>5</v>
      </c>
      <c r="D5711" s="2" t="s">
        <v>127</v>
      </c>
      <c r="E5711" s="2" t="s">
        <v>8083</v>
      </c>
      <c r="F5711" s="3" t="n">
        <v>46214.1430555556</v>
      </c>
      <c r="G5711" s="2" t="s">
        <v>11403</v>
      </c>
      <c r="H5711" s="4" t="n">
        <v>0.9359</v>
      </c>
      <c r="I5711" s="2" t="s">
        <v>23</v>
      </c>
      <c r="J5711" s="2" t="s">
        <v>37</v>
      </c>
      <c r="K5711" s="2" t="n">
        <v>5</v>
      </c>
      <c r="L5711" s="2" t="n">
        <v>0</v>
      </c>
      <c r="M5711" s="2" t="n">
        <v>0</v>
      </c>
    </row>
    <row r="5712" customFormat="false" ht="15" hidden="false" customHeight="false" outlineLevel="0" collapsed="false">
      <c r="A5712" s="2" t="s">
        <v>11606</v>
      </c>
      <c r="B5712" s="2" t="s">
        <v>11607</v>
      </c>
      <c r="C5712" s="2" t="n">
        <v>1</v>
      </c>
      <c r="D5712" s="2" t="s">
        <v>402</v>
      </c>
      <c r="E5712" s="2" t="s">
        <v>8083</v>
      </c>
      <c r="F5712" s="3" t="n">
        <v>46214.2173611111</v>
      </c>
      <c r="G5712" s="2" t="s">
        <v>11403</v>
      </c>
      <c r="H5712" s="4" t="n">
        <v>0</v>
      </c>
      <c r="I5712" s="2" t="s">
        <v>18</v>
      </c>
      <c r="J5712" s="2" t="s">
        <v>59</v>
      </c>
      <c r="K5712" s="2" t="n">
        <v>3</v>
      </c>
      <c r="L5712" s="2" t="n">
        <v>1</v>
      </c>
      <c r="M5712" s="2" t="n">
        <v>0</v>
      </c>
    </row>
    <row r="5713" customFormat="false" ht="15" hidden="false" customHeight="false" outlineLevel="0" collapsed="false">
      <c r="A5713" s="2" t="s">
        <v>11608</v>
      </c>
      <c r="B5713" s="2" t="s">
        <v>11609</v>
      </c>
      <c r="C5713" s="2" t="n">
        <v>5</v>
      </c>
      <c r="D5713" s="2" t="s">
        <v>1212</v>
      </c>
      <c r="E5713" s="2" t="s">
        <v>8083</v>
      </c>
      <c r="F5713" s="3" t="n">
        <v>46214.2722222222</v>
      </c>
      <c r="G5713" s="2" t="s">
        <v>11403</v>
      </c>
      <c r="H5713" s="4" t="n">
        <v>0.8777</v>
      </c>
      <c r="I5713" s="2" t="s">
        <v>23</v>
      </c>
      <c r="J5713" s="2" t="s">
        <v>19</v>
      </c>
      <c r="K5713" s="2" t="n">
        <v>1</v>
      </c>
      <c r="L5713" s="2" t="n">
        <v>0</v>
      </c>
      <c r="M5713" s="2" t="n">
        <v>0</v>
      </c>
    </row>
    <row r="5714" customFormat="false" ht="15" hidden="false" customHeight="false" outlineLevel="0" collapsed="false">
      <c r="A5714" s="2" t="s">
        <v>11610</v>
      </c>
      <c r="B5714" s="2" t="s">
        <v>11611</v>
      </c>
      <c r="C5714" s="2" t="n">
        <v>5</v>
      </c>
      <c r="D5714" s="2" t="s">
        <v>127</v>
      </c>
      <c r="E5714" s="2" t="s">
        <v>8083</v>
      </c>
      <c r="F5714" s="3" t="n">
        <v>46214.5888888889</v>
      </c>
      <c r="G5714" s="2" t="s">
        <v>11403</v>
      </c>
      <c r="H5714" s="4" t="n">
        <v>0.9359</v>
      </c>
      <c r="I5714" s="2" t="s">
        <v>23</v>
      </c>
      <c r="J5714" s="2" t="s">
        <v>37</v>
      </c>
      <c r="K5714" s="2" t="n">
        <v>5</v>
      </c>
      <c r="L5714" s="2" t="n">
        <v>0</v>
      </c>
      <c r="M5714" s="2" t="n">
        <v>0</v>
      </c>
    </row>
    <row r="5715" customFormat="false" ht="15" hidden="false" customHeight="false" outlineLevel="0" collapsed="false">
      <c r="A5715" s="2" t="s">
        <v>11612</v>
      </c>
      <c r="B5715" s="2" t="s">
        <v>11613</v>
      </c>
      <c r="C5715" s="2" t="n">
        <v>4</v>
      </c>
      <c r="D5715" s="2" t="s">
        <v>87</v>
      </c>
      <c r="E5715" s="2" t="s">
        <v>8083</v>
      </c>
      <c r="F5715" s="3" t="n">
        <v>46214.6708333333</v>
      </c>
      <c r="G5715" s="2" t="s">
        <v>11403</v>
      </c>
      <c r="H5715" s="4" t="n">
        <v>0</v>
      </c>
      <c r="I5715" s="2" t="s">
        <v>18</v>
      </c>
      <c r="J5715" s="2" t="s">
        <v>19</v>
      </c>
      <c r="K5715" s="2" t="n">
        <v>3</v>
      </c>
      <c r="L5715" s="2" t="n">
        <v>0</v>
      </c>
      <c r="M5715" s="2" t="n">
        <v>0</v>
      </c>
    </row>
    <row r="5716" customFormat="false" ht="15" hidden="false" customHeight="false" outlineLevel="0" collapsed="false">
      <c r="A5716" s="2" t="s">
        <v>11614</v>
      </c>
      <c r="B5716" s="2" t="s">
        <v>2298</v>
      </c>
      <c r="C5716" s="2" t="n">
        <v>3</v>
      </c>
      <c r="D5716" s="2" t="s">
        <v>99</v>
      </c>
      <c r="E5716" s="2" t="s">
        <v>8083</v>
      </c>
      <c r="F5716" s="3" t="n">
        <v>46214.8013888889</v>
      </c>
      <c r="G5716" s="2" t="s">
        <v>11403</v>
      </c>
      <c r="H5716" s="4" t="n">
        <v>-0.3089</v>
      </c>
      <c r="I5716" s="2" t="s">
        <v>84</v>
      </c>
      <c r="J5716" s="2" t="s">
        <v>19</v>
      </c>
      <c r="K5716" s="2" t="n">
        <v>8</v>
      </c>
      <c r="L5716" s="2" t="n">
        <v>0</v>
      </c>
      <c r="M5716" s="2" t="n">
        <v>0</v>
      </c>
    </row>
    <row r="5717" customFormat="false" ht="15" hidden="false" customHeight="false" outlineLevel="0" collapsed="false">
      <c r="A5717" s="2" t="s">
        <v>11615</v>
      </c>
      <c r="B5717" s="2" t="s">
        <v>11616</v>
      </c>
      <c r="C5717" s="2" t="n">
        <v>5</v>
      </c>
      <c r="D5717" s="2" t="s">
        <v>52</v>
      </c>
      <c r="E5717" s="2" t="s">
        <v>8083</v>
      </c>
      <c r="F5717" s="3" t="n">
        <v>46215.0298611111</v>
      </c>
      <c r="G5717" s="2" t="s">
        <v>11403</v>
      </c>
      <c r="H5717" s="4" t="n">
        <v>0.6369</v>
      </c>
      <c r="I5717" s="2" t="s">
        <v>23</v>
      </c>
      <c r="J5717" s="2" t="s">
        <v>19</v>
      </c>
      <c r="K5717" s="2" t="n">
        <v>0</v>
      </c>
      <c r="L5717" s="2" t="n">
        <v>0</v>
      </c>
      <c r="M5717" s="2" t="n">
        <v>0</v>
      </c>
    </row>
    <row r="5718" customFormat="false" ht="15" hidden="false" customHeight="false" outlineLevel="0" collapsed="false">
      <c r="A5718" s="2" t="s">
        <v>11617</v>
      </c>
      <c r="B5718" s="2" t="s">
        <v>11618</v>
      </c>
      <c r="C5718" s="2" t="n">
        <v>5</v>
      </c>
      <c r="D5718" s="2" t="s">
        <v>62</v>
      </c>
      <c r="E5718" s="2" t="s">
        <v>8083</v>
      </c>
      <c r="F5718" s="3" t="n">
        <v>46215.1138888889</v>
      </c>
      <c r="G5718" s="2" t="s">
        <v>11403</v>
      </c>
      <c r="H5718" s="4" t="n">
        <v>0.7088</v>
      </c>
      <c r="I5718" s="2" t="s">
        <v>23</v>
      </c>
      <c r="J5718" s="2" t="s">
        <v>19</v>
      </c>
      <c r="K5718" s="2" t="n">
        <v>9</v>
      </c>
      <c r="L5718" s="2" t="n">
        <v>0</v>
      </c>
      <c r="M5718" s="2" t="n">
        <v>0</v>
      </c>
    </row>
    <row r="5719" customFormat="false" ht="15" hidden="false" customHeight="false" outlineLevel="0" collapsed="false">
      <c r="A5719" s="2" t="s">
        <v>11619</v>
      </c>
      <c r="B5719" s="2" t="s">
        <v>11620</v>
      </c>
      <c r="C5719" s="2" t="n">
        <v>5</v>
      </c>
      <c r="D5719" s="2" t="s">
        <v>40</v>
      </c>
      <c r="E5719" s="2" t="s">
        <v>8083</v>
      </c>
      <c r="F5719" s="3" t="n">
        <v>46215.1555555556</v>
      </c>
      <c r="G5719" s="2" t="s">
        <v>11403</v>
      </c>
      <c r="H5719" s="4" t="n">
        <v>0.4019</v>
      </c>
      <c r="I5719" s="2" t="s">
        <v>23</v>
      </c>
      <c r="J5719" s="2" t="s">
        <v>33</v>
      </c>
      <c r="K5719" s="2" t="n">
        <v>4</v>
      </c>
      <c r="L5719" s="2" t="n">
        <v>0</v>
      </c>
      <c r="M5719" s="2" t="n">
        <v>0</v>
      </c>
    </row>
    <row r="5720" customFormat="false" ht="15" hidden="false" customHeight="false" outlineLevel="0" collapsed="false">
      <c r="A5720" s="2" t="s">
        <v>11621</v>
      </c>
      <c r="B5720" s="2" t="s">
        <v>11622</v>
      </c>
      <c r="C5720" s="2" t="n">
        <v>5</v>
      </c>
      <c r="D5720" s="2" t="s">
        <v>62</v>
      </c>
      <c r="E5720" s="2" t="s">
        <v>8083</v>
      </c>
      <c r="F5720" s="3" t="n">
        <v>46215.6534722222</v>
      </c>
      <c r="G5720" s="2" t="s">
        <v>11403</v>
      </c>
      <c r="H5720" s="4" t="n">
        <v>0.7088</v>
      </c>
      <c r="I5720" s="2" t="s">
        <v>23</v>
      </c>
      <c r="J5720" s="2" t="s">
        <v>19</v>
      </c>
      <c r="K5720" s="2" t="n">
        <v>3</v>
      </c>
      <c r="L5720" s="2" t="n">
        <v>0</v>
      </c>
      <c r="M5720" s="2" t="n">
        <v>0</v>
      </c>
    </row>
    <row r="5721" customFormat="false" ht="15" hidden="false" customHeight="false" outlineLevel="0" collapsed="false">
      <c r="A5721" s="2" t="s">
        <v>11623</v>
      </c>
      <c r="B5721" s="2" t="s">
        <v>3923</v>
      </c>
      <c r="C5721" s="2" t="n">
        <v>5</v>
      </c>
      <c r="D5721" s="2" t="s">
        <v>62</v>
      </c>
      <c r="E5721" s="2" t="s">
        <v>8083</v>
      </c>
      <c r="F5721" s="3" t="n">
        <v>46215.6763888889</v>
      </c>
      <c r="G5721" s="2" t="s">
        <v>11403</v>
      </c>
      <c r="H5721" s="4" t="n">
        <v>0.7088</v>
      </c>
      <c r="I5721" s="2" t="s">
        <v>23</v>
      </c>
      <c r="J5721" s="2" t="s">
        <v>19</v>
      </c>
      <c r="K5721" s="2" t="n">
        <v>11</v>
      </c>
      <c r="L5721" s="2" t="n">
        <v>0</v>
      </c>
      <c r="M5721" s="2" t="n">
        <v>0</v>
      </c>
    </row>
    <row r="5722" customFormat="false" ht="15" hidden="false" customHeight="false" outlineLevel="0" collapsed="false">
      <c r="A5722" s="2" t="s">
        <v>11624</v>
      </c>
      <c r="B5722" s="2" t="s">
        <v>11625</v>
      </c>
      <c r="C5722" s="2" t="n">
        <v>5</v>
      </c>
      <c r="D5722" s="2" t="s">
        <v>222</v>
      </c>
      <c r="E5722" s="2" t="s">
        <v>8083</v>
      </c>
      <c r="F5722" s="3" t="n">
        <v>46215.7986111111</v>
      </c>
      <c r="G5722" s="2" t="s">
        <v>11403</v>
      </c>
      <c r="H5722" s="4" t="n">
        <v>0.9647</v>
      </c>
      <c r="I5722" s="2" t="s">
        <v>23</v>
      </c>
      <c r="J5722" s="2" t="s">
        <v>37</v>
      </c>
      <c r="K5722" s="2" t="n">
        <v>1</v>
      </c>
      <c r="L5722" s="2" t="n">
        <v>0</v>
      </c>
      <c r="M5722" s="2" t="n">
        <v>0</v>
      </c>
    </row>
    <row r="5723" customFormat="false" ht="15" hidden="false" customHeight="false" outlineLevel="0" collapsed="false">
      <c r="A5723" s="2" t="s">
        <v>11626</v>
      </c>
      <c r="B5723" s="2" t="s">
        <v>11627</v>
      </c>
      <c r="C5723" s="2" t="n">
        <v>1</v>
      </c>
      <c r="D5723" s="2" t="s">
        <v>946</v>
      </c>
      <c r="E5723" s="2" t="s">
        <v>8083</v>
      </c>
      <c r="F5723" s="3" t="n">
        <v>46215.8097222222</v>
      </c>
      <c r="G5723" s="2" t="s">
        <v>11403</v>
      </c>
      <c r="H5723" s="4" t="n">
        <v>-0.25</v>
      </c>
      <c r="I5723" s="2" t="s">
        <v>84</v>
      </c>
      <c r="J5723" s="2" t="s">
        <v>37</v>
      </c>
      <c r="K5723" s="2" t="n">
        <v>7</v>
      </c>
      <c r="L5723" s="2" t="n">
        <v>0</v>
      </c>
      <c r="M5723" s="2" t="n">
        <v>0</v>
      </c>
    </row>
    <row r="5724" customFormat="false" ht="15" hidden="false" customHeight="false" outlineLevel="0" collapsed="false">
      <c r="A5724" s="2" t="s">
        <v>11628</v>
      </c>
      <c r="B5724" s="2" t="s">
        <v>11629</v>
      </c>
      <c r="C5724" s="2" t="n">
        <v>4</v>
      </c>
      <c r="D5724" s="2" t="s">
        <v>1095</v>
      </c>
      <c r="E5724" s="2" t="s">
        <v>8083</v>
      </c>
      <c r="F5724" s="3" t="n">
        <v>46215.8583333333</v>
      </c>
      <c r="G5724" s="2" t="s">
        <v>11403</v>
      </c>
      <c r="H5724" s="4" t="n">
        <v>0.7475</v>
      </c>
      <c r="I5724" s="2" t="s">
        <v>23</v>
      </c>
      <c r="J5724" s="2" t="s">
        <v>37</v>
      </c>
      <c r="K5724" s="2" t="n">
        <v>5</v>
      </c>
      <c r="L5724" s="2" t="n">
        <v>0</v>
      </c>
      <c r="M5724" s="2" t="n">
        <v>0</v>
      </c>
    </row>
    <row r="5725" customFormat="false" ht="15" hidden="false" customHeight="false" outlineLevel="0" collapsed="false">
      <c r="A5725" s="2" t="s">
        <v>11630</v>
      </c>
      <c r="B5725" s="2" t="s">
        <v>11631</v>
      </c>
      <c r="C5725" s="2" t="n">
        <v>1</v>
      </c>
      <c r="D5725" s="2" t="s">
        <v>5049</v>
      </c>
      <c r="E5725" s="2" t="s">
        <v>8083</v>
      </c>
      <c r="F5725" s="3" t="n">
        <v>46215.9298611111</v>
      </c>
      <c r="G5725" s="2" t="s">
        <v>11403</v>
      </c>
      <c r="H5725" s="4" t="n">
        <v>0.2023</v>
      </c>
      <c r="I5725" s="2" t="s">
        <v>23</v>
      </c>
      <c r="J5725" s="2" t="s">
        <v>37</v>
      </c>
      <c r="K5725" s="2" t="n">
        <v>6</v>
      </c>
      <c r="L5725" s="2" t="n">
        <v>1</v>
      </c>
      <c r="M5725" s="2" t="n">
        <v>0</v>
      </c>
    </row>
    <row r="5726" customFormat="false" ht="15" hidden="false" customHeight="false" outlineLevel="0" collapsed="false">
      <c r="A5726" s="2" t="s">
        <v>11632</v>
      </c>
      <c r="B5726" s="2" t="s">
        <v>11633</v>
      </c>
      <c r="C5726" s="2" t="n">
        <v>4</v>
      </c>
      <c r="D5726" s="2" t="s">
        <v>301</v>
      </c>
      <c r="E5726" s="2" t="s">
        <v>8083</v>
      </c>
      <c r="F5726" s="3" t="n">
        <v>46216.0763888889</v>
      </c>
      <c r="G5726" s="2" t="s">
        <v>11403</v>
      </c>
      <c r="H5726" s="4" t="n">
        <v>0.2263</v>
      </c>
      <c r="I5726" s="2" t="s">
        <v>23</v>
      </c>
      <c r="J5726" s="2" t="s">
        <v>19</v>
      </c>
      <c r="K5726" s="2" t="n">
        <v>1</v>
      </c>
      <c r="L5726" s="2" t="n">
        <v>0</v>
      </c>
      <c r="M5726" s="2" t="n">
        <v>0</v>
      </c>
    </row>
    <row r="5727" customFormat="false" ht="15" hidden="false" customHeight="false" outlineLevel="0" collapsed="false">
      <c r="A5727" s="2" t="s">
        <v>11634</v>
      </c>
      <c r="B5727" s="2" t="s">
        <v>11635</v>
      </c>
      <c r="C5727" s="2" t="n">
        <v>5</v>
      </c>
      <c r="D5727" s="2" t="s">
        <v>62</v>
      </c>
      <c r="E5727" s="2" t="s">
        <v>8083</v>
      </c>
      <c r="F5727" s="3" t="n">
        <v>46216.11875</v>
      </c>
      <c r="G5727" s="2" t="s">
        <v>11403</v>
      </c>
      <c r="H5727" s="4" t="n">
        <v>0.7088</v>
      </c>
      <c r="I5727" s="2" t="s">
        <v>23</v>
      </c>
      <c r="J5727" s="2" t="s">
        <v>19</v>
      </c>
      <c r="K5727" s="2" t="n">
        <v>7</v>
      </c>
      <c r="L5727" s="2" t="n">
        <v>0</v>
      </c>
      <c r="M5727" s="2" t="n">
        <v>0</v>
      </c>
    </row>
    <row r="5728" customFormat="false" ht="15" hidden="false" customHeight="false" outlineLevel="0" collapsed="false">
      <c r="A5728" s="2" t="s">
        <v>11636</v>
      </c>
      <c r="B5728" s="2" t="s">
        <v>11637</v>
      </c>
      <c r="C5728" s="2" t="n">
        <v>5</v>
      </c>
      <c r="D5728" s="2" t="s">
        <v>62</v>
      </c>
      <c r="E5728" s="2" t="s">
        <v>8083</v>
      </c>
      <c r="F5728" s="3" t="n">
        <v>46216.3222222222</v>
      </c>
      <c r="G5728" s="2" t="s">
        <v>11403</v>
      </c>
      <c r="H5728" s="4" t="n">
        <v>0.7088</v>
      </c>
      <c r="I5728" s="2" t="s">
        <v>23</v>
      </c>
      <c r="J5728" s="2" t="s">
        <v>19</v>
      </c>
      <c r="K5728" s="2" t="n">
        <v>4</v>
      </c>
      <c r="L5728" s="2" t="n">
        <v>0</v>
      </c>
      <c r="M5728" s="2" t="n">
        <v>0</v>
      </c>
    </row>
    <row r="5729" customFormat="false" ht="15" hidden="false" customHeight="false" outlineLevel="0" collapsed="false">
      <c r="A5729" s="2" t="s">
        <v>11638</v>
      </c>
      <c r="B5729" s="2" t="s">
        <v>11639</v>
      </c>
      <c r="C5729" s="2" t="n">
        <v>5</v>
      </c>
      <c r="D5729" s="2" t="s">
        <v>1004</v>
      </c>
      <c r="E5729" s="2" t="s">
        <v>8083</v>
      </c>
      <c r="F5729" s="3" t="n">
        <v>46216.325</v>
      </c>
      <c r="G5729" s="2" t="s">
        <v>11403</v>
      </c>
      <c r="H5729" s="4" t="n">
        <v>0.6249</v>
      </c>
      <c r="I5729" s="2" t="s">
        <v>23</v>
      </c>
      <c r="J5729" s="2" t="s">
        <v>37</v>
      </c>
      <c r="K5729" s="2" t="n">
        <v>1</v>
      </c>
      <c r="L5729" s="2" t="n">
        <v>0</v>
      </c>
      <c r="M5729" s="2" t="n">
        <v>0</v>
      </c>
    </row>
    <row r="5730" customFormat="false" ht="15" hidden="false" customHeight="false" outlineLevel="0" collapsed="false">
      <c r="A5730" s="2" t="s">
        <v>11640</v>
      </c>
      <c r="B5730" s="2" t="s">
        <v>11641</v>
      </c>
      <c r="C5730" s="2" t="n">
        <v>5</v>
      </c>
      <c r="D5730" s="2" t="s">
        <v>52</v>
      </c>
      <c r="E5730" s="2" t="s">
        <v>8083</v>
      </c>
      <c r="F5730" s="3" t="n">
        <v>46216.3576388889</v>
      </c>
      <c r="G5730" s="2" t="s">
        <v>11403</v>
      </c>
      <c r="H5730" s="4" t="n">
        <v>0.6369</v>
      </c>
      <c r="I5730" s="2" t="s">
        <v>23</v>
      </c>
      <c r="J5730" s="2" t="s">
        <v>19</v>
      </c>
      <c r="K5730" s="2" t="n">
        <v>9</v>
      </c>
      <c r="L5730" s="2" t="n">
        <v>0</v>
      </c>
      <c r="M5730" s="2" t="n">
        <v>0</v>
      </c>
    </row>
    <row r="5731" customFormat="false" ht="15" hidden="false" customHeight="false" outlineLevel="0" collapsed="false">
      <c r="A5731" s="2" t="s">
        <v>11642</v>
      </c>
      <c r="B5731" s="2" t="s">
        <v>11643</v>
      </c>
      <c r="C5731" s="2" t="n">
        <v>5</v>
      </c>
      <c r="D5731" s="2" t="s">
        <v>52</v>
      </c>
      <c r="E5731" s="2" t="s">
        <v>8083</v>
      </c>
      <c r="F5731" s="3" t="n">
        <v>46216.5027777778</v>
      </c>
      <c r="G5731" s="2" t="s">
        <v>11403</v>
      </c>
      <c r="H5731" s="4" t="n">
        <v>0.6369</v>
      </c>
      <c r="I5731" s="2" t="s">
        <v>23</v>
      </c>
      <c r="J5731" s="2" t="s">
        <v>19</v>
      </c>
      <c r="K5731" s="2" t="n">
        <v>1</v>
      </c>
      <c r="L5731" s="2" t="n">
        <v>0</v>
      </c>
      <c r="M5731" s="2" t="n">
        <v>0</v>
      </c>
    </row>
    <row r="5732" customFormat="false" ht="15" hidden="false" customHeight="false" outlineLevel="0" collapsed="false">
      <c r="A5732" s="2" t="s">
        <v>11644</v>
      </c>
      <c r="B5732" s="2" t="s">
        <v>11645</v>
      </c>
      <c r="C5732" s="2" t="n">
        <v>3</v>
      </c>
      <c r="D5732" s="2" t="s">
        <v>87</v>
      </c>
      <c r="E5732" s="2" t="s">
        <v>8083</v>
      </c>
      <c r="F5732" s="3" t="n">
        <v>46216.5173611111</v>
      </c>
      <c r="G5732" s="2" t="s">
        <v>11403</v>
      </c>
      <c r="H5732" s="4" t="n">
        <v>0</v>
      </c>
      <c r="I5732" s="2" t="s">
        <v>18</v>
      </c>
      <c r="J5732" s="2" t="s">
        <v>19</v>
      </c>
      <c r="K5732" s="2" t="n">
        <v>1</v>
      </c>
      <c r="L5732" s="2" t="n">
        <v>0</v>
      </c>
      <c r="M5732" s="2" t="n">
        <v>0</v>
      </c>
    </row>
    <row r="5733" customFormat="false" ht="15" hidden="false" customHeight="false" outlineLevel="0" collapsed="false">
      <c r="A5733" s="2" t="s">
        <v>11646</v>
      </c>
      <c r="B5733" s="2" t="s">
        <v>4355</v>
      </c>
      <c r="C5733" s="2" t="n">
        <v>5</v>
      </c>
      <c r="D5733" s="2" t="s">
        <v>47</v>
      </c>
      <c r="E5733" s="2" t="s">
        <v>8083</v>
      </c>
      <c r="F5733" s="3" t="n">
        <v>46216.5652777778</v>
      </c>
      <c r="G5733" s="2" t="s">
        <v>11403</v>
      </c>
      <c r="H5733" s="4" t="n">
        <v>0.3089</v>
      </c>
      <c r="I5733" s="2" t="s">
        <v>23</v>
      </c>
      <c r="J5733" s="2" t="s">
        <v>19</v>
      </c>
      <c r="K5733" s="2" t="n">
        <v>7</v>
      </c>
      <c r="L5733" s="2" t="n">
        <v>0</v>
      </c>
      <c r="M5733" s="2" t="n">
        <v>0</v>
      </c>
    </row>
    <row r="5734" customFormat="false" ht="15" hidden="false" customHeight="false" outlineLevel="0" collapsed="false">
      <c r="A5734" s="2" t="s">
        <v>11647</v>
      </c>
      <c r="B5734" s="2" t="s">
        <v>11648</v>
      </c>
      <c r="C5734" s="2" t="n">
        <v>4</v>
      </c>
      <c r="D5734" s="2" t="s">
        <v>40</v>
      </c>
      <c r="E5734" s="2" t="s">
        <v>8083</v>
      </c>
      <c r="F5734" s="3" t="n">
        <v>46216.5673611111</v>
      </c>
      <c r="G5734" s="2" t="s">
        <v>11403</v>
      </c>
      <c r="H5734" s="4" t="n">
        <v>0.4019</v>
      </c>
      <c r="I5734" s="2" t="s">
        <v>23</v>
      </c>
      <c r="J5734" s="2" t="s">
        <v>33</v>
      </c>
      <c r="K5734" s="2" t="n">
        <v>5</v>
      </c>
      <c r="L5734" s="2" t="n">
        <v>0</v>
      </c>
      <c r="M5734" s="2" t="n">
        <v>0</v>
      </c>
    </row>
    <row r="5735" customFormat="false" ht="15" hidden="false" customHeight="false" outlineLevel="0" collapsed="false">
      <c r="A5735" s="2" t="s">
        <v>11649</v>
      </c>
      <c r="B5735" s="2" t="s">
        <v>11650</v>
      </c>
      <c r="C5735" s="2" t="n">
        <v>5</v>
      </c>
      <c r="D5735" s="2" t="s">
        <v>15</v>
      </c>
      <c r="E5735" s="2" t="s">
        <v>8083</v>
      </c>
      <c r="F5735" s="3" t="n">
        <v>46216.6534722222</v>
      </c>
      <c r="G5735" s="2" t="s">
        <v>11403</v>
      </c>
      <c r="H5735" s="4" t="n">
        <v>0</v>
      </c>
      <c r="I5735" s="2" t="s">
        <v>18</v>
      </c>
      <c r="J5735" s="2" t="s">
        <v>19</v>
      </c>
      <c r="K5735" s="2" t="n">
        <v>0</v>
      </c>
      <c r="L5735" s="2" t="n">
        <v>0</v>
      </c>
      <c r="M5735" s="2" t="n">
        <v>0</v>
      </c>
    </row>
    <row r="5736" customFormat="false" ht="15" hidden="false" customHeight="false" outlineLevel="0" collapsed="false">
      <c r="A5736" s="2" t="s">
        <v>11651</v>
      </c>
      <c r="B5736" s="2" t="s">
        <v>11652</v>
      </c>
      <c r="C5736" s="2" t="n">
        <v>5</v>
      </c>
      <c r="D5736" s="2" t="s">
        <v>799</v>
      </c>
      <c r="E5736" s="2" t="s">
        <v>8083</v>
      </c>
      <c r="F5736" s="3" t="n">
        <v>46216.6875</v>
      </c>
      <c r="G5736" s="2" t="s">
        <v>11403</v>
      </c>
      <c r="H5736" s="4" t="n">
        <v>0.9606</v>
      </c>
      <c r="I5736" s="2" t="s">
        <v>23</v>
      </c>
      <c r="J5736" s="2" t="s">
        <v>37</v>
      </c>
      <c r="K5736" s="2" t="n">
        <v>6</v>
      </c>
      <c r="L5736" s="2" t="n">
        <v>0</v>
      </c>
      <c r="M5736" s="2" t="n">
        <v>0</v>
      </c>
    </row>
    <row r="5737" customFormat="false" ht="15" hidden="false" customHeight="false" outlineLevel="0" collapsed="false">
      <c r="A5737" s="2" t="s">
        <v>11653</v>
      </c>
      <c r="B5737" s="2" t="s">
        <v>11654</v>
      </c>
      <c r="C5737" s="2" t="n">
        <v>5</v>
      </c>
      <c r="D5737" s="2" t="s">
        <v>15</v>
      </c>
      <c r="E5737" s="2" t="s">
        <v>8083</v>
      </c>
      <c r="F5737" s="3" t="n">
        <v>46216.6965277778</v>
      </c>
      <c r="G5737" s="2" t="s">
        <v>11403</v>
      </c>
      <c r="H5737" s="4" t="n">
        <v>0</v>
      </c>
      <c r="I5737" s="2" t="s">
        <v>18</v>
      </c>
      <c r="J5737" s="2" t="s">
        <v>19</v>
      </c>
      <c r="K5737" s="2" t="n">
        <v>4</v>
      </c>
      <c r="L5737" s="2" t="n">
        <v>0</v>
      </c>
      <c r="M5737" s="2" t="n">
        <v>0</v>
      </c>
    </row>
    <row r="5738" customFormat="false" ht="15" hidden="false" customHeight="false" outlineLevel="0" collapsed="false">
      <c r="A5738" s="2" t="s">
        <v>11655</v>
      </c>
      <c r="B5738" s="2" t="s">
        <v>11656</v>
      </c>
      <c r="C5738" s="2" t="n">
        <v>5</v>
      </c>
      <c r="D5738" s="2" t="s">
        <v>47</v>
      </c>
      <c r="E5738" s="2" t="s">
        <v>8083</v>
      </c>
      <c r="F5738" s="3" t="n">
        <v>46216.71875</v>
      </c>
      <c r="G5738" s="2" t="s">
        <v>11403</v>
      </c>
      <c r="H5738" s="4" t="n">
        <v>0.3089</v>
      </c>
      <c r="I5738" s="2" t="s">
        <v>23</v>
      </c>
      <c r="J5738" s="2" t="s">
        <v>19</v>
      </c>
      <c r="K5738" s="2" t="n">
        <v>0</v>
      </c>
      <c r="L5738" s="2" t="n">
        <v>0</v>
      </c>
      <c r="M5738" s="2" t="n">
        <v>0</v>
      </c>
    </row>
    <row r="5739" customFormat="false" ht="15" hidden="false" customHeight="false" outlineLevel="0" collapsed="false">
      <c r="A5739" s="2" t="s">
        <v>11657</v>
      </c>
      <c r="B5739" s="2" t="s">
        <v>11658</v>
      </c>
      <c r="C5739" s="2" t="n">
        <v>3</v>
      </c>
      <c r="D5739" s="2" t="s">
        <v>560</v>
      </c>
      <c r="E5739" s="2" t="s">
        <v>8083</v>
      </c>
      <c r="F5739" s="3" t="n">
        <v>46216.7465277778</v>
      </c>
      <c r="G5739" s="2" t="s">
        <v>11403</v>
      </c>
      <c r="H5739" s="4" t="n">
        <v>0</v>
      </c>
      <c r="I5739" s="2" t="s">
        <v>18</v>
      </c>
      <c r="J5739" s="2" t="s">
        <v>19</v>
      </c>
      <c r="K5739" s="2" t="n">
        <v>1</v>
      </c>
      <c r="L5739" s="2" t="n">
        <v>0</v>
      </c>
      <c r="M5739" s="2" t="n">
        <v>0</v>
      </c>
    </row>
    <row r="5740" customFormat="false" ht="15" hidden="false" customHeight="false" outlineLevel="0" collapsed="false">
      <c r="A5740" s="2" t="s">
        <v>11659</v>
      </c>
      <c r="B5740" s="2" t="s">
        <v>11660</v>
      </c>
      <c r="C5740" s="2" t="n">
        <v>5</v>
      </c>
      <c r="D5740" s="2" t="s">
        <v>1949</v>
      </c>
      <c r="E5740" s="2" t="s">
        <v>8083</v>
      </c>
      <c r="F5740" s="3" t="n">
        <v>46216.75625</v>
      </c>
      <c r="G5740" s="2" t="s">
        <v>11403</v>
      </c>
      <c r="H5740" s="4" t="n">
        <v>0</v>
      </c>
      <c r="I5740" s="2" t="s">
        <v>18</v>
      </c>
      <c r="J5740" s="2" t="s">
        <v>19</v>
      </c>
      <c r="K5740" s="2" t="n">
        <v>2</v>
      </c>
      <c r="L5740" s="2" t="n">
        <v>0</v>
      </c>
      <c r="M5740" s="2" t="n">
        <v>0</v>
      </c>
    </row>
    <row r="5741" customFormat="false" ht="15" hidden="false" customHeight="false" outlineLevel="0" collapsed="false">
      <c r="A5741" s="2" t="s">
        <v>11661</v>
      </c>
      <c r="B5741" s="2" t="s">
        <v>11662</v>
      </c>
      <c r="C5741" s="2" t="n">
        <v>5</v>
      </c>
      <c r="D5741" s="2" t="s">
        <v>90</v>
      </c>
      <c r="E5741" s="2" t="s">
        <v>8083</v>
      </c>
      <c r="F5741" s="3" t="n">
        <v>46216.8465277778</v>
      </c>
      <c r="G5741" s="2" t="s">
        <v>11403</v>
      </c>
      <c r="H5741" s="4" t="n">
        <v>0.6249</v>
      </c>
      <c r="I5741" s="2" t="s">
        <v>23</v>
      </c>
      <c r="J5741" s="2" t="s">
        <v>37</v>
      </c>
      <c r="K5741" s="2" t="n">
        <v>0</v>
      </c>
      <c r="L5741" s="2" t="n">
        <v>1</v>
      </c>
      <c r="M5741" s="2" t="n">
        <v>0</v>
      </c>
    </row>
    <row r="5742" customFormat="false" ht="15" hidden="false" customHeight="false" outlineLevel="0" collapsed="false">
      <c r="A5742" s="2" t="s">
        <v>11663</v>
      </c>
      <c r="B5742" s="2" t="s">
        <v>11664</v>
      </c>
      <c r="C5742" s="2" t="n">
        <v>5</v>
      </c>
      <c r="D5742" s="2" t="s">
        <v>389</v>
      </c>
      <c r="E5742" s="2" t="s">
        <v>8083</v>
      </c>
      <c r="F5742" s="3" t="n">
        <v>46217.2104166667</v>
      </c>
      <c r="G5742" s="2" t="s">
        <v>11403</v>
      </c>
      <c r="H5742" s="4" t="n">
        <v>0.8519</v>
      </c>
      <c r="I5742" s="2" t="s">
        <v>23</v>
      </c>
      <c r="J5742" s="2" t="s">
        <v>37</v>
      </c>
      <c r="K5742" s="2" t="n">
        <v>0</v>
      </c>
      <c r="L5742" s="2" t="n">
        <v>0</v>
      </c>
      <c r="M5742" s="2" t="n">
        <v>0</v>
      </c>
    </row>
    <row r="5743" customFormat="false" ht="15" hidden="false" customHeight="false" outlineLevel="0" collapsed="false">
      <c r="A5743" s="2" t="s">
        <v>11665</v>
      </c>
      <c r="B5743" s="2" t="s">
        <v>4000</v>
      </c>
      <c r="C5743" s="2" t="n">
        <v>3</v>
      </c>
      <c r="D5743" s="2" t="s">
        <v>301</v>
      </c>
      <c r="E5743" s="2" t="s">
        <v>8083</v>
      </c>
      <c r="F5743" s="3" t="n">
        <v>46217.2472222222</v>
      </c>
      <c r="G5743" s="2" t="s">
        <v>11403</v>
      </c>
      <c r="H5743" s="4" t="n">
        <v>0.2263</v>
      </c>
      <c r="I5743" s="2" t="s">
        <v>23</v>
      </c>
      <c r="J5743" s="2" t="s">
        <v>19</v>
      </c>
      <c r="K5743" s="2" t="n">
        <v>1</v>
      </c>
      <c r="L5743" s="2" t="n">
        <v>0</v>
      </c>
      <c r="M5743" s="2" t="n">
        <v>0</v>
      </c>
    </row>
    <row r="5744" customFormat="false" ht="15" hidden="false" customHeight="false" outlineLevel="0" collapsed="false">
      <c r="A5744" s="2" t="s">
        <v>11666</v>
      </c>
      <c r="B5744" s="2" t="s">
        <v>11667</v>
      </c>
      <c r="C5744" s="2" t="n">
        <v>5</v>
      </c>
      <c r="D5744" s="2" t="s">
        <v>62</v>
      </c>
      <c r="E5744" s="2" t="s">
        <v>8083</v>
      </c>
      <c r="F5744" s="3" t="n">
        <v>46217.2763888889</v>
      </c>
      <c r="G5744" s="2" t="s">
        <v>11403</v>
      </c>
      <c r="H5744" s="4" t="n">
        <v>0.7088</v>
      </c>
      <c r="I5744" s="2" t="s">
        <v>23</v>
      </c>
      <c r="J5744" s="2" t="s">
        <v>19</v>
      </c>
      <c r="K5744" s="2" t="n">
        <v>1</v>
      </c>
      <c r="L5744" s="2" t="n">
        <v>0</v>
      </c>
      <c r="M5744" s="2" t="n">
        <v>0</v>
      </c>
    </row>
    <row r="5745" customFormat="false" ht="15" hidden="false" customHeight="false" outlineLevel="0" collapsed="false">
      <c r="A5745" s="2" t="s">
        <v>11668</v>
      </c>
      <c r="B5745" s="2" t="s">
        <v>11669</v>
      </c>
      <c r="C5745" s="2" t="n">
        <v>4</v>
      </c>
      <c r="D5745" s="2" t="s">
        <v>90</v>
      </c>
      <c r="E5745" s="2" t="s">
        <v>8083</v>
      </c>
      <c r="F5745" s="3" t="n">
        <v>46217.2777777778</v>
      </c>
      <c r="G5745" s="2" t="s">
        <v>11403</v>
      </c>
      <c r="H5745" s="4" t="n">
        <v>0.6249</v>
      </c>
      <c r="I5745" s="2" t="s">
        <v>23</v>
      </c>
      <c r="J5745" s="2" t="s">
        <v>37</v>
      </c>
      <c r="K5745" s="2" t="n">
        <v>6</v>
      </c>
      <c r="L5745" s="2" t="n">
        <v>0</v>
      </c>
      <c r="M5745" s="2" t="n">
        <v>0</v>
      </c>
    </row>
    <row r="5746" customFormat="false" ht="15" hidden="false" customHeight="false" outlineLevel="0" collapsed="false">
      <c r="A5746" s="2" t="s">
        <v>11670</v>
      </c>
      <c r="B5746" s="2" t="s">
        <v>11671</v>
      </c>
      <c r="C5746" s="2" t="n">
        <v>2</v>
      </c>
      <c r="D5746" s="2" t="s">
        <v>231</v>
      </c>
      <c r="E5746" s="2" t="s">
        <v>8083</v>
      </c>
      <c r="F5746" s="3" t="n">
        <v>46217.3090277778</v>
      </c>
      <c r="G5746" s="2" t="s">
        <v>11403</v>
      </c>
      <c r="H5746" s="4" t="n">
        <v>-0.3593</v>
      </c>
      <c r="I5746" s="2" t="s">
        <v>84</v>
      </c>
      <c r="J5746" s="2" t="s">
        <v>33</v>
      </c>
      <c r="K5746" s="2" t="n">
        <v>3</v>
      </c>
      <c r="L5746" s="2" t="n">
        <v>0</v>
      </c>
      <c r="M5746" s="2" t="n">
        <v>0</v>
      </c>
    </row>
    <row r="5747" customFormat="false" ht="15" hidden="false" customHeight="false" outlineLevel="0" collapsed="false">
      <c r="A5747" s="2" t="s">
        <v>11672</v>
      </c>
      <c r="B5747" s="2" t="s">
        <v>11673</v>
      </c>
      <c r="C5747" s="2" t="n">
        <v>4</v>
      </c>
      <c r="D5747" s="2" t="s">
        <v>2578</v>
      </c>
      <c r="E5747" s="2" t="s">
        <v>8083</v>
      </c>
      <c r="F5747" s="3" t="n">
        <v>46217.4097222222</v>
      </c>
      <c r="G5747" s="2" t="s">
        <v>11403</v>
      </c>
      <c r="H5747" s="4" t="n">
        <v>0.9626</v>
      </c>
      <c r="I5747" s="2" t="s">
        <v>23</v>
      </c>
      <c r="J5747" s="2" t="s">
        <v>37</v>
      </c>
      <c r="K5747" s="2" t="n">
        <v>11</v>
      </c>
      <c r="L5747" s="2" t="n">
        <v>0</v>
      </c>
      <c r="M5747" s="2" t="n">
        <v>0</v>
      </c>
    </row>
    <row r="5748" customFormat="false" ht="15" hidden="false" customHeight="false" outlineLevel="0" collapsed="false">
      <c r="A5748" s="2" t="s">
        <v>11674</v>
      </c>
      <c r="B5748" s="2" t="s">
        <v>11675</v>
      </c>
      <c r="C5748" s="2" t="n">
        <v>5</v>
      </c>
      <c r="D5748" s="2" t="s">
        <v>40</v>
      </c>
      <c r="E5748" s="2" t="s">
        <v>8083</v>
      </c>
      <c r="F5748" s="3" t="n">
        <v>46217.575</v>
      </c>
      <c r="G5748" s="2" t="s">
        <v>11403</v>
      </c>
      <c r="H5748" s="4" t="n">
        <v>0.4019</v>
      </c>
      <c r="I5748" s="2" t="s">
        <v>23</v>
      </c>
      <c r="J5748" s="2" t="s">
        <v>33</v>
      </c>
      <c r="K5748" s="2" t="n">
        <v>4</v>
      </c>
      <c r="L5748" s="2" t="n">
        <v>0</v>
      </c>
      <c r="M5748" s="2" t="n">
        <v>0</v>
      </c>
    </row>
    <row r="5749" customFormat="false" ht="15" hidden="false" customHeight="false" outlineLevel="0" collapsed="false">
      <c r="A5749" s="2" t="s">
        <v>11676</v>
      </c>
      <c r="B5749" s="2" t="s">
        <v>11677</v>
      </c>
      <c r="C5749" s="2" t="n">
        <v>4</v>
      </c>
      <c r="D5749" s="2" t="s">
        <v>87</v>
      </c>
      <c r="E5749" s="2" t="s">
        <v>8083</v>
      </c>
      <c r="F5749" s="3" t="n">
        <v>46217.5763888889</v>
      </c>
      <c r="G5749" s="2" t="s">
        <v>11403</v>
      </c>
      <c r="H5749" s="4" t="n">
        <v>0</v>
      </c>
      <c r="I5749" s="2" t="s">
        <v>18</v>
      </c>
      <c r="J5749" s="2" t="s">
        <v>19</v>
      </c>
      <c r="K5749" s="2" t="n">
        <v>0</v>
      </c>
      <c r="L5749" s="2" t="n">
        <v>0</v>
      </c>
      <c r="M5749" s="2" t="n">
        <v>0</v>
      </c>
    </row>
    <row r="5750" customFormat="false" ht="15" hidden="false" customHeight="false" outlineLevel="0" collapsed="false">
      <c r="A5750" s="2" t="s">
        <v>11678</v>
      </c>
      <c r="B5750" s="2" t="s">
        <v>11679</v>
      </c>
      <c r="C5750" s="2" t="n">
        <v>3</v>
      </c>
      <c r="D5750" s="2" t="s">
        <v>22</v>
      </c>
      <c r="E5750" s="2" t="s">
        <v>8083</v>
      </c>
      <c r="F5750" s="3" t="n">
        <v>46217.6868055556</v>
      </c>
      <c r="G5750" s="2" t="s">
        <v>11403</v>
      </c>
      <c r="H5750" s="4" t="n">
        <v>0.2023</v>
      </c>
      <c r="I5750" s="2" t="s">
        <v>23</v>
      </c>
      <c r="J5750" s="2" t="s">
        <v>19</v>
      </c>
      <c r="K5750" s="2" t="n">
        <v>3</v>
      </c>
      <c r="L5750" s="2" t="n">
        <v>0</v>
      </c>
      <c r="M5750" s="2" t="n">
        <v>0</v>
      </c>
    </row>
    <row r="5751" customFormat="false" ht="15" hidden="false" customHeight="false" outlineLevel="0" collapsed="false">
      <c r="A5751" s="2" t="s">
        <v>11680</v>
      </c>
      <c r="B5751" s="2" t="s">
        <v>11681</v>
      </c>
      <c r="C5751" s="2" t="n">
        <v>5</v>
      </c>
      <c r="D5751" s="2" t="s">
        <v>127</v>
      </c>
      <c r="E5751" s="2" t="s">
        <v>8083</v>
      </c>
      <c r="F5751" s="3" t="n">
        <v>46217.7604166667</v>
      </c>
      <c r="G5751" s="2" t="s">
        <v>11403</v>
      </c>
      <c r="H5751" s="4" t="n">
        <v>0.9359</v>
      </c>
      <c r="I5751" s="2" t="s">
        <v>23</v>
      </c>
      <c r="J5751" s="2" t="s">
        <v>37</v>
      </c>
      <c r="K5751" s="2" t="n">
        <v>1</v>
      </c>
      <c r="L5751" s="2" t="n">
        <v>0</v>
      </c>
      <c r="M5751" s="2" t="n">
        <v>0</v>
      </c>
    </row>
    <row r="5752" customFormat="false" ht="15" hidden="false" customHeight="false" outlineLevel="0" collapsed="false">
      <c r="A5752" s="2" t="s">
        <v>11682</v>
      </c>
      <c r="B5752" s="2" t="s">
        <v>11683</v>
      </c>
      <c r="C5752" s="2" t="n">
        <v>5</v>
      </c>
      <c r="D5752" s="2" t="s">
        <v>29</v>
      </c>
      <c r="E5752" s="2" t="s">
        <v>8083</v>
      </c>
      <c r="F5752" s="3" t="n">
        <v>46217.9395833333</v>
      </c>
      <c r="G5752" s="2" t="s">
        <v>11403</v>
      </c>
      <c r="H5752" s="4" t="n">
        <v>0.6369</v>
      </c>
      <c r="I5752" s="2" t="s">
        <v>23</v>
      </c>
      <c r="J5752" s="2" t="s">
        <v>19</v>
      </c>
      <c r="K5752" s="2" t="n">
        <v>0</v>
      </c>
      <c r="L5752" s="2" t="n">
        <v>0</v>
      </c>
      <c r="M5752" s="2" t="n">
        <v>0</v>
      </c>
    </row>
    <row r="5753" customFormat="false" ht="15" hidden="false" customHeight="false" outlineLevel="0" collapsed="false">
      <c r="A5753" s="2" t="s">
        <v>11684</v>
      </c>
      <c r="B5753" s="2" t="s">
        <v>11685</v>
      </c>
      <c r="C5753" s="2" t="n">
        <v>4</v>
      </c>
      <c r="D5753" s="2" t="s">
        <v>52</v>
      </c>
      <c r="E5753" s="2" t="s">
        <v>8083</v>
      </c>
      <c r="F5753" s="3" t="n">
        <v>46217.9458333333</v>
      </c>
      <c r="G5753" s="2" t="s">
        <v>11403</v>
      </c>
      <c r="H5753" s="4" t="n">
        <v>0.6369</v>
      </c>
      <c r="I5753" s="2" t="s">
        <v>23</v>
      </c>
      <c r="J5753" s="2" t="s">
        <v>19</v>
      </c>
      <c r="K5753" s="2" t="n">
        <v>0</v>
      </c>
      <c r="L5753" s="2" t="n">
        <v>0</v>
      </c>
      <c r="M5753" s="2" t="n">
        <v>0</v>
      </c>
    </row>
    <row r="5754" customFormat="false" ht="15" hidden="false" customHeight="false" outlineLevel="0" collapsed="false">
      <c r="A5754" s="2" t="s">
        <v>11686</v>
      </c>
      <c r="B5754" s="2" t="s">
        <v>9321</v>
      </c>
      <c r="C5754" s="2" t="n">
        <v>4</v>
      </c>
      <c r="D5754" s="2" t="s">
        <v>99</v>
      </c>
      <c r="E5754" s="2" t="s">
        <v>8083</v>
      </c>
      <c r="F5754" s="3" t="n">
        <v>46218.0770833333</v>
      </c>
      <c r="G5754" s="2" t="s">
        <v>11403</v>
      </c>
      <c r="H5754" s="4" t="n">
        <v>-0.3089</v>
      </c>
      <c r="I5754" s="2" t="s">
        <v>84</v>
      </c>
      <c r="J5754" s="2" t="s">
        <v>19</v>
      </c>
      <c r="K5754" s="2" t="n">
        <v>1</v>
      </c>
      <c r="L5754" s="2" t="n">
        <v>0</v>
      </c>
      <c r="M5754" s="2" t="n">
        <v>0</v>
      </c>
    </row>
    <row r="5755" customFormat="false" ht="15" hidden="false" customHeight="false" outlineLevel="0" collapsed="false">
      <c r="A5755" s="2" t="s">
        <v>11687</v>
      </c>
      <c r="B5755" s="2" t="s">
        <v>11688</v>
      </c>
      <c r="C5755" s="2" t="n">
        <v>5</v>
      </c>
      <c r="D5755" s="2" t="s">
        <v>127</v>
      </c>
      <c r="E5755" s="2" t="s">
        <v>8083</v>
      </c>
      <c r="F5755" s="3" t="n">
        <v>46218.175</v>
      </c>
      <c r="G5755" s="2" t="s">
        <v>11403</v>
      </c>
      <c r="H5755" s="4" t="n">
        <v>0.9359</v>
      </c>
      <c r="I5755" s="2" t="s">
        <v>23</v>
      </c>
      <c r="J5755" s="2" t="s">
        <v>37</v>
      </c>
      <c r="K5755" s="2" t="n">
        <v>6</v>
      </c>
      <c r="L5755" s="2" t="n">
        <v>0</v>
      </c>
      <c r="M5755" s="2" t="n">
        <v>0</v>
      </c>
    </row>
    <row r="5756" customFormat="false" ht="15" hidden="false" customHeight="false" outlineLevel="0" collapsed="false">
      <c r="A5756" s="2" t="s">
        <v>11689</v>
      </c>
      <c r="B5756" s="2" t="s">
        <v>1848</v>
      </c>
      <c r="C5756" s="2" t="n">
        <v>3</v>
      </c>
      <c r="D5756" s="2" t="s">
        <v>2834</v>
      </c>
      <c r="E5756" s="2" t="s">
        <v>8083</v>
      </c>
      <c r="F5756" s="3" t="n">
        <v>46218.5638888889</v>
      </c>
      <c r="G5756" s="2" t="s">
        <v>11403</v>
      </c>
      <c r="H5756" s="4" t="n">
        <v>0.7003</v>
      </c>
      <c r="I5756" s="2" t="s">
        <v>23</v>
      </c>
      <c r="J5756" s="2" t="s">
        <v>37</v>
      </c>
      <c r="K5756" s="2" t="n">
        <v>18</v>
      </c>
      <c r="L5756" s="2" t="n">
        <v>0</v>
      </c>
      <c r="M5756" s="2" t="n">
        <v>0</v>
      </c>
    </row>
    <row r="5757" customFormat="false" ht="15" hidden="false" customHeight="false" outlineLevel="0" collapsed="false">
      <c r="A5757" s="2" t="s">
        <v>11690</v>
      </c>
      <c r="B5757" s="2" t="s">
        <v>11691</v>
      </c>
      <c r="C5757" s="2" t="n">
        <v>4</v>
      </c>
      <c r="D5757" s="2" t="s">
        <v>127</v>
      </c>
      <c r="E5757" s="2" t="s">
        <v>8083</v>
      </c>
      <c r="F5757" s="3" t="n">
        <v>46218.7590277778</v>
      </c>
      <c r="G5757" s="2" t="s">
        <v>11403</v>
      </c>
      <c r="H5757" s="4" t="n">
        <v>0.9359</v>
      </c>
      <c r="I5757" s="2" t="s">
        <v>23</v>
      </c>
      <c r="J5757" s="2" t="s">
        <v>37</v>
      </c>
      <c r="K5757" s="2" t="n">
        <v>0</v>
      </c>
      <c r="L5757" s="2" t="n">
        <v>0</v>
      </c>
      <c r="M5757" s="2" t="n">
        <v>0</v>
      </c>
    </row>
    <row r="5758" customFormat="false" ht="15" hidden="false" customHeight="false" outlineLevel="0" collapsed="false">
      <c r="A5758" s="2" t="s">
        <v>11692</v>
      </c>
      <c r="B5758" s="2" t="s">
        <v>11693</v>
      </c>
      <c r="C5758" s="2" t="n">
        <v>5</v>
      </c>
      <c r="D5758" s="2" t="s">
        <v>47</v>
      </c>
      <c r="E5758" s="2" t="s">
        <v>8083</v>
      </c>
      <c r="F5758" s="3" t="n">
        <v>46218.8611111111</v>
      </c>
      <c r="G5758" s="2" t="s">
        <v>11403</v>
      </c>
      <c r="H5758" s="4" t="n">
        <v>0.3089</v>
      </c>
      <c r="I5758" s="2" t="s">
        <v>23</v>
      </c>
      <c r="J5758" s="2" t="s">
        <v>19</v>
      </c>
      <c r="K5758" s="2" t="n">
        <v>4</v>
      </c>
      <c r="L5758" s="2" t="n">
        <v>0</v>
      </c>
      <c r="M5758" s="2" t="n">
        <v>0</v>
      </c>
    </row>
    <row r="5759" customFormat="false" ht="15" hidden="false" customHeight="false" outlineLevel="0" collapsed="false">
      <c r="A5759" s="2" t="s">
        <v>11694</v>
      </c>
      <c r="B5759" s="2" t="s">
        <v>11695</v>
      </c>
      <c r="C5759" s="2" t="n">
        <v>5</v>
      </c>
      <c r="D5759" s="2" t="s">
        <v>52</v>
      </c>
      <c r="E5759" s="2" t="s">
        <v>8083</v>
      </c>
      <c r="F5759" s="3" t="n">
        <v>46219.0083333333</v>
      </c>
      <c r="G5759" s="2" t="s">
        <v>11403</v>
      </c>
      <c r="H5759" s="4" t="n">
        <v>0.6369</v>
      </c>
      <c r="I5759" s="2" t="s">
        <v>23</v>
      </c>
      <c r="J5759" s="2" t="s">
        <v>19</v>
      </c>
      <c r="K5759" s="2" t="n">
        <v>11</v>
      </c>
      <c r="L5759" s="2" t="n">
        <v>0</v>
      </c>
      <c r="M5759" s="2" t="n">
        <v>0</v>
      </c>
    </row>
    <row r="5760" customFormat="false" ht="15" hidden="false" customHeight="false" outlineLevel="0" collapsed="false">
      <c r="A5760" s="2" t="s">
        <v>11696</v>
      </c>
      <c r="B5760" s="2" t="s">
        <v>11697</v>
      </c>
      <c r="C5760" s="2" t="n">
        <v>3</v>
      </c>
      <c r="D5760" s="2" t="s">
        <v>36</v>
      </c>
      <c r="E5760" s="2" t="s">
        <v>8083</v>
      </c>
      <c r="F5760" s="3" t="n">
        <v>46219.0263888889</v>
      </c>
      <c r="G5760" s="2" t="s">
        <v>11403</v>
      </c>
      <c r="H5760" s="4" t="n">
        <v>0.4404</v>
      </c>
      <c r="I5760" s="2" t="s">
        <v>23</v>
      </c>
      <c r="J5760" s="2" t="s">
        <v>37</v>
      </c>
      <c r="K5760" s="2" t="n">
        <v>2</v>
      </c>
      <c r="L5760" s="2" t="n">
        <v>0</v>
      </c>
      <c r="M5760" s="2" t="n">
        <v>0</v>
      </c>
    </row>
    <row r="5761" customFormat="false" ht="15" hidden="false" customHeight="false" outlineLevel="0" collapsed="false">
      <c r="A5761" s="2" t="s">
        <v>11698</v>
      </c>
      <c r="B5761" s="2" t="s">
        <v>11699</v>
      </c>
      <c r="C5761" s="2" t="n">
        <v>5</v>
      </c>
      <c r="D5761" s="2" t="s">
        <v>943</v>
      </c>
      <c r="E5761" s="2" t="s">
        <v>8083</v>
      </c>
      <c r="F5761" s="3" t="n">
        <v>46219.1708333333</v>
      </c>
      <c r="G5761" s="2" t="s">
        <v>11403</v>
      </c>
      <c r="H5761" s="4" t="n">
        <v>0.7549</v>
      </c>
      <c r="I5761" s="2" t="s">
        <v>23</v>
      </c>
      <c r="J5761" s="2" t="s">
        <v>19</v>
      </c>
      <c r="K5761" s="2" t="n">
        <v>2</v>
      </c>
      <c r="L5761" s="2" t="n">
        <v>0</v>
      </c>
      <c r="M5761" s="2" t="n">
        <v>0</v>
      </c>
    </row>
    <row r="5762" customFormat="false" ht="15" hidden="false" customHeight="false" outlineLevel="0" collapsed="false">
      <c r="A5762" s="2" t="s">
        <v>11700</v>
      </c>
      <c r="B5762" s="2" t="s">
        <v>11701</v>
      </c>
      <c r="C5762" s="2" t="n">
        <v>4</v>
      </c>
      <c r="D5762" s="2" t="s">
        <v>121</v>
      </c>
      <c r="E5762" s="2" t="s">
        <v>8083</v>
      </c>
      <c r="F5762" s="3" t="n">
        <v>46219.3048611111</v>
      </c>
      <c r="G5762" s="2" t="s">
        <v>11403</v>
      </c>
      <c r="H5762" s="4" t="n">
        <v>0.607</v>
      </c>
      <c r="I5762" s="2" t="s">
        <v>23</v>
      </c>
      <c r="J5762" s="2" t="s">
        <v>33</v>
      </c>
      <c r="K5762" s="2" t="n">
        <v>3</v>
      </c>
      <c r="L5762" s="2" t="n">
        <v>0</v>
      </c>
      <c r="M5762" s="2" t="n">
        <v>0</v>
      </c>
    </row>
    <row r="5763" customFormat="false" ht="15" hidden="false" customHeight="false" outlineLevel="0" collapsed="false">
      <c r="A5763" s="2" t="s">
        <v>11702</v>
      </c>
      <c r="B5763" s="2" t="s">
        <v>11587</v>
      </c>
      <c r="C5763" s="2" t="n">
        <v>4</v>
      </c>
      <c r="D5763" s="2" t="s">
        <v>11703</v>
      </c>
      <c r="E5763" s="2" t="s">
        <v>8083</v>
      </c>
      <c r="F5763" s="3" t="n">
        <v>46219.3256944444</v>
      </c>
      <c r="G5763" s="2" t="s">
        <v>11403</v>
      </c>
      <c r="H5763" s="4" t="n">
        <v>0.4019</v>
      </c>
      <c r="I5763" s="2" t="s">
        <v>23</v>
      </c>
      <c r="J5763" s="2" t="s">
        <v>33</v>
      </c>
      <c r="K5763" s="2" t="n">
        <v>2</v>
      </c>
      <c r="L5763" s="2" t="n">
        <v>0</v>
      </c>
      <c r="M5763" s="2" t="n">
        <v>0</v>
      </c>
    </row>
    <row r="5764" customFormat="false" ht="15" hidden="false" customHeight="false" outlineLevel="0" collapsed="false">
      <c r="A5764" s="2" t="s">
        <v>11704</v>
      </c>
      <c r="B5764" s="2" t="s">
        <v>11705</v>
      </c>
      <c r="C5764" s="2" t="n">
        <v>5</v>
      </c>
      <c r="D5764" s="2" t="s">
        <v>47</v>
      </c>
      <c r="E5764" s="2" t="s">
        <v>8083</v>
      </c>
      <c r="F5764" s="3" t="n">
        <v>46219.4548611111</v>
      </c>
      <c r="G5764" s="2" t="s">
        <v>11403</v>
      </c>
      <c r="H5764" s="4" t="n">
        <v>0.3089</v>
      </c>
      <c r="I5764" s="2" t="s">
        <v>23</v>
      </c>
      <c r="J5764" s="2" t="s">
        <v>19</v>
      </c>
      <c r="K5764" s="2" t="n">
        <v>2</v>
      </c>
      <c r="L5764" s="2" t="n">
        <v>0</v>
      </c>
      <c r="M5764" s="2" t="n">
        <v>0</v>
      </c>
    </row>
    <row r="5765" customFormat="false" ht="15" hidden="false" customHeight="false" outlineLevel="0" collapsed="false">
      <c r="A5765" s="2" t="s">
        <v>11706</v>
      </c>
      <c r="B5765" s="2" t="s">
        <v>11707</v>
      </c>
      <c r="C5765" s="2" t="n">
        <v>2</v>
      </c>
      <c r="D5765" s="2" t="s">
        <v>58</v>
      </c>
      <c r="E5765" s="2" t="s">
        <v>8083</v>
      </c>
      <c r="F5765" s="3" t="n">
        <v>46219.6305555556</v>
      </c>
      <c r="G5765" s="2" t="s">
        <v>11403</v>
      </c>
      <c r="H5765" s="4" t="n">
        <v>0</v>
      </c>
      <c r="I5765" s="2" t="s">
        <v>18</v>
      </c>
      <c r="J5765" s="2" t="s">
        <v>59</v>
      </c>
      <c r="K5765" s="2" t="n">
        <v>2</v>
      </c>
      <c r="L5765" s="2" t="n">
        <v>0</v>
      </c>
      <c r="M5765" s="2" t="n">
        <v>0</v>
      </c>
    </row>
    <row r="5766" customFormat="false" ht="15" hidden="false" customHeight="false" outlineLevel="0" collapsed="false">
      <c r="A5766" s="2" t="s">
        <v>11708</v>
      </c>
      <c r="B5766" s="2" t="s">
        <v>11709</v>
      </c>
      <c r="C5766" s="2" t="n">
        <v>5</v>
      </c>
      <c r="D5766" s="2" t="s">
        <v>40</v>
      </c>
      <c r="E5766" s="2" t="s">
        <v>8083</v>
      </c>
      <c r="F5766" s="3" t="n">
        <v>46219.6958333333</v>
      </c>
      <c r="G5766" s="2" t="s">
        <v>11403</v>
      </c>
      <c r="H5766" s="4" t="n">
        <v>0.4019</v>
      </c>
      <c r="I5766" s="2" t="s">
        <v>23</v>
      </c>
      <c r="J5766" s="2" t="s">
        <v>33</v>
      </c>
      <c r="K5766" s="2" t="n">
        <v>1</v>
      </c>
      <c r="L5766" s="2" t="n">
        <v>0</v>
      </c>
      <c r="M5766" s="2" t="n">
        <v>0</v>
      </c>
    </row>
    <row r="5767" customFormat="false" ht="15" hidden="false" customHeight="false" outlineLevel="0" collapsed="false">
      <c r="A5767" s="2" t="s">
        <v>11710</v>
      </c>
      <c r="B5767" s="2" t="s">
        <v>6034</v>
      </c>
      <c r="C5767" s="2" t="n">
        <v>5</v>
      </c>
      <c r="D5767" s="2" t="s">
        <v>96</v>
      </c>
      <c r="E5767" s="2" t="s">
        <v>8083</v>
      </c>
      <c r="F5767" s="3" t="n">
        <v>46219.8520833333</v>
      </c>
      <c r="G5767" s="2" t="s">
        <v>11403</v>
      </c>
      <c r="H5767" s="4" t="n">
        <v>0.6369</v>
      </c>
      <c r="I5767" s="2" t="s">
        <v>23</v>
      </c>
      <c r="J5767" s="2" t="s">
        <v>19</v>
      </c>
      <c r="K5767" s="2" t="n">
        <v>6</v>
      </c>
      <c r="L5767" s="2" t="n">
        <v>0</v>
      </c>
      <c r="M5767" s="2" t="n">
        <v>0</v>
      </c>
    </row>
    <row r="5768" customFormat="false" ht="15" hidden="false" customHeight="false" outlineLevel="0" collapsed="false">
      <c r="A5768" s="2" t="s">
        <v>11711</v>
      </c>
      <c r="B5768" s="2" t="s">
        <v>11712</v>
      </c>
      <c r="C5768" s="2" t="n">
        <v>1</v>
      </c>
      <c r="D5768" s="2" t="s">
        <v>1942</v>
      </c>
      <c r="E5768" s="2" t="s">
        <v>8083</v>
      </c>
      <c r="F5768" s="3" t="n">
        <v>46219.8743055556</v>
      </c>
      <c r="G5768" s="2" t="s">
        <v>11403</v>
      </c>
      <c r="H5768" s="4" t="n">
        <v>0</v>
      </c>
      <c r="I5768" s="2" t="s">
        <v>18</v>
      </c>
      <c r="J5768" s="2" t="s">
        <v>165</v>
      </c>
      <c r="K5768" s="2" t="n">
        <v>1</v>
      </c>
      <c r="L5768" s="2" t="n">
        <v>1</v>
      </c>
      <c r="M5768" s="2" t="n">
        <v>0</v>
      </c>
    </row>
    <row r="5769" customFormat="false" ht="15" hidden="false" customHeight="false" outlineLevel="0" collapsed="false">
      <c r="A5769" s="2" t="s">
        <v>11713</v>
      </c>
      <c r="B5769" s="2" t="s">
        <v>11714</v>
      </c>
      <c r="C5769" s="2" t="n">
        <v>3</v>
      </c>
      <c r="D5769" s="2" t="s">
        <v>99</v>
      </c>
      <c r="E5769" s="2" t="s">
        <v>8083</v>
      </c>
      <c r="F5769" s="3" t="n">
        <v>46220.0444444444</v>
      </c>
      <c r="G5769" s="2" t="s">
        <v>11403</v>
      </c>
      <c r="H5769" s="4" t="n">
        <v>-0.3089</v>
      </c>
      <c r="I5769" s="2" t="s">
        <v>84</v>
      </c>
      <c r="J5769" s="2" t="s">
        <v>19</v>
      </c>
      <c r="K5769" s="2" t="n">
        <v>3</v>
      </c>
      <c r="L5769" s="2" t="n">
        <v>0</v>
      </c>
      <c r="M5769" s="2" t="n">
        <v>0</v>
      </c>
    </row>
    <row r="5770" customFormat="false" ht="15" hidden="false" customHeight="false" outlineLevel="0" collapsed="false">
      <c r="A5770" s="2" t="s">
        <v>11715</v>
      </c>
      <c r="B5770" s="2" t="s">
        <v>11716</v>
      </c>
      <c r="C5770" s="2" t="n">
        <v>3</v>
      </c>
      <c r="D5770" s="2" t="s">
        <v>301</v>
      </c>
      <c r="E5770" s="2" t="s">
        <v>8083</v>
      </c>
      <c r="F5770" s="3" t="n">
        <v>46220.0680555556</v>
      </c>
      <c r="G5770" s="2" t="s">
        <v>11403</v>
      </c>
      <c r="H5770" s="4" t="n">
        <v>0.2263</v>
      </c>
      <c r="I5770" s="2" t="s">
        <v>23</v>
      </c>
      <c r="J5770" s="2" t="s">
        <v>19</v>
      </c>
      <c r="K5770" s="2" t="n">
        <v>1</v>
      </c>
      <c r="L5770" s="2" t="n">
        <v>0</v>
      </c>
      <c r="M5770" s="2" t="n">
        <v>0</v>
      </c>
    </row>
    <row r="5771" customFormat="false" ht="15" hidden="false" customHeight="false" outlineLevel="0" collapsed="false">
      <c r="A5771" s="2" t="s">
        <v>11717</v>
      </c>
      <c r="B5771" s="2" t="s">
        <v>11718</v>
      </c>
      <c r="C5771" s="2" t="n">
        <v>4</v>
      </c>
      <c r="D5771" s="2" t="s">
        <v>40</v>
      </c>
      <c r="E5771" s="2" t="s">
        <v>8083</v>
      </c>
      <c r="F5771" s="3" t="n">
        <v>46220.15625</v>
      </c>
      <c r="G5771" s="2" t="s">
        <v>11403</v>
      </c>
      <c r="H5771" s="4" t="n">
        <v>0.4019</v>
      </c>
      <c r="I5771" s="2" t="s">
        <v>23</v>
      </c>
      <c r="J5771" s="2" t="s">
        <v>33</v>
      </c>
      <c r="K5771" s="2" t="n">
        <v>4</v>
      </c>
      <c r="L5771" s="2" t="n">
        <v>0</v>
      </c>
      <c r="M5771" s="2" t="n">
        <v>0</v>
      </c>
    </row>
    <row r="5772" customFormat="false" ht="15" hidden="false" customHeight="false" outlineLevel="0" collapsed="false">
      <c r="A5772" s="2" t="s">
        <v>11719</v>
      </c>
      <c r="B5772" s="2" t="s">
        <v>11720</v>
      </c>
      <c r="C5772" s="2" t="n">
        <v>3</v>
      </c>
      <c r="D5772" s="2" t="s">
        <v>1491</v>
      </c>
      <c r="E5772" s="2" t="s">
        <v>8083</v>
      </c>
      <c r="F5772" s="3" t="n">
        <v>46220.4694444445</v>
      </c>
      <c r="G5772" s="2" t="s">
        <v>11403</v>
      </c>
      <c r="H5772" s="4" t="n">
        <v>-0.1174</v>
      </c>
      <c r="I5772" s="2" t="s">
        <v>84</v>
      </c>
      <c r="J5772" s="2" t="s">
        <v>19</v>
      </c>
      <c r="K5772" s="2" t="n">
        <v>1</v>
      </c>
      <c r="L5772" s="2" t="n">
        <v>0</v>
      </c>
      <c r="M5772" s="2" t="n">
        <v>0</v>
      </c>
    </row>
    <row r="5773" customFormat="false" ht="15" hidden="false" customHeight="false" outlineLevel="0" collapsed="false">
      <c r="A5773" s="2" t="s">
        <v>11721</v>
      </c>
      <c r="B5773" s="2" t="s">
        <v>11722</v>
      </c>
      <c r="C5773" s="2" t="n">
        <v>4</v>
      </c>
      <c r="D5773" s="2" t="s">
        <v>90</v>
      </c>
      <c r="E5773" s="2" t="s">
        <v>8083</v>
      </c>
      <c r="F5773" s="3" t="n">
        <v>46220.5652777778</v>
      </c>
      <c r="G5773" s="2" t="s">
        <v>11403</v>
      </c>
      <c r="H5773" s="4" t="n">
        <v>0.6249</v>
      </c>
      <c r="I5773" s="2" t="s">
        <v>23</v>
      </c>
      <c r="J5773" s="2" t="s">
        <v>37</v>
      </c>
      <c r="K5773" s="2" t="n">
        <v>0</v>
      </c>
      <c r="L5773" s="2" t="n">
        <v>0</v>
      </c>
      <c r="M5773" s="2" t="n">
        <v>0</v>
      </c>
    </row>
    <row r="5774" customFormat="false" ht="15" hidden="false" customHeight="false" outlineLevel="0" collapsed="false">
      <c r="A5774" s="2" t="s">
        <v>11723</v>
      </c>
      <c r="B5774" s="2" t="s">
        <v>11724</v>
      </c>
      <c r="C5774" s="2" t="n">
        <v>4</v>
      </c>
      <c r="D5774" s="2" t="s">
        <v>127</v>
      </c>
      <c r="E5774" s="2" t="s">
        <v>8083</v>
      </c>
      <c r="F5774" s="3" t="n">
        <v>46220.7256944445</v>
      </c>
      <c r="G5774" s="2" t="s">
        <v>11403</v>
      </c>
      <c r="H5774" s="4" t="n">
        <v>0.9359</v>
      </c>
      <c r="I5774" s="2" t="s">
        <v>23</v>
      </c>
      <c r="J5774" s="2" t="s">
        <v>37</v>
      </c>
      <c r="K5774" s="2" t="n">
        <v>0</v>
      </c>
      <c r="L5774" s="2" t="n">
        <v>0</v>
      </c>
      <c r="M5774" s="2" t="n">
        <v>0</v>
      </c>
    </row>
    <row r="5775" customFormat="false" ht="15" hidden="false" customHeight="false" outlineLevel="0" collapsed="false">
      <c r="A5775" s="2" t="s">
        <v>11725</v>
      </c>
      <c r="B5775" s="2" t="s">
        <v>11726</v>
      </c>
      <c r="C5775" s="2" t="n">
        <v>4</v>
      </c>
      <c r="D5775" s="2" t="s">
        <v>674</v>
      </c>
      <c r="E5775" s="2" t="s">
        <v>8083</v>
      </c>
      <c r="F5775" s="3" t="n">
        <v>46220.7430555556</v>
      </c>
      <c r="G5775" s="2" t="s">
        <v>11403</v>
      </c>
      <c r="H5775" s="4" t="n">
        <v>0.9481</v>
      </c>
      <c r="I5775" s="2" t="s">
        <v>23</v>
      </c>
      <c r="J5775" s="2" t="s">
        <v>37</v>
      </c>
      <c r="K5775" s="2" t="n">
        <v>2</v>
      </c>
      <c r="L5775" s="2" t="n">
        <v>0</v>
      </c>
      <c r="M5775" s="2" t="n">
        <v>0</v>
      </c>
    </row>
    <row r="5776" customFormat="false" ht="15" hidden="false" customHeight="false" outlineLevel="0" collapsed="false">
      <c r="A5776" s="2" t="s">
        <v>11727</v>
      </c>
      <c r="B5776" s="2" t="s">
        <v>11728</v>
      </c>
      <c r="C5776" s="2" t="n">
        <v>4</v>
      </c>
      <c r="D5776" s="2" t="s">
        <v>40</v>
      </c>
      <c r="E5776" s="2" t="s">
        <v>8083</v>
      </c>
      <c r="F5776" s="3" t="n">
        <v>46220.75625</v>
      </c>
      <c r="G5776" s="2" t="s">
        <v>11403</v>
      </c>
      <c r="H5776" s="4" t="n">
        <v>0.4019</v>
      </c>
      <c r="I5776" s="2" t="s">
        <v>23</v>
      </c>
      <c r="J5776" s="2" t="s">
        <v>33</v>
      </c>
      <c r="K5776" s="2" t="n">
        <v>8</v>
      </c>
      <c r="L5776" s="2" t="n">
        <v>0</v>
      </c>
      <c r="M5776" s="2" t="n">
        <v>0</v>
      </c>
    </row>
    <row r="5777" customFormat="false" ht="15" hidden="false" customHeight="false" outlineLevel="0" collapsed="false">
      <c r="A5777" s="2" t="s">
        <v>11729</v>
      </c>
      <c r="B5777" s="2" t="s">
        <v>11730</v>
      </c>
      <c r="C5777" s="2" t="n">
        <v>5</v>
      </c>
      <c r="D5777" s="2" t="s">
        <v>282</v>
      </c>
      <c r="E5777" s="2" t="s">
        <v>8083</v>
      </c>
      <c r="F5777" s="3" t="n">
        <v>46220.7861111111</v>
      </c>
      <c r="G5777" s="2" t="s">
        <v>11403</v>
      </c>
      <c r="H5777" s="4" t="n">
        <v>0.7992</v>
      </c>
      <c r="I5777" s="2" t="s">
        <v>23</v>
      </c>
      <c r="J5777" s="2" t="s">
        <v>19</v>
      </c>
      <c r="K5777" s="2" t="n">
        <v>4</v>
      </c>
      <c r="L5777" s="2" t="n">
        <v>0</v>
      </c>
      <c r="M5777" s="2" t="n">
        <v>0</v>
      </c>
    </row>
    <row r="5778" customFormat="false" ht="15" hidden="false" customHeight="false" outlineLevel="0" collapsed="false">
      <c r="A5778" s="2" t="s">
        <v>11731</v>
      </c>
      <c r="B5778" s="2" t="s">
        <v>11732</v>
      </c>
      <c r="C5778" s="2" t="n">
        <v>5</v>
      </c>
      <c r="D5778" s="2" t="s">
        <v>96</v>
      </c>
      <c r="E5778" s="2" t="s">
        <v>8083</v>
      </c>
      <c r="F5778" s="3" t="n">
        <v>46220.9861111111</v>
      </c>
      <c r="G5778" s="2" t="s">
        <v>11403</v>
      </c>
      <c r="H5778" s="4" t="n">
        <v>0.6369</v>
      </c>
      <c r="I5778" s="2" t="s">
        <v>23</v>
      </c>
      <c r="J5778" s="2" t="s">
        <v>19</v>
      </c>
      <c r="K5778" s="2" t="n">
        <v>2</v>
      </c>
      <c r="L5778" s="2" t="n">
        <v>0</v>
      </c>
      <c r="M5778" s="2" t="n">
        <v>0</v>
      </c>
    </row>
    <row r="5779" customFormat="false" ht="15" hidden="false" customHeight="false" outlineLevel="0" collapsed="false">
      <c r="A5779" s="2" t="s">
        <v>11733</v>
      </c>
      <c r="B5779" s="2" t="s">
        <v>11734</v>
      </c>
      <c r="C5779" s="2" t="n">
        <v>3</v>
      </c>
      <c r="D5779" s="2" t="s">
        <v>1952</v>
      </c>
      <c r="E5779" s="2" t="s">
        <v>8083</v>
      </c>
      <c r="F5779" s="3" t="n">
        <v>46221.0701388889</v>
      </c>
      <c r="G5779" s="2" t="s">
        <v>11403</v>
      </c>
      <c r="H5779" s="4" t="n">
        <v>0.5859</v>
      </c>
      <c r="I5779" s="2" t="s">
        <v>23</v>
      </c>
      <c r="J5779" s="2" t="s">
        <v>37</v>
      </c>
      <c r="K5779" s="2" t="n">
        <v>6</v>
      </c>
      <c r="L5779" s="2" t="n">
        <v>0</v>
      </c>
      <c r="M5779" s="2" t="n">
        <v>0</v>
      </c>
    </row>
    <row r="5780" customFormat="false" ht="15" hidden="false" customHeight="false" outlineLevel="0" collapsed="false">
      <c r="A5780" s="2" t="s">
        <v>11735</v>
      </c>
      <c r="B5780" s="2" t="s">
        <v>11736</v>
      </c>
      <c r="C5780" s="2" t="n">
        <v>4</v>
      </c>
      <c r="D5780" s="2" t="s">
        <v>26</v>
      </c>
      <c r="E5780" s="2" t="s">
        <v>8083</v>
      </c>
      <c r="F5780" s="3" t="n">
        <v>46221.0930555556</v>
      </c>
      <c r="G5780" s="2" t="s">
        <v>11403</v>
      </c>
      <c r="H5780" s="4" t="n">
        <v>0.8848</v>
      </c>
      <c r="I5780" s="2" t="s">
        <v>23</v>
      </c>
      <c r="J5780" s="2" t="s">
        <v>19</v>
      </c>
      <c r="K5780" s="2" t="n">
        <v>0</v>
      </c>
      <c r="L5780" s="2" t="n">
        <v>0</v>
      </c>
      <c r="M5780" s="2" t="n">
        <v>0</v>
      </c>
    </row>
    <row r="5781" customFormat="false" ht="15" hidden="false" customHeight="false" outlineLevel="0" collapsed="false">
      <c r="A5781" s="2" t="s">
        <v>11737</v>
      </c>
      <c r="B5781" s="2" t="s">
        <v>11738</v>
      </c>
      <c r="C5781" s="2" t="n">
        <v>5</v>
      </c>
      <c r="D5781" s="2" t="s">
        <v>90</v>
      </c>
      <c r="E5781" s="2" t="s">
        <v>8083</v>
      </c>
      <c r="F5781" s="3" t="n">
        <v>46221.09375</v>
      </c>
      <c r="G5781" s="2" t="s">
        <v>11403</v>
      </c>
      <c r="H5781" s="4" t="n">
        <v>0.6249</v>
      </c>
      <c r="I5781" s="2" t="s">
        <v>23</v>
      </c>
      <c r="J5781" s="2" t="s">
        <v>37</v>
      </c>
      <c r="K5781" s="2" t="n">
        <v>0</v>
      </c>
      <c r="L5781" s="2" t="n">
        <v>0</v>
      </c>
      <c r="M5781" s="2" t="n">
        <v>0</v>
      </c>
    </row>
    <row r="5782" customFormat="false" ht="15" hidden="false" customHeight="false" outlineLevel="0" collapsed="false">
      <c r="A5782" s="2" t="s">
        <v>11739</v>
      </c>
      <c r="B5782" s="2" t="s">
        <v>11740</v>
      </c>
      <c r="C5782" s="2" t="n">
        <v>5</v>
      </c>
      <c r="D5782" s="2" t="s">
        <v>52</v>
      </c>
      <c r="E5782" s="2" t="s">
        <v>8083</v>
      </c>
      <c r="F5782" s="3" t="n">
        <v>46221.1263888889</v>
      </c>
      <c r="G5782" s="2" t="s">
        <v>11403</v>
      </c>
      <c r="H5782" s="4" t="n">
        <v>0.6369</v>
      </c>
      <c r="I5782" s="2" t="s">
        <v>23</v>
      </c>
      <c r="J5782" s="2" t="s">
        <v>19</v>
      </c>
      <c r="K5782" s="2" t="n">
        <v>2</v>
      </c>
      <c r="L5782" s="2" t="n">
        <v>0</v>
      </c>
      <c r="M5782" s="2" t="n">
        <v>0</v>
      </c>
    </row>
    <row r="5783" customFormat="false" ht="15" hidden="false" customHeight="false" outlineLevel="0" collapsed="false">
      <c r="A5783" s="2" t="s">
        <v>11741</v>
      </c>
      <c r="B5783" s="2" t="s">
        <v>11742</v>
      </c>
      <c r="C5783" s="2" t="n">
        <v>5</v>
      </c>
      <c r="D5783" s="2" t="s">
        <v>127</v>
      </c>
      <c r="E5783" s="2" t="s">
        <v>8083</v>
      </c>
      <c r="F5783" s="3" t="n">
        <v>46221.3625</v>
      </c>
      <c r="G5783" s="2" t="s">
        <v>11403</v>
      </c>
      <c r="H5783" s="4" t="n">
        <v>0.9359</v>
      </c>
      <c r="I5783" s="2" t="s">
        <v>23</v>
      </c>
      <c r="J5783" s="2" t="s">
        <v>37</v>
      </c>
      <c r="K5783" s="2" t="n">
        <v>2</v>
      </c>
      <c r="L5783" s="2" t="n">
        <v>0</v>
      </c>
      <c r="M5783" s="2" t="n">
        <v>0</v>
      </c>
    </row>
    <row r="5784" customFormat="false" ht="15" hidden="false" customHeight="false" outlineLevel="0" collapsed="false">
      <c r="A5784" s="2" t="s">
        <v>11743</v>
      </c>
      <c r="B5784" s="2" t="s">
        <v>6309</v>
      </c>
      <c r="C5784" s="2" t="n">
        <v>4</v>
      </c>
      <c r="D5784" s="2" t="s">
        <v>52</v>
      </c>
      <c r="E5784" s="2" t="s">
        <v>8083</v>
      </c>
      <c r="F5784" s="3" t="n">
        <v>46221.3881944444</v>
      </c>
      <c r="G5784" s="2" t="s">
        <v>11403</v>
      </c>
      <c r="H5784" s="4" t="n">
        <v>0.6369</v>
      </c>
      <c r="I5784" s="2" t="s">
        <v>23</v>
      </c>
      <c r="J5784" s="2" t="s">
        <v>19</v>
      </c>
      <c r="K5784" s="2" t="n">
        <v>0</v>
      </c>
      <c r="L5784" s="2" t="n">
        <v>0</v>
      </c>
      <c r="M5784" s="2" t="n">
        <v>0</v>
      </c>
    </row>
    <row r="5785" customFormat="false" ht="15" hidden="false" customHeight="false" outlineLevel="0" collapsed="false">
      <c r="A5785" s="2" t="s">
        <v>11744</v>
      </c>
      <c r="B5785" s="2" t="s">
        <v>11745</v>
      </c>
      <c r="C5785" s="2" t="n">
        <v>2</v>
      </c>
      <c r="D5785" s="2" t="s">
        <v>109</v>
      </c>
      <c r="E5785" s="2" t="s">
        <v>8083</v>
      </c>
      <c r="F5785" s="3" t="n">
        <v>46221.4027777778</v>
      </c>
      <c r="G5785" s="2" t="s">
        <v>11403</v>
      </c>
      <c r="H5785" s="4" t="n">
        <v>0</v>
      </c>
      <c r="I5785" s="2" t="s">
        <v>18</v>
      </c>
      <c r="J5785" s="2" t="s">
        <v>110</v>
      </c>
      <c r="K5785" s="2" t="n">
        <v>4</v>
      </c>
      <c r="L5785" s="2" t="n">
        <v>1</v>
      </c>
      <c r="M5785" s="2" t="n">
        <v>0</v>
      </c>
    </row>
    <row r="5786" customFormat="false" ht="15" hidden="false" customHeight="false" outlineLevel="0" collapsed="false">
      <c r="A5786" s="2" t="s">
        <v>11746</v>
      </c>
      <c r="B5786" s="2" t="s">
        <v>11747</v>
      </c>
      <c r="C5786" s="2" t="n">
        <v>4</v>
      </c>
      <c r="D5786" s="2" t="s">
        <v>62</v>
      </c>
      <c r="E5786" s="2" t="s">
        <v>8083</v>
      </c>
      <c r="F5786" s="3" t="n">
        <v>46221.4569444444</v>
      </c>
      <c r="G5786" s="2" t="s">
        <v>11403</v>
      </c>
      <c r="H5786" s="4" t="n">
        <v>0.7088</v>
      </c>
      <c r="I5786" s="2" t="s">
        <v>23</v>
      </c>
      <c r="J5786" s="2" t="s">
        <v>19</v>
      </c>
      <c r="K5786" s="2" t="n">
        <v>0</v>
      </c>
      <c r="L5786" s="2" t="n">
        <v>0</v>
      </c>
      <c r="M5786" s="2" t="n">
        <v>0</v>
      </c>
    </row>
    <row r="5787" customFormat="false" ht="15" hidden="false" customHeight="false" outlineLevel="0" collapsed="false">
      <c r="A5787" s="2" t="s">
        <v>11748</v>
      </c>
      <c r="B5787" s="2" t="s">
        <v>11749</v>
      </c>
      <c r="C5787" s="2" t="n">
        <v>5</v>
      </c>
      <c r="D5787" s="2" t="s">
        <v>11750</v>
      </c>
      <c r="E5787" s="2" t="s">
        <v>8083</v>
      </c>
      <c r="F5787" s="3" t="n">
        <v>46221.5923611111</v>
      </c>
      <c r="G5787" s="2" t="s">
        <v>11403</v>
      </c>
      <c r="H5787" s="4" t="n">
        <v>0.8953</v>
      </c>
      <c r="I5787" s="2" t="s">
        <v>23</v>
      </c>
      <c r="J5787" s="2" t="s">
        <v>19</v>
      </c>
      <c r="K5787" s="2" t="n">
        <v>3</v>
      </c>
      <c r="L5787" s="2" t="n">
        <v>0</v>
      </c>
      <c r="M5787" s="2" t="n">
        <v>0</v>
      </c>
    </row>
    <row r="5788" customFormat="false" ht="15" hidden="false" customHeight="false" outlineLevel="0" collapsed="false">
      <c r="A5788" s="2" t="s">
        <v>11751</v>
      </c>
      <c r="B5788" s="2" t="s">
        <v>11752</v>
      </c>
      <c r="C5788" s="2" t="n">
        <v>1</v>
      </c>
      <c r="D5788" s="2" t="s">
        <v>733</v>
      </c>
      <c r="E5788" s="2" t="s">
        <v>8083</v>
      </c>
      <c r="F5788" s="3" t="n">
        <v>46221.7208333333</v>
      </c>
      <c r="G5788" s="2" t="s">
        <v>11403</v>
      </c>
      <c r="H5788" s="4" t="n">
        <v>-0.2846</v>
      </c>
      <c r="I5788" s="2" t="s">
        <v>84</v>
      </c>
      <c r="J5788" s="2" t="s">
        <v>37</v>
      </c>
      <c r="K5788" s="2" t="n">
        <v>5</v>
      </c>
      <c r="L5788" s="2" t="n">
        <v>0</v>
      </c>
      <c r="M5788" s="2" t="n">
        <v>0</v>
      </c>
    </row>
    <row r="5789" customFormat="false" ht="15" hidden="false" customHeight="false" outlineLevel="0" collapsed="false">
      <c r="A5789" s="2" t="s">
        <v>11753</v>
      </c>
      <c r="B5789" s="2" t="s">
        <v>11754</v>
      </c>
      <c r="C5789" s="2" t="n">
        <v>5</v>
      </c>
      <c r="D5789" s="2" t="s">
        <v>62</v>
      </c>
      <c r="E5789" s="2" t="s">
        <v>8083</v>
      </c>
      <c r="F5789" s="3" t="n">
        <v>46221.7708333333</v>
      </c>
      <c r="G5789" s="2" t="s">
        <v>11403</v>
      </c>
      <c r="H5789" s="4" t="n">
        <v>0.7088</v>
      </c>
      <c r="I5789" s="2" t="s">
        <v>23</v>
      </c>
      <c r="J5789" s="2" t="s">
        <v>19</v>
      </c>
      <c r="K5789" s="2" t="n">
        <v>7</v>
      </c>
      <c r="L5789" s="2" t="n">
        <v>0</v>
      </c>
      <c r="M5789" s="2" t="n">
        <v>0</v>
      </c>
    </row>
    <row r="5790" customFormat="false" ht="15" hidden="false" customHeight="false" outlineLevel="0" collapsed="false">
      <c r="A5790" s="2" t="s">
        <v>11755</v>
      </c>
      <c r="B5790" s="2" t="s">
        <v>11756</v>
      </c>
      <c r="C5790" s="2" t="n">
        <v>5</v>
      </c>
      <c r="D5790" s="2" t="s">
        <v>652</v>
      </c>
      <c r="E5790" s="2" t="s">
        <v>8083</v>
      </c>
      <c r="F5790" s="3" t="n">
        <v>46221.8604166667</v>
      </c>
      <c r="G5790" s="2" t="s">
        <v>11403</v>
      </c>
      <c r="H5790" s="4" t="n">
        <v>0.8555</v>
      </c>
      <c r="I5790" s="2" t="s">
        <v>23</v>
      </c>
      <c r="J5790" s="2" t="s">
        <v>19</v>
      </c>
      <c r="K5790" s="2" t="n">
        <v>2</v>
      </c>
      <c r="L5790" s="2" t="n">
        <v>0</v>
      </c>
      <c r="M5790" s="2" t="n">
        <v>0</v>
      </c>
    </row>
    <row r="5791" customFormat="false" ht="15" hidden="false" customHeight="false" outlineLevel="0" collapsed="false">
      <c r="A5791" s="2" t="s">
        <v>11757</v>
      </c>
      <c r="B5791" s="2" t="s">
        <v>11758</v>
      </c>
      <c r="C5791" s="2" t="n">
        <v>4</v>
      </c>
      <c r="D5791" s="2" t="s">
        <v>90</v>
      </c>
      <c r="E5791" s="2" t="s">
        <v>8083</v>
      </c>
      <c r="F5791" s="3" t="n">
        <v>46222.0118055556</v>
      </c>
      <c r="G5791" s="2" t="s">
        <v>11403</v>
      </c>
      <c r="H5791" s="4" t="n">
        <v>0.6249</v>
      </c>
      <c r="I5791" s="2" t="s">
        <v>23</v>
      </c>
      <c r="J5791" s="2" t="s">
        <v>37</v>
      </c>
      <c r="K5791" s="2" t="n">
        <v>2</v>
      </c>
      <c r="L5791" s="2" t="n">
        <v>0</v>
      </c>
      <c r="M5791" s="2" t="n">
        <v>0</v>
      </c>
    </row>
    <row r="5792" customFormat="false" ht="15" hidden="false" customHeight="false" outlineLevel="0" collapsed="false">
      <c r="A5792" s="2" t="s">
        <v>11759</v>
      </c>
      <c r="B5792" s="2" t="s">
        <v>11760</v>
      </c>
      <c r="C5792" s="2" t="n">
        <v>5</v>
      </c>
      <c r="D5792" s="2" t="s">
        <v>269</v>
      </c>
      <c r="E5792" s="2" t="s">
        <v>8083</v>
      </c>
      <c r="F5792" s="3" t="n">
        <v>46222.0979166667</v>
      </c>
      <c r="G5792" s="2" t="s">
        <v>11403</v>
      </c>
      <c r="H5792" s="4" t="n">
        <v>0.8748</v>
      </c>
      <c r="I5792" s="2" t="s">
        <v>23</v>
      </c>
      <c r="J5792" s="2" t="s">
        <v>37</v>
      </c>
      <c r="K5792" s="2" t="n">
        <v>3</v>
      </c>
      <c r="L5792" s="2" t="n">
        <v>0</v>
      </c>
      <c r="M5792" s="2" t="n">
        <v>0</v>
      </c>
    </row>
    <row r="5793" customFormat="false" ht="15" hidden="false" customHeight="false" outlineLevel="0" collapsed="false">
      <c r="A5793" s="2" t="s">
        <v>11761</v>
      </c>
      <c r="B5793" s="2" t="s">
        <v>11762</v>
      </c>
      <c r="C5793" s="2" t="n">
        <v>4</v>
      </c>
      <c r="D5793" s="2" t="s">
        <v>36</v>
      </c>
      <c r="E5793" s="2" t="s">
        <v>8083</v>
      </c>
      <c r="F5793" s="3" t="n">
        <v>46222.13125</v>
      </c>
      <c r="G5793" s="2" t="s">
        <v>11403</v>
      </c>
      <c r="H5793" s="4" t="n">
        <v>0.4404</v>
      </c>
      <c r="I5793" s="2" t="s">
        <v>23</v>
      </c>
      <c r="J5793" s="2" t="s">
        <v>37</v>
      </c>
      <c r="K5793" s="2" t="n">
        <v>6</v>
      </c>
      <c r="L5793" s="2" t="n">
        <v>0</v>
      </c>
      <c r="M5793" s="2" t="n">
        <v>0</v>
      </c>
    </row>
    <row r="5794" customFormat="false" ht="15" hidden="false" customHeight="false" outlineLevel="0" collapsed="false">
      <c r="A5794" s="2" t="s">
        <v>11763</v>
      </c>
      <c r="B5794" s="2" t="s">
        <v>11764</v>
      </c>
      <c r="C5794" s="2" t="n">
        <v>4</v>
      </c>
      <c r="D5794" s="2" t="s">
        <v>47</v>
      </c>
      <c r="E5794" s="2" t="s">
        <v>8083</v>
      </c>
      <c r="F5794" s="3" t="n">
        <v>46222.1965277778</v>
      </c>
      <c r="G5794" s="2" t="s">
        <v>11403</v>
      </c>
      <c r="H5794" s="4" t="n">
        <v>0.3089</v>
      </c>
      <c r="I5794" s="2" t="s">
        <v>23</v>
      </c>
      <c r="J5794" s="2" t="s">
        <v>19</v>
      </c>
      <c r="K5794" s="2" t="n">
        <v>2</v>
      </c>
      <c r="L5794" s="2" t="n">
        <v>0</v>
      </c>
      <c r="M5794" s="2" t="n">
        <v>0</v>
      </c>
    </row>
    <row r="5795" customFormat="false" ht="15" hidden="false" customHeight="false" outlineLevel="0" collapsed="false">
      <c r="A5795" s="2" t="s">
        <v>11765</v>
      </c>
      <c r="B5795" s="2" t="s">
        <v>11766</v>
      </c>
      <c r="C5795" s="2" t="n">
        <v>3</v>
      </c>
      <c r="D5795" s="2" t="s">
        <v>301</v>
      </c>
      <c r="E5795" s="2" t="s">
        <v>8083</v>
      </c>
      <c r="F5795" s="3" t="n">
        <v>46222.2263888889</v>
      </c>
      <c r="G5795" s="2" t="s">
        <v>11403</v>
      </c>
      <c r="H5795" s="4" t="n">
        <v>0.2263</v>
      </c>
      <c r="I5795" s="2" t="s">
        <v>23</v>
      </c>
      <c r="J5795" s="2" t="s">
        <v>19</v>
      </c>
      <c r="K5795" s="2" t="n">
        <v>4</v>
      </c>
      <c r="L5795" s="2" t="n">
        <v>0</v>
      </c>
      <c r="M5795" s="2" t="n">
        <v>0</v>
      </c>
    </row>
    <row r="5796" customFormat="false" ht="15" hidden="false" customHeight="false" outlineLevel="0" collapsed="false">
      <c r="A5796" s="2" t="s">
        <v>11767</v>
      </c>
      <c r="B5796" s="2" t="s">
        <v>11768</v>
      </c>
      <c r="C5796" s="2" t="n">
        <v>1</v>
      </c>
      <c r="D5796" s="2" t="s">
        <v>482</v>
      </c>
      <c r="E5796" s="2" t="s">
        <v>8083</v>
      </c>
      <c r="F5796" s="3" t="n">
        <v>46222.4909722222</v>
      </c>
      <c r="G5796" s="2" t="s">
        <v>11403</v>
      </c>
      <c r="H5796" s="4" t="n">
        <v>-0.6808</v>
      </c>
      <c r="I5796" s="2" t="s">
        <v>84</v>
      </c>
      <c r="J5796" s="2" t="s">
        <v>110</v>
      </c>
      <c r="K5796" s="2" t="n">
        <v>1</v>
      </c>
      <c r="L5796" s="2" t="n">
        <v>0</v>
      </c>
      <c r="M5796" s="2" t="n">
        <v>0</v>
      </c>
    </row>
    <row r="5797" customFormat="false" ht="15" hidden="false" customHeight="false" outlineLevel="0" collapsed="false">
      <c r="A5797" s="2" t="s">
        <v>11769</v>
      </c>
      <c r="B5797" s="2" t="s">
        <v>11770</v>
      </c>
      <c r="C5797" s="2" t="n">
        <v>5</v>
      </c>
      <c r="D5797" s="2" t="s">
        <v>52</v>
      </c>
      <c r="E5797" s="2" t="s">
        <v>8083</v>
      </c>
      <c r="F5797" s="3" t="n">
        <v>46222.5395833333</v>
      </c>
      <c r="G5797" s="2" t="s">
        <v>11403</v>
      </c>
      <c r="H5797" s="4" t="n">
        <v>0.6369</v>
      </c>
      <c r="I5797" s="2" t="s">
        <v>23</v>
      </c>
      <c r="J5797" s="2" t="s">
        <v>19</v>
      </c>
      <c r="K5797" s="2" t="n">
        <v>3</v>
      </c>
      <c r="L5797" s="2" t="n">
        <v>0</v>
      </c>
      <c r="M5797" s="2" t="n">
        <v>0</v>
      </c>
    </row>
    <row r="5798" customFormat="false" ht="15" hidden="false" customHeight="false" outlineLevel="0" collapsed="false">
      <c r="A5798" s="2" t="s">
        <v>11771</v>
      </c>
      <c r="B5798" s="2" t="s">
        <v>11772</v>
      </c>
      <c r="C5798" s="2" t="n">
        <v>5</v>
      </c>
      <c r="D5798" s="2" t="s">
        <v>958</v>
      </c>
      <c r="E5798" s="2" t="s">
        <v>8083</v>
      </c>
      <c r="F5798" s="3" t="n">
        <v>46222.5631944445</v>
      </c>
      <c r="G5798" s="2" t="s">
        <v>11403</v>
      </c>
      <c r="H5798" s="4" t="n">
        <v>0.6249</v>
      </c>
      <c r="I5798" s="2" t="s">
        <v>23</v>
      </c>
      <c r="J5798" s="2" t="s">
        <v>37</v>
      </c>
      <c r="K5798" s="2" t="n">
        <v>2</v>
      </c>
      <c r="L5798" s="2" t="n">
        <v>0</v>
      </c>
      <c r="M5798" s="2" t="n">
        <v>0</v>
      </c>
    </row>
    <row r="5799" customFormat="false" ht="15" hidden="false" customHeight="false" outlineLevel="0" collapsed="false">
      <c r="A5799" s="2" t="s">
        <v>11773</v>
      </c>
      <c r="B5799" s="2" t="s">
        <v>11774</v>
      </c>
      <c r="C5799" s="2" t="n">
        <v>4</v>
      </c>
      <c r="D5799" s="2" t="s">
        <v>36</v>
      </c>
      <c r="E5799" s="2" t="s">
        <v>8083</v>
      </c>
      <c r="F5799" s="3" t="n">
        <v>46222.7854166667</v>
      </c>
      <c r="G5799" s="2" t="s">
        <v>11403</v>
      </c>
      <c r="H5799" s="4" t="n">
        <v>0.4404</v>
      </c>
      <c r="I5799" s="2" t="s">
        <v>23</v>
      </c>
      <c r="J5799" s="2" t="s">
        <v>37</v>
      </c>
      <c r="K5799" s="2" t="n">
        <v>1</v>
      </c>
      <c r="L5799" s="2" t="n">
        <v>0</v>
      </c>
      <c r="M5799" s="2" t="n">
        <v>0</v>
      </c>
    </row>
    <row r="5800" customFormat="false" ht="15" hidden="false" customHeight="false" outlineLevel="0" collapsed="false">
      <c r="A5800" s="2" t="s">
        <v>11775</v>
      </c>
      <c r="B5800" s="2" t="s">
        <v>11776</v>
      </c>
      <c r="C5800" s="2" t="n">
        <v>5</v>
      </c>
      <c r="D5800" s="2" t="s">
        <v>127</v>
      </c>
      <c r="E5800" s="2" t="s">
        <v>8083</v>
      </c>
      <c r="F5800" s="3" t="n">
        <v>46222.8347222222</v>
      </c>
      <c r="G5800" s="2" t="s">
        <v>11403</v>
      </c>
      <c r="H5800" s="4" t="n">
        <v>0.9359</v>
      </c>
      <c r="I5800" s="2" t="s">
        <v>23</v>
      </c>
      <c r="J5800" s="2" t="s">
        <v>37</v>
      </c>
      <c r="K5800" s="2" t="n">
        <v>4</v>
      </c>
      <c r="L5800" s="2" t="n">
        <v>0</v>
      </c>
      <c r="M5800" s="2" t="n">
        <v>0</v>
      </c>
    </row>
    <row r="5801" customFormat="false" ht="15" hidden="false" customHeight="false" outlineLevel="0" collapsed="false">
      <c r="A5801" s="2" t="s">
        <v>11777</v>
      </c>
      <c r="B5801" s="2" t="s">
        <v>11778</v>
      </c>
      <c r="C5801" s="2" t="n">
        <v>5</v>
      </c>
      <c r="D5801" s="2" t="s">
        <v>127</v>
      </c>
      <c r="E5801" s="2" t="s">
        <v>8083</v>
      </c>
      <c r="F5801" s="3" t="n">
        <v>46222.9208333333</v>
      </c>
      <c r="G5801" s="2" t="s">
        <v>11403</v>
      </c>
      <c r="H5801" s="4" t="n">
        <v>0.9359</v>
      </c>
      <c r="I5801" s="2" t="s">
        <v>23</v>
      </c>
      <c r="J5801" s="2" t="s">
        <v>37</v>
      </c>
      <c r="K5801" s="2" t="n">
        <v>2</v>
      </c>
      <c r="L5801" s="2" t="n">
        <v>0</v>
      </c>
      <c r="M5801" s="2" t="n">
        <v>0</v>
      </c>
    </row>
    <row r="5802" customFormat="false" ht="15" hidden="false" customHeight="false" outlineLevel="0" collapsed="false">
      <c r="A5802" s="2" t="s">
        <v>11779</v>
      </c>
      <c r="B5802" s="2" t="s">
        <v>4495</v>
      </c>
      <c r="C5802" s="2" t="n">
        <v>5</v>
      </c>
      <c r="D5802" s="2" t="s">
        <v>127</v>
      </c>
      <c r="E5802" s="2" t="s">
        <v>8083</v>
      </c>
      <c r="F5802" s="3" t="n">
        <v>46222.9958333333</v>
      </c>
      <c r="G5802" s="2" t="s">
        <v>11403</v>
      </c>
      <c r="H5802" s="4" t="n">
        <v>0.9359</v>
      </c>
      <c r="I5802" s="2" t="s">
        <v>23</v>
      </c>
      <c r="J5802" s="2" t="s">
        <v>37</v>
      </c>
      <c r="K5802" s="2" t="n">
        <v>4</v>
      </c>
      <c r="L5802" s="2" t="n">
        <v>0</v>
      </c>
      <c r="M5802" s="2" t="n">
        <v>0</v>
      </c>
    </row>
    <row r="5803" customFormat="false" ht="15" hidden="false" customHeight="false" outlineLevel="0" collapsed="false">
      <c r="A5803" s="2" t="s">
        <v>11780</v>
      </c>
      <c r="B5803" s="2" t="s">
        <v>11781</v>
      </c>
      <c r="C5803" s="2" t="n">
        <v>5</v>
      </c>
      <c r="D5803" s="2" t="s">
        <v>90</v>
      </c>
      <c r="E5803" s="2" t="s">
        <v>8083</v>
      </c>
      <c r="F5803" s="3" t="n">
        <v>46223.0444444444</v>
      </c>
      <c r="G5803" s="2" t="s">
        <v>11403</v>
      </c>
      <c r="H5803" s="4" t="n">
        <v>0.6249</v>
      </c>
      <c r="I5803" s="2" t="s">
        <v>23</v>
      </c>
      <c r="J5803" s="2" t="s">
        <v>37</v>
      </c>
      <c r="K5803" s="2" t="n">
        <v>22</v>
      </c>
      <c r="L5803" s="2" t="n">
        <v>0</v>
      </c>
      <c r="M5803" s="2" t="n">
        <v>0</v>
      </c>
    </row>
    <row r="5804" customFormat="false" ht="15" hidden="false" customHeight="false" outlineLevel="0" collapsed="false">
      <c r="A5804" s="2" t="s">
        <v>11782</v>
      </c>
      <c r="B5804" s="2" t="s">
        <v>11783</v>
      </c>
      <c r="C5804" s="2" t="n">
        <v>5</v>
      </c>
      <c r="D5804" s="2" t="s">
        <v>90</v>
      </c>
      <c r="E5804" s="2" t="s">
        <v>8083</v>
      </c>
      <c r="F5804" s="3" t="n">
        <v>46223.0979166667</v>
      </c>
      <c r="G5804" s="2" t="s">
        <v>11403</v>
      </c>
      <c r="H5804" s="4" t="n">
        <v>0.6249</v>
      </c>
      <c r="I5804" s="2" t="s">
        <v>23</v>
      </c>
      <c r="J5804" s="2" t="s">
        <v>37</v>
      </c>
      <c r="K5804" s="2" t="n">
        <v>6</v>
      </c>
      <c r="L5804" s="2" t="n">
        <v>0</v>
      </c>
      <c r="M5804" s="2" t="n">
        <v>0</v>
      </c>
    </row>
    <row r="5805" customFormat="false" ht="15" hidden="false" customHeight="false" outlineLevel="0" collapsed="false">
      <c r="A5805" s="2" t="s">
        <v>11784</v>
      </c>
      <c r="B5805" s="2" t="s">
        <v>11785</v>
      </c>
      <c r="C5805" s="2" t="n">
        <v>5</v>
      </c>
      <c r="D5805" s="2" t="s">
        <v>15</v>
      </c>
      <c r="E5805" s="2" t="s">
        <v>8083</v>
      </c>
      <c r="F5805" s="3" t="n">
        <v>46223.1118055556</v>
      </c>
      <c r="G5805" s="2" t="s">
        <v>11403</v>
      </c>
      <c r="H5805" s="4" t="n">
        <v>0</v>
      </c>
      <c r="I5805" s="2" t="s">
        <v>18</v>
      </c>
      <c r="J5805" s="2" t="s">
        <v>19</v>
      </c>
      <c r="K5805" s="2" t="n">
        <v>4</v>
      </c>
      <c r="L5805" s="2" t="n">
        <v>0</v>
      </c>
      <c r="M5805" s="2" t="n">
        <v>0</v>
      </c>
    </row>
    <row r="5806" customFormat="false" ht="15" hidden="false" customHeight="false" outlineLevel="0" collapsed="false">
      <c r="A5806" s="2" t="s">
        <v>11786</v>
      </c>
      <c r="B5806" s="2" t="s">
        <v>11787</v>
      </c>
      <c r="C5806" s="2" t="n">
        <v>5</v>
      </c>
      <c r="D5806" s="2" t="s">
        <v>62</v>
      </c>
      <c r="E5806" s="2" t="s">
        <v>8083</v>
      </c>
      <c r="F5806" s="3" t="n">
        <v>46223.1576388889</v>
      </c>
      <c r="G5806" s="2" t="s">
        <v>11403</v>
      </c>
      <c r="H5806" s="4" t="n">
        <v>0.7088</v>
      </c>
      <c r="I5806" s="2" t="s">
        <v>23</v>
      </c>
      <c r="J5806" s="2" t="s">
        <v>19</v>
      </c>
      <c r="K5806" s="2" t="n">
        <v>3</v>
      </c>
      <c r="L5806" s="2" t="n">
        <v>0</v>
      </c>
      <c r="M5806" s="2" t="n">
        <v>0</v>
      </c>
    </row>
    <row r="5807" customFormat="false" ht="15" hidden="false" customHeight="false" outlineLevel="0" collapsed="false">
      <c r="A5807" s="2" t="s">
        <v>11788</v>
      </c>
      <c r="B5807" s="2" t="s">
        <v>11789</v>
      </c>
      <c r="C5807" s="2" t="n">
        <v>4</v>
      </c>
      <c r="D5807" s="2" t="s">
        <v>22</v>
      </c>
      <c r="E5807" s="2" t="s">
        <v>8083</v>
      </c>
      <c r="F5807" s="3" t="n">
        <v>46223.4166666667</v>
      </c>
      <c r="G5807" s="2" t="s">
        <v>11403</v>
      </c>
      <c r="H5807" s="4" t="n">
        <v>0.2023</v>
      </c>
      <c r="I5807" s="2" t="s">
        <v>23</v>
      </c>
      <c r="J5807" s="2" t="s">
        <v>19</v>
      </c>
      <c r="K5807" s="2" t="n">
        <v>1</v>
      </c>
      <c r="L5807" s="2" t="n">
        <v>0</v>
      </c>
      <c r="M5807" s="2" t="n">
        <v>0</v>
      </c>
    </row>
    <row r="5808" customFormat="false" ht="15" hidden="false" customHeight="false" outlineLevel="0" collapsed="false">
      <c r="A5808" s="2" t="s">
        <v>11790</v>
      </c>
      <c r="B5808" s="2" t="s">
        <v>11791</v>
      </c>
      <c r="C5808" s="2" t="n">
        <v>4</v>
      </c>
      <c r="D5808" s="2" t="s">
        <v>116</v>
      </c>
      <c r="E5808" s="2" t="s">
        <v>8083</v>
      </c>
      <c r="F5808" s="3" t="n">
        <v>46223.5534722222</v>
      </c>
      <c r="G5808" s="2" t="s">
        <v>11403</v>
      </c>
      <c r="H5808" s="4" t="n">
        <v>0.9359</v>
      </c>
      <c r="I5808" s="2" t="s">
        <v>23</v>
      </c>
      <c r="J5808" s="2" t="s">
        <v>37</v>
      </c>
      <c r="K5808" s="2" t="n">
        <v>6</v>
      </c>
      <c r="L5808" s="2" t="n">
        <v>0</v>
      </c>
      <c r="M5808" s="2" t="n">
        <v>0</v>
      </c>
    </row>
    <row r="5809" customFormat="false" ht="15" hidden="false" customHeight="false" outlineLevel="0" collapsed="false">
      <c r="A5809" s="2" t="s">
        <v>11792</v>
      </c>
      <c r="B5809" s="2" t="s">
        <v>11793</v>
      </c>
      <c r="C5809" s="2" t="n">
        <v>4</v>
      </c>
      <c r="D5809" s="2" t="s">
        <v>15</v>
      </c>
      <c r="E5809" s="2" t="s">
        <v>8083</v>
      </c>
      <c r="F5809" s="3" t="n">
        <v>46224.0229166667</v>
      </c>
      <c r="G5809" s="2" t="s">
        <v>11403</v>
      </c>
      <c r="H5809" s="4" t="n">
        <v>0</v>
      </c>
      <c r="I5809" s="2" t="s">
        <v>18</v>
      </c>
      <c r="J5809" s="2" t="s">
        <v>19</v>
      </c>
      <c r="K5809" s="2" t="n">
        <v>5</v>
      </c>
      <c r="L5809" s="2" t="n">
        <v>0</v>
      </c>
      <c r="M5809" s="2" t="n">
        <v>0</v>
      </c>
    </row>
    <row r="5810" customFormat="false" ht="15" hidden="false" customHeight="false" outlineLevel="0" collapsed="false">
      <c r="A5810" s="2" t="s">
        <v>11794</v>
      </c>
      <c r="B5810" s="2" t="s">
        <v>11795</v>
      </c>
      <c r="C5810" s="2" t="n">
        <v>5</v>
      </c>
      <c r="D5810" s="2" t="s">
        <v>96</v>
      </c>
      <c r="E5810" s="2" t="s">
        <v>8083</v>
      </c>
      <c r="F5810" s="3" t="n">
        <v>46224.1840277778</v>
      </c>
      <c r="G5810" s="2" t="s">
        <v>11403</v>
      </c>
      <c r="H5810" s="4" t="n">
        <v>0.6369</v>
      </c>
      <c r="I5810" s="2" t="s">
        <v>23</v>
      </c>
      <c r="J5810" s="2" t="s">
        <v>19</v>
      </c>
      <c r="K5810" s="2" t="n">
        <v>6</v>
      </c>
      <c r="L5810" s="2" t="n">
        <v>0</v>
      </c>
      <c r="M5810" s="2" t="n">
        <v>0</v>
      </c>
    </row>
    <row r="5811" customFormat="false" ht="15" hidden="false" customHeight="false" outlineLevel="0" collapsed="false">
      <c r="A5811" s="2" t="s">
        <v>11796</v>
      </c>
      <c r="B5811" s="2" t="s">
        <v>11797</v>
      </c>
      <c r="C5811" s="2" t="n">
        <v>2</v>
      </c>
      <c r="D5811" s="2" t="s">
        <v>11798</v>
      </c>
      <c r="E5811" s="2" t="s">
        <v>8083</v>
      </c>
      <c r="F5811" s="3" t="n">
        <v>46224.2333333333</v>
      </c>
      <c r="G5811" s="2" t="s">
        <v>11403</v>
      </c>
      <c r="H5811" s="4" t="n">
        <v>-0.0258</v>
      </c>
      <c r="I5811" s="2" t="s">
        <v>18</v>
      </c>
      <c r="J5811" s="2" t="s">
        <v>59</v>
      </c>
      <c r="K5811" s="2" t="n">
        <v>4</v>
      </c>
      <c r="L5811" s="2" t="n">
        <v>1</v>
      </c>
      <c r="M5811" s="2" t="n">
        <v>0</v>
      </c>
    </row>
    <row r="5812" customFormat="false" ht="15" hidden="false" customHeight="false" outlineLevel="0" collapsed="false">
      <c r="A5812" s="2" t="s">
        <v>11799</v>
      </c>
      <c r="B5812" s="2" t="s">
        <v>11800</v>
      </c>
      <c r="C5812" s="2" t="n">
        <v>5</v>
      </c>
      <c r="D5812" s="2" t="s">
        <v>90</v>
      </c>
      <c r="E5812" s="2" t="s">
        <v>8083</v>
      </c>
      <c r="F5812" s="3" t="n">
        <v>46224.3006944444</v>
      </c>
      <c r="G5812" s="2" t="s">
        <v>11403</v>
      </c>
      <c r="H5812" s="4" t="n">
        <v>0.6249</v>
      </c>
      <c r="I5812" s="2" t="s">
        <v>23</v>
      </c>
      <c r="J5812" s="2" t="s">
        <v>37</v>
      </c>
      <c r="K5812" s="2" t="n">
        <v>3</v>
      </c>
      <c r="L5812" s="2" t="n">
        <v>0</v>
      </c>
      <c r="M5812" s="2" t="n">
        <v>0</v>
      </c>
    </row>
    <row r="5813" customFormat="false" ht="15" hidden="false" customHeight="false" outlineLevel="0" collapsed="false">
      <c r="A5813" s="2" t="s">
        <v>11801</v>
      </c>
      <c r="B5813" s="2" t="s">
        <v>11802</v>
      </c>
      <c r="C5813" s="2" t="n">
        <v>5</v>
      </c>
      <c r="D5813" s="2" t="s">
        <v>62</v>
      </c>
      <c r="E5813" s="2" t="s">
        <v>8083</v>
      </c>
      <c r="F5813" s="3" t="n">
        <v>46224.3319444444</v>
      </c>
      <c r="G5813" s="2" t="s">
        <v>11403</v>
      </c>
      <c r="H5813" s="4" t="n">
        <v>0.7088</v>
      </c>
      <c r="I5813" s="2" t="s">
        <v>23</v>
      </c>
      <c r="J5813" s="2" t="s">
        <v>19</v>
      </c>
      <c r="K5813" s="2" t="n">
        <v>1</v>
      </c>
      <c r="L5813" s="2" t="n">
        <v>0</v>
      </c>
      <c r="M5813" s="2" t="n">
        <v>0</v>
      </c>
    </row>
    <row r="5814" customFormat="false" ht="15" hidden="false" customHeight="false" outlineLevel="0" collapsed="false">
      <c r="A5814" s="2" t="s">
        <v>11803</v>
      </c>
      <c r="B5814" s="2" t="s">
        <v>11804</v>
      </c>
      <c r="C5814" s="2" t="n">
        <v>5</v>
      </c>
      <c r="D5814" s="2" t="s">
        <v>40</v>
      </c>
      <c r="E5814" s="2" t="s">
        <v>8083</v>
      </c>
      <c r="F5814" s="3" t="n">
        <v>46224.3618055556</v>
      </c>
      <c r="G5814" s="2" t="s">
        <v>11403</v>
      </c>
      <c r="H5814" s="4" t="n">
        <v>0.4019</v>
      </c>
      <c r="I5814" s="2" t="s">
        <v>23</v>
      </c>
      <c r="J5814" s="2" t="s">
        <v>33</v>
      </c>
      <c r="K5814" s="2" t="n">
        <v>1</v>
      </c>
      <c r="L5814" s="2" t="n">
        <v>0</v>
      </c>
      <c r="M5814" s="2" t="n">
        <v>0</v>
      </c>
    </row>
    <row r="5815" customFormat="false" ht="15" hidden="false" customHeight="false" outlineLevel="0" collapsed="false">
      <c r="A5815" s="2" t="s">
        <v>11805</v>
      </c>
      <c r="B5815" s="2" t="s">
        <v>11806</v>
      </c>
      <c r="C5815" s="2" t="n">
        <v>4</v>
      </c>
      <c r="D5815" s="2" t="s">
        <v>22</v>
      </c>
      <c r="E5815" s="2" t="s">
        <v>8083</v>
      </c>
      <c r="F5815" s="3" t="n">
        <v>46224.5375</v>
      </c>
      <c r="G5815" s="2" t="s">
        <v>11403</v>
      </c>
      <c r="H5815" s="4" t="n">
        <v>0.2023</v>
      </c>
      <c r="I5815" s="2" t="s">
        <v>23</v>
      </c>
      <c r="J5815" s="2" t="s">
        <v>19</v>
      </c>
      <c r="K5815" s="2" t="n">
        <v>1</v>
      </c>
      <c r="L5815" s="2" t="n">
        <v>0</v>
      </c>
      <c r="M5815" s="2" t="n">
        <v>0</v>
      </c>
    </row>
    <row r="5816" customFormat="false" ht="15" hidden="false" customHeight="false" outlineLevel="0" collapsed="false">
      <c r="A5816" s="2" t="s">
        <v>11807</v>
      </c>
      <c r="B5816" s="2" t="s">
        <v>11808</v>
      </c>
      <c r="C5816" s="2" t="n">
        <v>5</v>
      </c>
      <c r="D5816" s="2" t="s">
        <v>127</v>
      </c>
      <c r="E5816" s="2" t="s">
        <v>8083</v>
      </c>
      <c r="F5816" s="3" t="n">
        <v>46224.5430555556</v>
      </c>
      <c r="G5816" s="2" t="s">
        <v>11403</v>
      </c>
      <c r="H5816" s="4" t="n">
        <v>0.9359</v>
      </c>
      <c r="I5816" s="2" t="s">
        <v>23</v>
      </c>
      <c r="J5816" s="2" t="s">
        <v>37</v>
      </c>
      <c r="K5816" s="2" t="n">
        <v>1</v>
      </c>
      <c r="L5816" s="2" t="n">
        <v>0</v>
      </c>
      <c r="M5816" s="2" t="n">
        <v>0</v>
      </c>
    </row>
    <row r="5817" customFormat="false" ht="15" hidden="false" customHeight="false" outlineLevel="0" collapsed="false">
      <c r="A5817" s="2" t="s">
        <v>11809</v>
      </c>
      <c r="B5817" s="2" t="s">
        <v>11810</v>
      </c>
      <c r="C5817" s="2" t="n">
        <v>2</v>
      </c>
      <c r="D5817" s="2" t="s">
        <v>591</v>
      </c>
      <c r="E5817" s="2" t="s">
        <v>8083</v>
      </c>
      <c r="F5817" s="3" t="n">
        <v>46224.6229166667</v>
      </c>
      <c r="G5817" s="2" t="s">
        <v>11403</v>
      </c>
      <c r="H5817" s="4" t="n">
        <v>0</v>
      </c>
      <c r="I5817" s="2" t="s">
        <v>18</v>
      </c>
      <c r="J5817" s="2" t="s">
        <v>37</v>
      </c>
      <c r="K5817" s="2" t="n">
        <v>10</v>
      </c>
      <c r="L5817" s="2" t="n">
        <v>1</v>
      </c>
      <c r="M5817" s="2" t="n">
        <v>0</v>
      </c>
    </row>
    <row r="5818" customFormat="false" ht="15" hidden="false" customHeight="false" outlineLevel="0" collapsed="false">
      <c r="A5818" s="2" t="s">
        <v>11811</v>
      </c>
      <c r="B5818" s="2" t="s">
        <v>11812</v>
      </c>
      <c r="C5818" s="2" t="n">
        <v>4</v>
      </c>
      <c r="D5818" s="2" t="s">
        <v>127</v>
      </c>
      <c r="E5818" s="2" t="s">
        <v>8083</v>
      </c>
      <c r="F5818" s="3" t="n">
        <v>46224.6520833333</v>
      </c>
      <c r="G5818" s="2" t="s">
        <v>11403</v>
      </c>
      <c r="H5818" s="4" t="n">
        <v>0.9359</v>
      </c>
      <c r="I5818" s="2" t="s">
        <v>23</v>
      </c>
      <c r="J5818" s="2" t="s">
        <v>37</v>
      </c>
      <c r="K5818" s="2" t="n">
        <v>3</v>
      </c>
      <c r="L5818" s="2" t="n">
        <v>0</v>
      </c>
      <c r="M5818" s="2" t="n">
        <v>0</v>
      </c>
    </row>
    <row r="5819" customFormat="false" ht="15" hidden="false" customHeight="false" outlineLevel="0" collapsed="false">
      <c r="A5819" s="2" t="s">
        <v>11813</v>
      </c>
      <c r="B5819" s="2" t="s">
        <v>11814</v>
      </c>
      <c r="C5819" s="2" t="n">
        <v>4</v>
      </c>
      <c r="D5819" s="2" t="s">
        <v>301</v>
      </c>
      <c r="E5819" s="2" t="s">
        <v>8083</v>
      </c>
      <c r="F5819" s="3" t="n">
        <v>46224.6875</v>
      </c>
      <c r="G5819" s="2" t="s">
        <v>11403</v>
      </c>
      <c r="H5819" s="4" t="n">
        <v>0.2263</v>
      </c>
      <c r="I5819" s="2" t="s">
        <v>23</v>
      </c>
      <c r="J5819" s="2" t="s">
        <v>19</v>
      </c>
      <c r="K5819" s="2" t="n">
        <v>13</v>
      </c>
      <c r="L5819" s="2" t="n">
        <v>0</v>
      </c>
      <c r="M5819" s="2" t="n">
        <v>0</v>
      </c>
    </row>
    <row r="5820" customFormat="false" ht="15" hidden="false" customHeight="false" outlineLevel="0" collapsed="false">
      <c r="A5820" s="2" t="s">
        <v>11815</v>
      </c>
      <c r="B5820" s="2" t="s">
        <v>11816</v>
      </c>
      <c r="C5820" s="2" t="n">
        <v>5</v>
      </c>
      <c r="D5820" s="2" t="s">
        <v>90</v>
      </c>
      <c r="E5820" s="2" t="s">
        <v>8083</v>
      </c>
      <c r="F5820" s="3" t="n">
        <v>46224.7659722222</v>
      </c>
      <c r="G5820" s="2" t="s">
        <v>11403</v>
      </c>
      <c r="H5820" s="4" t="n">
        <v>0.6249</v>
      </c>
      <c r="I5820" s="2" t="s">
        <v>23</v>
      </c>
      <c r="J5820" s="2" t="s">
        <v>37</v>
      </c>
      <c r="K5820" s="2" t="n">
        <v>1</v>
      </c>
      <c r="L5820" s="2" t="n">
        <v>0</v>
      </c>
      <c r="M5820" s="2" t="n">
        <v>0</v>
      </c>
    </row>
    <row r="5821" customFormat="false" ht="15" hidden="false" customHeight="false" outlineLevel="0" collapsed="false">
      <c r="A5821" s="2" t="s">
        <v>11817</v>
      </c>
      <c r="B5821" s="2" t="s">
        <v>11818</v>
      </c>
      <c r="C5821" s="2" t="n">
        <v>1</v>
      </c>
      <c r="D5821" s="2" t="s">
        <v>1374</v>
      </c>
      <c r="E5821" s="2" t="s">
        <v>8083</v>
      </c>
      <c r="F5821" s="3" t="n">
        <v>46224.9013888889</v>
      </c>
      <c r="G5821" s="2" t="s">
        <v>11403</v>
      </c>
      <c r="H5821" s="4" t="n">
        <v>0.4404</v>
      </c>
      <c r="I5821" s="2" t="s">
        <v>23</v>
      </c>
      <c r="J5821" s="2" t="s">
        <v>59</v>
      </c>
      <c r="K5821" s="2" t="n">
        <v>4</v>
      </c>
      <c r="L5821" s="2" t="n">
        <v>1</v>
      </c>
      <c r="M5821" s="2" t="n">
        <v>0</v>
      </c>
    </row>
    <row r="5822" customFormat="false" ht="15" hidden="false" customHeight="false" outlineLevel="0" collapsed="false">
      <c r="A5822" s="2" t="s">
        <v>11819</v>
      </c>
      <c r="B5822" s="2" t="s">
        <v>11820</v>
      </c>
      <c r="C5822" s="2" t="n">
        <v>5</v>
      </c>
      <c r="D5822" s="2" t="s">
        <v>3104</v>
      </c>
      <c r="E5822" s="2" t="s">
        <v>8083</v>
      </c>
      <c r="F5822" s="3" t="n">
        <v>46224.9305555556</v>
      </c>
      <c r="G5822" s="2" t="s">
        <v>11403</v>
      </c>
      <c r="H5822" s="4" t="n">
        <v>0.3089</v>
      </c>
      <c r="I5822" s="2" t="s">
        <v>23</v>
      </c>
      <c r="J5822" s="2" t="s">
        <v>19</v>
      </c>
      <c r="K5822" s="2" t="n">
        <v>0</v>
      </c>
      <c r="L5822" s="2" t="n">
        <v>0</v>
      </c>
      <c r="M5822" s="2" t="n">
        <v>0</v>
      </c>
    </row>
    <row r="5823" customFormat="false" ht="15" hidden="false" customHeight="false" outlineLevel="0" collapsed="false">
      <c r="A5823" s="2" t="s">
        <v>11821</v>
      </c>
      <c r="B5823" s="2" t="s">
        <v>11822</v>
      </c>
      <c r="C5823" s="2" t="n">
        <v>4</v>
      </c>
      <c r="D5823" s="2" t="s">
        <v>127</v>
      </c>
      <c r="E5823" s="2" t="s">
        <v>8083</v>
      </c>
      <c r="F5823" s="3" t="n">
        <v>46224.9763888889</v>
      </c>
      <c r="G5823" s="2" t="s">
        <v>11403</v>
      </c>
      <c r="H5823" s="4" t="n">
        <v>0.9359</v>
      </c>
      <c r="I5823" s="2" t="s">
        <v>23</v>
      </c>
      <c r="J5823" s="2" t="s">
        <v>37</v>
      </c>
      <c r="K5823" s="2" t="n">
        <v>3</v>
      </c>
      <c r="L5823" s="2" t="n">
        <v>0</v>
      </c>
      <c r="M5823" s="2" t="n">
        <v>0</v>
      </c>
    </row>
    <row r="5824" customFormat="false" ht="15" hidden="false" customHeight="false" outlineLevel="0" collapsed="false">
      <c r="A5824" s="2" t="s">
        <v>11823</v>
      </c>
      <c r="B5824" s="2" t="s">
        <v>11824</v>
      </c>
      <c r="C5824" s="2" t="n">
        <v>4</v>
      </c>
      <c r="D5824" s="2" t="s">
        <v>52</v>
      </c>
      <c r="E5824" s="2" t="s">
        <v>8083</v>
      </c>
      <c r="F5824" s="3" t="n">
        <v>46224.9909722222</v>
      </c>
      <c r="G5824" s="2" t="s">
        <v>11403</v>
      </c>
      <c r="H5824" s="4" t="n">
        <v>0.6369</v>
      </c>
      <c r="I5824" s="2" t="s">
        <v>23</v>
      </c>
      <c r="J5824" s="2" t="s">
        <v>19</v>
      </c>
      <c r="K5824" s="2" t="n">
        <v>6</v>
      </c>
      <c r="L5824" s="2" t="n">
        <v>0</v>
      </c>
      <c r="M5824" s="2" t="n">
        <v>0</v>
      </c>
    </row>
    <row r="5825" customFormat="false" ht="15" hidden="false" customHeight="false" outlineLevel="0" collapsed="false">
      <c r="A5825" s="2" t="s">
        <v>11825</v>
      </c>
      <c r="B5825" s="2" t="s">
        <v>8394</v>
      </c>
      <c r="C5825" s="2" t="n">
        <v>4</v>
      </c>
      <c r="D5825" s="2" t="s">
        <v>1004</v>
      </c>
      <c r="E5825" s="2" t="s">
        <v>8083</v>
      </c>
      <c r="F5825" s="3" t="n">
        <v>46225.0986111111</v>
      </c>
      <c r="G5825" s="2" t="s">
        <v>11403</v>
      </c>
      <c r="H5825" s="4" t="n">
        <v>0.6249</v>
      </c>
      <c r="I5825" s="2" t="s">
        <v>23</v>
      </c>
      <c r="J5825" s="2" t="s">
        <v>37</v>
      </c>
      <c r="K5825" s="2" t="n">
        <v>4</v>
      </c>
      <c r="L5825" s="2" t="n">
        <v>0</v>
      </c>
      <c r="M5825" s="2" t="n">
        <v>0</v>
      </c>
    </row>
    <row r="5826" customFormat="false" ht="15" hidden="false" customHeight="false" outlineLevel="0" collapsed="false">
      <c r="A5826" s="2" t="s">
        <v>11826</v>
      </c>
      <c r="B5826" s="2" t="s">
        <v>11827</v>
      </c>
      <c r="C5826" s="2" t="n">
        <v>5</v>
      </c>
      <c r="D5826" s="2" t="s">
        <v>90</v>
      </c>
      <c r="E5826" s="2" t="s">
        <v>8083</v>
      </c>
      <c r="F5826" s="3" t="n">
        <v>46225.3430555556</v>
      </c>
      <c r="G5826" s="2" t="s">
        <v>11403</v>
      </c>
      <c r="H5826" s="4" t="n">
        <v>0.6249</v>
      </c>
      <c r="I5826" s="2" t="s">
        <v>23</v>
      </c>
      <c r="J5826" s="2" t="s">
        <v>37</v>
      </c>
      <c r="K5826" s="2" t="n">
        <v>0</v>
      </c>
      <c r="L5826" s="2" t="n">
        <v>0</v>
      </c>
      <c r="M5826" s="2" t="n">
        <v>0</v>
      </c>
    </row>
    <row r="5827" customFormat="false" ht="15" hidden="false" customHeight="false" outlineLevel="0" collapsed="false">
      <c r="A5827" s="2" t="s">
        <v>11828</v>
      </c>
      <c r="B5827" s="2" t="s">
        <v>11829</v>
      </c>
      <c r="C5827" s="2" t="n">
        <v>2</v>
      </c>
      <c r="D5827" s="2" t="s">
        <v>661</v>
      </c>
      <c r="E5827" s="2" t="s">
        <v>8083</v>
      </c>
      <c r="F5827" s="3" t="n">
        <v>46225.3513888889</v>
      </c>
      <c r="G5827" s="2" t="s">
        <v>11403</v>
      </c>
      <c r="H5827" s="4" t="n">
        <v>0</v>
      </c>
      <c r="I5827" s="2" t="s">
        <v>18</v>
      </c>
      <c r="J5827" s="2" t="s">
        <v>59</v>
      </c>
      <c r="K5827" s="2" t="n">
        <v>8</v>
      </c>
      <c r="L5827" s="2" t="n">
        <v>0</v>
      </c>
      <c r="M5827" s="2" t="n">
        <v>0</v>
      </c>
    </row>
    <row r="5828" customFormat="false" ht="15" hidden="false" customHeight="false" outlineLevel="0" collapsed="false">
      <c r="A5828" s="2" t="s">
        <v>11830</v>
      </c>
      <c r="B5828" s="2" t="s">
        <v>11831</v>
      </c>
      <c r="C5828" s="2" t="n">
        <v>2</v>
      </c>
      <c r="D5828" s="2" t="s">
        <v>168</v>
      </c>
      <c r="E5828" s="2" t="s">
        <v>8083</v>
      </c>
      <c r="F5828" s="3" t="n">
        <v>46225.3652777778</v>
      </c>
      <c r="G5828" s="2" t="s">
        <v>11403</v>
      </c>
      <c r="H5828" s="4" t="n">
        <v>-0.1027</v>
      </c>
      <c r="I5828" s="2" t="s">
        <v>84</v>
      </c>
      <c r="J5828" s="2" t="s">
        <v>33</v>
      </c>
      <c r="K5828" s="2" t="n">
        <v>2</v>
      </c>
      <c r="L5828" s="2" t="n">
        <v>1</v>
      </c>
      <c r="M5828" s="2" t="n">
        <v>0</v>
      </c>
    </row>
    <row r="5829" customFormat="false" ht="15" hidden="false" customHeight="false" outlineLevel="0" collapsed="false">
      <c r="A5829" s="2" t="s">
        <v>11832</v>
      </c>
      <c r="B5829" s="2" t="s">
        <v>11833</v>
      </c>
      <c r="C5829" s="2" t="n">
        <v>4</v>
      </c>
      <c r="D5829" s="2" t="s">
        <v>22</v>
      </c>
      <c r="E5829" s="2" t="s">
        <v>8083</v>
      </c>
      <c r="F5829" s="3" t="n">
        <v>46225.4069444445</v>
      </c>
      <c r="G5829" s="2" t="s">
        <v>11403</v>
      </c>
      <c r="H5829" s="4" t="n">
        <v>0.2023</v>
      </c>
      <c r="I5829" s="2" t="s">
        <v>23</v>
      </c>
      <c r="J5829" s="2" t="s">
        <v>19</v>
      </c>
      <c r="K5829" s="2" t="n">
        <v>1</v>
      </c>
      <c r="L5829" s="2" t="n">
        <v>0</v>
      </c>
      <c r="M5829" s="2" t="n">
        <v>0</v>
      </c>
    </row>
    <row r="5830" customFormat="false" ht="15" hidden="false" customHeight="false" outlineLevel="0" collapsed="false">
      <c r="A5830" s="2" t="s">
        <v>11834</v>
      </c>
      <c r="B5830" s="2" t="s">
        <v>11835</v>
      </c>
      <c r="C5830" s="2" t="n">
        <v>1</v>
      </c>
      <c r="D5830" s="2" t="s">
        <v>9449</v>
      </c>
      <c r="E5830" s="2" t="s">
        <v>8083</v>
      </c>
      <c r="F5830" s="3" t="n">
        <v>46225.5208333333</v>
      </c>
      <c r="G5830" s="2" t="s">
        <v>11403</v>
      </c>
      <c r="H5830" s="4" t="n">
        <v>-0.4215</v>
      </c>
      <c r="I5830" s="2" t="s">
        <v>84</v>
      </c>
      <c r="J5830" s="2" t="s">
        <v>33</v>
      </c>
      <c r="K5830" s="2" t="n">
        <v>3</v>
      </c>
      <c r="L5830" s="2" t="n">
        <v>1</v>
      </c>
      <c r="M5830" s="2" t="n">
        <v>0</v>
      </c>
    </row>
    <row r="5831" customFormat="false" ht="15" hidden="false" customHeight="false" outlineLevel="0" collapsed="false">
      <c r="A5831" s="2" t="s">
        <v>11836</v>
      </c>
      <c r="B5831" s="2" t="s">
        <v>11837</v>
      </c>
      <c r="C5831" s="2" t="n">
        <v>3</v>
      </c>
      <c r="D5831" s="2" t="s">
        <v>2127</v>
      </c>
      <c r="E5831" s="2" t="s">
        <v>8083</v>
      </c>
      <c r="F5831" s="3" t="n">
        <v>46225.5868055556</v>
      </c>
      <c r="G5831" s="2" t="s">
        <v>11403</v>
      </c>
      <c r="H5831" s="4" t="n">
        <v>0.3818</v>
      </c>
      <c r="I5831" s="2" t="s">
        <v>23</v>
      </c>
      <c r="J5831" s="2" t="s">
        <v>19</v>
      </c>
      <c r="K5831" s="2" t="n">
        <v>6</v>
      </c>
      <c r="L5831" s="2" t="n">
        <v>0</v>
      </c>
      <c r="M5831" s="2" t="n">
        <v>0</v>
      </c>
    </row>
    <row r="5832" customFormat="false" ht="15" hidden="false" customHeight="false" outlineLevel="0" collapsed="false">
      <c r="A5832" s="2" t="s">
        <v>11838</v>
      </c>
      <c r="B5832" s="2" t="s">
        <v>11839</v>
      </c>
      <c r="C5832" s="2" t="n">
        <v>4</v>
      </c>
      <c r="D5832" s="2" t="s">
        <v>96</v>
      </c>
      <c r="E5832" s="2" t="s">
        <v>8083</v>
      </c>
      <c r="F5832" s="3" t="n">
        <v>46225.6118055556</v>
      </c>
      <c r="G5832" s="2" t="s">
        <v>11403</v>
      </c>
      <c r="H5832" s="4" t="n">
        <v>0.6369</v>
      </c>
      <c r="I5832" s="2" t="s">
        <v>23</v>
      </c>
      <c r="J5832" s="2" t="s">
        <v>19</v>
      </c>
      <c r="K5832" s="2" t="n">
        <v>4</v>
      </c>
      <c r="L5832" s="2" t="n">
        <v>0</v>
      </c>
      <c r="M5832" s="2" t="n">
        <v>0</v>
      </c>
    </row>
    <row r="5833" customFormat="false" ht="15" hidden="false" customHeight="false" outlineLevel="0" collapsed="false">
      <c r="A5833" s="2" t="s">
        <v>11840</v>
      </c>
      <c r="B5833" s="2" t="s">
        <v>11841</v>
      </c>
      <c r="C5833" s="2" t="n">
        <v>2</v>
      </c>
      <c r="D5833" s="2" t="s">
        <v>721</v>
      </c>
      <c r="E5833" s="2" t="s">
        <v>8083</v>
      </c>
      <c r="F5833" s="3" t="n">
        <v>46225.6125</v>
      </c>
      <c r="G5833" s="2" t="s">
        <v>11403</v>
      </c>
      <c r="H5833" s="4" t="n">
        <v>-0.4588</v>
      </c>
      <c r="I5833" s="2" t="s">
        <v>84</v>
      </c>
      <c r="J5833" s="2" t="s">
        <v>37</v>
      </c>
      <c r="K5833" s="2" t="n">
        <v>2</v>
      </c>
      <c r="L5833" s="2" t="n">
        <v>1</v>
      </c>
      <c r="M5833" s="2" t="n">
        <v>0</v>
      </c>
    </row>
    <row r="5834" customFormat="false" ht="15" hidden="false" customHeight="false" outlineLevel="0" collapsed="false">
      <c r="A5834" s="2" t="s">
        <v>11842</v>
      </c>
      <c r="B5834" s="2" t="s">
        <v>11843</v>
      </c>
      <c r="C5834" s="2" t="n">
        <v>5</v>
      </c>
      <c r="D5834" s="2" t="s">
        <v>62</v>
      </c>
      <c r="E5834" s="2" t="s">
        <v>8083</v>
      </c>
      <c r="F5834" s="3" t="n">
        <v>46225.7375</v>
      </c>
      <c r="G5834" s="2" t="s">
        <v>11403</v>
      </c>
      <c r="H5834" s="4" t="n">
        <v>0.7088</v>
      </c>
      <c r="I5834" s="2" t="s">
        <v>23</v>
      </c>
      <c r="J5834" s="2" t="s">
        <v>19</v>
      </c>
      <c r="K5834" s="2" t="n">
        <v>3</v>
      </c>
      <c r="L5834" s="2" t="n">
        <v>0</v>
      </c>
      <c r="M5834" s="2" t="n">
        <v>0</v>
      </c>
    </row>
    <row r="5835" customFormat="false" ht="15" hidden="false" customHeight="false" outlineLevel="0" collapsed="false">
      <c r="A5835" s="2" t="s">
        <v>11844</v>
      </c>
      <c r="B5835" s="2" t="s">
        <v>11845</v>
      </c>
      <c r="C5835" s="2" t="n">
        <v>5</v>
      </c>
      <c r="D5835" s="2" t="s">
        <v>52</v>
      </c>
      <c r="E5835" s="2" t="s">
        <v>8083</v>
      </c>
      <c r="F5835" s="3" t="n">
        <v>46226.0277777778</v>
      </c>
      <c r="G5835" s="2" t="s">
        <v>11403</v>
      </c>
      <c r="H5835" s="4" t="n">
        <v>0.6369</v>
      </c>
      <c r="I5835" s="2" t="s">
        <v>23</v>
      </c>
      <c r="J5835" s="2" t="s">
        <v>19</v>
      </c>
      <c r="K5835" s="2" t="n">
        <v>0</v>
      </c>
      <c r="L5835" s="2" t="n">
        <v>0</v>
      </c>
      <c r="M5835" s="2" t="n">
        <v>0</v>
      </c>
    </row>
    <row r="5836" customFormat="false" ht="15" hidden="false" customHeight="false" outlineLevel="0" collapsed="false">
      <c r="A5836" s="2" t="s">
        <v>11846</v>
      </c>
      <c r="B5836" s="2" t="s">
        <v>11847</v>
      </c>
      <c r="C5836" s="2" t="n">
        <v>1</v>
      </c>
      <c r="D5836" s="2" t="s">
        <v>701</v>
      </c>
      <c r="E5836" s="2" t="s">
        <v>8083</v>
      </c>
      <c r="F5836" s="3" t="n">
        <v>46226.2020833333</v>
      </c>
      <c r="G5836" s="2" t="s">
        <v>11403</v>
      </c>
      <c r="H5836" s="4" t="n">
        <v>-0.7184</v>
      </c>
      <c r="I5836" s="2" t="s">
        <v>84</v>
      </c>
      <c r="J5836" s="2" t="s">
        <v>37</v>
      </c>
      <c r="K5836" s="2" t="n">
        <v>6</v>
      </c>
      <c r="L5836" s="2" t="n">
        <v>0</v>
      </c>
      <c r="M5836" s="2" t="n">
        <v>0</v>
      </c>
    </row>
    <row r="5837" customFormat="false" ht="15" hidden="false" customHeight="false" outlineLevel="0" collapsed="false">
      <c r="A5837" s="2" t="s">
        <v>11848</v>
      </c>
      <c r="B5837" s="2" t="s">
        <v>11849</v>
      </c>
      <c r="C5837" s="2" t="n">
        <v>4</v>
      </c>
      <c r="D5837" s="2" t="s">
        <v>435</v>
      </c>
      <c r="E5837" s="2" t="s">
        <v>8083</v>
      </c>
      <c r="F5837" s="3" t="n">
        <v>46226.3694444444</v>
      </c>
      <c r="G5837" s="2" t="s">
        <v>11403</v>
      </c>
      <c r="H5837" s="4" t="n">
        <v>0.7269</v>
      </c>
      <c r="I5837" s="2" t="s">
        <v>23</v>
      </c>
      <c r="J5837" s="2" t="s">
        <v>19</v>
      </c>
      <c r="K5837" s="2" t="n">
        <v>1</v>
      </c>
      <c r="L5837" s="2" t="n">
        <v>0</v>
      </c>
      <c r="M5837" s="2" t="n">
        <v>0</v>
      </c>
    </row>
    <row r="5838" customFormat="false" ht="15" hidden="false" customHeight="false" outlineLevel="0" collapsed="false">
      <c r="A5838" s="2" t="s">
        <v>11850</v>
      </c>
      <c r="B5838" s="2" t="s">
        <v>11851</v>
      </c>
      <c r="C5838" s="2" t="n">
        <v>4</v>
      </c>
      <c r="D5838" s="2" t="s">
        <v>186</v>
      </c>
      <c r="E5838" s="2" t="s">
        <v>8083</v>
      </c>
      <c r="F5838" s="3" t="n">
        <v>46226.4208333333</v>
      </c>
      <c r="G5838" s="2" t="s">
        <v>11403</v>
      </c>
      <c r="H5838" s="4" t="n">
        <v>0.8777</v>
      </c>
      <c r="I5838" s="2" t="s">
        <v>23</v>
      </c>
      <c r="J5838" s="2" t="s">
        <v>19</v>
      </c>
      <c r="K5838" s="2" t="n">
        <v>3</v>
      </c>
      <c r="L5838" s="2" t="n">
        <v>0</v>
      </c>
      <c r="M5838" s="2" t="n">
        <v>0</v>
      </c>
    </row>
    <row r="5839" customFormat="false" ht="15" hidden="false" customHeight="false" outlineLevel="0" collapsed="false">
      <c r="A5839" s="2" t="s">
        <v>11852</v>
      </c>
      <c r="B5839" s="2" t="s">
        <v>11853</v>
      </c>
      <c r="C5839" s="2" t="n">
        <v>4</v>
      </c>
      <c r="D5839" s="2" t="s">
        <v>1217</v>
      </c>
      <c r="E5839" s="2" t="s">
        <v>8083</v>
      </c>
      <c r="F5839" s="3" t="n">
        <v>46226.5006944445</v>
      </c>
      <c r="G5839" s="2" t="s">
        <v>11403</v>
      </c>
      <c r="H5839" s="4" t="n">
        <v>0.8748</v>
      </c>
      <c r="I5839" s="2" t="s">
        <v>23</v>
      </c>
      <c r="J5839" s="2" t="s">
        <v>37</v>
      </c>
      <c r="K5839" s="2" t="n">
        <v>0</v>
      </c>
      <c r="L5839" s="2" t="n">
        <v>0</v>
      </c>
      <c r="M5839" s="2" t="n">
        <v>0</v>
      </c>
    </row>
    <row r="5840" customFormat="false" ht="15" hidden="false" customHeight="false" outlineLevel="0" collapsed="false">
      <c r="A5840" s="2" t="s">
        <v>11854</v>
      </c>
      <c r="B5840" s="2" t="s">
        <v>11855</v>
      </c>
      <c r="C5840" s="2" t="n">
        <v>5</v>
      </c>
      <c r="D5840" s="2" t="s">
        <v>336</v>
      </c>
      <c r="E5840" s="2" t="s">
        <v>8083</v>
      </c>
      <c r="F5840" s="3" t="n">
        <v>46226.5305555556</v>
      </c>
      <c r="G5840" s="2" t="s">
        <v>11403</v>
      </c>
      <c r="H5840" s="4" t="n">
        <v>0.7088</v>
      </c>
      <c r="I5840" s="2" t="s">
        <v>23</v>
      </c>
      <c r="J5840" s="2" t="s">
        <v>19</v>
      </c>
      <c r="K5840" s="2" t="n">
        <v>4</v>
      </c>
      <c r="L5840" s="2" t="n">
        <v>0</v>
      </c>
      <c r="M5840" s="2" t="n">
        <v>0</v>
      </c>
    </row>
    <row r="5841" customFormat="false" ht="15" hidden="false" customHeight="false" outlineLevel="0" collapsed="false">
      <c r="A5841" s="2" t="s">
        <v>11856</v>
      </c>
      <c r="B5841" s="2" t="s">
        <v>11857</v>
      </c>
      <c r="C5841" s="2" t="n">
        <v>3</v>
      </c>
      <c r="D5841" s="2" t="s">
        <v>301</v>
      </c>
      <c r="E5841" s="2" t="s">
        <v>8083</v>
      </c>
      <c r="F5841" s="3" t="n">
        <v>46226.6944444445</v>
      </c>
      <c r="G5841" s="2" t="s">
        <v>11403</v>
      </c>
      <c r="H5841" s="4" t="n">
        <v>0.2263</v>
      </c>
      <c r="I5841" s="2" t="s">
        <v>23</v>
      </c>
      <c r="J5841" s="2" t="s">
        <v>19</v>
      </c>
      <c r="K5841" s="2" t="n">
        <v>4</v>
      </c>
      <c r="L5841" s="2" t="n">
        <v>0</v>
      </c>
      <c r="M5841" s="2" t="n">
        <v>0</v>
      </c>
    </row>
    <row r="5842" customFormat="false" ht="15" hidden="false" customHeight="false" outlineLevel="0" collapsed="false">
      <c r="A5842" s="2" t="s">
        <v>11858</v>
      </c>
      <c r="B5842" s="2" t="s">
        <v>11859</v>
      </c>
      <c r="C5842" s="2" t="n">
        <v>5</v>
      </c>
      <c r="D5842" s="2" t="s">
        <v>52</v>
      </c>
      <c r="E5842" s="2" t="s">
        <v>8083</v>
      </c>
      <c r="F5842" s="3" t="n">
        <v>46226.74375</v>
      </c>
      <c r="G5842" s="2" t="s">
        <v>11403</v>
      </c>
      <c r="H5842" s="4" t="n">
        <v>0.6369</v>
      </c>
      <c r="I5842" s="2" t="s">
        <v>23</v>
      </c>
      <c r="J5842" s="2" t="s">
        <v>19</v>
      </c>
      <c r="K5842" s="2" t="n">
        <v>0</v>
      </c>
      <c r="L5842" s="2" t="n">
        <v>0</v>
      </c>
      <c r="M5842" s="2" t="n">
        <v>0</v>
      </c>
    </row>
    <row r="5843" customFormat="false" ht="15" hidden="false" customHeight="false" outlineLevel="0" collapsed="false">
      <c r="A5843" s="2" t="s">
        <v>11860</v>
      </c>
      <c r="B5843" s="2" t="s">
        <v>11861</v>
      </c>
      <c r="C5843" s="2" t="n">
        <v>4</v>
      </c>
      <c r="D5843" s="2" t="s">
        <v>36</v>
      </c>
      <c r="E5843" s="2" t="s">
        <v>8083</v>
      </c>
      <c r="F5843" s="3" t="n">
        <v>46226.7486111111</v>
      </c>
      <c r="G5843" s="2" t="s">
        <v>11403</v>
      </c>
      <c r="H5843" s="4" t="n">
        <v>0.4404</v>
      </c>
      <c r="I5843" s="2" t="s">
        <v>23</v>
      </c>
      <c r="J5843" s="2" t="s">
        <v>37</v>
      </c>
      <c r="K5843" s="2" t="n">
        <v>4</v>
      </c>
      <c r="L5843" s="2" t="n">
        <v>0</v>
      </c>
      <c r="M5843" s="2" t="n">
        <v>0</v>
      </c>
    </row>
    <row r="5844" customFormat="false" ht="15" hidden="false" customHeight="false" outlineLevel="0" collapsed="false">
      <c r="A5844" s="2" t="s">
        <v>11862</v>
      </c>
      <c r="B5844" s="2" t="s">
        <v>4361</v>
      </c>
      <c r="C5844" s="2" t="n">
        <v>5</v>
      </c>
      <c r="D5844" s="2" t="s">
        <v>62</v>
      </c>
      <c r="E5844" s="2" t="s">
        <v>8083</v>
      </c>
      <c r="F5844" s="3" t="n">
        <v>46226.9611111111</v>
      </c>
      <c r="G5844" s="2" t="s">
        <v>11403</v>
      </c>
      <c r="H5844" s="4" t="n">
        <v>0.7088</v>
      </c>
      <c r="I5844" s="2" t="s">
        <v>23</v>
      </c>
      <c r="J5844" s="2" t="s">
        <v>19</v>
      </c>
      <c r="K5844" s="2" t="n">
        <v>2</v>
      </c>
      <c r="L5844" s="2" t="n">
        <v>0</v>
      </c>
      <c r="M5844" s="2" t="n">
        <v>0</v>
      </c>
    </row>
    <row r="5845" customFormat="false" ht="15" hidden="false" customHeight="false" outlineLevel="0" collapsed="false">
      <c r="A5845" s="2" t="s">
        <v>11863</v>
      </c>
      <c r="B5845" s="2" t="s">
        <v>2450</v>
      </c>
      <c r="C5845" s="2" t="n">
        <v>5</v>
      </c>
      <c r="D5845" s="2" t="s">
        <v>52</v>
      </c>
      <c r="E5845" s="2" t="s">
        <v>8083</v>
      </c>
      <c r="F5845" s="3" t="n">
        <v>46227.0034722222</v>
      </c>
      <c r="G5845" s="2" t="s">
        <v>11403</v>
      </c>
      <c r="H5845" s="4" t="n">
        <v>0.6369</v>
      </c>
      <c r="I5845" s="2" t="s">
        <v>23</v>
      </c>
      <c r="J5845" s="2" t="s">
        <v>19</v>
      </c>
      <c r="K5845" s="2" t="n">
        <v>1</v>
      </c>
      <c r="L5845" s="2" t="n">
        <v>0</v>
      </c>
      <c r="M5845" s="2" t="n">
        <v>0</v>
      </c>
    </row>
    <row r="5846" customFormat="false" ht="15" hidden="false" customHeight="false" outlineLevel="0" collapsed="false">
      <c r="A5846" s="2" t="s">
        <v>11864</v>
      </c>
      <c r="B5846" s="2" t="s">
        <v>11865</v>
      </c>
      <c r="C5846" s="2" t="n">
        <v>4</v>
      </c>
      <c r="D5846" s="2" t="s">
        <v>674</v>
      </c>
      <c r="E5846" s="2" t="s">
        <v>8083</v>
      </c>
      <c r="F5846" s="3" t="n">
        <v>46227.0215277778</v>
      </c>
      <c r="G5846" s="2" t="s">
        <v>11403</v>
      </c>
      <c r="H5846" s="4" t="n">
        <v>0.9481</v>
      </c>
      <c r="I5846" s="2" t="s">
        <v>23</v>
      </c>
      <c r="J5846" s="2" t="s">
        <v>37</v>
      </c>
      <c r="K5846" s="2" t="n">
        <v>1</v>
      </c>
      <c r="L5846" s="2" t="n">
        <v>0</v>
      </c>
      <c r="M5846" s="2" t="n">
        <v>0</v>
      </c>
    </row>
    <row r="5847" customFormat="false" ht="15" hidden="false" customHeight="false" outlineLevel="0" collapsed="false">
      <c r="A5847" s="2" t="s">
        <v>11866</v>
      </c>
      <c r="B5847" s="2" t="s">
        <v>11867</v>
      </c>
      <c r="C5847" s="2" t="n">
        <v>4</v>
      </c>
      <c r="D5847" s="2" t="s">
        <v>96</v>
      </c>
      <c r="E5847" s="2" t="s">
        <v>8083</v>
      </c>
      <c r="F5847" s="3" t="n">
        <v>46227.0243055556</v>
      </c>
      <c r="G5847" s="2" t="s">
        <v>11403</v>
      </c>
      <c r="H5847" s="4" t="n">
        <v>0.6369</v>
      </c>
      <c r="I5847" s="2" t="s">
        <v>23</v>
      </c>
      <c r="J5847" s="2" t="s">
        <v>19</v>
      </c>
      <c r="K5847" s="2" t="n">
        <v>7</v>
      </c>
      <c r="L5847" s="2" t="n">
        <v>0</v>
      </c>
      <c r="M5847" s="2" t="n">
        <v>0</v>
      </c>
    </row>
    <row r="5848" customFormat="false" ht="15" hidden="false" customHeight="false" outlineLevel="0" collapsed="false">
      <c r="A5848" s="2" t="s">
        <v>11868</v>
      </c>
      <c r="B5848" s="2" t="s">
        <v>11869</v>
      </c>
      <c r="C5848" s="2" t="n">
        <v>2</v>
      </c>
      <c r="D5848" s="2" t="s">
        <v>11870</v>
      </c>
      <c r="E5848" s="2" t="s">
        <v>8083</v>
      </c>
      <c r="F5848" s="3" t="n">
        <v>46227.1784722222</v>
      </c>
      <c r="G5848" s="2" t="s">
        <v>11403</v>
      </c>
      <c r="H5848" s="4" t="n">
        <v>-0.25</v>
      </c>
      <c r="I5848" s="2" t="s">
        <v>84</v>
      </c>
      <c r="J5848" s="2" t="s">
        <v>37</v>
      </c>
      <c r="K5848" s="2" t="n">
        <v>1</v>
      </c>
      <c r="L5848" s="2" t="n">
        <v>0</v>
      </c>
      <c r="M5848" s="2" t="n">
        <v>0</v>
      </c>
    </row>
    <row r="5849" customFormat="false" ht="15" hidden="false" customHeight="false" outlineLevel="0" collapsed="false">
      <c r="A5849" s="2" t="s">
        <v>11871</v>
      </c>
      <c r="B5849" s="2" t="s">
        <v>11820</v>
      </c>
      <c r="C5849" s="2" t="n">
        <v>3</v>
      </c>
      <c r="D5849" s="2" t="s">
        <v>99</v>
      </c>
      <c r="E5849" s="2" t="s">
        <v>8083</v>
      </c>
      <c r="F5849" s="3" t="n">
        <v>46227.19375</v>
      </c>
      <c r="G5849" s="2" t="s">
        <v>11403</v>
      </c>
      <c r="H5849" s="4" t="n">
        <v>-0.3089</v>
      </c>
      <c r="I5849" s="2" t="s">
        <v>84</v>
      </c>
      <c r="J5849" s="2" t="s">
        <v>19</v>
      </c>
      <c r="K5849" s="2" t="n">
        <v>3</v>
      </c>
      <c r="L5849" s="2" t="n">
        <v>0</v>
      </c>
      <c r="M5849" s="2" t="n">
        <v>0</v>
      </c>
    </row>
    <row r="5850" customFormat="false" ht="15" hidden="false" customHeight="false" outlineLevel="0" collapsed="false">
      <c r="A5850" s="2" t="s">
        <v>11872</v>
      </c>
      <c r="B5850" s="2" t="s">
        <v>11873</v>
      </c>
      <c r="C5850" s="2" t="n">
        <v>5</v>
      </c>
      <c r="D5850" s="2" t="s">
        <v>62</v>
      </c>
      <c r="E5850" s="2" t="s">
        <v>8083</v>
      </c>
      <c r="F5850" s="3" t="n">
        <v>46227.2861111111</v>
      </c>
      <c r="G5850" s="2" t="s">
        <v>11403</v>
      </c>
      <c r="H5850" s="4" t="n">
        <v>0.7088</v>
      </c>
      <c r="I5850" s="2" t="s">
        <v>23</v>
      </c>
      <c r="J5850" s="2" t="s">
        <v>19</v>
      </c>
      <c r="K5850" s="2" t="n">
        <v>1</v>
      </c>
      <c r="L5850" s="2" t="n">
        <v>0</v>
      </c>
      <c r="M5850" s="2" t="n">
        <v>0</v>
      </c>
    </row>
    <row r="5851" customFormat="false" ht="15" hidden="false" customHeight="false" outlineLevel="0" collapsed="false">
      <c r="A5851" s="2" t="s">
        <v>11874</v>
      </c>
      <c r="B5851" s="2" t="s">
        <v>11875</v>
      </c>
      <c r="C5851" s="2" t="n">
        <v>5</v>
      </c>
      <c r="D5851" s="2" t="s">
        <v>1797</v>
      </c>
      <c r="E5851" s="2" t="s">
        <v>8083</v>
      </c>
      <c r="F5851" s="3" t="n">
        <v>46227.4</v>
      </c>
      <c r="G5851" s="2" t="s">
        <v>11403</v>
      </c>
      <c r="H5851" s="4" t="n">
        <v>0.4019</v>
      </c>
      <c r="I5851" s="2" t="s">
        <v>23</v>
      </c>
      <c r="J5851" s="2" t="s">
        <v>33</v>
      </c>
      <c r="K5851" s="2" t="n">
        <v>3</v>
      </c>
      <c r="L5851" s="2" t="n">
        <v>0</v>
      </c>
      <c r="M5851" s="2" t="n">
        <v>0</v>
      </c>
    </row>
    <row r="5852" customFormat="false" ht="15" hidden="false" customHeight="false" outlineLevel="0" collapsed="false">
      <c r="A5852" s="2" t="s">
        <v>11876</v>
      </c>
      <c r="B5852" s="2" t="s">
        <v>11877</v>
      </c>
      <c r="C5852" s="2" t="n">
        <v>3</v>
      </c>
      <c r="D5852" s="2" t="s">
        <v>87</v>
      </c>
      <c r="E5852" s="2" t="s">
        <v>8083</v>
      </c>
      <c r="F5852" s="3" t="n">
        <v>46227.4555555556</v>
      </c>
      <c r="G5852" s="2" t="s">
        <v>11403</v>
      </c>
      <c r="H5852" s="4" t="n">
        <v>0</v>
      </c>
      <c r="I5852" s="2" t="s">
        <v>18</v>
      </c>
      <c r="J5852" s="2" t="s">
        <v>19</v>
      </c>
      <c r="K5852" s="2" t="n">
        <v>1</v>
      </c>
      <c r="L5852" s="2" t="n">
        <v>0</v>
      </c>
      <c r="M5852" s="2" t="n">
        <v>0</v>
      </c>
    </row>
    <row r="5853" customFormat="false" ht="15" hidden="false" customHeight="false" outlineLevel="0" collapsed="false">
      <c r="A5853" s="2" t="s">
        <v>11878</v>
      </c>
      <c r="B5853" s="2" t="s">
        <v>11879</v>
      </c>
      <c r="C5853" s="2" t="n">
        <v>4</v>
      </c>
      <c r="D5853" s="2" t="s">
        <v>213</v>
      </c>
      <c r="E5853" s="2" t="s">
        <v>8083</v>
      </c>
      <c r="F5853" s="3" t="n">
        <v>46227.5520833333</v>
      </c>
      <c r="G5853" s="2" t="s">
        <v>11403</v>
      </c>
      <c r="H5853" s="4" t="n">
        <v>0.8651</v>
      </c>
      <c r="I5853" s="2" t="s">
        <v>23</v>
      </c>
      <c r="J5853" s="2" t="s">
        <v>19</v>
      </c>
      <c r="K5853" s="2" t="n">
        <v>0</v>
      </c>
      <c r="L5853" s="2" t="n">
        <v>0</v>
      </c>
      <c r="M5853" s="2" t="n">
        <v>0</v>
      </c>
    </row>
    <row r="5854" customFormat="false" ht="15" hidden="false" customHeight="false" outlineLevel="0" collapsed="false">
      <c r="A5854" s="2" t="s">
        <v>11880</v>
      </c>
      <c r="B5854" s="2" t="s">
        <v>11881</v>
      </c>
      <c r="C5854" s="2" t="n">
        <v>5</v>
      </c>
      <c r="D5854" s="2" t="s">
        <v>62</v>
      </c>
      <c r="E5854" s="2" t="s">
        <v>8083</v>
      </c>
      <c r="F5854" s="3" t="n">
        <v>46227.8118055556</v>
      </c>
      <c r="G5854" s="2" t="s">
        <v>11403</v>
      </c>
      <c r="H5854" s="4" t="n">
        <v>0.7088</v>
      </c>
      <c r="I5854" s="2" t="s">
        <v>23</v>
      </c>
      <c r="J5854" s="2" t="s">
        <v>19</v>
      </c>
      <c r="K5854" s="2" t="n">
        <v>11</v>
      </c>
      <c r="L5854" s="2" t="n">
        <v>0</v>
      </c>
      <c r="M5854" s="2" t="n">
        <v>0</v>
      </c>
    </row>
    <row r="5855" customFormat="false" ht="15" hidden="false" customHeight="false" outlineLevel="0" collapsed="false">
      <c r="A5855" s="2" t="s">
        <v>11882</v>
      </c>
      <c r="B5855" s="2" t="s">
        <v>11883</v>
      </c>
      <c r="C5855" s="2" t="n">
        <v>2</v>
      </c>
      <c r="D5855" s="2" t="s">
        <v>3075</v>
      </c>
      <c r="E5855" s="2" t="s">
        <v>8083</v>
      </c>
      <c r="F5855" s="3" t="n">
        <v>46227.8291666667</v>
      </c>
      <c r="G5855" s="2" t="s">
        <v>11403</v>
      </c>
      <c r="H5855" s="4" t="n">
        <v>0.2263</v>
      </c>
      <c r="I5855" s="2" t="s">
        <v>23</v>
      </c>
      <c r="J5855" s="2" t="s">
        <v>110</v>
      </c>
      <c r="K5855" s="2" t="n">
        <v>0</v>
      </c>
      <c r="L5855" s="2" t="n">
        <v>0</v>
      </c>
      <c r="M5855" s="2" t="n">
        <v>0</v>
      </c>
    </row>
    <row r="5856" customFormat="false" ht="15" hidden="false" customHeight="false" outlineLevel="0" collapsed="false">
      <c r="A5856" s="2" t="s">
        <v>11884</v>
      </c>
      <c r="B5856" s="2" t="s">
        <v>11885</v>
      </c>
      <c r="C5856" s="2" t="n">
        <v>1</v>
      </c>
      <c r="D5856" s="2" t="s">
        <v>109</v>
      </c>
      <c r="E5856" s="2" t="s">
        <v>8083</v>
      </c>
      <c r="F5856" s="3" t="n">
        <v>46227.9180555556</v>
      </c>
      <c r="G5856" s="2" t="s">
        <v>11403</v>
      </c>
      <c r="H5856" s="4" t="n">
        <v>0</v>
      </c>
      <c r="I5856" s="2" t="s">
        <v>18</v>
      </c>
      <c r="J5856" s="2" t="s">
        <v>110</v>
      </c>
      <c r="K5856" s="2" t="n">
        <v>6</v>
      </c>
      <c r="L5856" s="2" t="n">
        <v>1</v>
      </c>
      <c r="M5856" s="2" t="n">
        <v>0</v>
      </c>
    </row>
    <row r="5857" customFormat="false" ht="15" hidden="false" customHeight="false" outlineLevel="0" collapsed="false">
      <c r="A5857" s="2" t="s">
        <v>11886</v>
      </c>
      <c r="B5857" s="2" t="s">
        <v>11887</v>
      </c>
      <c r="C5857" s="2" t="n">
        <v>5</v>
      </c>
      <c r="D5857" s="2" t="s">
        <v>62</v>
      </c>
      <c r="E5857" s="2" t="s">
        <v>8083</v>
      </c>
      <c r="F5857" s="3" t="n">
        <v>46227.9965277778</v>
      </c>
      <c r="G5857" s="2" t="s">
        <v>11403</v>
      </c>
      <c r="H5857" s="4" t="n">
        <v>0.7088</v>
      </c>
      <c r="I5857" s="2" t="s">
        <v>23</v>
      </c>
      <c r="J5857" s="2" t="s">
        <v>19</v>
      </c>
      <c r="K5857" s="2" t="n">
        <v>2</v>
      </c>
      <c r="L5857" s="2" t="n">
        <v>0</v>
      </c>
      <c r="M5857" s="2" t="n">
        <v>0</v>
      </c>
    </row>
    <row r="5858" customFormat="false" ht="15" hidden="false" customHeight="false" outlineLevel="0" collapsed="false">
      <c r="A5858" s="2" t="s">
        <v>11888</v>
      </c>
      <c r="B5858" s="2" t="s">
        <v>11889</v>
      </c>
      <c r="C5858" s="2" t="n">
        <v>5</v>
      </c>
      <c r="D5858" s="2" t="s">
        <v>96</v>
      </c>
      <c r="E5858" s="2" t="s">
        <v>8083</v>
      </c>
      <c r="F5858" s="3" t="n">
        <v>46228.6152777778</v>
      </c>
      <c r="G5858" s="2" t="s">
        <v>11403</v>
      </c>
      <c r="H5858" s="4" t="n">
        <v>0.6369</v>
      </c>
      <c r="I5858" s="2" t="s">
        <v>23</v>
      </c>
      <c r="J5858" s="2" t="s">
        <v>19</v>
      </c>
      <c r="K5858" s="2" t="n">
        <v>10</v>
      </c>
      <c r="L5858" s="2" t="n">
        <v>0</v>
      </c>
      <c r="M5858" s="2" t="n">
        <v>0</v>
      </c>
    </row>
    <row r="5859" customFormat="false" ht="15" hidden="false" customHeight="false" outlineLevel="0" collapsed="false">
      <c r="A5859" s="2" t="s">
        <v>11890</v>
      </c>
      <c r="B5859" s="2" t="s">
        <v>11891</v>
      </c>
      <c r="C5859" s="2" t="n">
        <v>5</v>
      </c>
      <c r="D5859" s="2" t="s">
        <v>96</v>
      </c>
      <c r="E5859" s="2" t="s">
        <v>8083</v>
      </c>
      <c r="F5859" s="3" t="n">
        <v>46228.9569444444</v>
      </c>
      <c r="G5859" s="2" t="s">
        <v>11403</v>
      </c>
      <c r="H5859" s="4" t="n">
        <v>0.6369</v>
      </c>
      <c r="I5859" s="2" t="s">
        <v>23</v>
      </c>
      <c r="J5859" s="2" t="s">
        <v>19</v>
      </c>
      <c r="K5859" s="2" t="n">
        <v>1</v>
      </c>
      <c r="L5859" s="2" t="n">
        <v>0</v>
      </c>
      <c r="M5859" s="2" t="n">
        <v>0</v>
      </c>
    </row>
    <row r="5860" customFormat="false" ht="15" hidden="false" customHeight="false" outlineLevel="0" collapsed="false">
      <c r="A5860" s="2" t="s">
        <v>11892</v>
      </c>
      <c r="B5860" s="2" t="s">
        <v>11893</v>
      </c>
      <c r="C5860" s="2" t="n">
        <v>4</v>
      </c>
      <c r="D5860" s="2" t="s">
        <v>22</v>
      </c>
      <c r="E5860" s="2" t="s">
        <v>8083</v>
      </c>
      <c r="F5860" s="3" t="n">
        <v>46229.0333333333</v>
      </c>
      <c r="G5860" s="2" t="s">
        <v>11403</v>
      </c>
      <c r="H5860" s="4" t="n">
        <v>0.2023</v>
      </c>
      <c r="I5860" s="2" t="s">
        <v>23</v>
      </c>
      <c r="J5860" s="2" t="s">
        <v>19</v>
      </c>
      <c r="K5860" s="2" t="n">
        <v>3</v>
      </c>
      <c r="L5860" s="2" t="n">
        <v>0</v>
      </c>
      <c r="M5860" s="2" t="n">
        <v>0</v>
      </c>
    </row>
    <row r="5861" customFormat="false" ht="15" hidden="false" customHeight="false" outlineLevel="0" collapsed="false">
      <c r="A5861" s="2" t="s">
        <v>11894</v>
      </c>
      <c r="B5861" s="2" t="s">
        <v>11895</v>
      </c>
      <c r="C5861" s="2" t="n">
        <v>4</v>
      </c>
      <c r="D5861" s="2" t="s">
        <v>36</v>
      </c>
      <c r="E5861" s="2" t="s">
        <v>8083</v>
      </c>
      <c r="F5861" s="3" t="n">
        <v>46229.1145833333</v>
      </c>
      <c r="G5861" s="2" t="s">
        <v>11403</v>
      </c>
      <c r="H5861" s="4" t="n">
        <v>0.4404</v>
      </c>
      <c r="I5861" s="2" t="s">
        <v>23</v>
      </c>
      <c r="J5861" s="2" t="s">
        <v>37</v>
      </c>
      <c r="K5861" s="2" t="n">
        <v>6</v>
      </c>
      <c r="L5861" s="2" t="n">
        <v>0</v>
      </c>
      <c r="M5861" s="2" t="n">
        <v>0</v>
      </c>
    </row>
    <row r="5862" customFormat="false" ht="15" hidden="false" customHeight="false" outlineLevel="0" collapsed="false">
      <c r="A5862" s="2" t="s">
        <v>11896</v>
      </c>
      <c r="B5862" s="2" t="s">
        <v>11897</v>
      </c>
      <c r="C5862" s="2" t="n">
        <v>3</v>
      </c>
      <c r="D5862" s="2" t="s">
        <v>3543</v>
      </c>
      <c r="E5862" s="2" t="s">
        <v>8083</v>
      </c>
      <c r="F5862" s="3" t="n">
        <v>46229.1215277778</v>
      </c>
      <c r="G5862" s="2" t="s">
        <v>11403</v>
      </c>
      <c r="H5862" s="4" t="n">
        <v>0.2382</v>
      </c>
      <c r="I5862" s="2" t="s">
        <v>23</v>
      </c>
      <c r="J5862" s="2" t="s">
        <v>37</v>
      </c>
      <c r="K5862" s="2" t="n">
        <v>1</v>
      </c>
      <c r="L5862" s="2" t="n">
        <v>0</v>
      </c>
      <c r="M5862" s="2" t="n">
        <v>0</v>
      </c>
    </row>
    <row r="5863" customFormat="false" ht="15" hidden="false" customHeight="false" outlineLevel="0" collapsed="false">
      <c r="A5863" s="2" t="s">
        <v>11898</v>
      </c>
      <c r="B5863" s="2" t="s">
        <v>11899</v>
      </c>
      <c r="C5863" s="2" t="n">
        <v>4</v>
      </c>
      <c r="D5863" s="2" t="s">
        <v>435</v>
      </c>
      <c r="E5863" s="2" t="s">
        <v>8083</v>
      </c>
      <c r="F5863" s="3" t="n">
        <v>46229.2097222222</v>
      </c>
      <c r="G5863" s="2" t="s">
        <v>11403</v>
      </c>
      <c r="H5863" s="4" t="n">
        <v>0.7269</v>
      </c>
      <c r="I5863" s="2" t="s">
        <v>23</v>
      </c>
      <c r="J5863" s="2" t="s">
        <v>19</v>
      </c>
      <c r="K5863" s="2" t="n">
        <v>2</v>
      </c>
      <c r="L5863" s="2" t="n">
        <v>0</v>
      </c>
      <c r="M5863" s="2" t="n">
        <v>0</v>
      </c>
    </row>
    <row r="5864" customFormat="false" ht="15" hidden="false" customHeight="false" outlineLevel="0" collapsed="false">
      <c r="A5864" s="2" t="s">
        <v>11900</v>
      </c>
      <c r="B5864" s="2" t="s">
        <v>11901</v>
      </c>
      <c r="C5864" s="2" t="n">
        <v>5</v>
      </c>
      <c r="D5864" s="2" t="s">
        <v>62</v>
      </c>
      <c r="E5864" s="2" t="s">
        <v>8083</v>
      </c>
      <c r="F5864" s="3" t="n">
        <v>46229.2229166667</v>
      </c>
      <c r="G5864" s="2" t="s">
        <v>11403</v>
      </c>
      <c r="H5864" s="4" t="n">
        <v>0.7088</v>
      </c>
      <c r="I5864" s="2" t="s">
        <v>23</v>
      </c>
      <c r="J5864" s="2" t="s">
        <v>19</v>
      </c>
      <c r="K5864" s="2" t="n">
        <v>2</v>
      </c>
      <c r="L5864" s="2" t="n">
        <v>0</v>
      </c>
      <c r="M5864" s="2" t="n">
        <v>0</v>
      </c>
    </row>
    <row r="5865" customFormat="false" ht="15" hidden="false" customHeight="false" outlineLevel="0" collapsed="false">
      <c r="A5865" s="2" t="s">
        <v>11902</v>
      </c>
      <c r="B5865" s="2" t="s">
        <v>11903</v>
      </c>
      <c r="C5865" s="2" t="n">
        <v>5</v>
      </c>
      <c r="D5865" s="2" t="s">
        <v>26</v>
      </c>
      <c r="E5865" s="2" t="s">
        <v>8083</v>
      </c>
      <c r="F5865" s="3" t="n">
        <v>46229.2548611111</v>
      </c>
      <c r="G5865" s="2" t="s">
        <v>11403</v>
      </c>
      <c r="H5865" s="4" t="n">
        <v>0.8848</v>
      </c>
      <c r="I5865" s="2" t="s">
        <v>23</v>
      </c>
      <c r="J5865" s="2" t="s">
        <v>19</v>
      </c>
      <c r="K5865" s="2" t="n">
        <v>6</v>
      </c>
      <c r="L5865" s="2" t="n">
        <v>0</v>
      </c>
      <c r="M5865" s="2" t="n">
        <v>0</v>
      </c>
    </row>
    <row r="5866" customFormat="false" ht="15" hidden="false" customHeight="false" outlineLevel="0" collapsed="false">
      <c r="A5866" s="2" t="s">
        <v>11904</v>
      </c>
      <c r="B5866" s="2" t="s">
        <v>11905</v>
      </c>
      <c r="C5866" s="2" t="n">
        <v>4</v>
      </c>
      <c r="D5866" s="2" t="s">
        <v>186</v>
      </c>
      <c r="E5866" s="2" t="s">
        <v>8083</v>
      </c>
      <c r="F5866" s="3" t="n">
        <v>46229.3048611111</v>
      </c>
      <c r="G5866" s="2" t="s">
        <v>11403</v>
      </c>
      <c r="H5866" s="4" t="n">
        <v>0.8777</v>
      </c>
      <c r="I5866" s="2" t="s">
        <v>23</v>
      </c>
      <c r="J5866" s="2" t="s">
        <v>19</v>
      </c>
      <c r="K5866" s="2" t="n">
        <v>0</v>
      </c>
      <c r="L5866" s="2" t="n">
        <v>0</v>
      </c>
      <c r="M5866" s="2" t="n">
        <v>0</v>
      </c>
    </row>
    <row r="5867" customFormat="false" ht="15" hidden="false" customHeight="false" outlineLevel="0" collapsed="false">
      <c r="A5867" s="2" t="s">
        <v>11906</v>
      </c>
      <c r="B5867" s="2" t="s">
        <v>11907</v>
      </c>
      <c r="C5867" s="2" t="n">
        <v>5</v>
      </c>
      <c r="D5867" s="2" t="s">
        <v>52</v>
      </c>
      <c r="E5867" s="2" t="s">
        <v>8083</v>
      </c>
      <c r="F5867" s="3" t="n">
        <v>46229.3395833333</v>
      </c>
      <c r="G5867" s="2" t="s">
        <v>11403</v>
      </c>
      <c r="H5867" s="4" t="n">
        <v>0.6369</v>
      </c>
      <c r="I5867" s="2" t="s">
        <v>23</v>
      </c>
      <c r="J5867" s="2" t="s">
        <v>19</v>
      </c>
      <c r="K5867" s="2" t="n">
        <v>7</v>
      </c>
      <c r="L5867" s="2" t="n">
        <v>0</v>
      </c>
      <c r="M5867" s="2" t="n">
        <v>0</v>
      </c>
    </row>
    <row r="5868" customFormat="false" ht="15" hidden="false" customHeight="false" outlineLevel="0" collapsed="false">
      <c r="A5868" s="2" t="s">
        <v>11908</v>
      </c>
      <c r="B5868" s="2" t="s">
        <v>11909</v>
      </c>
      <c r="C5868" s="2" t="n">
        <v>5</v>
      </c>
      <c r="D5868" s="2" t="s">
        <v>2578</v>
      </c>
      <c r="E5868" s="2" t="s">
        <v>8083</v>
      </c>
      <c r="F5868" s="3" t="n">
        <v>46229.4902777778</v>
      </c>
      <c r="G5868" s="2" t="s">
        <v>11403</v>
      </c>
      <c r="H5868" s="4" t="n">
        <v>0.9626</v>
      </c>
      <c r="I5868" s="2" t="s">
        <v>23</v>
      </c>
      <c r="J5868" s="2" t="s">
        <v>37</v>
      </c>
      <c r="K5868" s="2" t="n">
        <v>0</v>
      </c>
      <c r="L5868" s="2" t="n">
        <v>0</v>
      </c>
      <c r="M5868" s="2" t="n">
        <v>0</v>
      </c>
    </row>
    <row r="5869" customFormat="false" ht="15" hidden="false" customHeight="false" outlineLevel="0" collapsed="false">
      <c r="A5869" s="2" t="s">
        <v>11910</v>
      </c>
      <c r="B5869" s="2" t="s">
        <v>11911</v>
      </c>
      <c r="C5869" s="2" t="n">
        <v>2</v>
      </c>
      <c r="D5869" s="2" t="s">
        <v>1942</v>
      </c>
      <c r="E5869" s="2" t="s">
        <v>8083</v>
      </c>
      <c r="F5869" s="3" t="n">
        <v>46229.83125</v>
      </c>
      <c r="G5869" s="2" t="s">
        <v>11403</v>
      </c>
      <c r="H5869" s="4" t="n">
        <v>0</v>
      </c>
      <c r="I5869" s="2" t="s">
        <v>18</v>
      </c>
      <c r="J5869" s="2" t="s">
        <v>165</v>
      </c>
      <c r="K5869" s="2" t="n">
        <v>2</v>
      </c>
      <c r="L5869" s="2" t="n">
        <v>1</v>
      </c>
      <c r="M5869" s="2" t="n">
        <v>0</v>
      </c>
    </row>
    <row r="5870" customFormat="false" ht="15" hidden="false" customHeight="false" outlineLevel="0" collapsed="false">
      <c r="A5870" s="2" t="s">
        <v>11912</v>
      </c>
      <c r="B5870" s="2" t="s">
        <v>11913</v>
      </c>
      <c r="C5870" s="2" t="n">
        <v>5</v>
      </c>
      <c r="D5870" s="2" t="s">
        <v>47</v>
      </c>
      <c r="E5870" s="2" t="s">
        <v>8083</v>
      </c>
      <c r="F5870" s="3" t="n">
        <v>46229.8423611111</v>
      </c>
      <c r="G5870" s="2" t="s">
        <v>11403</v>
      </c>
      <c r="H5870" s="4" t="n">
        <v>0.3089</v>
      </c>
      <c r="I5870" s="2" t="s">
        <v>23</v>
      </c>
      <c r="J5870" s="2" t="s">
        <v>19</v>
      </c>
      <c r="K5870" s="2" t="n">
        <v>0</v>
      </c>
      <c r="L5870" s="2" t="n">
        <v>0</v>
      </c>
      <c r="M5870" s="2" t="n">
        <v>0</v>
      </c>
    </row>
    <row r="5871" customFormat="false" ht="15" hidden="false" customHeight="false" outlineLevel="0" collapsed="false">
      <c r="A5871" s="2" t="s">
        <v>11914</v>
      </c>
      <c r="B5871" s="2" t="s">
        <v>11915</v>
      </c>
      <c r="C5871" s="2" t="n">
        <v>4</v>
      </c>
      <c r="D5871" s="2" t="s">
        <v>15</v>
      </c>
      <c r="E5871" s="2" t="s">
        <v>8083</v>
      </c>
      <c r="F5871" s="3" t="n">
        <v>46229.90625</v>
      </c>
      <c r="G5871" s="2" t="s">
        <v>11403</v>
      </c>
      <c r="H5871" s="4" t="n">
        <v>0</v>
      </c>
      <c r="I5871" s="2" t="s">
        <v>18</v>
      </c>
      <c r="J5871" s="2" t="s">
        <v>19</v>
      </c>
      <c r="K5871" s="2" t="n">
        <v>0</v>
      </c>
      <c r="L5871" s="2" t="n">
        <v>0</v>
      </c>
      <c r="M5871" s="2" t="n">
        <v>0</v>
      </c>
    </row>
    <row r="5872" customFormat="false" ht="15" hidden="false" customHeight="false" outlineLevel="0" collapsed="false">
      <c r="A5872" s="2" t="s">
        <v>11916</v>
      </c>
      <c r="B5872" s="2" t="s">
        <v>8177</v>
      </c>
      <c r="C5872" s="2" t="n">
        <v>1</v>
      </c>
      <c r="D5872" s="2" t="s">
        <v>455</v>
      </c>
      <c r="E5872" s="2" t="s">
        <v>8083</v>
      </c>
      <c r="F5872" s="3" t="n">
        <v>46230.0430555556</v>
      </c>
      <c r="G5872" s="2" t="s">
        <v>11403</v>
      </c>
      <c r="H5872" s="4" t="n">
        <v>-0.2263</v>
      </c>
      <c r="I5872" s="2" t="s">
        <v>84</v>
      </c>
      <c r="J5872" s="2" t="s">
        <v>165</v>
      </c>
      <c r="K5872" s="2" t="n">
        <v>1</v>
      </c>
      <c r="L5872" s="2" t="n">
        <v>1</v>
      </c>
      <c r="M5872" s="2" t="n">
        <v>0</v>
      </c>
    </row>
    <row r="5873" customFormat="false" ht="15" hidden="false" customHeight="false" outlineLevel="0" collapsed="false">
      <c r="A5873" s="2" t="s">
        <v>11917</v>
      </c>
      <c r="B5873" s="2" t="s">
        <v>11918</v>
      </c>
      <c r="C5873" s="2" t="n">
        <v>3</v>
      </c>
      <c r="D5873" s="2" t="s">
        <v>22</v>
      </c>
      <c r="E5873" s="2" t="s">
        <v>8083</v>
      </c>
      <c r="F5873" s="3" t="n">
        <v>46230.1097222222</v>
      </c>
      <c r="G5873" s="2" t="s">
        <v>11403</v>
      </c>
      <c r="H5873" s="4" t="n">
        <v>0.2023</v>
      </c>
      <c r="I5873" s="2" t="s">
        <v>23</v>
      </c>
      <c r="J5873" s="2" t="s">
        <v>19</v>
      </c>
      <c r="K5873" s="2" t="n">
        <v>12</v>
      </c>
      <c r="L5873" s="2" t="n">
        <v>0</v>
      </c>
      <c r="M5873" s="2" t="n">
        <v>0</v>
      </c>
    </row>
    <row r="5874" customFormat="false" ht="15" hidden="false" customHeight="false" outlineLevel="0" collapsed="false">
      <c r="A5874" s="2" t="s">
        <v>11919</v>
      </c>
      <c r="B5874" s="2" t="s">
        <v>11920</v>
      </c>
      <c r="C5874" s="2" t="n">
        <v>5</v>
      </c>
      <c r="D5874" s="2" t="s">
        <v>269</v>
      </c>
      <c r="E5874" s="2" t="s">
        <v>8083</v>
      </c>
      <c r="F5874" s="3" t="n">
        <v>46230.1548611111</v>
      </c>
      <c r="G5874" s="2" t="s">
        <v>11403</v>
      </c>
      <c r="H5874" s="4" t="n">
        <v>0.8748</v>
      </c>
      <c r="I5874" s="2" t="s">
        <v>23</v>
      </c>
      <c r="J5874" s="2" t="s">
        <v>37</v>
      </c>
      <c r="K5874" s="2" t="n">
        <v>2</v>
      </c>
      <c r="L5874" s="2" t="n">
        <v>0</v>
      </c>
      <c r="M5874" s="2" t="n">
        <v>0</v>
      </c>
    </row>
    <row r="5875" customFormat="false" ht="15" hidden="false" customHeight="false" outlineLevel="0" collapsed="false">
      <c r="A5875" s="2" t="s">
        <v>11921</v>
      </c>
      <c r="B5875" s="2" t="s">
        <v>11922</v>
      </c>
      <c r="C5875" s="2" t="n">
        <v>3</v>
      </c>
      <c r="D5875" s="2" t="s">
        <v>36</v>
      </c>
      <c r="E5875" s="2" t="s">
        <v>8083</v>
      </c>
      <c r="F5875" s="3" t="n">
        <v>46230.1784722222</v>
      </c>
      <c r="G5875" s="2" t="s">
        <v>11403</v>
      </c>
      <c r="H5875" s="4" t="n">
        <v>0.4404</v>
      </c>
      <c r="I5875" s="2" t="s">
        <v>23</v>
      </c>
      <c r="J5875" s="2" t="s">
        <v>37</v>
      </c>
      <c r="K5875" s="2" t="n">
        <v>6</v>
      </c>
      <c r="L5875" s="2" t="n">
        <v>0</v>
      </c>
      <c r="M5875" s="2" t="n">
        <v>0</v>
      </c>
    </row>
    <row r="5876" customFormat="false" ht="15" hidden="false" customHeight="false" outlineLevel="0" collapsed="false">
      <c r="A5876" s="2" t="s">
        <v>11923</v>
      </c>
      <c r="B5876" s="2" t="s">
        <v>11924</v>
      </c>
      <c r="C5876" s="2" t="n">
        <v>5</v>
      </c>
      <c r="D5876" s="2" t="s">
        <v>96</v>
      </c>
      <c r="E5876" s="2" t="s">
        <v>8083</v>
      </c>
      <c r="F5876" s="3" t="n">
        <v>46230.2854166667</v>
      </c>
      <c r="G5876" s="2" t="s">
        <v>11403</v>
      </c>
      <c r="H5876" s="4" t="n">
        <v>0.6369</v>
      </c>
      <c r="I5876" s="2" t="s">
        <v>23</v>
      </c>
      <c r="J5876" s="2" t="s">
        <v>19</v>
      </c>
      <c r="K5876" s="2" t="n">
        <v>1</v>
      </c>
      <c r="L5876" s="2" t="n">
        <v>0</v>
      </c>
      <c r="M5876" s="2" t="n">
        <v>0</v>
      </c>
    </row>
    <row r="5877" customFormat="false" ht="15" hidden="false" customHeight="false" outlineLevel="0" collapsed="false">
      <c r="A5877" s="2" t="s">
        <v>11925</v>
      </c>
      <c r="B5877" s="2" t="s">
        <v>11926</v>
      </c>
      <c r="C5877" s="2" t="n">
        <v>5</v>
      </c>
      <c r="D5877" s="2" t="s">
        <v>90</v>
      </c>
      <c r="E5877" s="2" t="s">
        <v>8083</v>
      </c>
      <c r="F5877" s="3" t="n">
        <v>46230.3118055556</v>
      </c>
      <c r="G5877" s="2" t="s">
        <v>11403</v>
      </c>
      <c r="H5877" s="4" t="n">
        <v>0.6249</v>
      </c>
      <c r="I5877" s="2" t="s">
        <v>23</v>
      </c>
      <c r="J5877" s="2" t="s">
        <v>37</v>
      </c>
      <c r="K5877" s="2" t="n">
        <v>2</v>
      </c>
      <c r="L5877" s="2" t="n">
        <v>0</v>
      </c>
      <c r="M5877" s="2" t="n">
        <v>0</v>
      </c>
    </row>
    <row r="5878" customFormat="false" ht="15" hidden="false" customHeight="false" outlineLevel="0" collapsed="false">
      <c r="A5878" s="2" t="s">
        <v>11927</v>
      </c>
      <c r="B5878" s="2" t="s">
        <v>11928</v>
      </c>
      <c r="C5878" s="2" t="n">
        <v>5</v>
      </c>
      <c r="D5878" s="2" t="s">
        <v>90</v>
      </c>
      <c r="E5878" s="2" t="s">
        <v>8083</v>
      </c>
      <c r="F5878" s="3" t="n">
        <v>46230.65625</v>
      </c>
      <c r="G5878" s="2" t="s">
        <v>11403</v>
      </c>
      <c r="H5878" s="4" t="n">
        <v>0.6249</v>
      </c>
      <c r="I5878" s="2" t="s">
        <v>23</v>
      </c>
      <c r="J5878" s="2" t="s">
        <v>37</v>
      </c>
      <c r="K5878" s="2" t="n">
        <v>2</v>
      </c>
      <c r="L5878" s="2" t="n">
        <v>0</v>
      </c>
      <c r="M5878" s="2" t="n">
        <v>0</v>
      </c>
    </row>
    <row r="5879" customFormat="false" ht="15" hidden="false" customHeight="false" outlineLevel="0" collapsed="false">
      <c r="A5879" s="2" t="s">
        <v>11929</v>
      </c>
      <c r="B5879" s="2" t="s">
        <v>11930</v>
      </c>
      <c r="C5879" s="2" t="n">
        <v>2</v>
      </c>
      <c r="D5879" s="2" t="s">
        <v>11931</v>
      </c>
      <c r="E5879" s="2" t="s">
        <v>8083</v>
      </c>
      <c r="F5879" s="3" t="n">
        <v>46230.8611111111</v>
      </c>
      <c r="G5879" s="2" t="s">
        <v>11403</v>
      </c>
      <c r="H5879" s="4" t="n">
        <v>0.4404</v>
      </c>
      <c r="I5879" s="2" t="s">
        <v>23</v>
      </c>
      <c r="J5879" s="2" t="s">
        <v>37</v>
      </c>
      <c r="K5879" s="2" t="n">
        <v>0</v>
      </c>
      <c r="L5879" s="2" t="n">
        <v>0</v>
      </c>
      <c r="M5879" s="2" t="n">
        <v>0</v>
      </c>
    </row>
    <row r="5880" customFormat="false" ht="15" hidden="false" customHeight="false" outlineLevel="0" collapsed="false">
      <c r="A5880" s="2" t="s">
        <v>11932</v>
      </c>
      <c r="B5880" s="2" t="s">
        <v>2693</v>
      </c>
      <c r="C5880" s="2" t="n">
        <v>4</v>
      </c>
      <c r="D5880" s="2" t="s">
        <v>47</v>
      </c>
      <c r="E5880" s="2" t="s">
        <v>8083</v>
      </c>
      <c r="F5880" s="3" t="n">
        <v>46230.9173611111</v>
      </c>
      <c r="G5880" s="2" t="s">
        <v>11403</v>
      </c>
      <c r="H5880" s="4" t="n">
        <v>0.3089</v>
      </c>
      <c r="I5880" s="2" t="s">
        <v>23</v>
      </c>
      <c r="J5880" s="2" t="s">
        <v>19</v>
      </c>
      <c r="K5880" s="2" t="n">
        <v>2</v>
      </c>
      <c r="L5880" s="2" t="n">
        <v>0</v>
      </c>
      <c r="M5880" s="2" t="n">
        <v>0</v>
      </c>
    </row>
    <row r="5881" customFormat="false" ht="15" hidden="false" customHeight="false" outlineLevel="0" collapsed="false">
      <c r="A5881" s="2" t="s">
        <v>11933</v>
      </c>
      <c r="B5881" s="2" t="s">
        <v>11934</v>
      </c>
      <c r="C5881" s="2" t="n">
        <v>5</v>
      </c>
      <c r="D5881" s="2" t="s">
        <v>52</v>
      </c>
      <c r="E5881" s="2" t="s">
        <v>8083</v>
      </c>
      <c r="F5881" s="3" t="n">
        <v>46231.0243055556</v>
      </c>
      <c r="G5881" s="2" t="s">
        <v>11403</v>
      </c>
      <c r="H5881" s="4" t="n">
        <v>0.6369</v>
      </c>
      <c r="I5881" s="2" t="s">
        <v>23</v>
      </c>
      <c r="J5881" s="2" t="s">
        <v>19</v>
      </c>
      <c r="K5881" s="2" t="n">
        <v>0</v>
      </c>
      <c r="L5881" s="2" t="n">
        <v>0</v>
      </c>
      <c r="M5881" s="2" t="n">
        <v>0</v>
      </c>
    </row>
    <row r="5882" customFormat="false" ht="15" hidden="false" customHeight="false" outlineLevel="0" collapsed="false">
      <c r="A5882" s="2" t="s">
        <v>11935</v>
      </c>
      <c r="B5882" s="2" t="s">
        <v>11936</v>
      </c>
      <c r="C5882" s="2" t="n">
        <v>4</v>
      </c>
      <c r="D5882" s="2" t="s">
        <v>52</v>
      </c>
      <c r="E5882" s="2" t="s">
        <v>8083</v>
      </c>
      <c r="F5882" s="3" t="n">
        <v>46231.1409722222</v>
      </c>
      <c r="G5882" s="2" t="s">
        <v>11403</v>
      </c>
      <c r="H5882" s="4" t="n">
        <v>0.6369</v>
      </c>
      <c r="I5882" s="2" t="s">
        <v>23</v>
      </c>
      <c r="J5882" s="2" t="s">
        <v>19</v>
      </c>
      <c r="K5882" s="2" t="n">
        <v>0</v>
      </c>
      <c r="L5882" s="2" t="n">
        <v>0</v>
      </c>
      <c r="M5882" s="2" t="n">
        <v>0</v>
      </c>
    </row>
    <row r="5883" customFormat="false" ht="15" hidden="false" customHeight="false" outlineLevel="0" collapsed="false">
      <c r="A5883" s="2" t="s">
        <v>11937</v>
      </c>
      <c r="B5883" s="2" t="s">
        <v>11938</v>
      </c>
      <c r="C5883" s="2" t="n">
        <v>5</v>
      </c>
      <c r="D5883" s="2" t="s">
        <v>40</v>
      </c>
      <c r="E5883" s="2" t="s">
        <v>8083</v>
      </c>
      <c r="F5883" s="3" t="n">
        <v>46231.1541666667</v>
      </c>
      <c r="G5883" s="2" t="s">
        <v>11403</v>
      </c>
      <c r="H5883" s="4" t="n">
        <v>0.4019</v>
      </c>
      <c r="I5883" s="2" t="s">
        <v>23</v>
      </c>
      <c r="J5883" s="2" t="s">
        <v>33</v>
      </c>
      <c r="K5883" s="2" t="n">
        <v>5</v>
      </c>
      <c r="L5883" s="2" t="n">
        <v>0</v>
      </c>
      <c r="M5883" s="2" t="n">
        <v>0</v>
      </c>
    </row>
    <row r="5884" customFormat="false" ht="15" hidden="false" customHeight="false" outlineLevel="0" collapsed="false">
      <c r="A5884" s="2" t="s">
        <v>11939</v>
      </c>
      <c r="B5884" s="2" t="s">
        <v>11940</v>
      </c>
      <c r="C5884" s="2" t="n">
        <v>5</v>
      </c>
      <c r="D5884" s="2" t="s">
        <v>62</v>
      </c>
      <c r="E5884" s="2" t="s">
        <v>8083</v>
      </c>
      <c r="F5884" s="3" t="n">
        <v>46231.1777777778</v>
      </c>
      <c r="G5884" s="2" t="s">
        <v>11403</v>
      </c>
      <c r="H5884" s="4" t="n">
        <v>0.7088</v>
      </c>
      <c r="I5884" s="2" t="s">
        <v>23</v>
      </c>
      <c r="J5884" s="2" t="s">
        <v>19</v>
      </c>
      <c r="K5884" s="2" t="n">
        <v>3</v>
      </c>
      <c r="L5884" s="2" t="n">
        <v>0</v>
      </c>
      <c r="M5884" s="2" t="n">
        <v>0</v>
      </c>
    </row>
    <row r="5885" customFormat="false" ht="15" hidden="false" customHeight="false" outlineLevel="0" collapsed="false">
      <c r="A5885" s="2" t="s">
        <v>11941</v>
      </c>
      <c r="B5885" s="2" t="s">
        <v>11942</v>
      </c>
      <c r="C5885" s="2" t="n">
        <v>5</v>
      </c>
      <c r="D5885" s="2" t="s">
        <v>1698</v>
      </c>
      <c r="E5885" s="2" t="s">
        <v>8083</v>
      </c>
      <c r="F5885" s="3" t="n">
        <v>46231.2673611111</v>
      </c>
      <c r="G5885" s="2" t="s">
        <v>11403</v>
      </c>
      <c r="H5885" s="4" t="n">
        <v>0.7845</v>
      </c>
      <c r="I5885" s="2" t="s">
        <v>23</v>
      </c>
      <c r="J5885" s="2" t="s">
        <v>33</v>
      </c>
      <c r="K5885" s="2" t="n">
        <v>2</v>
      </c>
      <c r="L5885" s="2" t="n">
        <v>0</v>
      </c>
      <c r="M5885" s="2" t="n">
        <v>0</v>
      </c>
    </row>
    <row r="5886" customFormat="false" ht="15" hidden="false" customHeight="false" outlineLevel="0" collapsed="false">
      <c r="A5886" s="2" t="s">
        <v>11943</v>
      </c>
      <c r="B5886" s="2" t="s">
        <v>11944</v>
      </c>
      <c r="C5886" s="2" t="n">
        <v>5</v>
      </c>
      <c r="D5886" s="2" t="s">
        <v>47</v>
      </c>
      <c r="E5886" s="2" t="s">
        <v>8083</v>
      </c>
      <c r="F5886" s="3" t="n">
        <v>46231.3381944444</v>
      </c>
      <c r="G5886" s="2" t="s">
        <v>11403</v>
      </c>
      <c r="H5886" s="4" t="n">
        <v>0.3089</v>
      </c>
      <c r="I5886" s="2" t="s">
        <v>23</v>
      </c>
      <c r="J5886" s="2" t="s">
        <v>19</v>
      </c>
      <c r="K5886" s="2" t="n">
        <v>2</v>
      </c>
      <c r="L5886" s="2" t="n">
        <v>0</v>
      </c>
      <c r="M5886" s="2" t="n">
        <v>0</v>
      </c>
    </row>
    <row r="5887" customFormat="false" ht="15" hidden="false" customHeight="false" outlineLevel="0" collapsed="false">
      <c r="A5887" s="2" t="s">
        <v>11945</v>
      </c>
      <c r="B5887" s="2" t="s">
        <v>11946</v>
      </c>
      <c r="C5887" s="2" t="n">
        <v>5</v>
      </c>
      <c r="D5887" s="2" t="s">
        <v>62</v>
      </c>
      <c r="E5887" s="2" t="s">
        <v>8083</v>
      </c>
      <c r="F5887" s="3" t="n">
        <v>46231.3472222222</v>
      </c>
      <c r="G5887" s="2" t="s">
        <v>11403</v>
      </c>
      <c r="H5887" s="4" t="n">
        <v>0.7088</v>
      </c>
      <c r="I5887" s="2" t="s">
        <v>23</v>
      </c>
      <c r="J5887" s="2" t="s">
        <v>19</v>
      </c>
      <c r="K5887" s="2" t="n">
        <v>0</v>
      </c>
      <c r="L5887" s="2" t="n">
        <v>0</v>
      </c>
      <c r="M5887" s="2" t="n">
        <v>0</v>
      </c>
    </row>
    <row r="5888" customFormat="false" ht="15" hidden="false" customHeight="false" outlineLevel="0" collapsed="false">
      <c r="A5888" s="2" t="s">
        <v>11947</v>
      </c>
      <c r="B5888" s="2" t="s">
        <v>11948</v>
      </c>
      <c r="C5888" s="2" t="n">
        <v>4</v>
      </c>
      <c r="D5888" s="2" t="s">
        <v>90</v>
      </c>
      <c r="E5888" s="2" t="s">
        <v>8083</v>
      </c>
      <c r="F5888" s="3" t="n">
        <v>46231.70625</v>
      </c>
      <c r="G5888" s="2" t="s">
        <v>11403</v>
      </c>
      <c r="H5888" s="4" t="n">
        <v>0.6249</v>
      </c>
      <c r="I5888" s="2" t="s">
        <v>23</v>
      </c>
      <c r="J5888" s="2" t="s">
        <v>37</v>
      </c>
      <c r="K5888" s="2" t="n">
        <v>0</v>
      </c>
      <c r="L5888" s="2" t="n">
        <v>0</v>
      </c>
      <c r="M5888" s="2" t="n">
        <v>0</v>
      </c>
    </row>
    <row r="5889" customFormat="false" ht="15" hidden="false" customHeight="false" outlineLevel="0" collapsed="false">
      <c r="A5889" s="2" t="s">
        <v>11949</v>
      </c>
      <c r="B5889" s="2" t="s">
        <v>11950</v>
      </c>
      <c r="C5889" s="2" t="n">
        <v>3</v>
      </c>
      <c r="D5889" s="2" t="s">
        <v>99</v>
      </c>
      <c r="E5889" s="2" t="s">
        <v>8083</v>
      </c>
      <c r="F5889" s="3" t="n">
        <v>46231.7201388889</v>
      </c>
      <c r="G5889" s="2" t="s">
        <v>11403</v>
      </c>
      <c r="H5889" s="4" t="n">
        <v>-0.3089</v>
      </c>
      <c r="I5889" s="2" t="s">
        <v>84</v>
      </c>
      <c r="J5889" s="2" t="s">
        <v>19</v>
      </c>
      <c r="K5889" s="2" t="n">
        <v>3</v>
      </c>
      <c r="L5889" s="2" t="n">
        <v>0</v>
      </c>
      <c r="M5889" s="2" t="n">
        <v>0</v>
      </c>
    </row>
    <row r="5890" customFormat="false" ht="15" hidden="false" customHeight="false" outlineLevel="0" collapsed="false">
      <c r="A5890" s="2" t="s">
        <v>11951</v>
      </c>
      <c r="B5890" s="2" t="s">
        <v>11952</v>
      </c>
      <c r="C5890" s="2" t="n">
        <v>1</v>
      </c>
      <c r="D5890" s="2" t="s">
        <v>733</v>
      </c>
      <c r="E5890" s="2" t="s">
        <v>8083</v>
      </c>
      <c r="F5890" s="3" t="n">
        <v>46231.7486111111</v>
      </c>
      <c r="G5890" s="2" t="s">
        <v>11403</v>
      </c>
      <c r="H5890" s="4" t="n">
        <v>-0.2846</v>
      </c>
      <c r="I5890" s="2" t="s">
        <v>84</v>
      </c>
      <c r="J5890" s="2" t="s">
        <v>37</v>
      </c>
      <c r="K5890" s="2" t="n">
        <v>2</v>
      </c>
      <c r="L5890" s="2" t="n">
        <v>1</v>
      </c>
      <c r="M5890" s="2" t="n">
        <v>0</v>
      </c>
    </row>
    <row r="5891" customFormat="false" ht="15" hidden="false" customHeight="false" outlineLevel="0" collapsed="false">
      <c r="A5891" s="2" t="s">
        <v>11953</v>
      </c>
      <c r="B5891" s="2" t="s">
        <v>11954</v>
      </c>
      <c r="C5891" s="2" t="n">
        <v>3</v>
      </c>
      <c r="D5891" s="2" t="s">
        <v>99</v>
      </c>
      <c r="E5891" s="2" t="s">
        <v>8083</v>
      </c>
      <c r="F5891" s="3" t="n">
        <v>46231.8305555556</v>
      </c>
      <c r="G5891" s="2" t="s">
        <v>11403</v>
      </c>
      <c r="H5891" s="4" t="n">
        <v>-0.3089</v>
      </c>
      <c r="I5891" s="2" t="s">
        <v>84</v>
      </c>
      <c r="J5891" s="2" t="s">
        <v>19</v>
      </c>
      <c r="K5891" s="2" t="n">
        <v>4</v>
      </c>
      <c r="L5891" s="2" t="n">
        <v>0</v>
      </c>
      <c r="M5891" s="2" t="n">
        <v>0</v>
      </c>
    </row>
    <row r="5892" customFormat="false" ht="15" hidden="false" customHeight="false" outlineLevel="0" collapsed="false">
      <c r="A5892" s="2" t="s">
        <v>11955</v>
      </c>
      <c r="B5892" s="2" t="s">
        <v>11956</v>
      </c>
      <c r="C5892" s="2" t="n">
        <v>5</v>
      </c>
      <c r="D5892" s="2" t="s">
        <v>52</v>
      </c>
      <c r="E5892" s="2" t="s">
        <v>8083</v>
      </c>
      <c r="F5892" s="3" t="n">
        <v>46231.8493055556</v>
      </c>
      <c r="G5892" s="2" t="s">
        <v>11403</v>
      </c>
      <c r="H5892" s="4" t="n">
        <v>0.6369</v>
      </c>
      <c r="I5892" s="2" t="s">
        <v>23</v>
      </c>
      <c r="J5892" s="2" t="s">
        <v>19</v>
      </c>
      <c r="K5892" s="2" t="n">
        <v>1</v>
      </c>
      <c r="L5892" s="2" t="n">
        <v>0</v>
      </c>
      <c r="M5892" s="2" t="n">
        <v>0</v>
      </c>
    </row>
    <row r="5893" customFormat="false" ht="15" hidden="false" customHeight="false" outlineLevel="0" collapsed="false">
      <c r="A5893" s="2" t="s">
        <v>11957</v>
      </c>
      <c r="B5893" s="2" t="s">
        <v>11958</v>
      </c>
      <c r="C5893" s="2" t="n">
        <v>4</v>
      </c>
      <c r="D5893" s="2" t="s">
        <v>47</v>
      </c>
      <c r="E5893" s="2" t="s">
        <v>8083</v>
      </c>
      <c r="F5893" s="3" t="n">
        <v>46231.9659722222</v>
      </c>
      <c r="G5893" s="2" t="s">
        <v>11403</v>
      </c>
      <c r="H5893" s="4" t="n">
        <v>0.3089</v>
      </c>
      <c r="I5893" s="2" t="s">
        <v>23</v>
      </c>
      <c r="J5893" s="2" t="s">
        <v>19</v>
      </c>
      <c r="K5893" s="2" t="n">
        <v>2</v>
      </c>
      <c r="L5893" s="2" t="n">
        <v>0</v>
      </c>
      <c r="M5893" s="2" t="n">
        <v>0</v>
      </c>
    </row>
    <row r="5894" customFormat="false" ht="15" hidden="false" customHeight="false" outlineLevel="0" collapsed="false">
      <c r="A5894" s="2" t="s">
        <v>11959</v>
      </c>
      <c r="B5894" s="2" t="s">
        <v>11960</v>
      </c>
      <c r="C5894" s="2" t="n">
        <v>5</v>
      </c>
      <c r="D5894" s="2" t="s">
        <v>565</v>
      </c>
      <c r="E5894" s="2" t="s">
        <v>8083</v>
      </c>
      <c r="F5894" s="3" t="n">
        <v>46232.2583333333</v>
      </c>
      <c r="G5894" s="2" t="s">
        <v>11403</v>
      </c>
      <c r="H5894" s="4" t="n">
        <v>0.7549</v>
      </c>
      <c r="I5894" s="2" t="s">
        <v>23</v>
      </c>
      <c r="J5894" s="2" t="s">
        <v>19</v>
      </c>
      <c r="K5894" s="2" t="n">
        <v>3</v>
      </c>
      <c r="L5894" s="2" t="n">
        <v>0</v>
      </c>
      <c r="M5894" s="2" t="n">
        <v>0</v>
      </c>
    </row>
    <row r="5895" customFormat="false" ht="15" hidden="false" customHeight="false" outlineLevel="0" collapsed="false">
      <c r="A5895" s="2" t="s">
        <v>11961</v>
      </c>
      <c r="B5895" s="2" t="s">
        <v>11962</v>
      </c>
      <c r="C5895" s="2" t="n">
        <v>3</v>
      </c>
      <c r="D5895" s="2" t="s">
        <v>498</v>
      </c>
      <c r="E5895" s="2" t="s">
        <v>8083</v>
      </c>
      <c r="F5895" s="3" t="n">
        <v>46232.2680555556</v>
      </c>
      <c r="G5895" s="2" t="s">
        <v>11403</v>
      </c>
      <c r="H5895" s="4" t="n">
        <v>0</v>
      </c>
      <c r="I5895" s="2" t="s">
        <v>18</v>
      </c>
      <c r="J5895" s="2" t="s">
        <v>165</v>
      </c>
      <c r="K5895" s="2" t="n">
        <v>1</v>
      </c>
      <c r="L5895" s="2" t="n">
        <v>0</v>
      </c>
      <c r="M5895" s="2" t="n">
        <v>0</v>
      </c>
    </row>
    <row r="5896" customFormat="false" ht="15" hidden="false" customHeight="false" outlineLevel="0" collapsed="false">
      <c r="A5896" s="2" t="s">
        <v>11963</v>
      </c>
      <c r="B5896" s="2" t="s">
        <v>11964</v>
      </c>
      <c r="C5896" s="2" t="n">
        <v>3</v>
      </c>
      <c r="D5896" s="2" t="s">
        <v>36</v>
      </c>
      <c r="E5896" s="2" t="s">
        <v>8083</v>
      </c>
      <c r="F5896" s="3" t="n">
        <v>46232.5</v>
      </c>
      <c r="G5896" s="2" t="s">
        <v>11403</v>
      </c>
      <c r="H5896" s="4" t="n">
        <v>0.4404</v>
      </c>
      <c r="I5896" s="2" t="s">
        <v>23</v>
      </c>
      <c r="J5896" s="2" t="s">
        <v>37</v>
      </c>
      <c r="K5896" s="2" t="n">
        <v>3</v>
      </c>
      <c r="L5896" s="2" t="n">
        <v>0</v>
      </c>
      <c r="M5896" s="2" t="n">
        <v>0</v>
      </c>
    </row>
    <row r="5897" customFormat="false" ht="15" hidden="false" customHeight="false" outlineLevel="0" collapsed="false">
      <c r="A5897" s="2" t="s">
        <v>11965</v>
      </c>
      <c r="B5897" s="2" t="s">
        <v>11966</v>
      </c>
      <c r="C5897" s="2" t="n">
        <v>4</v>
      </c>
      <c r="D5897" s="2" t="s">
        <v>47</v>
      </c>
      <c r="E5897" s="2" t="s">
        <v>8083</v>
      </c>
      <c r="F5897" s="3" t="n">
        <v>46232.5083333333</v>
      </c>
      <c r="G5897" s="2" t="s">
        <v>11403</v>
      </c>
      <c r="H5897" s="4" t="n">
        <v>0.3089</v>
      </c>
      <c r="I5897" s="2" t="s">
        <v>23</v>
      </c>
      <c r="J5897" s="2" t="s">
        <v>19</v>
      </c>
      <c r="K5897" s="2" t="n">
        <v>5</v>
      </c>
      <c r="L5897" s="2" t="n">
        <v>0</v>
      </c>
      <c r="M5897" s="2" t="n">
        <v>0</v>
      </c>
    </row>
    <row r="5898" customFormat="false" ht="15" hidden="false" customHeight="false" outlineLevel="0" collapsed="false">
      <c r="A5898" s="2" t="s">
        <v>11967</v>
      </c>
      <c r="B5898" s="2" t="s">
        <v>11968</v>
      </c>
      <c r="C5898" s="2" t="n">
        <v>3</v>
      </c>
      <c r="D5898" s="2" t="s">
        <v>1942</v>
      </c>
      <c r="E5898" s="2" t="s">
        <v>8083</v>
      </c>
      <c r="F5898" s="3" t="n">
        <v>46232.5388888889</v>
      </c>
      <c r="G5898" s="2" t="s">
        <v>11403</v>
      </c>
      <c r="H5898" s="4" t="n">
        <v>0</v>
      </c>
      <c r="I5898" s="2" t="s">
        <v>18</v>
      </c>
      <c r="J5898" s="2" t="s">
        <v>165</v>
      </c>
      <c r="K5898" s="2" t="n">
        <v>2</v>
      </c>
      <c r="L5898" s="2" t="n">
        <v>0</v>
      </c>
      <c r="M5898" s="2" t="n">
        <v>0</v>
      </c>
    </row>
    <row r="5899" customFormat="false" ht="15" hidden="false" customHeight="false" outlineLevel="0" collapsed="false">
      <c r="A5899" s="2" t="s">
        <v>11969</v>
      </c>
      <c r="B5899" s="2" t="s">
        <v>11970</v>
      </c>
      <c r="C5899" s="2" t="n">
        <v>2</v>
      </c>
      <c r="D5899" s="2" t="s">
        <v>402</v>
      </c>
      <c r="E5899" s="2" t="s">
        <v>8083</v>
      </c>
      <c r="F5899" s="3" t="n">
        <v>46232.6993055556</v>
      </c>
      <c r="G5899" s="2" t="s">
        <v>11403</v>
      </c>
      <c r="H5899" s="4" t="n">
        <v>0</v>
      </c>
      <c r="I5899" s="2" t="s">
        <v>18</v>
      </c>
      <c r="J5899" s="2" t="s">
        <v>59</v>
      </c>
      <c r="K5899" s="2" t="n">
        <v>0</v>
      </c>
      <c r="L5899" s="2" t="n">
        <v>0</v>
      </c>
      <c r="M5899" s="2" t="n">
        <v>0</v>
      </c>
    </row>
    <row r="5900" customFormat="false" ht="15" hidden="false" customHeight="false" outlineLevel="0" collapsed="false">
      <c r="A5900" s="2" t="s">
        <v>11971</v>
      </c>
      <c r="B5900" s="2" t="s">
        <v>11972</v>
      </c>
      <c r="C5900" s="2" t="n">
        <v>5</v>
      </c>
      <c r="D5900" s="2" t="s">
        <v>52</v>
      </c>
      <c r="E5900" s="2" t="s">
        <v>8083</v>
      </c>
      <c r="F5900" s="3" t="n">
        <v>46232.8166666667</v>
      </c>
      <c r="G5900" s="2" t="s">
        <v>11403</v>
      </c>
      <c r="H5900" s="4" t="n">
        <v>0.6369</v>
      </c>
      <c r="I5900" s="2" t="s">
        <v>23</v>
      </c>
      <c r="J5900" s="2" t="s">
        <v>19</v>
      </c>
      <c r="K5900" s="2" t="n">
        <v>0</v>
      </c>
      <c r="L5900" s="2" t="n">
        <v>0</v>
      </c>
      <c r="M5900" s="2" t="n">
        <v>0</v>
      </c>
    </row>
    <row r="5901" customFormat="false" ht="15" hidden="false" customHeight="false" outlineLevel="0" collapsed="false">
      <c r="A5901" s="2" t="s">
        <v>11973</v>
      </c>
      <c r="B5901" s="2" t="s">
        <v>11974</v>
      </c>
      <c r="C5901" s="2" t="n">
        <v>5</v>
      </c>
      <c r="D5901" s="2" t="s">
        <v>127</v>
      </c>
      <c r="E5901" s="2" t="s">
        <v>8083</v>
      </c>
      <c r="F5901" s="3" t="n">
        <v>46232.8861111111</v>
      </c>
      <c r="G5901" s="2" t="s">
        <v>11403</v>
      </c>
      <c r="H5901" s="4" t="n">
        <v>0.9359</v>
      </c>
      <c r="I5901" s="2" t="s">
        <v>23</v>
      </c>
      <c r="J5901" s="2" t="s">
        <v>37</v>
      </c>
      <c r="K5901" s="2" t="n">
        <v>0</v>
      </c>
      <c r="L5901" s="2" t="n">
        <v>0</v>
      </c>
      <c r="M5901" s="2" t="n">
        <v>0</v>
      </c>
    </row>
    <row r="5902" customFormat="false" ht="15" hidden="false" customHeight="false" outlineLevel="0" collapsed="false">
      <c r="A5902" s="2" t="s">
        <v>11975</v>
      </c>
      <c r="B5902" s="2" t="s">
        <v>11976</v>
      </c>
      <c r="C5902" s="2" t="n">
        <v>4</v>
      </c>
      <c r="D5902" s="2" t="s">
        <v>62</v>
      </c>
      <c r="E5902" s="2" t="s">
        <v>8083</v>
      </c>
      <c r="F5902" s="3" t="n">
        <v>46232.90625</v>
      </c>
      <c r="G5902" s="2" t="s">
        <v>11403</v>
      </c>
      <c r="H5902" s="4" t="n">
        <v>0.7088</v>
      </c>
      <c r="I5902" s="2" t="s">
        <v>23</v>
      </c>
      <c r="J5902" s="2" t="s">
        <v>19</v>
      </c>
      <c r="K5902" s="2" t="n">
        <v>4</v>
      </c>
      <c r="L5902" s="2" t="n">
        <v>0</v>
      </c>
      <c r="M5902" s="2" t="n">
        <v>0</v>
      </c>
    </row>
    <row r="5903" customFormat="false" ht="15" hidden="false" customHeight="false" outlineLevel="0" collapsed="false">
      <c r="A5903" s="2" t="s">
        <v>11977</v>
      </c>
      <c r="B5903" s="2" t="s">
        <v>11978</v>
      </c>
      <c r="C5903" s="2" t="n">
        <v>3</v>
      </c>
      <c r="D5903" s="2" t="s">
        <v>168</v>
      </c>
      <c r="E5903" s="2" t="s">
        <v>8083</v>
      </c>
      <c r="F5903" s="3" t="n">
        <v>46233.0298611111</v>
      </c>
      <c r="G5903" s="2" t="s">
        <v>11403</v>
      </c>
      <c r="H5903" s="4" t="n">
        <v>-0.1027</v>
      </c>
      <c r="I5903" s="2" t="s">
        <v>84</v>
      </c>
      <c r="J5903" s="2" t="s">
        <v>33</v>
      </c>
      <c r="K5903" s="2" t="n">
        <v>2</v>
      </c>
      <c r="L5903" s="2" t="n">
        <v>0</v>
      </c>
      <c r="M5903" s="2" t="n">
        <v>0</v>
      </c>
    </row>
    <row r="5904" customFormat="false" ht="15" hidden="false" customHeight="false" outlineLevel="0" collapsed="false">
      <c r="A5904" s="2" t="s">
        <v>11979</v>
      </c>
      <c r="B5904" s="2" t="s">
        <v>11980</v>
      </c>
      <c r="C5904" s="2" t="n">
        <v>5</v>
      </c>
      <c r="D5904" s="2" t="s">
        <v>787</v>
      </c>
      <c r="E5904" s="2" t="s">
        <v>8083</v>
      </c>
      <c r="F5904" s="3" t="n">
        <v>46233.0986111111</v>
      </c>
      <c r="G5904" s="2" t="s">
        <v>11403</v>
      </c>
      <c r="H5904" s="4" t="n">
        <v>0.7475</v>
      </c>
      <c r="I5904" s="2" t="s">
        <v>23</v>
      </c>
      <c r="J5904" s="2" t="s">
        <v>37</v>
      </c>
      <c r="K5904" s="2" t="n">
        <v>2</v>
      </c>
      <c r="L5904" s="2" t="n">
        <v>0</v>
      </c>
      <c r="M5904" s="2" t="n">
        <v>0</v>
      </c>
    </row>
    <row r="5905" customFormat="false" ht="15" hidden="false" customHeight="false" outlineLevel="0" collapsed="false">
      <c r="A5905" s="2" t="s">
        <v>11981</v>
      </c>
      <c r="B5905" s="2" t="s">
        <v>11982</v>
      </c>
      <c r="C5905" s="2" t="n">
        <v>1</v>
      </c>
      <c r="D5905" s="2" t="s">
        <v>482</v>
      </c>
      <c r="E5905" s="2" t="s">
        <v>8083</v>
      </c>
      <c r="F5905" s="3" t="n">
        <v>46233.2680555556</v>
      </c>
      <c r="G5905" s="2" t="s">
        <v>11403</v>
      </c>
      <c r="H5905" s="4" t="n">
        <v>-0.6808</v>
      </c>
      <c r="I5905" s="2" t="s">
        <v>84</v>
      </c>
      <c r="J5905" s="2" t="s">
        <v>110</v>
      </c>
      <c r="K5905" s="2" t="n">
        <v>2</v>
      </c>
      <c r="L5905" s="2" t="n">
        <v>1</v>
      </c>
      <c r="M5905" s="2" t="n">
        <v>0</v>
      </c>
    </row>
    <row r="5906" customFormat="false" ht="15" hidden="false" customHeight="false" outlineLevel="0" collapsed="false">
      <c r="A5906" s="2" t="s">
        <v>11983</v>
      </c>
      <c r="B5906" s="2" t="s">
        <v>11984</v>
      </c>
      <c r="C5906" s="2" t="n">
        <v>2</v>
      </c>
      <c r="D5906" s="2" t="s">
        <v>83</v>
      </c>
      <c r="E5906" s="2" t="s">
        <v>8083</v>
      </c>
      <c r="F5906" s="3" t="n">
        <v>46233.3451388889</v>
      </c>
      <c r="G5906" s="2" t="s">
        <v>11403</v>
      </c>
      <c r="H5906" s="4" t="n">
        <v>-0.6166</v>
      </c>
      <c r="I5906" s="2" t="s">
        <v>84</v>
      </c>
      <c r="J5906" s="2" t="s">
        <v>59</v>
      </c>
      <c r="K5906" s="2" t="n">
        <v>1</v>
      </c>
      <c r="L5906" s="2" t="n">
        <v>1</v>
      </c>
      <c r="M5906" s="2" t="n">
        <v>0</v>
      </c>
    </row>
    <row r="5907" customFormat="false" ht="15" hidden="false" customHeight="false" outlineLevel="0" collapsed="false">
      <c r="A5907" s="2" t="s">
        <v>11985</v>
      </c>
      <c r="B5907" s="2" t="s">
        <v>11986</v>
      </c>
      <c r="C5907" s="2" t="n">
        <v>3</v>
      </c>
      <c r="D5907" s="2" t="s">
        <v>99</v>
      </c>
      <c r="E5907" s="2" t="s">
        <v>8083</v>
      </c>
      <c r="F5907" s="3" t="n">
        <v>46233.4333333333</v>
      </c>
      <c r="G5907" s="2" t="s">
        <v>11403</v>
      </c>
      <c r="H5907" s="4" t="n">
        <v>-0.3089</v>
      </c>
      <c r="I5907" s="2" t="s">
        <v>84</v>
      </c>
      <c r="J5907" s="2" t="s">
        <v>19</v>
      </c>
      <c r="K5907" s="2" t="n">
        <v>0</v>
      </c>
      <c r="L5907" s="2" t="n">
        <v>0</v>
      </c>
      <c r="M5907" s="2" t="n">
        <v>0</v>
      </c>
    </row>
    <row r="5908" customFormat="false" ht="15" hidden="false" customHeight="false" outlineLevel="0" collapsed="false">
      <c r="A5908" s="2" t="s">
        <v>11987</v>
      </c>
      <c r="B5908" s="2" t="s">
        <v>11988</v>
      </c>
      <c r="C5908" s="2" t="n">
        <v>3</v>
      </c>
      <c r="D5908" s="2" t="s">
        <v>298</v>
      </c>
      <c r="E5908" s="2" t="s">
        <v>8083</v>
      </c>
      <c r="F5908" s="3" t="n">
        <v>46233.6305555556</v>
      </c>
      <c r="G5908" s="2" t="s">
        <v>11403</v>
      </c>
      <c r="H5908" s="4" t="n">
        <v>0</v>
      </c>
      <c r="I5908" s="2" t="s">
        <v>18</v>
      </c>
      <c r="J5908" s="2" t="s">
        <v>19</v>
      </c>
      <c r="K5908" s="2" t="n">
        <v>17</v>
      </c>
      <c r="L5908" s="2" t="n">
        <v>0</v>
      </c>
      <c r="M5908" s="2" t="n">
        <v>0</v>
      </c>
    </row>
    <row r="5909" customFormat="false" ht="15" hidden="false" customHeight="false" outlineLevel="0" collapsed="false">
      <c r="A5909" s="2" t="s">
        <v>11989</v>
      </c>
      <c r="B5909" s="2" t="s">
        <v>11990</v>
      </c>
      <c r="C5909" s="2" t="n">
        <v>5</v>
      </c>
      <c r="D5909" s="2" t="s">
        <v>47</v>
      </c>
      <c r="E5909" s="2" t="s">
        <v>8083</v>
      </c>
      <c r="F5909" s="3" t="n">
        <v>46233.6326388889</v>
      </c>
      <c r="G5909" s="2" t="s">
        <v>11403</v>
      </c>
      <c r="H5909" s="4" t="n">
        <v>0.3089</v>
      </c>
      <c r="I5909" s="2" t="s">
        <v>23</v>
      </c>
      <c r="J5909" s="2" t="s">
        <v>19</v>
      </c>
      <c r="K5909" s="2" t="n">
        <v>0</v>
      </c>
      <c r="L5909" s="2" t="n">
        <v>0</v>
      </c>
      <c r="M5909" s="2" t="n">
        <v>0</v>
      </c>
    </row>
    <row r="5910" customFormat="false" ht="15" hidden="false" customHeight="false" outlineLevel="0" collapsed="false">
      <c r="A5910" s="2" t="s">
        <v>11991</v>
      </c>
      <c r="B5910" s="2" t="s">
        <v>11992</v>
      </c>
      <c r="C5910" s="2" t="n">
        <v>2</v>
      </c>
      <c r="D5910" s="2" t="s">
        <v>83</v>
      </c>
      <c r="E5910" s="2" t="s">
        <v>8083</v>
      </c>
      <c r="F5910" s="3" t="n">
        <v>46233.6375</v>
      </c>
      <c r="G5910" s="2" t="s">
        <v>11403</v>
      </c>
      <c r="H5910" s="4" t="n">
        <v>-0.6166</v>
      </c>
      <c r="I5910" s="2" t="s">
        <v>84</v>
      </c>
      <c r="J5910" s="2" t="s">
        <v>59</v>
      </c>
      <c r="K5910" s="2" t="n">
        <v>2</v>
      </c>
      <c r="L5910" s="2" t="n">
        <v>0</v>
      </c>
      <c r="M5910" s="2" t="n">
        <v>0</v>
      </c>
    </row>
    <row r="5911" customFormat="false" ht="15" hidden="false" customHeight="false" outlineLevel="0" collapsed="false">
      <c r="A5911" s="2" t="s">
        <v>11993</v>
      </c>
      <c r="B5911" s="2" t="s">
        <v>11994</v>
      </c>
      <c r="C5911" s="2" t="n">
        <v>3</v>
      </c>
      <c r="D5911" s="2" t="s">
        <v>22</v>
      </c>
      <c r="E5911" s="2" t="s">
        <v>8083</v>
      </c>
      <c r="F5911" s="3" t="n">
        <v>46233.8</v>
      </c>
      <c r="G5911" s="2" t="s">
        <v>11403</v>
      </c>
      <c r="H5911" s="4" t="n">
        <v>0.2023</v>
      </c>
      <c r="I5911" s="2" t="s">
        <v>23</v>
      </c>
      <c r="J5911" s="2" t="s">
        <v>19</v>
      </c>
      <c r="K5911" s="2" t="n">
        <v>5</v>
      </c>
      <c r="L5911" s="2" t="n">
        <v>0</v>
      </c>
      <c r="M591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5"/>
  </cols>
  <sheetData>
    <row r="1" customFormat="false" ht="17.35" hidden="false" customHeight="false" outlineLevel="0" collapsed="false">
      <c r="A1" s="5" t="s">
        <v>11995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customFormat="false" ht="23.85" hidden="false" customHeight="false" outlineLevel="0" collapsed="false">
      <c r="A3" s="1" t="s">
        <v>4</v>
      </c>
      <c r="B3" s="1" t="s">
        <v>11996</v>
      </c>
      <c r="C3" s="1" t="s">
        <v>11997</v>
      </c>
      <c r="D3" s="1" t="s">
        <v>11998</v>
      </c>
      <c r="E3" s="1" t="s">
        <v>11999</v>
      </c>
      <c r="F3" s="1" t="s">
        <v>12000</v>
      </c>
      <c r="G3" s="1" t="s">
        <v>12001</v>
      </c>
      <c r="H3" s="1" t="s">
        <v>12002</v>
      </c>
      <c r="I3" s="1" t="s">
        <v>12003</v>
      </c>
      <c r="J3" s="1" t="s">
        <v>12004</v>
      </c>
      <c r="K3" s="1" t="s">
        <v>12005</v>
      </c>
    </row>
    <row r="4" customFormat="false" ht="15" hidden="false" customHeight="false" outlineLevel="0" collapsed="false">
      <c r="A4" s="6" t="s">
        <v>16</v>
      </c>
      <c r="B4" s="7" t="n">
        <v>45663</v>
      </c>
      <c r="C4" s="8" t="n">
        <f aca="false">COUNTIF(Raw_Reviews!$E$2:$E$5911,A4)</f>
        <v>444</v>
      </c>
      <c r="D4" s="9" t="n">
        <f aca="false">IFERROR(AVERAGEIF(Raw_Reviews!$E$2:$E$5911,A4,Raw_Reviews!$C$2:$C$5911),0)</f>
        <v>3.90765765765766</v>
      </c>
      <c r="E4" s="10" t="n">
        <f aca="false">IFERROR(AVERAGEIF(Raw_Reviews!$E$2:$E$5911,A4,Raw_Reviews!$H$2:$H$5911),0)</f>
        <v>0.380314414414414</v>
      </c>
      <c r="F4" s="8" t="n">
        <f aca="false">COUNTIFS(Raw_Reviews!$E$2:$E$5911,A4,Raw_Reviews!$J$2:$J$5911,"crash")</f>
        <v>18</v>
      </c>
      <c r="G4" s="8" t="n">
        <f aca="false">COUNTIFS(Raw_Reviews!$E$2:$E$5911,A4,Raw_Reviews!$J$2:$J$5911,"login")</f>
        <v>13</v>
      </c>
      <c r="H4" s="8" t="n">
        <f aca="false">COUNTIFS(Raw_Reviews!$E$2:$E$5911,A4,Raw_Reviews!$J$2:$J$5911,"payment")</f>
        <v>129</v>
      </c>
      <c r="I4" s="8" t="n">
        <f aca="false">COUNTIFS(Raw_Reviews!$E$2:$E$5911,A4,Raw_Reviews!$J$2:$J$5911,"ui")</f>
        <v>47</v>
      </c>
      <c r="J4" s="8" t="n">
        <f aca="false">COUNTIFS(Raw_Reviews!$E$2:$E$5911,A4,Raw_Reviews!$J$2:$J$5911,"performance")</f>
        <v>11</v>
      </c>
      <c r="K4" s="11" t="n">
        <f aca="false">IFERROR(COUNTIFS(Raw_Reviews!$E$2:$E$5911,A4,Raw_Reviews!$I$2:$I$5911,"negative")/C4,0)</f>
        <v>0.128378378378378</v>
      </c>
    </row>
    <row r="5" customFormat="false" ht="15" hidden="false" customHeight="false" outlineLevel="0" collapsed="false">
      <c r="A5" s="6" t="s">
        <v>1039</v>
      </c>
      <c r="B5" s="7" t="n">
        <v>45705</v>
      </c>
      <c r="C5" s="8" t="n">
        <f aca="false">COUNTIF(Raw_Reviews!$E$2:$E$5911,A5)</f>
        <v>460</v>
      </c>
      <c r="D5" s="9" t="n">
        <f aca="false">IFERROR(AVERAGEIF(Raw_Reviews!$E$2:$E$5911,A5,Raw_Reviews!$C$2:$C$5911),0)</f>
        <v>4.02391304347826</v>
      </c>
      <c r="E5" s="10" t="n">
        <f aca="false">IFERROR(AVERAGEIF(Raw_Reviews!$E$2:$E$5911,A5,Raw_Reviews!$H$2:$H$5911),0)</f>
        <v>0.385499130434783</v>
      </c>
      <c r="F5" s="8" t="n">
        <f aca="false">COUNTIFS(Raw_Reviews!$E$2:$E$5911,A5,Raw_Reviews!$J$2:$J$5911,"crash")</f>
        <v>13</v>
      </c>
      <c r="G5" s="8" t="n">
        <f aca="false">COUNTIFS(Raw_Reviews!$E$2:$E$5911,A5,Raw_Reviews!$J$2:$J$5911,"login")</f>
        <v>11</v>
      </c>
      <c r="H5" s="8" t="n">
        <f aca="false">COUNTIFS(Raw_Reviews!$E$2:$E$5911,A5,Raw_Reviews!$J$2:$J$5911,"payment")</f>
        <v>118</v>
      </c>
      <c r="I5" s="8" t="n">
        <f aca="false">COUNTIFS(Raw_Reviews!$E$2:$E$5911,A5,Raw_Reviews!$J$2:$J$5911,"ui")</f>
        <v>58</v>
      </c>
      <c r="J5" s="8" t="n">
        <f aca="false">COUNTIFS(Raw_Reviews!$E$2:$E$5911,A5,Raw_Reviews!$J$2:$J$5911,"performance")</f>
        <v>11</v>
      </c>
      <c r="K5" s="11" t="n">
        <f aca="false">IFERROR(COUNTIFS(Raw_Reviews!$E$2:$E$5911,A5,Raw_Reviews!$I$2:$I$5911,"negative")/C5,0)</f>
        <v>0.119565217391304</v>
      </c>
    </row>
    <row r="6" customFormat="false" ht="15" hidden="false" customHeight="false" outlineLevel="0" collapsed="false">
      <c r="A6" s="6" t="s">
        <v>2011</v>
      </c>
      <c r="B6" s="7" t="n">
        <v>45748</v>
      </c>
      <c r="C6" s="8" t="n">
        <f aca="false">COUNTIF(Raw_Reviews!$E$2:$E$5911,A6)</f>
        <v>410</v>
      </c>
      <c r="D6" s="9" t="n">
        <f aca="false">IFERROR(AVERAGEIF(Raw_Reviews!$E$2:$E$5911,A6,Raw_Reviews!$C$2:$C$5911),0)</f>
        <v>3.31219512195122</v>
      </c>
      <c r="E6" s="10" t="n">
        <f aca="false">IFERROR(AVERAGEIF(Raw_Reviews!$E$2:$E$5911,A6,Raw_Reviews!$H$2:$H$5911),0)</f>
        <v>0.183579268292683</v>
      </c>
      <c r="F6" s="8" t="n">
        <f aca="false">COUNTIFS(Raw_Reviews!$E$2:$E$5911,A6,Raw_Reviews!$J$2:$J$5911,"crash")</f>
        <v>15</v>
      </c>
      <c r="G6" s="8" t="n">
        <f aca="false">COUNTIFS(Raw_Reviews!$E$2:$E$5911,A6,Raw_Reviews!$J$2:$J$5911,"login")</f>
        <v>21</v>
      </c>
      <c r="H6" s="8" t="n">
        <f aca="false">COUNTIFS(Raw_Reviews!$E$2:$E$5911,A6,Raw_Reviews!$J$2:$J$5911,"payment")</f>
        <v>133</v>
      </c>
      <c r="I6" s="8" t="n">
        <f aca="false">COUNTIFS(Raw_Reviews!$E$2:$E$5911,A6,Raw_Reviews!$J$2:$J$5911,"ui")</f>
        <v>49</v>
      </c>
      <c r="J6" s="8" t="n">
        <f aca="false">COUNTIFS(Raw_Reviews!$E$2:$E$5911,A6,Raw_Reviews!$J$2:$J$5911,"performance")</f>
        <v>17</v>
      </c>
      <c r="K6" s="11" t="n">
        <f aca="false">IFERROR(COUNTIFS(Raw_Reviews!$E$2:$E$5911,A6,Raw_Reviews!$I$2:$I$5911,"negative")/C6,0)</f>
        <v>0.292682926829268</v>
      </c>
    </row>
    <row r="7" customFormat="false" ht="15" hidden="false" customHeight="false" outlineLevel="0" collapsed="false">
      <c r="A7" s="6" t="s">
        <v>2867</v>
      </c>
      <c r="B7" s="7" t="n">
        <v>45789</v>
      </c>
      <c r="C7" s="8" t="n">
        <f aca="false">COUNTIF(Raw_Reviews!$E$2:$E$5911,A7)</f>
        <v>479</v>
      </c>
      <c r="D7" s="9" t="n">
        <f aca="false">IFERROR(AVERAGEIF(Raw_Reviews!$E$2:$E$5911,A7,Raw_Reviews!$C$2:$C$5911),0)</f>
        <v>3.93736951983299</v>
      </c>
      <c r="E7" s="10" t="n">
        <f aca="false">IFERROR(AVERAGEIF(Raw_Reviews!$E$2:$E$5911,A7,Raw_Reviews!$H$2:$H$5911),0)</f>
        <v>0.376975991649269</v>
      </c>
      <c r="F7" s="8" t="n">
        <f aca="false">COUNTIFS(Raw_Reviews!$E$2:$E$5911,A7,Raw_Reviews!$J$2:$J$5911,"crash")</f>
        <v>19</v>
      </c>
      <c r="G7" s="8" t="n">
        <f aca="false">COUNTIFS(Raw_Reviews!$E$2:$E$5911,A7,Raw_Reviews!$J$2:$J$5911,"login")</f>
        <v>10</v>
      </c>
      <c r="H7" s="8" t="n">
        <f aca="false">COUNTIFS(Raw_Reviews!$E$2:$E$5911,A7,Raw_Reviews!$J$2:$J$5911,"payment")</f>
        <v>130</v>
      </c>
      <c r="I7" s="8" t="n">
        <f aca="false">COUNTIFS(Raw_Reviews!$E$2:$E$5911,A7,Raw_Reviews!$J$2:$J$5911,"ui")</f>
        <v>63</v>
      </c>
      <c r="J7" s="8" t="n">
        <f aca="false">COUNTIFS(Raw_Reviews!$E$2:$E$5911,A7,Raw_Reviews!$J$2:$J$5911,"performance")</f>
        <v>18</v>
      </c>
      <c r="K7" s="11" t="n">
        <f aca="false">IFERROR(COUNTIFS(Raw_Reviews!$E$2:$E$5911,A7,Raw_Reviews!$I$2:$I$5911,"negative")/C7,0)</f>
        <v>0.133611691022965</v>
      </c>
    </row>
    <row r="8" customFormat="false" ht="15" hidden="false" customHeight="false" outlineLevel="0" collapsed="false">
      <c r="A8" s="6" t="s">
        <v>3843</v>
      </c>
      <c r="B8" s="7" t="n">
        <v>45831</v>
      </c>
      <c r="C8" s="8" t="n">
        <f aca="false">COUNTIF(Raw_Reviews!$E$2:$E$5911,A8)</f>
        <v>150</v>
      </c>
      <c r="D8" s="9" t="n">
        <f aca="false">IFERROR(AVERAGEIF(Raw_Reviews!$E$2:$E$5911,A8,Raw_Reviews!$C$2:$C$5911),0)</f>
        <v>2.64</v>
      </c>
      <c r="E8" s="10" t="n">
        <f aca="false">IFERROR(AVERAGEIF(Raw_Reviews!$E$2:$E$5911,A8,Raw_Reviews!$H$2:$H$5911),0)</f>
        <v>0.087238</v>
      </c>
      <c r="F8" s="8" t="n">
        <f aca="false">COUNTIFS(Raw_Reviews!$E$2:$E$5911,A8,Raw_Reviews!$J$2:$J$5911,"crash")</f>
        <v>43</v>
      </c>
      <c r="G8" s="8" t="n">
        <f aca="false">COUNTIFS(Raw_Reviews!$E$2:$E$5911,A8,Raw_Reviews!$J$2:$J$5911,"login")</f>
        <v>29</v>
      </c>
      <c r="H8" s="8" t="n">
        <f aca="false">COUNTIFS(Raw_Reviews!$E$2:$E$5911,A8,Raw_Reviews!$J$2:$J$5911,"payment")</f>
        <v>16</v>
      </c>
      <c r="I8" s="8" t="n">
        <f aca="false">COUNTIFS(Raw_Reviews!$E$2:$E$5911,A8,Raw_Reviews!$J$2:$J$5911,"ui")</f>
        <v>13</v>
      </c>
      <c r="J8" s="8" t="n">
        <f aca="false">COUNTIFS(Raw_Reviews!$E$2:$E$5911,A8,Raw_Reviews!$J$2:$J$5911,"performance")</f>
        <v>4</v>
      </c>
      <c r="K8" s="11" t="n">
        <f aca="false">IFERROR(COUNTIFS(Raw_Reviews!$E$2:$E$5911,A8,Raw_Reviews!$I$2:$I$5911,"negative")/C8,0)</f>
        <v>0.253333333333333</v>
      </c>
    </row>
    <row r="9" customFormat="false" ht="15" hidden="false" customHeight="false" outlineLevel="0" collapsed="false">
      <c r="A9" s="6" t="s">
        <v>4154</v>
      </c>
      <c r="B9" s="7" t="n">
        <v>45845</v>
      </c>
      <c r="C9" s="8" t="n">
        <f aca="false">COUNTIF(Raw_Reviews!$E$2:$E$5911,A9)</f>
        <v>396</v>
      </c>
      <c r="D9" s="9" t="n">
        <f aca="false">IFERROR(AVERAGEIF(Raw_Reviews!$E$2:$E$5911,A9,Raw_Reviews!$C$2:$C$5911),0)</f>
        <v>3.98232323232323</v>
      </c>
      <c r="E9" s="10" t="n">
        <f aca="false">IFERROR(AVERAGEIF(Raw_Reviews!$E$2:$E$5911,A9,Raw_Reviews!$H$2:$H$5911),0)</f>
        <v>0.391356565656566</v>
      </c>
      <c r="F9" s="8" t="n">
        <f aca="false">COUNTIFS(Raw_Reviews!$E$2:$E$5911,A9,Raw_Reviews!$J$2:$J$5911,"crash")</f>
        <v>14</v>
      </c>
      <c r="G9" s="8" t="n">
        <f aca="false">COUNTIFS(Raw_Reviews!$E$2:$E$5911,A9,Raw_Reviews!$J$2:$J$5911,"login")</f>
        <v>9</v>
      </c>
      <c r="H9" s="8" t="n">
        <f aca="false">COUNTIFS(Raw_Reviews!$E$2:$E$5911,A9,Raw_Reviews!$J$2:$J$5911,"payment")</f>
        <v>107</v>
      </c>
      <c r="I9" s="8" t="n">
        <f aca="false">COUNTIFS(Raw_Reviews!$E$2:$E$5911,A9,Raw_Reviews!$J$2:$J$5911,"ui")</f>
        <v>53</v>
      </c>
      <c r="J9" s="8" t="n">
        <f aca="false">COUNTIFS(Raw_Reviews!$E$2:$E$5911,A9,Raw_Reviews!$J$2:$J$5911,"performance")</f>
        <v>11</v>
      </c>
      <c r="K9" s="11" t="n">
        <f aca="false">IFERROR(COUNTIFS(Raw_Reviews!$E$2:$E$5911,A9,Raw_Reviews!$I$2:$I$5911,"negative")/C9,0)</f>
        <v>0.108585858585859</v>
      </c>
    </row>
    <row r="10" customFormat="false" ht="15" hidden="false" customHeight="false" outlineLevel="0" collapsed="false">
      <c r="A10" s="6" t="s">
        <v>4951</v>
      </c>
      <c r="B10" s="7" t="n">
        <v>45887</v>
      </c>
      <c r="C10" s="8" t="n">
        <f aca="false">COUNTIF(Raw_Reviews!$E$2:$E$5911,A10)</f>
        <v>430</v>
      </c>
      <c r="D10" s="9" t="n">
        <f aca="false">IFERROR(AVERAGEIF(Raw_Reviews!$E$2:$E$5911,A10,Raw_Reviews!$C$2:$C$5911),0)</f>
        <v>3.96279069767442</v>
      </c>
      <c r="E10" s="10" t="n">
        <f aca="false">IFERROR(AVERAGEIF(Raw_Reviews!$E$2:$E$5911,A10,Raw_Reviews!$H$2:$H$5911),0)</f>
        <v>0.365212558139535</v>
      </c>
      <c r="F10" s="8" t="n">
        <f aca="false">COUNTIFS(Raw_Reviews!$E$2:$E$5911,A10,Raw_Reviews!$J$2:$J$5911,"crash")</f>
        <v>14</v>
      </c>
      <c r="G10" s="8" t="n">
        <f aca="false">COUNTIFS(Raw_Reviews!$E$2:$E$5911,A10,Raw_Reviews!$J$2:$J$5911,"login")</f>
        <v>16</v>
      </c>
      <c r="H10" s="8" t="n">
        <f aca="false">COUNTIFS(Raw_Reviews!$E$2:$E$5911,A10,Raw_Reviews!$J$2:$J$5911,"payment")</f>
        <v>110</v>
      </c>
      <c r="I10" s="8" t="n">
        <f aca="false">COUNTIFS(Raw_Reviews!$E$2:$E$5911,A10,Raw_Reviews!$J$2:$J$5911,"ui")</f>
        <v>61</v>
      </c>
      <c r="J10" s="8" t="n">
        <f aca="false">COUNTIFS(Raw_Reviews!$E$2:$E$5911,A10,Raw_Reviews!$J$2:$J$5911,"performance")</f>
        <v>10</v>
      </c>
      <c r="K10" s="11" t="n">
        <f aca="false">IFERROR(COUNTIFS(Raw_Reviews!$E$2:$E$5911,A10,Raw_Reviews!$I$2:$I$5911,"negative")/C10,0)</f>
        <v>0.144186046511628</v>
      </c>
    </row>
    <row r="11" customFormat="false" ht="15" hidden="false" customHeight="false" outlineLevel="0" collapsed="false">
      <c r="A11" s="6" t="s">
        <v>5812</v>
      </c>
      <c r="B11" s="7" t="n">
        <v>45931</v>
      </c>
      <c r="C11" s="8" t="n">
        <f aca="false">COUNTIF(Raw_Reviews!$E$2:$E$5911,A11)</f>
        <v>427</v>
      </c>
      <c r="D11" s="9" t="n">
        <f aca="false">IFERROR(AVERAGEIF(Raw_Reviews!$E$2:$E$5911,A11,Raw_Reviews!$C$2:$C$5911),0)</f>
        <v>3.93208430913349</v>
      </c>
      <c r="E11" s="10" t="n">
        <f aca="false">IFERROR(AVERAGEIF(Raw_Reviews!$E$2:$E$5911,A11,Raw_Reviews!$H$2:$H$5911),0)</f>
        <v>0.351142857142857</v>
      </c>
      <c r="F11" s="8" t="n">
        <f aca="false">COUNTIFS(Raw_Reviews!$E$2:$E$5911,A11,Raw_Reviews!$J$2:$J$5911,"crash")</f>
        <v>16</v>
      </c>
      <c r="G11" s="8" t="n">
        <f aca="false">COUNTIFS(Raw_Reviews!$E$2:$E$5911,A11,Raw_Reviews!$J$2:$J$5911,"login")</f>
        <v>15</v>
      </c>
      <c r="H11" s="8" t="n">
        <f aca="false">COUNTIFS(Raw_Reviews!$E$2:$E$5911,A11,Raw_Reviews!$J$2:$J$5911,"payment")</f>
        <v>114</v>
      </c>
      <c r="I11" s="8" t="n">
        <f aca="false">COUNTIFS(Raw_Reviews!$E$2:$E$5911,A11,Raw_Reviews!$J$2:$J$5911,"ui")</f>
        <v>64</v>
      </c>
      <c r="J11" s="8" t="n">
        <f aca="false">COUNTIFS(Raw_Reviews!$E$2:$E$5911,A11,Raw_Reviews!$J$2:$J$5911,"performance")</f>
        <v>10</v>
      </c>
      <c r="K11" s="11" t="n">
        <f aca="false">IFERROR(COUNTIFS(Raw_Reviews!$E$2:$E$5911,A11,Raw_Reviews!$I$2:$I$5911,"negative")/C11,0)</f>
        <v>0.138173302107728</v>
      </c>
    </row>
    <row r="12" customFormat="false" ht="15" hidden="false" customHeight="false" outlineLevel="0" collapsed="false">
      <c r="A12" s="6" t="s">
        <v>6670</v>
      </c>
      <c r="B12" s="7" t="n">
        <v>45973</v>
      </c>
      <c r="C12" s="8" t="n">
        <f aca="false">COUNTIF(Raw_Reviews!$E$2:$E$5911,A12)</f>
        <v>431</v>
      </c>
      <c r="D12" s="9" t="n">
        <f aca="false">IFERROR(AVERAGEIF(Raw_Reviews!$E$2:$E$5911,A12,Raw_Reviews!$C$2:$C$5911),0)</f>
        <v>3.44547563805104</v>
      </c>
      <c r="E12" s="10" t="n">
        <f aca="false">IFERROR(AVERAGEIF(Raw_Reviews!$E$2:$E$5911,A12,Raw_Reviews!$H$2:$H$5911),0)</f>
        <v>0.25208120649652</v>
      </c>
      <c r="F12" s="8" t="n">
        <f aca="false">COUNTIFS(Raw_Reviews!$E$2:$E$5911,A12,Raw_Reviews!$J$2:$J$5911,"crash")</f>
        <v>11</v>
      </c>
      <c r="G12" s="8" t="n">
        <f aca="false">COUNTIFS(Raw_Reviews!$E$2:$E$5911,A12,Raw_Reviews!$J$2:$J$5911,"login")</f>
        <v>18</v>
      </c>
      <c r="H12" s="8" t="n">
        <f aca="false">COUNTIFS(Raw_Reviews!$E$2:$E$5911,A12,Raw_Reviews!$J$2:$J$5911,"payment")</f>
        <v>100</v>
      </c>
      <c r="I12" s="8" t="n">
        <f aca="false">COUNTIFS(Raw_Reviews!$E$2:$E$5911,A12,Raw_Reviews!$J$2:$J$5911,"ui")</f>
        <v>105</v>
      </c>
      <c r="J12" s="8" t="n">
        <f aca="false">COUNTIFS(Raw_Reviews!$E$2:$E$5911,A12,Raw_Reviews!$J$2:$J$5911,"performance")</f>
        <v>12</v>
      </c>
      <c r="K12" s="11" t="n">
        <f aca="false">IFERROR(COUNTIFS(Raw_Reviews!$E$2:$E$5911,A12,Raw_Reviews!$I$2:$I$5911,"negative")/C12,0)</f>
        <v>0.250580046403712</v>
      </c>
    </row>
    <row r="13" customFormat="false" ht="15" hidden="false" customHeight="false" outlineLevel="0" collapsed="false">
      <c r="A13" s="6" t="s">
        <v>7523</v>
      </c>
      <c r="B13" s="7" t="n">
        <v>46013</v>
      </c>
      <c r="C13" s="8" t="n">
        <f aca="false">COUNTIF(Raw_Reviews!$E$2:$E$5911,A13)</f>
        <v>287</v>
      </c>
      <c r="D13" s="9" t="n">
        <f aca="false">IFERROR(AVERAGEIF(Raw_Reviews!$E$2:$E$5911,A13,Raw_Reviews!$C$2:$C$5911),0)</f>
        <v>3.83623693379791</v>
      </c>
      <c r="E13" s="10" t="n">
        <f aca="false">IFERROR(AVERAGEIF(Raw_Reviews!$E$2:$E$5911,A13,Raw_Reviews!$H$2:$H$5911),0)</f>
        <v>0.352462369337979</v>
      </c>
      <c r="F13" s="8" t="n">
        <f aca="false">COUNTIFS(Raw_Reviews!$E$2:$E$5911,A13,Raw_Reviews!$J$2:$J$5911,"crash")</f>
        <v>10</v>
      </c>
      <c r="G13" s="8" t="n">
        <f aca="false">COUNTIFS(Raw_Reviews!$E$2:$E$5911,A13,Raw_Reviews!$J$2:$J$5911,"login")</f>
        <v>12</v>
      </c>
      <c r="H13" s="8" t="n">
        <f aca="false">COUNTIFS(Raw_Reviews!$E$2:$E$5911,A13,Raw_Reviews!$J$2:$J$5911,"payment")</f>
        <v>68</v>
      </c>
      <c r="I13" s="8" t="n">
        <f aca="false">COUNTIFS(Raw_Reviews!$E$2:$E$5911,A13,Raw_Reviews!$J$2:$J$5911,"ui")</f>
        <v>39</v>
      </c>
      <c r="J13" s="8" t="n">
        <f aca="false">COUNTIFS(Raw_Reviews!$E$2:$E$5911,A13,Raw_Reviews!$J$2:$J$5911,"performance")</f>
        <v>7</v>
      </c>
      <c r="K13" s="11" t="n">
        <f aca="false">IFERROR(COUNTIFS(Raw_Reviews!$E$2:$E$5911,A13,Raw_Reviews!$I$2:$I$5911,"negative")/C13,0)</f>
        <v>0.142857142857143</v>
      </c>
    </row>
    <row r="14" customFormat="false" ht="15" hidden="false" customHeight="false" outlineLevel="0" collapsed="false">
      <c r="A14" s="6" t="s">
        <v>8083</v>
      </c>
      <c r="B14" s="7" t="n">
        <v>46042</v>
      </c>
      <c r="C14" s="8" t="n">
        <f aca="false">COUNTIF(Raw_Reviews!$E$2:$E$5911,A14)</f>
        <v>1996</v>
      </c>
      <c r="D14" s="9" t="n">
        <f aca="false">IFERROR(AVERAGEIF(Raw_Reviews!$E$2:$E$5911,A14,Raw_Reviews!$C$2:$C$5911),0)</f>
        <v>3.92284569138277</v>
      </c>
      <c r="E14" s="10" t="n">
        <f aca="false">IFERROR(AVERAGEIF(Raw_Reviews!$E$2:$E$5911,A14,Raw_Reviews!$H$2:$H$5911),0)</f>
        <v>0.390265380761523</v>
      </c>
      <c r="F14" s="8" t="n">
        <f aca="false">COUNTIFS(Raw_Reviews!$E$2:$E$5911,A14,Raw_Reviews!$J$2:$J$5911,"crash")</f>
        <v>70</v>
      </c>
      <c r="G14" s="8" t="n">
        <f aca="false">COUNTIFS(Raw_Reviews!$E$2:$E$5911,A14,Raw_Reviews!$J$2:$J$5911,"login")</f>
        <v>71</v>
      </c>
      <c r="H14" s="8" t="n">
        <f aca="false">COUNTIFS(Raw_Reviews!$E$2:$E$5911,A14,Raw_Reviews!$J$2:$J$5911,"payment")</f>
        <v>584</v>
      </c>
      <c r="I14" s="8" t="n">
        <f aca="false">COUNTIFS(Raw_Reviews!$E$2:$E$5911,A14,Raw_Reviews!$J$2:$J$5911,"ui")</f>
        <v>236</v>
      </c>
      <c r="J14" s="8" t="n">
        <f aca="false">COUNTIFS(Raw_Reviews!$E$2:$E$5911,A14,Raw_Reviews!$J$2:$J$5911,"performance")</f>
        <v>51</v>
      </c>
      <c r="K14" s="11" t="n">
        <f aca="false">IFERROR(COUNTIFS(Raw_Reviews!$E$2:$E$5911,A14,Raw_Reviews!$I$2:$I$5911,"negative")/C14,0)</f>
        <v>0.122745490981964</v>
      </c>
    </row>
  </sheetData>
  <mergeCells count="1">
    <mergeCell ref="A1:K1"/>
  </mergeCells>
  <conditionalFormatting sqref="D4:D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5" t="s">
        <v>12006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23.85" hidden="false" customHeight="false" outlineLevel="0" collapsed="false">
      <c r="A3" s="1" t="s">
        <v>4</v>
      </c>
      <c r="B3" s="1" t="s">
        <v>11996</v>
      </c>
      <c r="C3" s="1" t="s">
        <v>12007</v>
      </c>
      <c r="D3" s="1" t="s">
        <v>12008</v>
      </c>
      <c r="E3" s="1" t="s">
        <v>12009</v>
      </c>
      <c r="F3" s="1" t="s">
        <v>12010</v>
      </c>
      <c r="G3" s="1" t="s">
        <v>12011</v>
      </c>
      <c r="H3" s="1" t="s">
        <v>12012</v>
      </c>
      <c r="I3" s="1" t="s">
        <v>12013</v>
      </c>
      <c r="J3" s="1" t="s">
        <v>12014</v>
      </c>
    </row>
    <row r="4" customFormat="false" ht="15" hidden="false" customHeight="false" outlineLevel="0" collapsed="false">
      <c r="A4" s="6" t="s">
        <v>16</v>
      </c>
      <c r="B4" s="7" t="n">
        <v>45663</v>
      </c>
      <c r="C4" s="8" t="n">
        <f aca="false">COUNTIFS(Raw_Reviews!$F$2:$F$5911,"&gt;="&amp;(B4-14),Raw_Reviews!$F$2:$F$5911,"&lt;"&amp;B4)</f>
        <v>0</v>
      </c>
      <c r="D4" s="9" t="n">
        <f aca="false">IFERROR(AVERAGEIFS(Raw_Reviews!$C$2:$C$5911,Raw_Reviews!$F$2:$F$5911,"&gt;="&amp;(B4-14),Raw_Reviews!$F$2:$F$5911,"&lt;"&amp;B4),0)</f>
        <v>0</v>
      </c>
      <c r="E4" s="10" t="n">
        <f aca="false">IFERROR(AVERAGEIFS(Raw_Reviews!$H$2:$H$5911,Raw_Reviews!$F$2:$F$5911,"&gt;="&amp;(B4-14),Raw_Reviews!$F$2:$F$5911,"&lt;"&amp;B4),0)</f>
        <v>0</v>
      </c>
      <c r="F4" s="8" t="n">
        <f aca="false">COUNTIFS(Raw_Reviews!$F$2:$F$5911,"&gt;="&amp;B4,Raw_Reviews!$F$2:$F$5911,"&lt;"&amp;(B4+14))</f>
        <v>151</v>
      </c>
      <c r="G4" s="9" t="n">
        <f aca="false">IFERROR(AVERAGEIFS(Raw_Reviews!$C$2:$C$5911,Raw_Reviews!$F$2:$F$5911,"&gt;="&amp;B4,Raw_Reviews!$F$2:$F$5911,"&lt;"&amp;(B4+14)),0)</f>
        <v>3.96688741721854</v>
      </c>
      <c r="H4" s="10" t="n">
        <f aca="false">IFERROR(AVERAGEIFS(Raw_Reviews!$H$2:$H$5911,Raw_Reviews!$F$2:$F$5911,"&gt;="&amp;B4,Raw_Reviews!$F$2:$F$5911,"&lt;"&amp;(B4+14)),0)</f>
        <v>0.373011920529801</v>
      </c>
      <c r="I4" s="9" t="n">
        <f aca="false">G4-D4</f>
        <v>3.96688741721854</v>
      </c>
      <c r="J4" s="10" t="n">
        <f aca="false">H4-E4</f>
        <v>0.373011920529801</v>
      </c>
    </row>
    <row r="5" customFormat="false" ht="15" hidden="false" customHeight="false" outlineLevel="0" collapsed="false">
      <c r="A5" s="6" t="s">
        <v>1039</v>
      </c>
      <c r="B5" s="7" t="n">
        <v>45705</v>
      </c>
      <c r="C5" s="8" t="n">
        <f aca="false">COUNTIFS(Raw_Reviews!$F$2:$F$5911,"&gt;="&amp;(B5-14),Raw_Reviews!$F$2:$F$5911,"&lt;"&amp;B5)</f>
        <v>151</v>
      </c>
      <c r="D5" s="9" t="n">
        <f aca="false">IFERROR(AVERAGEIFS(Raw_Reviews!$C$2:$C$5911,Raw_Reviews!$F$2:$F$5911,"&gt;="&amp;(B5-14),Raw_Reviews!$F$2:$F$5911,"&lt;"&amp;B5),0)</f>
        <v>3.80794701986755</v>
      </c>
      <c r="E5" s="10" t="n">
        <f aca="false">IFERROR(AVERAGEIFS(Raw_Reviews!$H$2:$H$5911,Raw_Reviews!$F$2:$F$5911,"&gt;="&amp;(B5-14),Raw_Reviews!$F$2:$F$5911,"&lt;"&amp;B5),0)</f>
        <v>0.380658278145695</v>
      </c>
      <c r="F5" s="8" t="n">
        <f aca="false">COUNTIFS(Raw_Reviews!$F$2:$F$5911,"&gt;="&amp;B5,Raw_Reviews!$F$2:$F$5911,"&lt;"&amp;(B5+14))</f>
        <v>143</v>
      </c>
      <c r="G5" s="9" t="n">
        <f aca="false">IFERROR(AVERAGEIFS(Raw_Reviews!$C$2:$C$5911,Raw_Reviews!$F$2:$F$5911,"&gt;="&amp;B5,Raw_Reviews!$F$2:$F$5911,"&lt;"&amp;(B5+14)),0)</f>
        <v>3.99300699300699</v>
      </c>
      <c r="H5" s="10" t="n">
        <f aca="false">IFERROR(AVERAGEIFS(Raw_Reviews!$H$2:$H$5911,Raw_Reviews!$F$2:$F$5911,"&gt;="&amp;B5,Raw_Reviews!$F$2:$F$5911,"&lt;"&amp;(B5+14)),0)</f>
        <v>0.378669230769231</v>
      </c>
      <c r="I5" s="9" t="n">
        <f aca="false">G5-D5</f>
        <v>0.185059973139443</v>
      </c>
      <c r="J5" s="10" t="n">
        <f aca="false">H5-E5</f>
        <v>-0.00198904737646455</v>
      </c>
    </row>
    <row r="6" customFormat="false" ht="15" hidden="false" customHeight="false" outlineLevel="0" collapsed="false">
      <c r="A6" s="6" t="s">
        <v>2011</v>
      </c>
      <c r="B6" s="7" t="n">
        <v>45748</v>
      </c>
      <c r="C6" s="8" t="n">
        <f aca="false">COUNTIFS(Raw_Reviews!$F$2:$F$5911,"&gt;="&amp;(B6-14),Raw_Reviews!$F$2:$F$5911,"&lt;"&amp;B6)</f>
        <v>147</v>
      </c>
      <c r="D6" s="9" t="n">
        <f aca="false">IFERROR(AVERAGEIFS(Raw_Reviews!$C$2:$C$5911,Raw_Reviews!$F$2:$F$5911,"&gt;="&amp;(B6-14),Raw_Reviews!$F$2:$F$5911,"&lt;"&amp;B6),0)</f>
        <v>4.03401360544218</v>
      </c>
      <c r="E6" s="10" t="n">
        <f aca="false">IFERROR(AVERAGEIFS(Raw_Reviews!$H$2:$H$5911,Raw_Reviews!$F$2:$F$5911,"&gt;="&amp;(B6-14),Raw_Reviews!$F$2:$F$5911,"&lt;"&amp;B6),0)</f>
        <v>0.357859863945578</v>
      </c>
      <c r="F6" s="8" t="n">
        <f aca="false">COUNTIFS(Raw_Reviews!$F$2:$F$5911,"&gt;="&amp;B6,Raw_Reviews!$F$2:$F$5911,"&lt;"&amp;(B6+14))</f>
        <v>142</v>
      </c>
      <c r="G6" s="9" t="n">
        <f aca="false">IFERROR(AVERAGEIFS(Raw_Reviews!$C$2:$C$5911,Raw_Reviews!$F$2:$F$5911,"&gt;="&amp;B6,Raw_Reviews!$F$2:$F$5911,"&lt;"&amp;(B6+14)),0)</f>
        <v>2.86619718309859</v>
      </c>
      <c r="H6" s="10" t="n">
        <f aca="false">IFERROR(AVERAGEIFS(Raw_Reviews!$H$2:$H$5911,Raw_Reviews!$F$2:$F$5911,"&gt;="&amp;B6,Raw_Reviews!$F$2:$F$5911,"&lt;"&amp;(B6+14)),0)</f>
        <v>0.0594978873239437</v>
      </c>
      <c r="I6" s="9" t="n">
        <f aca="false">G6-D6</f>
        <v>-1.16781642234359</v>
      </c>
      <c r="J6" s="10" t="n">
        <f aca="false">H6-E6</f>
        <v>-0.298361976621635</v>
      </c>
    </row>
    <row r="7" customFormat="false" ht="15" hidden="false" customHeight="false" outlineLevel="0" collapsed="false">
      <c r="A7" s="6" t="s">
        <v>2867</v>
      </c>
      <c r="B7" s="7" t="n">
        <v>45789</v>
      </c>
      <c r="C7" s="8" t="n">
        <f aca="false">COUNTIFS(Raw_Reviews!$F$2:$F$5911,"&gt;="&amp;(B7-14),Raw_Reviews!$F$2:$F$5911,"&lt;"&amp;B7)</f>
        <v>139</v>
      </c>
      <c r="D7" s="9" t="n">
        <f aca="false">IFERROR(AVERAGEIFS(Raw_Reviews!$C$2:$C$5911,Raw_Reviews!$F$2:$F$5911,"&gt;="&amp;(B7-14),Raw_Reviews!$F$2:$F$5911,"&lt;"&amp;B7),0)</f>
        <v>3.71223021582734</v>
      </c>
      <c r="E7" s="10" t="n">
        <f aca="false">IFERROR(AVERAGEIFS(Raw_Reviews!$H$2:$H$5911,Raw_Reviews!$F$2:$F$5911,"&gt;="&amp;(B7-14),Raw_Reviews!$F$2:$F$5911,"&lt;"&amp;B7),0)</f>
        <v>0.337805035971223</v>
      </c>
      <c r="F7" s="8" t="n">
        <f aca="false">COUNTIFS(Raw_Reviews!$F$2:$F$5911,"&gt;="&amp;B7,Raw_Reviews!$F$2:$F$5911,"&lt;"&amp;(B7+14))</f>
        <v>141</v>
      </c>
      <c r="G7" s="9" t="n">
        <f aca="false">IFERROR(AVERAGEIFS(Raw_Reviews!$C$2:$C$5911,Raw_Reviews!$F$2:$F$5911,"&gt;="&amp;B7,Raw_Reviews!$F$2:$F$5911,"&lt;"&amp;(B7+14)),0)</f>
        <v>3.95744680851064</v>
      </c>
      <c r="H7" s="10" t="n">
        <f aca="false">IFERROR(AVERAGEIFS(Raw_Reviews!$H$2:$H$5911,Raw_Reviews!$F$2:$F$5911,"&gt;="&amp;B7,Raw_Reviews!$F$2:$F$5911,"&lt;"&amp;(B7+14)),0)</f>
        <v>0.404704964539007</v>
      </c>
      <c r="I7" s="9" t="n">
        <f aca="false">G7-D7</f>
        <v>0.2452165926833</v>
      </c>
      <c r="J7" s="10" t="n">
        <f aca="false">H7-E7</f>
        <v>0.0668999285677841</v>
      </c>
    </row>
    <row r="8" customFormat="false" ht="15" hidden="false" customHeight="false" outlineLevel="0" collapsed="false">
      <c r="A8" s="6" t="s">
        <v>3843</v>
      </c>
      <c r="B8" s="7" t="n">
        <v>45831</v>
      </c>
      <c r="C8" s="8" t="n">
        <f aca="false">COUNTIFS(Raw_Reviews!$F$2:$F$5911,"&gt;="&amp;(B8-14),Raw_Reviews!$F$2:$F$5911,"&lt;"&amp;B8)</f>
        <v>177</v>
      </c>
      <c r="D8" s="9" t="n">
        <f aca="false">IFERROR(AVERAGEIFS(Raw_Reviews!$C$2:$C$5911,Raw_Reviews!$F$2:$F$5911,"&gt;="&amp;(B8-14),Raw_Reviews!$F$2:$F$5911,"&lt;"&amp;B8),0)</f>
        <v>3.88700564971751</v>
      </c>
      <c r="E8" s="10" t="n">
        <f aca="false">IFERROR(AVERAGEIFS(Raw_Reviews!$H$2:$H$5911,Raw_Reviews!$F$2:$F$5911,"&gt;="&amp;(B8-14),Raw_Reviews!$F$2:$F$5911,"&lt;"&amp;B8),0)</f>
        <v>0.382034463276836</v>
      </c>
      <c r="F8" s="8" t="n">
        <f aca="false">COUNTIFS(Raw_Reviews!$F$2:$F$5911,"&gt;="&amp;B8,Raw_Reviews!$F$2:$F$5911,"&lt;"&amp;(B8+14))</f>
        <v>150</v>
      </c>
      <c r="G8" s="9" t="n">
        <f aca="false">IFERROR(AVERAGEIFS(Raw_Reviews!$C$2:$C$5911,Raw_Reviews!$F$2:$F$5911,"&gt;="&amp;B8,Raw_Reviews!$F$2:$F$5911,"&lt;"&amp;(B8+14)),0)</f>
        <v>2.64</v>
      </c>
      <c r="H8" s="10" t="n">
        <f aca="false">IFERROR(AVERAGEIFS(Raw_Reviews!$H$2:$H$5911,Raw_Reviews!$F$2:$F$5911,"&gt;="&amp;B8,Raw_Reviews!$F$2:$F$5911,"&lt;"&amp;(B8+14)),0)</f>
        <v>0.087238</v>
      </c>
      <c r="I8" s="9" t="n">
        <f aca="false">G8-D8</f>
        <v>-1.24700564971751</v>
      </c>
      <c r="J8" s="10" t="n">
        <f aca="false">H8-E8</f>
        <v>-0.294796463276836</v>
      </c>
    </row>
    <row r="9" customFormat="false" ht="15" hidden="false" customHeight="false" outlineLevel="0" collapsed="false">
      <c r="A9" s="6" t="s">
        <v>4154</v>
      </c>
      <c r="B9" s="7" t="n">
        <v>45845</v>
      </c>
      <c r="C9" s="8" t="n">
        <f aca="false">COUNTIFS(Raw_Reviews!$F$2:$F$5911,"&gt;="&amp;(B9-14),Raw_Reviews!$F$2:$F$5911,"&lt;"&amp;B9)</f>
        <v>150</v>
      </c>
      <c r="D9" s="9" t="n">
        <f aca="false">IFERROR(AVERAGEIFS(Raw_Reviews!$C$2:$C$5911,Raw_Reviews!$F$2:$F$5911,"&gt;="&amp;(B9-14),Raw_Reviews!$F$2:$F$5911,"&lt;"&amp;B9),0)</f>
        <v>2.64</v>
      </c>
      <c r="E9" s="10" t="n">
        <f aca="false">IFERROR(AVERAGEIFS(Raw_Reviews!$H$2:$H$5911,Raw_Reviews!$F$2:$F$5911,"&gt;="&amp;(B9-14),Raw_Reviews!$F$2:$F$5911,"&lt;"&amp;B9),0)</f>
        <v>0.087238</v>
      </c>
      <c r="F9" s="8" t="n">
        <f aca="false">COUNTIFS(Raw_Reviews!$F$2:$F$5911,"&gt;="&amp;B9,Raw_Reviews!$F$2:$F$5911,"&lt;"&amp;(B9+14))</f>
        <v>134</v>
      </c>
      <c r="G9" s="9" t="n">
        <f aca="false">IFERROR(AVERAGEIFS(Raw_Reviews!$C$2:$C$5911,Raw_Reviews!$F$2:$F$5911,"&gt;="&amp;B9,Raw_Reviews!$F$2:$F$5911,"&lt;"&amp;(B9+14)),0)</f>
        <v>4.04477611940299</v>
      </c>
      <c r="H9" s="10" t="n">
        <f aca="false">IFERROR(AVERAGEIFS(Raw_Reviews!$H$2:$H$5911,Raw_Reviews!$F$2:$F$5911,"&gt;="&amp;B9,Raw_Reviews!$F$2:$F$5911,"&lt;"&amp;(B9+14)),0)</f>
        <v>0.442402985074627</v>
      </c>
      <c r="I9" s="9" t="n">
        <f aca="false">G9-D9</f>
        <v>1.40477611940298</v>
      </c>
      <c r="J9" s="10" t="n">
        <f aca="false">H9-E9</f>
        <v>0.355164985074627</v>
      </c>
    </row>
    <row r="10" customFormat="false" ht="15" hidden="false" customHeight="false" outlineLevel="0" collapsed="false">
      <c r="A10" s="6" t="s">
        <v>4951</v>
      </c>
      <c r="B10" s="7" t="n">
        <v>45887</v>
      </c>
      <c r="C10" s="8" t="n">
        <f aca="false">COUNTIFS(Raw_Reviews!$F$2:$F$5911,"&gt;="&amp;(B10-14),Raw_Reviews!$F$2:$F$5911,"&lt;"&amp;B10)</f>
        <v>125</v>
      </c>
      <c r="D10" s="9" t="n">
        <f aca="false">IFERROR(AVERAGEIFS(Raw_Reviews!$C$2:$C$5911,Raw_Reviews!$F$2:$F$5911,"&gt;="&amp;(B10-14),Raw_Reviews!$F$2:$F$5911,"&lt;"&amp;B10),0)</f>
        <v>4.016</v>
      </c>
      <c r="E10" s="10" t="n">
        <f aca="false">IFERROR(AVERAGEIFS(Raw_Reviews!$H$2:$H$5911,Raw_Reviews!$F$2:$F$5911,"&gt;="&amp;(B10-14),Raw_Reviews!$F$2:$F$5911,"&lt;"&amp;B10),0)</f>
        <v>0.3695984</v>
      </c>
      <c r="F10" s="8" t="n">
        <f aca="false">COUNTIFS(Raw_Reviews!$F$2:$F$5911,"&gt;="&amp;B10,Raw_Reviews!$F$2:$F$5911,"&lt;"&amp;(B10+14))</f>
        <v>149</v>
      </c>
      <c r="G10" s="9" t="n">
        <f aca="false">IFERROR(AVERAGEIFS(Raw_Reviews!$C$2:$C$5911,Raw_Reviews!$F$2:$F$5911,"&gt;="&amp;B10,Raw_Reviews!$F$2:$F$5911,"&lt;"&amp;(B10+14)),0)</f>
        <v>3.93959731543624</v>
      </c>
      <c r="H10" s="10" t="n">
        <f aca="false">IFERROR(AVERAGEIFS(Raw_Reviews!$H$2:$H$5911,Raw_Reviews!$F$2:$F$5911,"&gt;="&amp;B10,Raw_Reviews!$F$2:$F$5911,"&lt;"&amp;(B10+14)),0)</f>
        <v>0.35105033557047</v>
      </c>
      <c r="I10" s="9" t="n">
        <f aca="false">G10-D10</f>
        <v>-0.0764026845637584</v>
      </c>
      <c r="J10" s="10" t="n">
        <f aca="false">H10-E10</f>
        <v>-0.0185480644295303</v>
      </c>
    </row>
    <row r="11" customFormat="false" ht="15" hidden="false" customHeight="false" outlineLevel="0" collapsed="false">
      <c r="A11" s="6" t="s">
        <v>5812</v>
      </c>
      <c r="B11" s="7" t="n">
        <v>45931</v>
      </c>
      <c r="C11" s="8" t="n">
        <f aca="false">COUNTIFS(Raw_Reviews!$F$2:$F$5911,"&gt;="&amp;(B11-14),Raw_Reviews!$F$2:$F$5911,"&lt;"&amp;B11)</f>
        <v>112</v>
      </c>
      <c r="D11" s="9" t="n">
        <f aca="false">IFERROR(AVERAGEIFS(Raw_Reviews!$C$2:$C$5911,Raw_Reviews!$F$2:$F$5911,"&gt;="&amp;(B11-14),Raw_Reviews!$F$2:$F$5911,"&lt;"&amp;B11),0)</f>
        <v>4.05357142857143</v>
      </c>
      <c r="E11" s="10" t="n">
        <f aca="false">IFERROR(AVERAGEIFS(Raw_Reviews!$H$2:$H$5911,Raw_Reviews!$F$2:$F$5911,"&gt;="&amp;(B11-14),Raw_Reviews!$F$2:$F$5911,"&lt;"&amp;B11),0)</f>
        <v>0.394197321428571</v>
      </c>
      <c r="F11" s="8" t="n">
        <f aca="false">COUNTIFS(Raw_Reviews!$F$2:$F$5911,"&gt;="&amp;B11,Raw_Reviews!$F$2:$F$5911,"&lt;"&amp;(B11+14))</f>
        <v>135</v>
      </c>
      <c r="G11" s="9" t="n">
        <f aca="false">IFERROR(AVERAGEIFS(Raw_Reviews!$C$2:$C$5911,Raw_Reviews!$F$2:$F$5911,"&gt;="&amp;B11,Raw_Reviews!$F$2:$F$5911,"&lt;"&amp;(B11+14)),0)</f>
        <v>4.03703703703704</v>
      </c>
      <c r="H11" s="10" t="n">
        <f aca="false">IFERROR(AVERAGEIFS(Raw_Reviews!$H$2:$H$5911,Raw_Reviews!$F$2:$F$5911,"&gt;="&amp;B11,Raw_Reviews!$F$2:$F$5911,"&lt;"&amp;(B11+14)),0)</f>
        <v>0.36413037037037</v>
      </c>
      <c r="I11" s="9" t="n">
        <f aca="false">G11-D11</f>
        <v>-0.0165343915343916</v>
      </c>
      <c r="J11" s="10" t="n">
        <f aca="false">H11-E11</f>
        <v>-0.0300669510582011</v>
      </c>
    </row>
    <row r="12" customFormat="false" ht="15" hidden="false" customHeight="false" outlineLevel="0" collapsed="false">
      <c r="A12" s="6" t="s">
        <v>6670</v>
      </c>
      <c r="B12" s="7" t="n">
        <v>45973</v>
      </c>
      <c r="C12" s="8" t="n">
        <f aca="false">COUNTIFS(Raw_Reviews!$F$2:$F$5911,"&gt;="&amp;(B12-14),Raw_Reviews!$F$2:$F$5911,"&lt;"&amp;B12)</f>
        <v>146</v>
      </c>
      <c r="D12" s="9" t="n">
        <f aca="false">IFERROR(AVERAGEIFS(Raw_Reviews!$C$2:$C$5911,Raw_Reviews!$F$2:$F$5911,"&gt;="&amp;(B12-14),Raw_Reviews!$F$2:$F$5911,"&lt;"&amp;B12),0)</f>
        <v>3.91095890410959</v>
      </c>
      <c r="E12" s="10" t="n">
        <f aca="false">IFERROR(AVERAGEIFS(Raw_Reviews!$H$2:$H$5911,Raw_Reviews!$F$2:$F$5911,"&gt;="&amp;(B12-14),Raw_Reviews!$F$2:$F$5911,"&lt;"&amp;B12),0)</f>
        <v>0.332789726027397</v>
      </c>
      <c r="F12" s="8" t="n">
        <f aca="false">COUNTIFS(Raw_Reviews!$F$2:$F$5911,"&gt;="&amp;B12,Raw_Reviews!$F$2:$F$5911,"&lt;"&amp;(B12+14))</f>
        <v>155</v>
      </c>
      <c r="G12" s="9" t="n">
        <f aca="false">IFERROR(AVERAGEIFS(Raw_Reviews!$C$2:$C$5911,Raw_Reviews!$F$2:$F$5911,"&gt;="&amp;B12,Raw_Reviews!$F$2:$F$5911,"&lt;"&amp;(B12+14)),0)</f>
        <v>3.0258064516129</v>
      </c>
      <c r="H12" s="10" t="n">
        <f aca="false">IFERROR(AVERAGEIFS(Raw_Reviews!$H$2:$H$5911,Raw_Reviews!$F$2:$F$5911,"&gt;="&amp;B12,Raw_Reviews!$F$2:$F$5911,"&lt;"&amp;(B12+14)),0)</f>
        <v>0.121509032258065</v>
      </c>
      <c r="I12" s="9" t="n">
        <f aca="false">G12-D12</f>
        <v>-0.885152452496686</v>
      </c>
      <c r="J12" s="10" t="n">
        <f aca="false">H12-E12</f>
        <v>-0.211280693769333</v>
      </c>
    </row>
    <row r="13" customFormat="false" ht="15" hidden="false" customHeight="false" outlineLevel="0" collapsed="false">
      <c r="A13" s="6" t="s">
        <v>7523</v>
      </c>
      <c r="B13" s="7" t="n">
        <v>46013</v>
      </c>
      <c r="C13" s="8" t="n">
        <f aca="false">COUNTIFS(Raw_Reviews!$F$2:$F$5911,"&gt;="&amp;(B13-14),Raw_Reviews!$F$2:$F$5911,"&lt;"&amp;B13)</f>
        <v>144</v>
      </c>
      <c r="D13" s="9" t="n">
        <f aca="false">IFERROR(AVERAGEIFS(Raw_Reviews!$C$2:$C$5911,Raw_Reviews!$F$2:$F$5911,"&gt;="&amp;(B13-14),Raw_Reviews!$F$2:$F$5911,"&lt;"&amp;B13),0)</f>
        <v>3.89583333333333</v>
      </c>
      <c r="E13" s="10" t="n">
        <f aca="false">IFERROR(AVERAGEIFS(Raw_Reviews!$H$2:$H$5911,Raw_Reviews!$F$2:$F$5911,"&gt;="&amp;(B13-14),Raw_Reviews!$F$2:$F$5911,"&lt;"&amp;B13),0)</f>
        <v>0.346884722222222</v>
      </c>
      <c r="F13" s="8" t="n">
        <f aca="false">COUNTIFS(Raw_Reviews!$F$2:$F$5911,"&gt;="&amp;B13,Raw_Reviews!$F$2:$F$5911,"&lt;"&amp;(B13+14))</f>
        <v>126</v>
      </c>
      <c r="G13" s="9" t="n">
        <f aca="false">IFERROR(AVERAGEIFS(Raw_Reviews!$C$2:$C$5911,Raw_Reviews!$F$2:$F$5911,"&gt;="&amp;B13,Raw_Reviews!$F$2:$F$5911,"&lt;"&amp;(B13+14)),0)</f>
        <v>4.08730158730159</v>
      </c>
      <c r="H13" s="10" t="n">
        <f aca="false">IFERROR(AVERAGEIFS(Raw_Reviews!$H$2:$H$5911,Raw_Reviews!$F$2:$F$5911,"&gt;="&amp;B13,Raw_Reviews!$F$2:$F$5911,"&lt;"&amp;(B13+14)),0)</f>
        <v>0.395105555555556</v>
      </c>
      <c r="I13" s="9" t="n">
        <f aca="false">G13-D13</f>
        <v>0.191468253968254</v>
      </c>
      <c r="J13" s="10" t="n">
        <f aca="false">H13-E13</f>
        <v>0.0482208333333333</v>
      </c>
    </row>
    <row r="14" customFormat="false" ht="15" hidden="false" customHeight="false" outlineLevel="0" collapsed="false">
      <c r="A14" s="6" t="s">
        <v>8083</v>
      </c>
      <c r="B14" s="7" t="n">
        <v>46042</v>
      </c>
      <c r="C14" s="8" t="n">
        <f aca="false">COUNTIFS(Raw_Reviews!$F$2:$F$5911,"&gt;="&amp;(B14-14),Raw_Reviews!$F$2:$F$5911,"&lt;"&amp;B14)</f>
        <v>150</v>
      </c>
      <c r="D14" s="9" t="n">
        <f aca="false">IFERROR(AVERAGEIFS(Raw_Reviews!$C$2:$C$5911,Raw_Reviews!$F$2:$F$5911,"&gt;="&amp;(B14-14),Raw_Reviews!$F$2:$F$5911,"&lt;"&amp;B14),0)</f>
        <v>3.63333333333333</v>
      </c>
      <c r="E14" s="10" t="n">
        <f aca="false">IFERROR(AVERAGEIFS(Raw_Reviews!$H$2:$H$5911,Raw_Reviews!$F$2:$F$5911,"&gt;="&amp;(B14-14),Raw_Reviews!$F$2:$F$5911,"&lt;"&amp;B14),0)</f>
        <v>0.311281333333333</v>
      </c>
      <c r="F14" s="8" t="n">
        <f aca="false">COUNTIFS(Raw_Reviews!$F$2:$F$5911,"&gt;="&amp;B14,Raw_Reviews!$F$2:$F$5911,"&lt;"&amp;(B14+14))</f>
        <v>146</v>
      </c>
      <c r="G14" s="9" t="n">
        <f aca="false">IFERROR(AVERAGEIFS(Raw_Reviews!$C$2:$C$5911,Raw_Reviews!$F$2:$F$5911,"&gt;="&amp;B14,Raw_Reviews!$F$2:$F$5911,"&lt;"&amp;(B14+14)),0)</f>
        <v>3.82191780821918</v>
      </c>
      <c r="H14" s="10" t="n">
        <f aca="false">IFERROR(AVERAGEIFS(Raw_Reviews!$H$2:$H$5911,Raw_Reviews!$F$2:$F$5911,"&gt;="&amp;B14,Raw_Reviews!$F$2:$F$5911,"&lt;"&amp;(B14+14)),0)</f>
        <v>0.366575342465753</v>
      </c>
      <c r="I14" s="9" t="n">
        <f aca="false">G14-D14</f>
        <v>0.188584474885845</v>
      </c>
      <c r="J14" s="10" t="n">
        <f aca="false">H14-E14</f>
        <v>0.0552940091324201</v>
      </c>
    </row>
  </sheetData>
  <mergeCells count="1">
    <mergeCell ref="A1:J1"/>
  </mergeCells>
  <conditionalFormatting sqref="J4:J14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5" t="s">
        <v>12015</v>
      </c>
      <c r="B1" s="5"/>
      <c r="C1" s="5"/>
      <c r="D1" s="5"/>
    </row>
    <row r="3" customFormat="false" ht="15" hidden="false" customHeight="false" outlineLevel="0" collapsed="false">
      <c r="A3" s="12" t="s">
        <v>12016</v>
      </c>
      <c r="B3" s="12" t="s">
        <v>12017</v>
      </c>
    </row>
    <row r="4" customFormat="false" ht="15" hidden="false" customHeight="false" outlineLevel="0" collapsed="false">
      <c r="A4" s="13" t="s">
        <v>12018</v>
      </c>
      <c r="B4" s="14" t="n">
        <f aca="false">COUNTA(Raw_Reviews!$A$2:$A$5911)</f>
        <v>5910</v>
      </c>
    </row>
    <row r="5" customFormat="false" ht="15" hidden="false" customHeight="false" outlineLevel="0" collapsed="false">
      <c r="A5" s="13" t="s">
        <v>12019</v>
      </c>
      <c r="B5" s="15" t="n">
        <f aca="false">AVERAGE(Raw_Reviews!$C$2:$C$5911)</f>
        <v>3.8243654822335</v>
      </c>
    </row>
    <row r="6" customFormat="false" ht="15" hidden="false" customHeight="false" outlineLevel="0" collapsed="false">
      <c r="A6" s="13" t="s">
        <v>12020</v>
      </c>
      <c r="B6" s="4" t="n">
        <f aca="false">AVERAGE(Raw_Reviews!$H$2:$H$5911)</f>
        <v>0.349550575296108</v>
      </c>
    </row>
    <row r="7" customFormat="false" ht="15" hidden="false" customHeight="false" outlineLevel="0" collapsed="false">
      <c r="A7" s="13" t="s">
        <v>12005</v>
      </c>
      <c r="B7" s="16" t="n">
        <f aca="false">COUNTIF(Raw_Reviews!$I$2:$I$5911,"negative")/COUNTA(Raw_Reviews!$I$2:$I$5911)</f>
        <v>0.15093062605753</v>
      </c>
    </row>
    <row r="8" customFormat="false" ht="15" hidden="false" customHeight="false" outlineLevel="0" collapsed="false">
      <c r="A8" s="13" t="s">
        <v>12021</v>
      </c>
      <c r="B8" s="16" t="n">
        <f aca="false">COUNTIF(Raw_Reviews!$I$2:$I$5911,"positive")/COUNTA(Raw_Reviews!$I$2:$I$5911)</f>
        <v>0.692047377326565</v>
      </c>
    </row>
    <row r="9" customFormat="false" ht="15" hidden="false" customHeight="false" outlineLevel="0" collapsed="false">
      <c r="A9" s="13" t="s">
        <v>12022</v>
      </c>
      <c r="B9" s="2" t="str">
        <f aca="false">INDEX(A14:A18,MATCH(MAX(B14:B18),B14:B18,0))</f>
        <v>payment</v>
      </c>
    </row>
    <row r="10" customFormat="false" ht="15" hidden="false" customHeight="false" outlineLevel="0" collapsed="false">
      <c r="A10" s="13" t="s">
        <v>12023</v>
      </c>
      <c r="B10" s="2" t="str">
        <f aca="false">INDEX(Release_Impact!A4:A14,MATCH(MIN(Release_Impact!J4:J14),Release_Impact!J4:J14,0))</f>
        <v>4.3.0</v>
      </c>
    </row>
    <row r="12" customFormat="false" ht="15" hidden="false" customHeight="false" outlineLevel="0" collapsed="false">
      <c r="A12" s="13" t="s">
        <v>12024</v>
      </c>
    </row>
    <row r="13" customFormat="false" ht="15" hidden="false" customHeight="false" outlineLevel="0" collapsed="false">
      <c r="A13" s="12" t="s">
        <v>12025</v>
      </c>
      <c r="B13" s="12" t="s">
        <v>12026</v>
      </c>
    </row>
    <row r="14" customFormat="false" ht="15" hidden="false" customHeight="false" outlineLevel="0" collapsed="false">
      <c r="A14" s="2" t="s">
        <v>59</v>
      </c>
      <c r="B14" s="2" t="n">
        <f aca="false">COUNTIF(Raw_Reviews!$J$2:$J$5911,"crash")</f>
        <v>243</v>
      </c>
    </row>
    <row r="15" customFormat="false" ht="15" hidden="false" customHeight="false" outlineLevel="0" collapsed="false">
      <c r="A15" s="2" t="s">
        <v>165</v>
      </c>
      <c r="B15" s="2" t="n">
        <f aca="false">COUNTIF(Raw_Reviews!$J$2:$J$5911,"login")</f>
        <v>225</v>
      </c>
    </row>
    <row r="16" customFormat="false" ht="15" hidden="false" customHeight="false" outlineLevel="0" collapsed="false">
      <c r="A16" s="2" t="s">
        <v>37</v>
      </c>
      <c r="B16" s="2" t="n">
        <f aca="false">COUNTIF(Raw_Reviews!$J$2:$J$5911,"payment")</f>
        <v>1609</v>
      </c>
    </row>
    <row r="17" customFormat="false" ht="15" hidden="false" customHeight="false" outlineLevel="0" collapsed="false">
      <c r="A17" s="2" t="s">
        <v>33</v>
      </c>
      <c r="B17" s="2" t="n">
        <f aca="false">COUNTIF(Raw_Reviews!$J$2:$J$5911,"ui")</f>
        <v>788</v>
      </c>
    </row>
    <row r="18" customFormat="false" ht="15" hidden="false" customHeight="false" outlineLevel="0" collapsed="false">
      <c r="A18" s="2" t="s">
        <v>110</v>
      </c>
      <c r="B18" s="2" t="n">
        <f aca="false">COUNTIF(Raw_Reviews!$J$2:$J$5911,"performance")</f>
        <v>162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2026-08-02T09:51:23Z</dcterms:created>
  <dc:creator>openpyxl</dc:creator>
  <dc:description/>
  <dc:language>en-US</dc:language>
  <cp:lastModifiedBy/>
  <dcterms:modified xsi:type="dcterms:W3CDTF">2026-08-02T09:51:25Z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